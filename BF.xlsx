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yiBRT+nZvYQ//ZC/vU10NPtQj9f+wodWp/OCdEp6N0w="/>
    </ext>
  </extLst>
</workbook>
</file>

<file path=xl/sharedStrings.xml><?xml version="1.0" encoding="utf-8"?>
<sst xmlns="http://schemas.openxmlformats.org/spreadsheetml/2006/main" count="22317" uniqueCount="7607">
  <si>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</si>
  <si>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</si>
  <si>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</si>
  <si>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</si>
  <si>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</si>
  <si>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</si>
  <si>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</si>
  <si>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</si>
  <si>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মোছাঃ ফরিদা পারভীন</t>
  </si>
  <si>
    <t>ফজের আলী</t>
  </si>
  <si>
    <t>মোছাঃ ফাতেমা খাতুন</t>
  </si>
  <si>
    <t>০১/০৯/১৯৭৫</t>
  </si>
  <si>
    <t>গৃহিণী</t>
  </si>
  <si>
    <t>গাড়াডোব, গাংনী, মেহেরপুর</t>
  </si>
  <si>
    <t>মোছাঃ সেলিনা পারভীন</t>
  </si>
  <si>
    <t>শহিদুল ইসলাম</t>
  </si>
  <si>
    <t>মোছাঃ খাদিজা খাতুন</t>
  </si>
  <si>
    <t>০১/০৫/১৯৮৭</t>
  </si>
  <si>
    <t>মোছাঃ রেবেকা খাতুন</t>
  </si>
  <si>
    <t>মোঃ ইউনুছ আলী শেখ</t>
  </si>
  <si>
    <t>মোছাঃ আছিয়া বেগম</t>
  </si>
  <si>
    <t>০১/০৬/১৯৭২</t>
  </si>
  <si>
    <t>মোছাঃ মানজিরা বেগম</t>
  </si>
  <si>
    <t>মোঃ অন্দর আলী শেখ</t>
  </si>
  <si>
    <t>মোছাঃ জহিমা বেগম</t>
  </si>
  <si>
    <t>০২/০৫/১৯৭৭</t>
  </si>
  <si>
    <t>মোছাঃ ছানোয়ারা বেগম</t>
  </si>
  <si>
    <t>মৃতঃ আব্দুল খালেক</t>
  </si>
  <si>
    <t>মোছাঃ জাহিরা বেগম</t>
  </si>
  <si>
    <t>০১/০৬/১৯৭১</t>
  </si>
  <si>
    <t>মোছাঃ রওসান আরা</t>
  </si>
  <si>
    <t>দাউদ হোসেন</t>
  </si>
  <si>
    <t>মোছাঃ আরবিয়া খাতুন</t>
  </si>
  <si>
    <t>০২/০৪/১৯৮৩</t>
  </si>
  <si>
    <t>মোছাঃ শুকজান নেছা</t>
  </si>
  <si>
    <t>পাচু সেখ</t>
  </si>
  <si>
    <t>কফিজান</t>
  </si>
  <si>
    <t>০২/০৮/১৯৫২</t>
  </si>
  <si>
    <t>মোছাঃ মিরা খাতুন</t>
  </si>
  <si>
    <t>মোঃ নূর ইসলাম</t>
  </si>
  <si>
    <t>মোছাঃ আরজিনা খাতুন</t>
  </si>
  <si>
    <t>০১/০৫/১৯৮৮</t>
  </si>
  <si>
    <t>মোছাঃ রেহেনা খাতুন</t>
  </si>
  <si>
    <t>মোঃ নুরুল ইসলাম</t>
  </si>
  <si>
    <t>মোছাঃ সাহেরা খাতুন</t>
  </si>
  <si>
    <t>০১/০৩/১৯৭৭</t>
  </si>
  <si>
    <t>মোছাঃ মুসলীমা খাতুন</t>
  </si>
  <si>
    <t>মোঃ গোলাম হোসেন খাঁ</t>
  </si>
  <si>
    <t>মোছাঃ আনোয়ারা খাতুন</t>
  </si>
  <si>
    <t>০৫/০৮/১৯৭৩</t>
  </si>
  <si>
    <t>মোছাঃ বানুয়ারা খাতুন</t>
  </si>
  <si>
    <t>মোঃ আব্দুল বারী</t>
  </si>
  <si>
    <t>মোছাঃ ছামেনা খাতুন</t>
  </si>
  <si>
    <t>০১/০৫/১৯৭২</t>
  </si>
  <si>
    <t>মোছাঃ শান্তনা খাতুন</t>
  </si>
  <si>
    <t>মোঃ রেজাউল হক</t>
  </si>
  <si>
    <t>মোছাঃ গোল বানু</t>
  </si>
  <si>
    <t>০৫/০৩/১৯৭৭</t>
  </si>
  <si>
    <t>মোছাঃ জাহানারা খাতুন</t>
  </si>
  <si>
    <t>মোঃ মোয়াজ্জেম মল্লিক</t>
  </si>
  <si>
    <t>মোছাঃ আছিয়া খাতুন</t>
  </si>
  <si>
    <t>০৫/০৭/১৯৬৫</t>
  </si>
  <si>
    <t>মোছাঃ আশরাফন নেছা</t>
  </si>
  <si>
    <t>মোঃ আশরাফ আলী</t>
  </si>
  <si>
    <t>মোছাঃ হালিমন নেছা</t>
  </si>
  <si>
    <t>০৫/০২/১৯৮৭</t>
  </si>
  <si>
    <t>মোছাঃ নহরবানু</t>
  </si>
  <si>
    <t>মোঃ আওলাদ হোসেন</t>
  </si>
  <si>
    <t>মোছাঃ দেলজান নেছা</t>
  </si>
  <si>
    <t>০১/০৪/১৯৭২</t>
  </si>
  <si>
    <t>মোছাঃ দিলজান নেছা</t>
  </si>
  <si>
    <t>সান্দু সেখ</t>
  </si>
  <si>
    <t>পরিছুন খাতুন</t>
  </si>
  <si>
    <t>০২/০৫/১৯৪৭</t>
  </si>
  <si>
    <t>মোঃ আব্দুল কাদের</t>
  </si>
  <si>
    <t>মোছাঃ জবিরন নেছা</t>
  </si>
  <si>
    <t>০৫/০৫/১৯৭২</t>
  </si>
  <si>
    <t>মোছাঃ রহিমা খাতুন</t>
  </si>
  <si>
    <t>গোলেবাস</t>
  </si>
  <si>
    <t>মোছাঃ ফতেজান</t>
  </si>
  <si>
    <t>০১/০৫/১৯৫০</t>
  </si>
  <si>
    <t>মোছাঃ জোছনা খাতুন</t>
  </si>
  <si>
    <t>মোঃ আরজুল্লাহ</t>
  </si>
  <si>
    <t>মোছাঃ মাবিয়া খাতুন</t>
  </si>
  <si>
    <t>০৪/০৫/১৯৮৮</t>
  </si>
  <si>
    <t>মোছাঃ সালেহা খাতুন</t>
  </si>
  <si>
    <t>পাঞ্জাব খাঁ</t>
  </si>
  <si>
    <t>মোছাঃ ফজিরন নেছা</t>
  </si>
  <si>
    <t>০৫/০৪/১৯৬০</t>
  </si>
  <si>
    <t>মোছাঃ সালেহা বেগম</t>
  </si>
  <si>
    <t>ইব্রাহিম শেখ</t>
  </si>
  <si>
    <t>আলতাফন নেছা</t>
  </si>
  <si>
    <t>০১/০৪/১৯৭১</t>
  </si>
  <si>
    <t>মোছাঃ মরিয়ম খাতুন</t>
  </si>
  <si>
    <t>মোঃ ইসমাঈল হোসেন</t>
  </si>
  <si>
    <t>মোছাঃ মলিদা খাতুন</t>
  </si>
  <si>
    <t>০৫/০৪/১৯৮২</t>
  </si>
  <si>
    <t>মোছাঃ সাজেদা খাতুন</t>
  </si>
  <si>
    <t>সাজ্জাত মন্ডল</t>
  </si>
  <si>
    <t>মোছাঃ কুটিলা খাতুন</t>
  </si>
  <si>
    <t>০৫/০২/১৯৭৭</t>
  </si>
  <si>
    <t>মোছাঃ সীমা খাতুন</t>
  </si>
  <si>
    <t>মোঃ কামাল উদ্দিন</t>
  </si>
  <si>
    <t>মোছাঃ আজমীরা বেগম</t>
  </si>
  <si>
    <t>০৫/০৬/১৯৭৯</t>
  </si>
  <si>
    <t>মোছাঃ আরসিনা খাতুন</t>
  </si>
  <si>
    <t>মোঃ আহাব আলী মীর</t>
  </si>
  <si>
    <t>মোছাঃ আছিয়া</t>
  </si>
  <si>
    <t>০৫/০৮/১৯৮১</t>
  </si>
  <si>
    <t>মোছাঃ হিরাতন নেছা</t>
  </si>
  <si>
    <t>মোঃ সিরাজ মুন্সী</t>
  </si>
  <si>
    <t>মোছাঃ আনোয়ারা</t>
  </si>
  <si>
    <t>০১/০৫/১৯৬৭</t>
  </si>
  <si>
    <t>মোছাঃ আনোয়ারা বেগম</t>
  </si>
  <si>
    <t>নজীর আলী মীর</t>
  </si>
  <si>
    <t>০৫/০৮/১৯৪৭</t>
  </si>
  <si>
    <t>মোছাঃ শামসুনাহার</t>
  </si>
  <si>
    <t>আবু বাককার</t>
  </si>
  <si>
    <t>মোছাঃ ছপুরা খাতুন</t>
  </si>
  <si>
    <t>০১/০৫/১৯৬৫</t>
  </si>
  <si>
    <t>মোছাঃ ঝরনা খাতুন</t>
  </si>
  <si>
    <t>মকবুল মোল্লা</t>
  </si>
  <si>
    <t>মোছাঃ জোহরা খাতুন</t>
  </si>
  <si>
    <t>০১/১১/১৯৭৩</t>
  </si>
  <si>
    <t>মোছাঃ রশিদা বেগম</t>
  </si>
  <si>
    <t>মোছাঃ দোলেজান বিবি</t>
  </si>
  <si>
    <t>১২/১০/১৯৭৭</t>
  </si>
  <si>
    <t>মোছাঃ শিউলী খাতুন</t>
  </si>
  <si>
    <t>মোঃ আব্দুল কুদ্দুস শেখ</t>
  </si>
  <si>
    <t>আমীরন নেছা</t>
  </si>
  <si>
    <t>০৫/০৫/১৯৭৯</t>
  </si>
  <si>
    <t>মোছাঃ ইরানী খাতুন</t>
  </si>
  <si>
    <t>মোঃ আবুল কালাম</t>
  </si>
  <si>
    <t>মোছাঃ শামসুন্নাহার</t>
  </si>
  <si>
    <t>০৫/১১/১৯৮৮</t>
  </si>
  <si>
    <t>ছাত্র/ছাত্রী</t>
  </si>
  <si>
    <t>মোছাঃ রূপালী খাতুন</t>
  </si>
  <si>
    <t>মোঃ লিয়াকত আলী</t>
  </si>
  <si>
    <t>০৫/০৮/১৯৮৮</t>
  </si>
  <si>
    <t>মোছাঃ মমেনা খাতুন</t>
  </si>
  <si>
    <t>আব্দুল জলিল</t>
  </si>
  <si>
    <t>মোছাঃ আজিরন</t>
  </si>
  <si>
    <t>০৫/০৯/১৯৮৪</t>
  </si>
  <si>
    <t>রমজান আলী</t>
  </si>
  <si>
    <t>মোছাঃ দোলেজান</t>
  </si>
  <si>
    <t>০৫/০৯/১৯৪৭</t>
  </si>
  <si>
    <t>মোছাঃ তাহেরা বেগম</t>
  </si>
  <si>
    <t>মোছাঃ বানুয়ারা</t>
  </si>
  <si>
    <t>০১/০৫/১৯৮২</t>
  </si>
  <si>
    <t>মোছাঃ চায়না খাতুন</t>
  </si>
  <si>
    <t>আওলাদ শেখ</t>
  </si>
  <si>
    <t>মোছাঃ ছামিডন নেছা</t>
  </si>
  <si>
    <t>০৫/১১/১৯৮৭</t>
  </si>
  <si>
    <t>মোছাঃ রাবিয়া খাতুন</t>
  </si>
  <si>
    <t>মুজরদ্দিন শেখ</t>
  </si>
  <si>
    <t>মোছাঃ খোসজান</t>
  </si>
  <si>
    <t>০১/০৬/১৯৮৭</t>
  </si>
  <si>
    <t>মোছাঃ হাজেরা খাতুন</t>
  </si>
  <si>
    <t>দিয়ামত শেখ</t>
  </si>
  <si>
    <t>আয়েশা খাতুন</t>
  </si>
  <si>
    <t>০৫/০৬/১৯৪২</t>
  </si>
  <si>
    <t>মোছাঃ ফিরোজা খাতুন</t>
  </si>
  <si>
    <t>আফছার আলী</t>
  </si>
  <si>
    <t>০৫/১১/১৯৮৫</t>
  </si>
  <si>
    <t>মোছাঃ কমলা খাতুন</t>
  </si>
  <si>
    <t>মোঃ কমর আলী</t>
  </si>
  <si>
    <t>মোছাঃ লাল বানু</t>
  </si>
  <si>
    <t>০১/০৭/১৯৮৬</t>
  </si>
  <si>
    <t>মোছাঃ রাবেয়া খাতুন</t>
  </si>
  <si>
    <t>আব্দুল হামিদ</t>
  </si>
  <si>
    <t>হারেজান খাতুন</t>
  </si>
  <si>
    <t>০১/০৭/১৯৮৭</t>
  </si>
  <si>
    <t>মোছাঃ আলেয়া খাতুন</t>
  </si>
  <si>
    <t>নুরু মোল্লা</t>
  </si>
  <si>
    <t>সুফিয়া খাতুন</t>
  </si>
  <si>
    <t>০৫/০৬/১৯৬৪</t>
  </si>
  <si>
    <t>মোঃ আবুল কাশেম</t>
  </si>
  <si>
    <t>মোছাঃ মমতাজ</t>
  </si>
  <si>
    <t>০৩/০৭/১৯৭৩</t>
  </si>
  <si>
    <t>মোছাঃ তহমিনা খাতুন</t>
  </si>
  <si>
    <t>মোঃ ভাদু শেখ</t>
  </si>
  <si>
    <t>মোছাঃ লতিফন নেছা</t>
  </si>
  <si>
    <t>০৮/০৯/১৯৭৫</t>
  </si>
  <si>
    <t>মোছাঃ পারভীনা খাতুন</t>
  </si>
  <si>
    <t>রিফাজ্জেল মন্ডল</t>
  </si>
  <si>
    <t>মোছাঃ রসেনা বেগম</t>
  </si>
  <si>
    <t>০৫/০৭/১৯৮২</t>
  </si>
  <si>
    <t>মোছাঃ আমেনা বেগম</t>
  </si>
  <si>
    <t>আব্দুস ছাত্তার</t>
  </si>
  <si>
    <t>মোছাঃ রেবেকা</t>
  </si>
  <si>
    <t>১১/১১/১৯৬৯</t>
  </si>
  <si>
    <t>মোছাঃ হাসনা বানু</t>
  </si>
  <si>
    <t>মোঃ আব্দুল হান্নান</t>
  </si>
  <si>
    <t>মোছাঃ মেহেরুন্নেছা</t>
  </si>
  <si>
    <t>০৫/০৮/১৯৮০</t>
  </si>
  <si>
    <t>মোছাঃ তোহুরা খাতুন</t>
  </si>
  <si>
    <t>হেরেসতুল্লা</t>
  </si>
  <si>
    <t>হারেজান</t>
  </si>
  <si>
    <t>০৫/০৯/১৯৫৭</t>
  </si>
  <si>
    <t>মোছাঃ মুক্তা খাতুন</t>
  </si>
  <si>
    <t>মোঃ আহাদ আলী</t>
  </si>
  <si>
    <t>মোছাঃ আঙ্গুরা খাতুন</t>
  </si>
  <si>
    <t>০৩/০৯/১৯৮৮</t>
  </si>
  <si>
    <t>মোছাঃ মুক্তা পারভীন</t>
  </si>
  <si>
    <t>মোঃ গোলাম মোস্তফা</t>
  </si>
  <si>
    <t>মোছাঃ আলিয়া খাতুন</t>
  </si>
  <si>
    <t>০৫/০৮/১৯৭৯</t>
  </si>
  <si>
    <t>মকবুল শেখ</t>
  </si>
  <si>
    <t>মোছাঃ ছাইরা খাতুন</t>
  </si>
  <si>
    <t>২৩/০৮/১৯৬২</t>
  </si>
  <si>
    <t>মোছাঃ জাহানারা বেগম</t>
  </si>
  <si>
    <t>কাজী ইসাহাক মীর</t>
  </si>
  <si>
    <t>ফাতেমা খাতুন</t>
  </si>
  <si>
    <t>১১/০২/১৯৫৫</t>
  </si>
  <si>
    <t>মোছাঃ জীবন নাহার</t>
  </si>
  <si>
    <t>কলিমুদ্দিন খাঁন</t>
  </si>
  <si>
    <t>মোছাঃ নুফফন নেছা</t>
  </si>
  <si>
    <t>০১/০৬/১৯৫৭</t>
  </si>
  <si>
    <t>নিজাম উদ্দিন</t>
  </si>
  <si>
    <t>গৈরব বিবি</t>
  </si>
  <si>
    <t>০৫/০৭/১৯৭৮</t>
  </si>
  <si>
    <t>আওলাদ মীর</t>
  </si>
  <si>
    <t>তহিরন নেছা</t>
  </si>
  <si>
    <t>০৫/০৩/১৯৪২</t>
  </si>
  <si>
    <t>মোছাঃ কাঞ্চন মালা</t>
  </si>
  <si>
    <t>মোঃ মহির উদ্দিন</t>
  </si>
  <si>
    <t>মোছাঃ আছমা বেগম</t>
  </si>
  <si>
    <t>০৩/০২/১৯৮৪</t>
  </si>
  <si>
    <t>মোছাঃ আকলিমা খাতুন</t>
  </si>
  <si>
    <t>মোঃ মসলেম শেখ</t>
  </si>
  <si>
    <t>মোছাঃ মর্জিনা খাতুন</t>
  </si>
  <si>
    <t>০৫/০৮/১৯৭০</t>
  </si>
  <si>
    <t>আফসার আলী মীর</t>
  </si>
  <si>
    <t>জহুরা বেগম</t>
  </si>
  <si>
    <t>০৫/০৭/১৯৬৭</t>
  </si>
  <si>
    <t>মোঃ খবির মন্ডল</t>
  </si>
  <si>
    <t>০৫/১১/১৯৮০</t>
  </si>
  <si>
    <t>মোছাঃ শ্রাবনী আক্তার</t>
  </si>
  <si>
    <t>এম. এইচ. এ কামাল</t>
  </si>
  <si>
    <t>মোছাঃ ফাতেমা বেগম</t>
  </si>
  <si>
    <t>০৫/০৭/১৯৮৬</t>
  </si>
  <si>
    <t>মোছাঃ গুলসান আরা</t>
  </si>
  <si>
    <t>মিল্লাত আরা</t>
  </si>
  <si>
    <t>মোছাঃ বিলকিচ বেগম</t>
  </si>
  <si>
    <t>মোঃ সাজদার রহমান খাঁন</t>
  </si>
  <si>
    <t>মোছাঃ শাহেদা বেগম</t>
  </si>
  <si>
    <t>২৬/১১/১৯৭৩</t>
  </si>
  <si>
    <t>মোছাঃ শামসুন্নাহার বেগম</t>
  </si>
  <si>
    <t>শামসুদ্দিন শেখ</t>
  </si>
  <si>
    <t>নূরজাহান বেগম</t>
  </si>
  <si>
    <t>০৫/০৬/১৯৪৯</t>
  </si>
  <si>
    <t>মোছাঃ আঙ্গুরা বেগম</t>
  </si>
  <si>
    <t>মোঃ জমরুদ্দিন শাহ</t>
  </si>
  <si>
    <t>মোছাঃ তহিরন বেগম</t>
  </si>
  <si>
    <t>১২/০৪/১৯৭৯</t>
  </si>
  <si>
    <t>মোছাঃ লুৎফন নেছা</t>
  </si>
  <si>
    <t>খন্দকার মোঃ আব্দুল ওহাব</t>
  </si>
  <si>
    <t>মোছাঃ নূরজাহান</t>
  </si>
  <si>
    <t>মোছাঃ মমতাজ খাতুন</t>
  </si>
  <si>
    <t>মোঃ মহিউদ্দিন শেখ</t>
  </si>
  <si>
    <t>০২/০৪/১৯৮৮</t>
  </si>
  <si>
    <t>বেকার</t>
  </si>
  <si>
    <t>মোঃ আজিজুল হক</t>
  </si>
  <si>
    <t>মোছাঃ আমেনা খাতুন</t>
  </si>
  <si>
    <t>৩১/০৫/১৯৭৭</t>
  </si>
  <si>
    <t>খেদের শাহ</t>
  </si>
  <si>
    <t>মোছাঃ রহিমা বেগম</t>
  </si>
  <si>
    <t>মোছাঃ জরিনা খাতুন</t>
  </si>
  <si>
    <t>মোঃ জিয়ারুদ্দিন</t>
  </si>
  <si>
    <t>মোছাঃ শরিফা খাতুন</t>
  </si>
  <si>
    <t>একরাজ মীর</t>
  </si>
  <si>
    <t>মোছাঃ জাগেনা বেগম</t>
  </si>
  <si>
    <t>০১/০৬/১৯৬৫</t>
  </si>
  <si>
    <t>মোছাঃ হানুফা খাতুন</t>
  </si>
  <si>
    <t>০২/০৩/১৯৮৮</t>
  </si>
  <si>
    <t>মোছাঃ রেহেনা বেগম</t>
  </si>
  <si>
    <t>খলিলুল্লাহ শেখ</t>
  </si>
  <si>
    <t>মোছাঃ আ শুরা বেগম</t>
  </si>
  <si>
    <t>০৫/০৫/১৯৭৭</t>
  </si>
  <si>
    <t>মোছাঃ শরিফন নেছা</t>
  </si>
  <si>
    <t>রমেজ উদ্দিন শেখ</t>
  </si>
  <si>
    <t>মোছাঃ তাহেরা খাতুন</t>
  </si>
  <si>
    <t>০১/০৪/১৯৬৯</t>
  </si>
  <si>
    <t>মোছাঃ ফেকুহন নেছা</t>
  </si>
  <si>
    <t>দুল্লফ শেখ</t>
  </si>
  <si>
    <t>সারজান</t>
  </si>
  <si>
    <t>০৮/০৯/১৯৪৭</t>
  </si>
  <si>
    <t>মোছাঃ শারমীন নাহার</t>
  </si>
  <si>
    <t>মোঃ আবুল হাসেম ভূঁইয়া</t>
  </si>
  <si>
    <t>১৩/০২/১৯৮৫</t>
  </si>
  <si>
    <t>মোছাঃ আনজিরা খাতুন</t>
  </si>
  <si>
    <t>চাঁদ আলী শেখ</t>
  </si>
  <si>
    <t>আজিফা খাতুন</t>
  </si>
  <si>
    <t>০৫/০৮/১৯৭১</t>
  </si>
  <si>
    <t>আওলাদ হোসেন</t>
  </si>
  <si>
    <t>মোছাঃ জহুরা খাতুন</t>
  </si>
  <si>
    <t>০১/০৮/১৯৬২</t>
  </si>
  <si>
    <t>মোছাঃ হালিমা খাতুন</t>
  </si>
  <si>
    <t>মুক্তার আলী</t>
  </si>
  <si>
    <t>খাইরুন নেছা</t>
  </si>
  <si>
    <t>০১/০৫/১৯৪৭</t>
  </si>
  <si>
    <t>মোঃ মোবারক শাহ্</t>
  </si>
  <si>
    <t>জহুরা খাতুন</t>
  </si>
  <si>
    <t>মোছাঃ শামিমা খাতুন</t>
  </si>
  <si>
    <t>মোঃ আব্দুল বাসিদ মীর</t>
  </si>
  <si>
    <t>মনোয়ারা খাতুন</t>
  </si>
  <si>
    <t>০১/০৭/১৯৬৫</t>
  </si>
  <si>
    <t>মোছাঃ সাহার বানু</t>
  </si>
  <si>
    <t>ছবেদ আলী মীর</t>
  </si>
  <si>
    <t>০১/০৮/১৯৫৭</t>
  </si>
  <si>
    <t>মোছাঃ রেহেনা পারভীন</t>
  </si>
  <si>
    <t>মোঃ শামসুদ্দিন</t>
  </si>
  <si>
    <t>মোছাঃ সুরাতজান</t>
  </si>
  <si>
    <t>মোছাঃ মাজেদা খাতুন</t>
  </si>
  <si>
    <t>আব্দুল খালেক</t>
  </si>
  <si>
    <t>মোছাঃ হালিমা বেগম</t>
  </si>
  <si>
    <t>০১/১০/১৯৫৮</t>
  </si>
  <si>
    <t>আব্দুল খালেক শেখ</t>
  </si>
  <si>
    <t>১২/০৯/১৯৬৯</t>
  </si>
  <si>
    <t>মোছাঃ হাসিনা বানু</t>
  </si>
  <si>
    <t>আব্দুল কাদের</t>
  </si>
  <si>
    <t>আমেনা খাতুন</t>
  </si>
  <si>
    <t>১০/০৭/১৯৪২</t>
  </si>
  <si>
    <t>মোঃ আমিরুল ইসলাম</t>
  </si>
  <si>
    <t>মোছাঃ সেলিনা খাতুন</t>
  </si>
  <si>
    <t>১৮/০৮/১৯৮০</t>
  </si>
  <si>
    <t>মোছাঃ শহর বানু</t>
  </si>
  <si>
    <t>ইজ্জত আলী</t>
  </si>
  <si>
    <t>মোছাঃ হালিমন</t>
  </si>
  <si>
    <t>০১/০৫/১৯৫৭</t>
  </si>
  <si>
    <t>মোঃ জান্নাত আলী</t>
  </si>
  <si>
    <t>মোছাঃ রিজিয়া খাতুন</t>
  </si>
  <si>
    <t>০৫/০৬/১৯৮৭</t>
  </si>
  <si>
    <t>মোছাঃ ময়না খাতুন</t>
  </si>
  <si>
    <t>জমির উদ্দিন শেখ</t>
  </si>
  <si>
    <t>মোছাঃ নাজমা খাতুন</t>
  </si>
  <si>
    <t>০১/০২/১৯৮৪</t>
  </si>
  <si>
    <t>শ্রী রেখা দাস</t>
  </si>
  <si>
    <t>নিতাই দাস</t>
  </si>
  <si>
    <t>ছাইফেলী দাসী</t>
  </si>
  <si>
    <t>০১/০৮/১৯৫২</t>
  </si>
  <si>
    <t>মোছাঃ ফিরোজা বেগম</t>
  </si>
  <si>
    <t>আব্দুর রহমান শেখ</t>
  </si>
  <si>
    <t>মোছাঃ ছমিরন নেছা</t>
  </si>
  <si>
    <t>মোছাঃ নিহারন নেছা</t>
  </si>
  <si>
    <t>নূর ইসলাম</t>
  </si>
  <si>
    <t>মোছাঃ কহিনুর খাতুন</t>
  </si>
  <si>
    <t>মোছাঃ মিনা খাতুন</t>
  </si>
  <si>
    <t>মোঃ হাকেম আলী</t>
  </si>
  <si>
    <t>০২/১১/১৯৭৫</t>
  </si>
  <si>
    <t>মোছাঃ শান্তি খাতুন</t>
  </si>
  <si>
    <t>মোঃ আব্দুল খালেক</t>
  </si>
  <si>
    <t>০১/০৫/১৯৭৭</t>
  </si>
  <si>
    <t>মোছাঃ নুরবানু খাতুন</t>
  </si>
  <si>
    <t>মোছাঃ কহিনূর বেগম</t>
  </si>
  <si>
    <t>মোছাঃ আনিকা পারভীন</t>
  </si>
  <si>
    <t>মোঃ মহিরুদ্দিন</t>
  </si>
  <si>
    <t>০১/০৮/১৯৭৭</t>
  </si>
  <si>
    <t>মোছাঃ নাজিরা খাতুন</t>
  </si>
  <si>
    <t>মোঃ জিরাফত শেখ</t>
  </si>
  <si>
    <t>মোছাঃ মদিনা খাতুন</t>
  </si>
  <si>
    <t>০১/০৯/১৯৭১</t>
  </si>
  <si>
    <t>মোছাঃ মনোয়ারা খাতুন</t>
  </si>
  <si>
    <t>মোঃ আজিরুদ্দিন</t>
  </si>
  <si>
    <t>মোছাঃ রইমন নেছা</t>
  </si>
  <si>
    <t>মোছাঃ সেলিনা আক্তার</t>
  </si>
  <si>
    <t>মোঃ খিলাফত মন্ডল</t>
  </si>
  <si>
    <t>২৫/১১/১৯৭৭</t>
  </si>
  <si>
    <t>মোছাঃ রোকেয়া বেগম</t>
  </si>
  <si>
    <t>মোঃ রফিকুল ইসলাম</t>
  </si>
  <si>
    <t>মোছাঃ খোসবানু</t>
  </si>
  <si>
    <t>২০/১১/১৯৭৭</t>
  </si>
  <si>
    <t>মোছাঃ আঞ্জুমনোয়ারা</t>
  </si>
  <si>
    <t>সামসুল হক</t>
  </si>
  <si>
    <t>১০/০২/১৯৭২</t>
  </si>
  <si>
    <t>মোছাঃ জেসমিন আক্তার</t>
  </si>
  <si>
    <t>মোঃ দিয়ার উদ্দিন</t>
  </si>
  <si>
    <t>মোছাঃ পারুলা আক্তার</t>
  </si>
  <si>
    <t>২১/১২/১৯৮৭</t>
  </si>
  <si>
    <t>মোছাঃ নাহিদ আক্তার</t>
  </si>
  <si>
    <t>দবীর উদ্দিন শেখ</t>
  </si>
  <si>
    <t>মোছাঃ কামরুন্নাহার</t>
  </si>
  <si>
    <t>০১/০৬/১৯৭৬</t>
  </si>
  <si>
    <t>বিল্লাল হোসেন</t>
  </si>
  <si>
    <t>মোছাঃ সুফিয়া খাতুন</t>
  </si>
  <si>
    <t>০৫/০৩/১৯৭৮</t>
  </si>
  <si>
    <t>শহর উদ্দিন শেখ</t>
  </si>
  <si>
    <t>মোছাঃ সুরাতন নেছা</t>
  </si>
  <si>
    <t>০১/০৫/১৯৭৯</t>
  </si>
  <si>
    <t>আব্দুল করিম শেখ</t>
  </si>
  <si>
    <t>নূরজাহান</t>
  </si>
  <si>
    <t>মোছাঃ ছাবিনা আক্তার</t>
  </si>
  <si>
    <t>মোঃ শাহাবুদ্দিন শেখ</t>
  </si>
  <si>
    <t>মোছাঃ উল্ফাতন নেছা</t>
  </si>
  <si>
    <t>০১/০৮/১৯৮৮</t>
  </si>
  <si>
    <t>নিহামদ মন্ডল</t>
  </si>
  <si>
    <t>মোছাঃ বিবিজান</t>
  </si>
  <si>
    <t>মোছাঃ রিমা খাতুন</t>
  </si>
  <si>
    <t>মোঃ ইয়ারুল ইসলাম</t>
  </si>
  <si>
    <t>মোছাঃ কুলছুম বেগম</t>
  </si>
  <si>
    <t>মোঃ মকবুল হোসেন</t>
  </si>
  <si>
    <t>মোছাঃ আমেনা</t>
  </si>
  <si>
    <t>০৮/১১/১৯৭২</t>
  </si>
  <si>
    <t>মোছাঃ রঙ্গিলা খাতুন</t>
  </si>
  <si>
    <t>মোঃ আব্দুল মান্নান</t>
  </si>
  <si>
    <t>মোছাঃ আঞ্জুমান আরা খাতুন</t>
  </si>
  <si>
    <t>মোঃ আলী আকবর</t>
  </si>
  <si>
    <t>১০/১১/১৯৬৮</t>
  </si>
  <si>
    <t>মোছাঃ নূরজাহান বেগম</t>
  </si>
  <si>
    <t>নূর মহাব্বত শেখ</t>
  </si>
  <si>
    <t>০৮/১০/১৯৬৭</t>
  </si>
  <si>
    <t>মোঃ সেকেন্দার মীর</t>
  </si>
  <si>
    <t>০৮/১০/১৯৭১</t>
  </si>
  <si>
    <t>মোছাঃ ফেরদৌসী খাতুন</t>
  </si>
  <si>
    <t>আব্দুল হাম্নান</t>
  </si>
  <si>
    <t>মোছাঃ সামসুন্নাহার</t>
  </si>
  <si>
    <t>০৯/১০/১৯৮১</t>
  </si>
  <si>
    <t>বেসরকারী চাকুরী</t>
  </si>
  <si>
    <t>মোছাঃ নার্গিস সুলতানা</t>
  </si>
  <si>
    <t>মোছাঃ হোসনে আরা</t>
  </si>
  <si>
    <t>২৫/১২/১৯৮৯</t>
  </si>
  <si>
    <t>মোছাঃ শাহনাজ পারভীন</t>
  </si>
  <si>
    <t>মোঃ ছহির উদ্দিন</t>
  </si>
  <si>
    <t>০১/০১/১৯৮১</t>
  </si>
  <si>
    <t>মোছাঃ হোসনে আরা বেগম</t>
  </si>
  <si>
    <t>শের আলী</t>
  </si>
  <si>
    <t>০৫/০৮/১৯৫৫</t>
  </si>
  <si>
    <t>মোছাঃ শেফালী খাতুন</t>
  </si>
  <si>
    <t>নিয়ামত মিয়া</t>
  </si>
  <si>
    <t>সাহিদা খাতুন</t>
  </si>
  <si>
    <t>১২/০২/১৯৬৭</t>
  </si>
  <si>
    <t>মোছাঃ সাবিনা খাতুন</t>
  </si>
  <si>
    <t>আব্দুর রহমান</t>
  </si>
  <si>
    <t>মোছাঃ জবেদা খাতুন</t>
  </si>
  <si>
    <t>০৩/০৫/১৯৬৭</t>
  </si>
  <si>
    <t>মোঃ আকবর আলী</t>
  </si>
  <si>
    <t>মোছাঃ শাকিরন নেছা</t>
  </si>
  <si>
    <t>০৮/০২/১৯৮৪</t>
  </si>
  <si>
    <t>শামছুদ্দীন শেখ</t>
  </si>
  <si>
    <t>লতিফা খাতুন</t>
  </si>
  <si>
    <t>২১/১০/১৯৬২</t>
  </si>
  <si>
    <t>মোছাঃ ছবেদা খাতুন</t>
  </si>
  <si>
    <t>কাবেল মীর</t>
  </si>
  <si>
    <t>ছকুরন খাতুন</t>
  </si>
  <si>
    <t>১০/০৩/১৯৬২</t>
  </si>
  <si>
    <t>মোছাঃ শিরিনা খাতুন</t>
  </si>
  <si>
    <t>মোঃ শহিদুল ইসলাম</t>
  </si>
  <si>
    <t>মোছাঃ ফেরদৌসী আরা</t>
  </si>
  <si>
    <t>১৮/০৯/১৯৮৯</t>
  </si>
  <si>
    <t>রিয়াজ উদ্দিন বিশ্বাস</t>
  </si>
  <si>
    <t>১২/০৫/১৯৭২</t>
  </si>
  <si>
    <t>মোছাঃ মালা খাতুন</t>
  </si>
  <si>
    <t>মোঃ আব্দুল মালেক</t>
  </si>
  <si>
    <t>মোছাঃ রেখা খাতুন</t>
  </si>
  <si>
    <t>১১/০৫/১৯৭৮</t>
  </si>
  <si>
    <t>মোছাঃ রওশনারা খাতুন</t>
  </si>
  <si>
    <t>ওসমান আলী</t>
  </si>
  <si>
    <t>আনোয়ারা খাতুন</t>
  </si>
  <si>
    <t>১৭/০২/১৯৪৯</t>
  </si>
  <si>
    <t>মিজানুর রহমান</t>
  </si>
  <si>
    <t>সুবাশি খাতুন</t>
  </si>
  <si>
    <t>১১/০৭/১৯৪৭</t>
  </si>
  <si>
    <t>মোছাঃ ববিতা খাতুন</t>
  </si>
  <si>
    <t>মোঃ খবির উদ্দিন</t>
  </si>
  <si>
    <t>২৫/১০/১৯৭২</t>
  </si>
  <si>
    <t>মোতাহার মিয়া</t>
  </si>
  <si>
    <t>নিহারুন বিবি</t>
  </si>
  <si>
    <t>১০/০৪/১৯৫২</t>
  </si>
  <si>
    <t>মোঃ শেহের আলী</t>
  </si>
  <si>
    <t>মোছাঃ কহিনূর রহমান</t>
  </si>
  <si>
    <t>১০/০২/১৯৮৭</t>
  </si>
  <si>
    <t>মোছাঃ তানিয়া খাতুন</t>
  </si>
  <si>
    <t>মোঃ তহিদুল ইসলাম</t>
  </si>
  <si>
    <t>মোছাঃ শাহনাজ বেগম</t>
  </si>
  <si>
    <t>১০/০৮/১৯৮৭</t>
  </si>
  <si>
    <t>মোছাঃ মনিরা খাতুন</t>
  </si>
  <si>
    <t>মোঃ মহিউদ্দীন</t>
  </si>
  <si>
    <t>মোছাঃ ফরিদা খাতুন</t>
  </si>
  <si>
    <t>১১/০৬/১৯৭১</t>
  </si>
  <si>
    <t>মোছাঃ বিলকিস আরা</t>
  </si>
  <si>
    <t>মোঃ আব্দুল মাজেদ</t>
  </si>
  <si>
    <t>০১/০৮/১৯৭১</t>
  </si>
  <si>
    <t>মোছাঃ জামেনা খাতুন</t>
  </si>
  <si>
    <t>মোঃ জামাল শেখ</t>
  </si>
  <si>
    <t>মোছাঃ আনজুরা খাতুন</t>
  </si>
  <si>
    <t>০১/১০/১৯৭৭</t>
  </si>
  <si>
    <t>মোছাঃ সহিদা খাতুন</t>
  </si>
  <si>
    <t>মোঃ আব্দুল ওহাব</t>
  </si>
  <si>
    <t>মোছাঃ নহরজান</t>
  </si>
  <si>
    <t>১৫/০৫/১৯৬৯</t>
  </si>
  <si>
    <t>মোছাঃ আশা খাতুন</t>
  </si>
  <si>
    <t>মোঃ আব্দুল মজিদ</t>
  </si>
  <si>
    <t>মোছাঃ জাহিনুর খাতুন</t>
  </si>
  <si>
    <t>২৯/০৩/১৯৮২</t>
  </si>
  <si>
    <t>মোছাঃ রবেজান খাতুন</t>
  </si>
  <si>
    <t>দাউদ শেখ</t>
  </si>
  <si>
    <t>মোছাঃ মরিয়ম বেগম</t>
  </si>
  <si>
    <t>৩০/০৮/১৯৬৭</t>
  </si>
  <si>
    <t>মোছাঃ হামেদা খাতুন</t>
  </si>
  <si>
    <t>সবদেল মীর</t>
  </si>
  <si>
    <t>রাবিয়া খাতুন</t>
  </si>
  <si>
    <t>১০/১২/১৯৫৭</t>
  </si>
  <si>
    <t>ব্যবসা</t>
  </si>
  <si>
    <t>মোছাঃ শাম্মী হাসান তুলি</t>
  </si>
  <si>
    <t>মোঃ শরিফ উদ্দীন</t>
  </si>
  <si>
    <t>১০/১১/১৯৮৪</t>
  </si>
  <si>
    <t>মাহামাদ খাঁ</t>
  </si>
  <si>
    <t>১৫/০৮/১৯৭২</t>
  </si>
  <si>
    <t>মোছাঃ নাসরিন সুলতানা</t>
  </si>
  <si>
    <t>মোঃ আব্দুল গফুর</t>
  </si>
  <si>
    <t>মোছাঃ তাসলিমা খাতুন</t>
  </si>
  <si>
    <t>২৫/০২/১৯৮৯</t>
  </si>
  <si>
    <t>হারুনুর রশিদ</t>
  </si>
  <si>
    <t>মোছাঃ রোকেয়া খাতুন</t>
  </si>
  <si>
    <t>২৩/০৪/১৯৫৭</t>
  </si>
  <si>
    <t>মোছাঃ নার্গিস খাতুন</t>
  </si>
  <si>
    <t>মোঃ ইদ্রিস আলী</t>
  </si>
  <si>
    <t>২৮/০৬/১৯৭৭</t>
  </si>
  <si>
    <t>আলম শেখ</t>
  </si>
  <si>
    <t>আকলিমা খাতুন</t>
  </si>
  <si>
    <t>১৯/০৩/১৯৫৭</t>
  </si>
  <si>
    <t>মোছাঃ সোনালী খাতুন</t>
  </si>
  <si>
    <t>মোঃ মহসিন আলী</t>
  </si>
  <si>
    <t>মোছাঃ আলতাফন নেছা</t>
  </si>
  <si>
    <t>২৩/০৪/১৯৮২</t>
  </si>
  <si>
    <t>তসলিম শেখ</t>
  </si>
  <si>
    <t>মোছাঃ মেহেরন নেছা</t>
  </si>
  <si>
    <t>০৮/০৫/১৯৭২</t>
  </si>
  <si>
    <t>মুছার কাকার</t>
  </si>
  <si>
    <t>০২/০৪/১৯৭২</t>
  </si>
  <si>
    <t>মীর জবেদ আলী</t>
  </si>
  <si>
    <t>০৭/০৫/১৯৬৫</t>
  </si>
  <si>
    <t>মোছাঃ পুনকা খাতুন</t>
  </si>
  <si>
    <t>মোঃ কলিমুদ্দীন</t>
  </si>
  <si>
    <t>মোছাঃ সোহাগী খাতুন</t>
  </si>
  <si>
    <t>২০/০৭/১৯৮২</t>
  </si>
  <si>
    <t>হাদিয়ার রহমান</t>
  </si>
  <si>
    <t>১৭/০৭/১৯৫০</t>
  </si>
  <si>
    <t>হারেজউদ্দীন শেখ</t>
  </si>
  <si>
    <t>২৫/০২/১৯৭৭</t>
  </si>
  <si>
    <t>মোছাঃ মহিমা খাতুন</t>
  </si>
  <si>
    <t>০১/০৬/১৯৮৮</t>
  </si>
  <si>
    <t>মোঃ গোলাম আজম</t>
  </si>
  <si>
    <t>মোছাঃ আসমা খাতুন</t>
  </si>
  <si>
    <t>২৮/০৯/১৯৮৮</t>
  </si>
  <si>
    <t>মোছাঃ বেবি খাতুন</t>
  </si>
  <si>
    <t>হালিম শেখ</t>
  </si>
  <si>
    <t>মোছাঃ গোলেজান</t>
  </si>
  <si>
    <t>মোছাঃ সান্তনা খাতুন</t>
  </si>
  <si>
    <t>০৫/০৪/১৯৮৯</t>
  </si>
  <si>
    <t>মোছাঃ ইসমোতারা খাতুন</t>
  </si>
  <si>
    <t>মোঃ মাহাতাব আলী</t>
  </si>
  <si>
    <t>মোছাঃ তহুরা খাতুন</t>
  </si>
  <si>
    <t>২০/০৫/১৯৭৭</t>
  </si>
  <si>
    <t>আলতাফ হোসেন</t>
  </si>
  <si>
    <t>সেতারা বেগম</t>
  </si>
  <si>
    <t>১৩/০৪/১৯৮৮</t>
  </si>
  <si>
    <t>মোছাঃ চাম্পা খাতুন</t>
  </si>
  <si>
    <t>মোঃ তছিমুদ্দিন</t>
  </si>
  <si>
    <t>মোছাঃ তামেশা খাতুন</t>
  </si>
  <si>
    <t>২৫/০৫/১৯৮৯</t>
  </si>
  <si>
    <t>১৩/০৭/১৯৭৯</t>
  </si>
  <si>
    <t>মোছাঃ আবেদা খাতুন</t>
  </si>
  <si>
    <t>জলিল শাহ</t>
  </si>
  <si>
    <t>আছিয়া খাতুন</t>
  </si>
  <si>
    <t>১৭/০২/১৯৭২</t>
  </si>
  <si>
    <t>মোছাঃ ফুলজান খাতুন</t>
  </si>
  <si>
    <t>২২/০৩/১৯৭২</t>
  </si>
  <si>
    <t>ইউসুফ খান</t>
  </si>
  <si>
    <t>মোছাঃ হাচেনা খাতুন</t>
  </si>
  <si>
    <t>১৭/০৪/১৯৫৭</t>
  </si>
  <si>
    <t>মোছাঃ জুলেখা খাতুন</t>
  </si>
  <si>
    <t>১৩/০৮/১৯৮২</t>
  </si>
  <si>
    <t>মোছাঃ শাহারা খাতুন</t>
  </si>
  <si>
    <t>মোঃ গোলাম শাহ</t>
  </si>
  <si>
    <t>১৮/০৩/১৯৭২</t>
  </si>
  <si>
    <t>তিন কড়ি খান</t>
  </si>
  <si>
    <t>মোছাঃ গঞ্জুরা খাতুন</t>
  </si>
  <si>
    <t>১৪/০৩/১৯৬২</t>
  </si>
  <si>
    <t>মোছাঃ শিউলি খাতুন</t>
  </si>
  <si>
    <t>মোঃ রুহুল আমিন</t>
  </si>
  <si>
    <t>১৫/০৯/১৯৮৮</t>
  </si>
  <si>
    <t>মোছাঃ গুলশান আরা খাতুন</t>
  </si>
  <si>
    <t>মোছাঃ তসলিমা খাতুন</t>
  </si>
  <si>
    <t>০২/১০/১৯৭০</t>
  </si>
  <si>
    <t>মোছাঃ আঞ্জুমান আরা</t>
  </si>
  <si>
    <t>জসিমউদ্দীন</t>
  </si>
  <si>
    <t>১০/০৪/১৯৭১</t>
  </si>
  <si>
    <t>মোছাঃ ছাদেকা খাতুন</t>
  </si>
  <si>
    <t>হাজী জিয়াদ আলী মীর</t>
  </si>
  <si>
    <t>মোছাঃ রওশনারা বেগম</t>
  </si>
  <si>
    <t>১০/০৭/১৯৬৫</t>
  </si>
  <si>
    <t>মোছাঃ শারমিন সুলতানা</t>
  </si>
  <si>
    <t>মোঃ আঃ জলিল</t>
  </si>
  <si>
    <t>মোছাঃ রাহিমা খাতুন</t>
  </si>
  <si>
    <t>১০/০৫/১৯৭৭</t>
  </si>
  <si>
    <t>মোছাঃ মনজুরা খাতুন</t>
  </si>
  <si>
    <t>মোঃ জমিরুদ্দিন</t>
  </si>
  <si>
    <t>১৯/০৫/১৯৭২</t>
  </si>
  <si>
    <t>মোঃ ছামিউল ইসলাম</t>
  </si>
  <si>
    <t>মোছাঃ জমেলা খাতুন</t>
  </si>
  <si>
    <t>২০/১০/১৯৭৫</t>
  </si>
  <si>
    <t>মওলা বক্স</t>
  </si>
  <si>
    <t>মোছাঃ খাদেজা খাতুন</t>
  </si>
  <si>
    <t>১৪/০৪/১৯৭৭</t>
  </si>
  <si>
    <t>মোছাঃ খায়রন নেছা</t>
  </si>
  <si>
    <t>ইয়াহ্ উদ্দীন শেখ</t>
  </si>
  <si>
    <t>আজিমন খাতুন</t>
  </si>
  <si>
    <t>মোছাঃ মনোয়ারা পারভীন</t>
  </si>
  <si>
    <t>মোছাঃ খদেজা খাতুন</t>
  </si>
  <si>
    <t>২৬/০২/১৯৭০</t>
  </si>
  <si>
    <t>মোছাঃ শাহিদা খাতুন</t>
  </si>
  <si>
    <t>মোঃ মসলেম উদ্দীন</t>
  </si>
  <si>
    <t>২৭/০৮/১৯৮২</t>
  </si>
  <si>
    <t>উম্মত আলী শেখ</t>
  </si>
  <si>
    <t>হালিমা খাতুন</t>
  </si>
  <si>
    <t>২৭/০৮/১৯৬৭</t>
  </si>
  <si>
    <t>ইয়াকুব আলী</t>
  </si>
  <si>
    <t>ছাকিরন নেছা</t>
  </si>
  <si>
    <t>২১/০৩/১৯৭২</t>
  </si>
  <si>
    <t>মোঃ নিহাজ উদ্দীন</t>
  </si>
  <si>
    <t>মোছাঃ কহিনুর বেগম</t>
  </si>
  <si>
    <t>১০/০২/১৯৮৯</t>
  </si>
  <si>
    <t>মোছাঃ আবেদা সুলতানা</t>
  </si>
  <si>
    <t>মোঃ মুজাহার মন্ডল</t>
  </si>
  <si>
    <t>মোছাঃ লতিফা বেগম</t>
  </si>
  <si>
    <t>২১/০৬/১৯৭৯</t>
  </si>
  <si>
    <t>মোছাঃ ফুলছুরা খাতুন</t>
  </si>
  <si>
    <t>দাউদ নবী</t>
  </si>
  <si>
    <t>মোছাঃ মাহিরন নেছা</t>
  </si>
  <si>
    <t>১০/০৭/১৯৮৪</t>
  </si>
  <si>
    <t>মোঃ শুকুর আলী</t>
  </si>
  <si>
    <t>০৭/০৮/১৯৬৯</t>
  </si>
  <si>
    <t>মহিরুদ্দীন শেখ</t>
  </si>
  <si>
    <t>সালমা খাতুন</t>
  </si>
  <si>
    <t>১০/০৬/১৯৬৭</t>
  </si>
  <si>
    <t>মোছাঃ মমতাজ পারভীন</t>
  </si>
  <si>
    <t>মোঃ মুনছুর শেখ</t>
  </si>
  <si>
    <t>১২/০৫/১৯৭৭</t>
  </si>
  <si>
    <t>খেদের আলী</t>
  </si>
  <si>
    <t>১৪/০৫/১৯৫৭</t>
  </si>
  <si>
    <t>মোছাঃ রাশিদা খাতুন</t>
  </si>
  <si>
    <t>মোঃ কাউছার আলী</t>
  </si>
  <si>
    <t>মোছাঃ সাহেদা খাতুন</t>
  </si>
  <si>
    <t>০৫/০৭/১৯৮৩</t>
  </si>
  <si>
    <t>মোঃ আফসার আলী</t>
  </si>
  <si>
    <t>১০/০৬/১৯৮৯</t>
  </si>
  <si>
    <t>মোঃ মজির উদ্দীন</t>
  </si>
  <si>
    <t>০৯/০৭/১৯৮২</t>
  </si>
  <si>
    <t>মোঃ বিনার বকস</t>
  </si>
  <si>
    <t>১৫/০৫/১৯৭৭</t>
  </si>
  <si>
    <t>মোছাঃ সখিনা বেগম</t>
  </si>
  <si>
    <t>সৈয়দ আলী মন্ডল</t>
  </si>
  <si>
    <t>২৫/০৫/১৯৫৭</t>
  </si>
  <si>
    <t>মোছাঃ সামসুন নাহার</t>
  </si>
  <si>
    <t>মোঃ শহিদুর রহমান</t>
  </si>
  <si>
    <t>হিরা বেগম</t>
  </si>
  <si>
    <t>১৫/০৫/১৯৮৫</t>
  </si>
  <si>
    <t>মোছাঃ সাবরিন সুলতানা</t>
  </si>
  <si>
    <t>মোঃ গোলাম হোসেন</t>
  </si>
  <si>
    <t>মোছাঃ বাচেনা খাতুন</t>
  </si>
  <si>
    <t>১০/০৫/১৯৮৮</t>
  </si>
  <si>
    <t>মোবারক শেখ</t>
  </si>
  <si>
    <t>রহিজান</t>
  </si>
  <si>
    <t>১৫/০৮/১৯৪৭</t>
  </si>
  <si>
    <t>মোছাঃ জোসনা আক্তার (শিখা)</t>
  </si>
  <si>
    <t>মোঃ জহুরুল ইসলাম</t>
  </si>
  <si>
    <t>১২/০২/১৯৮৫</t>
  </si>
  <si>
    <t>রেজাউল মোল্লা</t>
  </si>
  <si>
    <t>জালেমন নেছা</t>
  </si>
  <si>
    <t>২৫/০৩/১৯৭৭</t>
  </si>
  <si>
    <t>মোছাঃ মারজিয়া খাতুন</t>
  </si>
  <si>
    <t>১০/০৫/১৯৮৯</t>
  </si>
  <si>
    <t>মোছাঃ প্রমেলা খাতুন</t>
  </si>
  <si>
    <t>মোঃ শাহাদত হোসেন</t>
  </si>
  <si>
    <t>১২/০৩/১৯৭৭</t>
  </si>
  <si>
    <t>মোছাঃ রাজেয়া সুলতানা (সুমিতা)</t>
  </si>
  <si>
    <t>মোঃ সিদ্দিকুর রহমান</t>
  </si>
  <si>
    <t>২০/১০/১৯৮৯</t>
  </si>
  <si>
    <t>মোছাঃ হাফিজা খাতুন</t>
  </si>
  <si>
    <t>মোঃ হায়াত নবী খন্দকার</t>
  </si>
  <si>
    <t>০৬/০৯/১৯৮২</t>
  </si>
  <si>
    <t>পাচু শেখ</t>
  </si>
  <si>
    <t>১৪/০৭/১৯৫৭</t>
  </si>
  <si>
    <t>মোছাঃ আয়েশা আক্তার (রেখা)</t>
  </si>
  <si>
    <t>মাহাতাব আলী</t>
  </si>
  <si>
    <t>১৩/০৪/১৯৮৬</t>
  </si>
  <si>
    <t>মোছাঃ নিলুফা ইয়াসমিন</t>
  </si>
  <si>
    <t>মোঃ বানী আমীন</t>
  </si>
  <si>
    <t>১৩/০৫/১৯৮৭</t>
  </si>
  <si>
    <t>মোছাঃ নুরুন্নাহার</t>
  </si>
  <si>
    <t>মোঃ এনায়েত আলী</t>
  </si>
  <si>
    <t>২৫/০১/১৯৮০</t>
  </si>
  <si>
    <t>মোছাঃ সন্ধা খাতুন</t>
  </si>
  <si>
    <t>সিরাজুল ইসলাম</t>
  </si>
  <si>
    <t>০৬/০৮/১৯৮৬</t>
  </si>
  <si>
    <t>মোছাঃ নছিয়া রহমান</t>
  </si>
  <si>
    <t>ইয়াদ আলী</t>
  </si>
  <si>
    <t>মোছাঃ উজিরন নেছা</t>
  </si>
  <si>
    <t>১৭/০৪/১৯৭২</t>
  </si>
  <si>
    <t>মোছাঃ সানোয়ারা খাতুন</t>
  </si>
  <si>
    <t>দায়মুদ্দি মন্ডল</t>
  </si>
  <si>
    <t>গোলেজান</t>
  </si>
  <si>
    <t>২৬/০৭/১৯৭২</t>
  </si>
  <si>
    <t>মোছাঃ কোহিনুর বেগম</t>
  </si>
  <si>
    <t>আলম বকস</t>
  </si>
  <si>
    <t>হাজেরা বিবি</t>
  </si>
  <si>
    <t>২৪/০৬/১৯৫৭</t>
  </si>
  <si>
    <t>মোঃ খোদা বক্স</t>
  </si>
  <si>
    <t>১৭/০৭/১৯৮৩</t>
  </si>
  <si>
    <t>মোছাঃ রঙিলা খাতুন</t>
  </si>
  <si>
    <t>মকছেদ আলী</t>
  </si>
  <si>
    <t>মোছাঃ কারিমন নেছা</t>
  </si>
  <si>
    <t>১১/০২/১৯৮৫</t>
  </si>
  <si>
    <t>মোঃ শাকের হোসেন</t>
  </si>
  <si>
    <t>০৮/০৫/১৯৮২</t>
  </si>
  <si>
    <t>মোছাঃ রুনু খাতুন</t>
  </si>
  <si>
    <t>মোঃ আব্দুল মতিন</t>
  </si>
  <si>
    <t>মোছাঃ জমেলা বেগম</t>
  </si>
  <si>
    <t>০৭/০৩/১৯৮৯</t>
  </si>
  <si>
    <t>ঝুমুর আলী শেখ</t>
  </si>
  <si>
    <t>মাতেজান</t>
  </si>
  <si>
    <t>১২/০৮/১৯৫৭</t>
  </si>
  <si>
    <t>মোছাঃ সরলা খাতুন</t>
  </si>
  <si>
    <t>০২/০৩/১৯৮৬</t>
  </si>
  <si>
    <t>মোছাঃ পারুলা খাতুন</t>
  </si>
  <si>
    <t>১০/০২/১৯৮১</t>
  </si>
  <si>
    <t>মোছাঃ আতাছিম আলী</t>
  </si>
  <si>
    <t>মোছাঃ কামরুন নাহার</t>
  </si>
  <si>
    <t>নুরুল হুদা শেখ</t>
  </si>
  <si>
    <t>১০/০৫/১৯৭২</t>
  </si>
  <si>
    <t>আব্দুল করিম</t>
  </si>
  <si>
    <t>মইতন নেছা</t>
  </si>
  <si>
    <t>১২/০৩/১৯৫২</t>
  </si>
  <si>
    <t>মোছাঃ আরজিয়া খাতুন</t>
  </si>
  <si>
    <t>রিয়াজ উদ্দীন শেখ</t>
  </si>
  <si>
    <t>২২/০৩/১৯৫৭</t>
  </si>
  <si>
    <t>মোঃ আব্দুল করিম</t>
  </si>
  <si>
    <t>মোছাঃ কাজল রেখা</t>
  </si>
  <si>
    <t>মোছাঃ আখি তারা</t>
  </si>
  <si>
    <t>১৫/০৩/১৯৮৩</t>
  </si>
  <si>
    <t>মোঃ দেলদার আলী</t>
  </si>
  <si>
    <t>২০/০৫/১৯৮৪</t>
  </si>
  <si>
    <t>মোছাঃ মালেকা খাতুন</t>
  </si>
  <si>
    <t>মোঃ হিদাত আলী</t>
  </si>
  <si>
    <t>মোছাঃ বেগম আরা</t>
  </si>
  <si>
    <t>২৫/০২/১৯৮৮</t>
  </si>
  <si>
    <t>মোঃ আস্তাব আলী</t>
  </si>
  <si>
    <t>১০/০৬/১৯৭৭</t>
  </si>
  <si>
    <t>মোঃ মোজাম্মেল হক</t>
  </si>
  <si>
    <t>মোছাঃ নিছারন নেছা</t>
  </si>
  <si>
    <t>২৫/১০/১৯৮৮</t>
  </si>
  <si>
    <t>আতর আলী</t>
  </si>
  <si>
    <t>নজিমন নেছা</t>
  </si>
  <si>
    <t>১৩/০৫/১৯৩২</t>
  </si>
  <si>
    <t>মোঃ আব্দুস সামাদ</t>
  </si>
  <si>
    <t>মোছাঃ ঝর্না বেগম</t>
  </si>
  <si>
    <t>২০/১০/১৯৮৮</t>
  </si>
  <si>
    <t>মোছাঃ নাছরিন সুলতানা</t>
  </si>
  <si>
    <t>মোঃ আক্কাচ আলী</t>
  </si>
  <si>
    <t>১২/০৩/১৯৮৩</t>
  </si>
  <si>
    <t>নূর মোহাম্মদ</t>
  </si>
  <si>
    <t>মোছাঃ আইমন নেছা</t>
  </si>
  <si>
    <t>২৫/০৯/১৯৭১</t>
  </si>
  <si>
    <t>মোছাঃ হোসনেয়ারা (হাসি)</t>
  </si>
  <si>
    <t>মোঃ গোলাম রসুল</t>
  </si>
  <si>
    <t>০১/০৫/১৯৮৯</t>
  </si>
  <si>
    <t>মোছাঃ বেবী ইয়াসমিন</t>
  </si>
  <si>
    <t>মোছাঃ আবছারন খাতুন</t>
  </si>
  <si>
    <t>০১/০১/১৯৭০</t>
  </si>
  <si>
    <t>মোছাঃ জহুরা বেগম</t>
  </si>
  <si>
    <t>আলি মহামদ</t>
  </si>
  <si>
    <t>২০/০১/১৯৬৩</t>
  </si>
  <si>
    <t>মোছাঃ শাহানাজ পারভীন</t>
  </si>
  <si>
    <t>মোঃ মাহবুবুর রহমান</t>
  </si>
  <si>
    <t>মোছাঃ মমতাজ বেগম</t>
  </si>
  <si>
    <t>০৮/০১/১৯৭২</t>
  </si>
  <si>
    <t>মোছাঃ মাসুদা বেগম</t>
  </si>
  <si>
    <t>মোঃ আব্দুল রফ মিয়া</t>
  </si>
  <si>
    <t>রিজিয়া বেগম</t>
  </si>
  <si>
    <t>০১/০৬/১৯৭০</t>
  </si>
  <si>
    <t>মোছাঃ আলেয়া বেগম</t>
  </si>
  <si>
    <t>মুসা মন্ডল</t>
  </si>
  <si>
    <t>০১/০৪/১৯৮২</t>
  </si>
  <si>
    <t>ইংরাজ মিয়া</t>
  </si>
  <si>
    <t>ছহিরোন নেছা</t>
  </si>
  <si>
    <t>০১/০৬/১৯৪৩</t>
  </si>
  <si>
    <t>আবুল কাসেম</t>
  </si>
  <si>
    <t>০২/০৩/১৯৬৭</t>
  </si>
  <si>
    <t>মোছাঃ সুফিয়া বেগম</t>
  </si>
  <si>
    <t>হাবিবুর রহমান</t>
  </si>
  <si>
    <t>মোছাঃ আসিয়া খাতুন</t>
  </si>
  <si>
    <t>১২/০২/১৯৬৩</t>
  </si>
  <si>
    <t>মোছাঃ ঝর্না খাতুন</t>
  </si>
  <si>
    <t>মোঃ ফজলুর রহমান</t>
  </si>
  <si>
    <t>মোছাঃ মেহেরন খাতুন</t>
  </si>
  <si>
    <t>০৫/০২/১৯৮৩</t>
  </si>
  <si>
    <t>আতাহার আলী</t>
  </si>
  <si>
    <t>০১/০১/১৯৫৩</t>
  </si>
  <si>
    <t>আজাদ মন্ডল</t>
  </si>
  <si>
    <t>মোছাঃ হাসেনা বানু</t>
  </si>
  <si>
    <t>ইয়ার আলী</t>
  </si>
  <si>
    <t>আছমা খাতুন</t>
  </si>
  <si>
    <t>১০/০৪/১৯৪৪</t>
  </si>
  <si>
    <t>মোছাঃ ছালেহা খাতুন</t>
  </si>
  <si>
    <t>মোঃ আব্দুর রশীদ</t>
  </si>
  <si>
    <t>সাহারা বানু</t>
  </si>
  <si>
    <t>০৫/০৭/১৯৬৮</t>
  </si>
  <si>
    <t>মোছাঃ মাজেরন খাতুন</t>
  </si>
  <si>
    <t>০২/০১/১৯৭৩</t>
  </si>
  <si>
    <t>মোছাঃ হিরাতন</t>
  </si>
  <si>
    <t>০১/০৩/১৯৬৮</t>
  </si>
  <si>
    <t>মোছাঃ দিলারা খাতুন</t>
  </si>
  <si>
    <t>আব্দুল হক</t>
  </si>
  <si>
    <t>০২/০৫/১৯৭২</t>
  </si>
  <si>
    <t>তাজের আলী শেখ</t>
  </si>
  <si>
    <t>মেহের নিগার</t>
  </si>
  <si>
    <t>১২/০৩/১৯৬৬</t>
  </si>
  <si>
    <t>গোলাম নবী</t>
  </si>
  <si>
    <t>০২/০৫/১৯৬৩</t>
  </si>
  <si>
    <t>মোঃ নজরুল ইসলাম</t>
  </si>
  <si>
    <t>০১/০২/১৯৬৮</t>
  </si>
  <si>
    <t>মোছাঃ ছানোয়ারা খাতুন</t>
  </si>
  <si>
    <t>আজিমুদ্দি</t>
  </si>
  <si>
    <t>মোছাঃ ফুলছিরাতন</t>
  </si>
  <si>
    <t>মোছাঃ মাহফুজা খাতুন</t>
  </si>
  <si>
    <t>মোঃ হাবিল</t>
  </si>
  <si>
    <t>১১/০৮/১৯৭৮</t>
  </si>
  <si>
    <t>১০/০১/১৯৭৬</t>
  </si>
  <si>
    <t>মোছাঃ আজমিরা খাতুন</t>
  </si>
  <si>
    <t>আব্দুল লতিফ</t>
  </si>
  <si>
    <t>০১/০৪/১৯৮০</t>
  </si>
  <si>
    <t>মোছাঃ খেদের আলী</t>
  </si>
  <si>
    <t>০৫/০১/১৯৭৩</t>
  </si>
  <si>
    <t>রহমান শেখ</t>
  </si>
  <si>
    <t>মোছাঃ পলি আরা</t>
  </si>
  <si>
    <t>মোছাঃ আঞ্জুরন</t>
  </si>
  <si>
    <t>২৮/০৬/১৯৮৮</t>
  </si>
  <si>
    <t>মোছাঃ জাহেদা খাতুন</t>
  </si>
  <si>
    <t>জাকের আলী</t>
  </si>
  <si>
    <t>০১/০১/১৯৫৮</t>
  </si>
  <si>
    <t>মোছাঃ নাসরিন খাতুন</t>
  </si>
  <si>
    <t>ভাদু খন্দকার</t>
  </si>
  <si>
    <t>০৪/০৪/১৯৮৪</t>
  </si>
  <si>
    <t>মোঃ আব্দুল লতিফ শেখ</t>
  </si>
  <si>
    <t>০১/০১/১৯৫৬</t>
  </si>
  <si>
    <t>মোঃ আব্দুল গফুর শেখ</t>
  </si>
  <si>
    <t>১০/০৬/১৯৫৯</t>
  </si>
  <si>
    <t>মোঃ মুতালেব</t>
  </si>
  <si>
    <t>১৪/০৯/১৯৭২</t>
  </si>
  <si>
    <t>ছিয়াতন</t>
  </si>
  <si>
    <t>০৫/০৯/১৯৮৩</t>
  </si>
  <si>
    <t>মোছাঃ হামিদা খাতুন</t>
  </si>
  <si>
    <t>কুরবান আলী শেখ</t>
  </si>
  <si>
    <t>রমেলা খাতুন</t>
  </si>
  <si>
    <t>০৭/০৫/১৯৫৭</t>
  </si>
  <si>
    <t>মোছাঃ বিলকিচ বানু</t>
  </si>
  <si>
    <t>মোঃ বাবুর আলী মালিথা</t>
  </si>
  <si>
    <t>১৫/০৭/১৯৭৭</t>
  </si>
  <si>
    <t>মোঃ ফিকর মহম্মাদ শেখ</t>
  </si>
  <si>
    <t>০১/০২/১৯৮৭</t>
  </si>
  <si>
    <t>মোঃ জিরাইল হোসেন</t>
  </si>
  <si>
    <t>০১/০২/১৯৮১</t>
  </si>
  <si>
    <t>মোছাঃ মেহেরুন</t>
  </si>
  <si>
    <t>মোঃ সুলতান</t>
  </si>
  <si>
    <t>মোছাঃ কুলছুম</t>
  </si>
  <si>
    <t>০৫/০১/১৯৬৭</t>
  </si>
  <si>
    <t>গাড়াডোব</t>
  </si>
  <si>
    <t>গাংনী</t>
  </si>
  <si>
    <t>মেহেরপুর</t>
  </si>
  <si>
    <t>মোছাঃ আনজু মনোয়ারা</t>
  </si>
  <si>
    <t>মোঃ জবেদ আলী</t>
  </si>
  <si>
    <t>মোছাঃ মর্জিনা</t>
  </si>
  <si>
    <t>০৭/০৭/১৯৬৯</t>
  </si>
  <si>
    <t>মোছাঃ মরিয়ম সুলতানা</t>
  </si>
  <si>
    <t>মোছাঃ ফজিলা খাতুন</t>
  </si>
  <si>
    <t>১০/১১/১৯৭৭</t>
  </si>
  <si>
    <t>মোঃ ইউনুস আলী</t>
  </si>
  <si>
    <t>মোছাঃ কাবিরন নেছা</t>
  </si>
  <si>
    <t>মোছাঃ আরিফা খাতুন</t>
  </si>
  <si>
    <t>মোঃ আকছার আলী</t>
  </si>
  <si>
    <t>০১/১১/১৯৮৮</t>
  </si>
  <si>
    <t>মোছাঃ কুরসিয়া খাতুন</t>
  </si>
  <si>
    <t>মোঃ রিফাজ আলী</t>
  </si>
  <si>
    <t>ইন্তাজ আলী</t>
  </si>
  <si>
    <t>সাদু</t>
  </si>
  <si>
    <t>০১/০১/১৯৮৫</t>
  </si>
  <si>
    <t>সামাদ</t>
  </si>
  <si>
    <t>মোছাঃ মারজিনা</t>
  </si>
  <si>
    <t>২০/০১/১৯৮৩</t>
  </si>
  <si>
    <t>মোছাঃ সামেনা খাতুন</t>
  </si>
  <si>
    <t>ছামছুদ্দিন</t>
  </si>
  <si>
    <t>ছাহেরা</t>
  </si>
  <si>
    <t>০১/১০/১৯৫৭</t>
  </si>
  <si>
    <t>খোকা</t>
  </si>
  <si>
    <t>নেতেজান</t>
  </si>
  <si>
    <t>০১/১১/১৯৫৭</t>
  </si>
  <si>
    <t>মোছাঃ মাকছুরা খাতুন</t>
  </si>
  <si>
    <t>ফরিদ শেখ</t>
  </si>
  <si>
    <t>১২/০৬/১৯৭৭</t>
  </si>
  <si>
    <t>মোঃ রাহিন আলী শাহ</t>
  </si>
  <si>
    <t>মোছাঃ আয়েশা খাতুন</t>
  </si>
  <si>
    <t>১০/১১/১৯৫২</t>
  </si>
  <si>
    <t>মোছাঃ শাহানারা খাতুন</t>
  </si>
  <si>
    <t>মোঃ ছাদের আলী খাঁ</t>
  </si>
  <si>
    <t>০১/০১/১৯৭২</t>
  </si>
  <si>
    <t>মোছাঃ সামসুন্নাহার খাতুন</t>
  </si>
  <si>
    <t>১০/১১/১৯৭৯</t>
  </si>
  <si>
    <t>আলিম</t>
  </si>
  <si>
    <t>মোছাঃ গুলনাহার</t>
  </si>
  <si>
    <t>১২/০৩/১৯৬৭</t>
  </si>
  <si>
    <t>মোঃ আনারুল ইসলাম</t>
  </si>
  <si>
    <t>১২/০১/১৯৮৫</t>
  </si>
  <si>
    <t>মহিউদ্দিন শেখ</t>
  </si>
  <si>
    <t>মোছাঃ অজিফা খাতুন</t>
  </si>
  <si>
    <t>১৭/০৫/১৯৭৫</t>
  </si>
  <si>
    <t>১২/০১/১৯৭২</t>
  </si>
  <si>
    <t>মোছাঃ কহিনুর</t>
  </si>
  <si>
    <t>২০/০১/১৯৬৭</t>
  </si>
  <si>
    <t>মোছাঃ হাসেনা বেগম</t>
  </si>
  <si>
    <t>মোঃ আব্দুল বারী শেখ</t>
  </si>
  <si>
    <t>১০/১০/১৯৬৪</t>
  </si>
  <si>
    <t>মোছাঃ জান্নাতন</t>
  </si>
  <si>
    <t>জান মহাম্মদ শেখ</t>
  </si>
  <si>
    <t>০১/১০/১৯৬২</t>
  </si>
  <si>
    <t>খন্দকার আবুল কালাম</t>
  </si>
  <si>
    <t>মোছাঃ বদিরন নেছা</t>
  </si>
  <si>
    <t>১৮/০১/১৯৬৫</t>
  </si>
  <si>
    <t>মোছাঃ বেদেনা খাতুন</t>
  </si>
  <si>
    <t>১৮/১০/১৯৬৮</t>
  </si>
  <si>
    <t>অজিত মল্লিক</t>
  </si>
  <si>
    <t>মোছাঃ অজিফা</t>
  </si>
  <si>
    <t>১৮/০৬/১৯৬৭</t>
  </si>
  <si>
    <t>মোঃ আকতার</t>
  </si>
  <si>
    <t>০১/১১/১৯৭৫</t>
  </si>
  <si>
    <t>মোছাঃ শিল্পী খাতুন</t>
  </si>
  <si>
    <t>মোঃ দেলোয়ার হোসেন</t>
  </si>
  <si>
    <t>২০/০১/১৯৮৮</t>
  </si>
  <si>
    <t>লুৎফর রহমান</t>
  </si>
  <si>
    <t>১১/০৮/১৯৬২</t>
  </si>
  <si>
    <t>মোছাঃ কুলছুম খাতুন</t>
  </si>
  <si>
    <t>মোঃ কাইয়ুম আলী</t>
  </si>
  <si>
    <t>মোছাঃ জাহানারা</t>
  </si>
  <si>
    <t>২০/০১/১৯৮৫</t>
  </si>
  <si>
    <t>মোছাঃ শুকিরন</t>
  </si>
  <si>
    <t>নুরুল হুদা</t>
  </si>
  <si>
    <t>মোছাঃ আনজেরা</t>
  </si>
  <si>
    <t>১৯/১০/১৯৭৭</t>
  </si>
  <si>
    <t>মোঃ আনছার আলী</t>
  </si>
  <si>
    <t>মোছাঃ ছায়রা খাতুন</t>
  </si>
  <si>
    <t>সৈয়দ শেখ</t>
  </si>
  <si>
    <t>রহিমা খাতুন</t>
  </si>
  <si>
    <t>০১/১২/১৯৫২</t>
  </si>
  <si>
    <t>মোছাঃ নাসরিন আক্তার</t>
  </si>
  <si>
    <t>মোঃ আব্দুস সালাম</t>
  </si>
  <si>
    <t>মাতা: সাহার বানু</t>
  </si>
  <si>
    <t>২০/১১/১৯৮৭</t>
  </si>
  <si>
    <t>মোছাঃ মাসুরা খাতুন</t>
  </si>
  <si>
    <t>মোঃ আরশেদ আলী</t>
  </si>
  <si>
    <t>মোছাঃ সামি আরা</t>
  </si>
  <si>
    <t>০৫/০৩/১৯৬০</t>
  </si>
  <si>
    <t>মোসলেম আলী</t>
  </si>
  <si>
    <t>০১/০৫/১৯৮৬</t>
  </si>
  <si>
    <t>মোঃ আবুর বককর সিদ্দিক</t>
  </si>
  <si>
    <t>মোছাঃ রোজেদা খাতুন</t>
  </si>
  <si>
    <t>১৪/০৬/১৯৮০</t>
  </si>
  <si>
    <t>মোছাঃ মাছুরা খাতুন</t>
  </si>
  <si>
    <t>মোঃ রহিম শেখ</t>
  </si>
  <si>
    <t>মাতা: রোকেয়া</t>
  </si>
  <si>
    <t>১২/০২/১৯৮৩</t>
  </si>
  <si>
    <t>খোদা বকস</t>
  </si>
  <si>
    <t>প্রেমোলা</t>
  </si>
  <si>
    <t>১২/০১/১৯৬৭</t>
  </si>
  <si>
    <t>মোছাঃ জোনাকী</t>
  </si>
  <si>
    <t>মোছাঃ শারমিন আক্তার</t>
  </si>
  <si>
    <t>১০/০১/১৯৮৪</t>
  </si>
  <si>
    <t>উসমান আলী</t>
  </si>
  <si>
    <t>আজিজা খাতুন</t>
  </si>
  <si>
    <t>১১/১০/১৯৫২</t>
  </si>
  <si>
    <t>মোছাঃ রহিলা খাতুন</t>
  </si>
  <si>
    <t>মোছাঃ দেলোয়ার খাতুন</t>
  </si>
  <si>
    <t>১৭/০৯/১৯৮০</t>
  </si>
  <si>
    <t>খন্দকার আঃ মোতিন</t>
  </si>
  <si>
    <t>মোঃ মোসলেম জর্দার</t>
  </si>
  <si>
    <t>সুফিয়া বেগম</t>
  </si>
  <si>
    <t>০৪/০৫/১৯৮১</t>
  </si>
  <si>
    <t>শেফালী দাস</t>
  </si>
  <si>
    <t>ছাইফেলী দাস</t>
  </si>
  <si>
    <t>১১/০৪/১৯৫৭</t>
  </si>
  <si>
    <t>শ্রীমতি সুষমা বালা দাসী</t>
  </si>
  <si>
    <t>মঙ্গল চন্দ্র দাস</t>
  </si>
  <si>
    <t>শ্রীমতি পূর্নিমা বালা দাসী</t>
  </si>
  <si>
    <t>০৯/১০/১৯৭৫</t>
  </si>
  <si>
    <t>শ্রীমতি বাসন্তী বালা দাসী</t>
  </si>
  <si>
    <t>বিশু দাস</t>
  </si>
  <si>
    <t>শংকরী দাস</t>
  </si>
  <si>
    <t>১১/০২/১৯৮৭</t>
  </si>
  <si>
    <t>শ্রীমতি ওশিলা বালা দাসী</t>
  </si>
  <si>
    <t>শ্রী বীর ভদ্র দাস</t>
  </si>
  <si>
    <t>শ্রীমতি অঞ্জলী বালা দাসী</t>
  </si>
  <si>
    <t>১৮/০৮/১৯৮২</t>
  </si>
  <si>
    <t>শ্রীমতি সুন্দরী বালা দাসী</t>
  </si>
  <si>
    <t>শ্রী শ্রীদাম চন্দ্র দাস</t>
  </si>
  <si>
    <t>শ্রীমতী পুণ্ডবালা দাসী</t>
  </si>
  <si>
    <t>১৩/০৩/১৯৮২</t>
  </si>
  <si>
    <t>শ্রী দেবী</t>
  </si>
  <si>
    <t>শ্রী খিতিশ</t>
  </si>
  <si>
    <t>শ্রীমতী খুদি</t>
  </si>
  <si>
    <t>১১/০৫/১৯৭৫</t>
  </si>
  <si>
    <t>শ্রী মতী রেখা বালা দাসী</t>
  </si>
  <si>
    <t>হরিপদ</t>
  </si>
  <si>
    <t>শ্রী বেলী ফুল</t>
  </si>
  <si>
    <t>১১/০৫/১৯৮২</t>
  </si>
  <si>
    <t>শ্রীমতি কল্যানী বালা দাসী</t>
  </si>
  <si>
    <t>মহানন্দ দাস</t>
  </si>
  <si>
    <t>শ্রীমতি ভাদী বালা দাসী</t>
  </si>
  <si>
    <t>১১/০৫/১৯৬৯</t>
  </si>
  <si>
    <t>শ্রীমতি কাঞ্চন বালা দাসী</t>
  </si>
  <si>
    <t>পুষ্প বালা দাসী</t>
  </si>
  <si>
    <t>১৫/০৪/১৯৮২</t>
  </si>
  <si>
    <t>শ্রীমতি পুণ্ড বালা দাসী</t>
  </si>
  <si>
    <t>ঋশিপদ</t>
  </si>
  <si>
    <t>চরন</t>
  </si>
  <si>
    <t>০৫/০৫/১৯৫৭</t>
  </si>
  <si>
    <t>পদা দাস</t>
  </si>
  <si>
    <t>নির্মাল</t>
  </si>
  <si>
    <t>১১/০৩/১৯৫৭</t>
  </si>
  <si>
    <t>শ্রীমতি ছবি বালা দাসী</t>
  </si>
  <si>
    <t>শ্রী সাধন দাস</t>
  </si>
  <si>
    <t>শ্রীমতি কিরন বালা দাসী</t>
  </si>
  <si>
    <t>১৬/০৫/১৯৭৯</t>
  </si>
  <si>
    <t>শ্রীমতি পারুলী চন্দ্র দাসী</t>
  </si>
  <si>
    <t>মৃত সুবল চন্দ্র দাস</t>
  </si>
  <si>
    <t>শ্রীমতি বাসন্ত বালা দাসী</t>
  </si>
  <si>
    <t>১৬/০৫/১৯৮৭</t>
  </si>
  <si>
    <t>কাসেম</t>
  </si>
  <si>
    <t>মোছাঃ মাজেদা</t>
  </si>
  <si>
    <t>১২/০৪/১৯৮২</t>
  </si>
  <si>
    <t>খন্দকার আবু তালেব</t>
  </si>
  <si>
    <t>গোলনাহার</t>
  </si>
  <si>
    <t>১২/০৪/১৯৫৭</t>
  </si>
  <si>
    <t>মোছাঃ মামুলী খাতুন</t>
  </si>
  <si>
    <t>মোঃ আঃ রহমান</t>
  </si>
  <si>
    <t>মোছাঃ তফুরা খাতুন</t>
  </si>
  <si>
    <t>১৫/০৬/১৯৮২</t>
  </si>
  <si>
    <t>মোছাঃ লাইলী খাতুন</t>
  </si>
  <si>
    <t>মুরাদ আলী</t>
  </si>
  <si>
    <t>মোছাঃ শহিদা খাতুন</t>
  </si>
  <si>
    <t>১৩/০২/১৯৭২</t>
  </si>
  <si>
    <t>মোছাঃ ফাহমিদা খাতুন</t>
  </si>
  <si>
    <t>মোছাঃ বিলকিছ বেগম</t>
  </si>
  <si>
    <t>২০/০৯/১৯৮৯</t>
  </si>
  <si>
    <t>মোছাঃ আফরোজা খাতুন</t>
  </si>
  <si>
    <t>১৫/০৫/১৯৭৮</t>
  </si>
  <si>
    <t>আঃ গাফফার</t>
  </si>
  <si>
    <t>১২/০৫/১৯৫৭</t>
  </si>
  <si>
    <t>মোঃ ফজলুল করিম</t>
  </si>
  <si>
    <t>মোছাঃ রিজিয়া বেগম</t>
  </si>
  <si>
    <t>০৫/১০/১৯৮৭</t>
  </si>
  <si>
    <t>শাহাদত</t>
  </si>
  <si>
    <t>ফুলজান</t>
  </si>
  <si>
    <t>মোছাঃ আসিলারা</t>
  </si>
  <si>
    <t>১১/০৪/১৯৮৭</t>
  </si>
  <si>
    <t>মোছাঃ সালমা সুলতানা</t>
  </si>
  <si>
    <t>গোলাম হোসেন</t>
  </si>
  <si>
    <t>মোছাঃ লিলু</t>
  </si>
  <si>
    <t>১১/০২/১৯৭১</t>
  </si>
  <si>
    <t>মোছাঃ ফারজানা খাতুন</t>
  </si>
  <si>
    <t>মোছাঃ ফাইমা</t>
  </si>
  <si>
    <t>০২/১১/১৯৮৭</t>
  </si>
  <si>
    <t>মান্নান শেখ</t>
  </si>
  <si>
    <t>মোছাঃ হায়াতন</t>
  </si>
  <si>
    <t>০২/০৫/১৯৫৫</t>
  </si>
  <si>
    <t>মোছাঃ রিনিকা</t>
  </si>
  <si>
    <t>১০/০৪/১৯৮২</t>
  </si>
  <si>
    <t>মোছাঃ জেসমিন সুলতানা</t>
  </si>
  <si>
    <t>১১/১০/১৯৮৭</t>
  </si>
  <si>
    <t>মোঃ আঃ মালেক</t>
  </si>
  <si>
    <t>০৬/০৫/১৯৮০</t>
  </si>
  <si>
    <t>১১/০২/১৯৮০</t>
  </si>
  <si>
    <t>মোছাঃ রুপালী খাতুন</t>
  </si>
  <si>
    <t>মোঃ আব্দুস সাত্তার</t>
  </si>
  <si>
    <t>মোছাঃ হেনা খাতুন</t>
  </si>
  <si>
    <t>১৭/০৫/১৯৭২</t>
  </si>
  <si>
    <t>তৈয়ব খাঁ</t>
  </si>
  <si>
    <t>০২/০৫/১৯৭০</t>
  </si>
  <si>
    <t>মোছাঃ তহদা খাতুন</t>
  </si>
  <si>
    <t>১৪/০৪/১৯৭০</t>
  </si>
  <si>
    <t>মোঃ বদর উদ্দিন</t>
  </si>
  <si>
    <t>১৫/০৪/১৯৭২</t>
  </si>
  <si>
    <t>মোছাঃ ফাইমা খাতুন</t>
  </si>
  <si>
    <t>মোঃ ফজলু</t>
  </si>
  <si>
    <t>১৬/০৫/১৯৭২</t>
  </si>
  <si>
    <t>দিন মহাম্মদ</t>
  </si>
  <si>
    <t>মোছাঃ আনজেরা খাতুন</t>
  </si>
  <si>
    <t>২৫/০৫/১৯৮৩</t>
  </si>
  <si>
    <t>মোঃ সাদোমান</t>
  </si>
  <si>
    <t>মোছাঃ ছাহেরা</t>
  </si>
  <si>
    <t>মোঃ ফজলুল হক</t>
  </si>
  <si>
    <t>মোছাঃ জালেমন নেছা</t>
  </si>
  <si>
    <t>১৫/১০/১৯৮৭</t>
  </si>
  <si>
    <t>শুকত আলী</t>
  </si>
  <si>
    <t>মোছাঃ জাহিদা খাতুন</t>
  </si>
  <si>
    <t>০৫/০৫/১৯৬৫</t>
  </si>
  <si>
    <t>মোছাঃ ফেন্সি</t>
  </si>
  <si>
    <t>মোঃ নাসির উদ্দিন</t>
  </si>
  <si>
    <t>মোছাঃ ফুরুজান</t>
  </si>
  <si>
    <t>১৪/০৪/১৯৮৭</t>
  </si>
  <si>
    <t>মোছাঃ সামছুন্নাহার</t>
  </si>
  <si>
    <t>পাঞ্জাব বিশ্বাস</t>
  </si>
  <si>
    <t>১৫/০৪/১৯৫৭</t>
  </si>
  <si>
    <t>০৭/০৫/১৯৭০</t>
  </si>
  <si>
    <t>মোছাঃ কারিমা খাতুন</t>
  </si>
  <si>
    <t>আঃ লতিফ</t>
  </si>
  <si>
    <t>মোছাঃ আমিরন</t>
  </si>
  <si>
    <t>০৭/০৫/১৯৬৯</t>
  </si>
  <si>
    <t>জলীল শেখ</t>
  </si>
  <si>
    <t>সখিনা খাতুন</t>
  </si>
  <si>
    <t>১৫/০৫/১৯৬২</t>
  </si>
  <si>
    <t>মিসনারা</t>
  </si>
  <si>
    <t>মোঃ মিন্টু</t>
  </si>
  <si>
    <t>মোছাঃ হামিদা</t>
  </si>
  <si>
    <t>১৭/০৫/১৯৬৭</t>
  </si>
  <si>
    <t>মোছাঃ আংগুরা খাতুন</t>
  </si>
  <si>
    <t>মোঃ মাহাতাব</t>
  </si>
  <si>
    <t>১৫/০৫/১৯৭০</t>
  </si>
  <si>
    <t>মোছাঃ রিনা আক্তার</t>
  </si>
  <si>
    <t>মোঃ আজিজুল ইসলাম</t>
  </si>
  <si>
    <t>মোছাঃ খাদিজা</t>
  </si>
  <si>
    <t>১৯/১০/১৯৮৬</t>
  </si>
  <si>
    <t>মোছাঃ শ্যামলী খাতুন</t>
  </si>
  <si>
    <t>মোঃ চায়েন</t>
  </si>
  <si>
    <t>মোছাঃ মনোয়ারা</t>
  </si>
  <si>
    <t>১১/০৫/১৯৮৫</t>
  </si>
  <si>
    <t>মোছাঃ আনারকলী</t>
  </si>
  <si>
    <t>দুধু শেখ</t>
  </si>
  <si>
    <t>১০/০৫/১৯৮২</t>
  </si>
  <si>
    <t>ইয়াদ আলী শেখ</t>
  </si>
  <si>
    <t>মোছাঃ উজীরন</t>
  </si>
  <si>
    <t>১১/০২/১৯৫৭</t>
  </si>
  <si>
    <t>মোছাঃ রহিতন</t>
  </si>
  <si>
    <t>আঃ করিম শেখ</t>
  </si>
  <si>
    <t>নুরজাহান</t>
  </si>
  <si>
    <t>১৮/০৪/১৯৬৭</t>
  </si>
  <si>
    <t>মোঃ ইয়াদ আলী</t>
  </si>
  <si>
    <t>মোছাঃ কলিমন</t>
  </si>
  <si>
    <t>১১/০৫/১৯৮৩</t>
  </si>
  <si>
    <t>মোছাঃ কলিমন নেছা</t>
  </si>
  <si>
    <t>০৫/১০/১৯৬৫</t>
  </si>
  <si>
    <t>০৪/০৪/১৯৮৮</t>
  </si>
  <si>
    <t>মোছাঃ উম্মে ছালমা মিনা</t>
  </si>
  <si>
    <t>মোঃ খোদা বকস সরকার</t>
  </si>
  <si>
    <t>মোছাঃ রাজিয়া সুলতানা</t>
  </si>
  <si>
    <t>০৫/০৪/১৯৮৪</t>
  </si>
  <si>
    <t>মোছাঃ কনক চাঁপা মুক্তা</t>
  </si>
  <si>
    <t>মোঃ আবুল কাসেম</t>
  </si>
  <si>
    <t>মোঃ সিরাজুল ইসলাম</t>
  </si>
  <si>
    <t>১৫/০৮/১৯৮৩</t>
  </si>
  <si>
    <t>মোঃ আব্দুল সাত্তার</t>
  </si>
  <si>
    <t>মোছাঃ নেকজান খাতুন</t>
  </si>
  <si>
    <t>১২/০৬/১৯৭৮</t>
  </si>
  <si>
    <t>মোছাঃ শুকজান</t>
  </si>
  <si>
    <t>সামছুদ্দিন শেখ</t>
  </si>
  <si>
    <t>০৮/০৭/১৯৫৯</t>
  </si>
  <si>
    <t>হোসেন শেখ</t>
  </si>
  <si>
    <t>পরিমন নেছা</t>
  </si>
  <si>
    <t>মোছাঃ নাসিমা জামান</t>
  </si>
  <si>
    <t>মোঃ নাসির উদ্দিন শেখ</t>
  </si>
  <si>
    <t>মোছাঃ কাইমুন নেছা</t>
  </si>
  <si>
    <t>২০/০৮/১৯৭০</t>
  </si>
  <si>
    <t>মোঃ হাফিজুল</t>
  </si>
  <si>
    <t>মোছাঃ রুমিয়া</t>
  </si>
  <si>
    <t>০১/০৬/১৯৮২</t>
  </si>
  <si>
    <t>মোস্তফা কামাল</t>
  </si>
  <si>
    <t>১২/০২/১৯৭৭</t>
  </si>
  <si>
    <t>মোছাঃ সাহারবানু খাতুন</t>
  </si>
  <si>
    <t>মোঃ ইয়ার আলী</t>
  </si>
  <si>
    <t>১২/১০/১৯৭৫</t>
  </si>
  <si>
    <t>মোছাঃ জুলিয়া খাতুন</t>
  </si>
  <si>
    <t>মোঃ আঃ গনি</t>
  </si>
  <si>
    <t>মোছাঃ কারিমা</t>
  </si>
  <si>
    <t>০১/০১/১৯৮৯</t>
  </si>
  <si>
    <t>মোছাঃ রুমানা শবনম (রুমা)</t>
  </si>
  <si>
    <t>মোঃ আঃ মাজেদ</t>
  </si>
  <si>
    <t>২০/০৩/১৯৮৯</t>
  </si>
  <si>
    <t>মোছাঃ শিরিনা বেগম</t>
  </si>
  <si>
    <t>মোঃ রবকুল মন্ডল</t>
  </si>
  <si>
    <t>মোছাঃ মজেরা খাতুন</t>
  </si>
  <si>
    <t>১২/১০/১৯৭১</t>
  </si>
  <si>
    <t>মোছাঃ আছলীমা খাতুন</t>
  </si>
  <si>
    <t>মোঃ জহীর উদ্দিন শেখ</t>
  </si>
  <si>
    <t>মোছাঃ নুরজাহান</t>
  </si>
  <si>
    <t>১২/০৮/১৯৭৩</t>
  </si>
  <si>
    <t>মোছাঃ হিরা খাতুন</t>
  </si>
  <si>
    <t>আমিন উদ্দিন</t>
  </si>
  <si>
    <t>মোছাঃ কুরসিয়া</t>
  </si>
  <si>
    <t>১৫/১০/১৯৭৬</t>
  </si>
  <si>
    <t>মোছাঃ ছালমা খাতুন</t>
  </si>
  <si>
    <t>খেদের</t>
  </si>
  <si>
    <t>মোছাঃ রোকেয়া</t>
  </si>
  <si>
    <t>১১/০৯/১৯৭২</t>
  </si>
  <si>
    <t>নুর জাহান</t>
  </si>
  <si>
    <t>১০/০৭/১৯৫৭</t>
  </si>
  <si>
    <t>মোছাঃ বেনুয়ারা খাতুন</t>
  </si>
  <si>
    <t>হারেছ উদ্দিন</t>
  </si>
  <si>
    <t>০৮/১১/১৯৭৭</t>
  </si>
  <si>
    <t>খোরশেদ</t>
  </si>
  <si>
    <t>রাহিমা</t>
  </si>
  <si>
    <t>১৯/১১/১৯৫৭</t>
  </si>
  <si>
    <t>মোছাঃ হাসেনা খাতুন</t>
  </si>
  <si>
    <t>কলিম উদ্দিন</t>
  </si>
  <si>
    <t>মেমজান</t>
  </si>
  <si>
    <t>১১/০৯/১৯৭৬</t>
  </si>
  <si>
    <t>মোছাঃ ইলাফন</t>
  </si>
  <si>
    <t>ইয়াকুব শেখ</t>
  </si>
  <si>
    <t>০৮/১১/১৯৪৭</t>
  </si>
  <si>
    <t>মোছাঃ কাইমন</t>
  </si>
  <si>
    <t>১৯/০৮/১৯৭৪</t>
  </si>
  <si>
    <t>মোঃ ইব্রাহিম</t>
  </si>
  <si>
    <t>মোছাঃ ছালেহার</t>
  </si>
  <si>
    <t>২০/১১/১৯৮০</t>
  </si>
  <si>
    <t>আপ্তাব উদ্দিন</t>
  </si>
  <si>
    <t>মোছাঃ মরিয়ম</t>
  </si>
  <si>
    <t>মমিন মন্ডল</t>
  </si>
  <si>
    <t>দেলজান বেগম</t>
  </si>
  <si>
    <t>১২/০৮/১৯৫৯</t>
  </si>
  <si>
    <t>মোছাঃ আছমা খাতুন</t>
  </si>
  <si>
    <t>মোছাঃ নাছেরা খাতুন</t>
  </si>
  <si>
    <t>১১/০৪/১৯৮৩</t>
  </si>
  <si>
    <t>মোছাঃ শাহনারা বেগম</t>
  </si>
  <si>
    <t>মোঃ দাউদ হোসেন</t>
  </si>
  <si>
    <t>২৫/০৭/১৯৭৭</t>
  </si>
  <si>
    <t>মোছাঃ আয়শা খাতুন</t>
  </si>
  <si>
    <t>মোঃ অকেল হাজী</t>
  </si>
  <si>
    <t>মোছাঃ আয়েষা খাতুন</t>
  </si>
  <si>
    <t>০৭/১০/১৯৫৯</t>
  </si>
  <si>
    <t>মোঃ আব্দুল গনি</t>
  </si>
  <si>
    <t>মোছাঃ আদরী খাতুন</t>
  </si>
  <si>
    <t>০১/০৩/১৯৮৮</t>
  </si>
  <si>
    <t>জানবক্স আলী</t>
  </si>
  <si>
    <t>মোছাঃ নুরজাহান বেগম</t>
  </si>
  <si>
    <t>২২/০৯/১৯৬৭</t>
  </si>
  <si>
    <t>মোঃ হযরত আলী</t>
  </si>
  <si>
    <t>মোছাঃ ছানুয়ারা খাতুন</t>
  </si>
  <si>
    <t>১১/০৭/১৯৮৪</t>
  </si>
  <si>
    <t>মোঃ রাহেন আলী</t>
  </si>
  <si>
    <t>১০/০৫/১৯৭৪</t>
  </si>
  <si>
    <t>মিজান বিশ্বাস</t>
  </si>
  <si>
    <t>মোছাঃ ছুরাতন নেছা</t>
  </si>
  <si>
    <t>০৩/০৮/১৯৬৭</t>
  </si>
  <si>
    <t>মোঃ দৌলত হোসেন</t>
  </si>
  <si>
    <t>মোছাঃ রংমালা খাতুন</t>
  </si>
  <si>
    <t>১২/০৫/১৯৬৭</t>
  </si>
  <si>
    <t>মোঃ আবু বক্কর</t>
  </si>
  <si>
    <t>মোছাঃ আউলিয়া খাতুন</t>
  </si>
  <si>
    <t>২২/১০/১৯৮৭</t>
  </si>
  <si>
    <t>আব্দুল করিম বিশ্বাস</t>
  </si>
  <si>
    <t>কমেলা বেগম</t>
  </si>
  <si>
    <t>০২/০৭/১৯৬৪</t>
  </si>
  <si>
    <t>ইদু সেখ</t>
  </si>
  <si>
    <t>মোছাঃ রাথি খাতুন</t>
  </si>
  <si>
    <t>২২/০৪/১৯৮৩</t>
  </si>
  <si>
    <t>বজলুর রহমান</t>
  </si>
  <si>
    <t>১৭/০৩/১৯৬৯</t>
  </si>
  <si>
    <t>মোছাঃ মানিয়ারা খাতুন</t>
  </si>
  <si>
    <t>মোঃ আবুল কাশেম সেখ</t>
  </si>
  <si>
    <t>মোছাঃ নজিমন খাতুন</t>
  </si>
  <si>
    <t>১০/০৩/১৯৭৫</t>
  </si>
  <si>
    <t>মোঃ মোবারেক মন্ডল</t>
  </si>
  <si>
    <t>মোছাঃ ছকিরন নেছা</t>
  </si>
  <si>
    <t>১১/০৩/১৯৬৭</t>
  </si>
  <si>
    <t>০১/০২/১৯৮৮</t>
  </si>
  <si>
    <t>মোছাঃ পিয়ারা বেগম</t>
  </si>
  <si>
    <t>ফজলু করিম মাষ্টার</t>
  </si>
  <si>
    <t>আম্বিয়া বেগম</t>
  </si>
  <si>
    <t>২০/১০/১৯৫১</t>
  </si>
  <si>
    <t>মোছাঃ ফিরোজা বানু</t>
  </si>
  <si>
    <t>মোঃ ছাদেক আলী</t>
  </si>
  <si>
    <t>মোছাঃ শহরা বানু</t>
  </si>
  <si>
    <t>০৯/০৭/১৯৭২</t>
  </si>
  <si>
    <t>মোছাঃ ছাদিকন নেছা</t>
  </si>
  <si>
    <t>মোঃ আব্দুল ছাত্তার</t>
  </si>
  <si>
    <t>ছালেমন নেছা</t>
  </si>
  <si>
    <t>২৪/০৫/১৯৭১</t>
  </si>
  <si>
    <t>আব্দুল গফুর</t>
  </si>
  <si>
    <t>মোছাঃ নুরজাহান খাতুন</t>
  </si>
  <si>
    <t>০১/০৬/১৯৭৭</t>
  </si>
  <si>
    <t>মোছাঃ হাবিবা খাতুন</t>
  </si>
  <si>
    <t>০৭/০৭/১৯৭৮</t>
  </si>
  <si>
    <t>বুদু মিয়া</t>
  </si>
  <si>
    <t>মৃত রমজা খাতুন</t>
  </si>
  <si>
    <t>২১/০৯/১৯৬৫</t>
  </si>
  <si>
    <t>মোছাঃ রেকসনা খাতুন</t>
  </si>
  <si>
    <t>মোঃ আব্দুর রহিম</t>
  </si>
  <si>
    <t>মোছাঃ সায়িদুন্নাহার</t>
  </si>
  <si>
    <t>২৬/১০/১৯৮৫</t>
  </si>
  <si>
    <t>মোঃ আবুল সেখ</t>
  </si>
  <si>
    <t>১১/০২/১৯৮৬</t>
  </si>
  <si>
    <t>মোছাঃ হুসনিয়ারা খাতুন</t>
  </si>
  <si>
    <t>নজরুল ইসলাম</t>
  </si>
  <si>
    <t>মোছাঃ খাদেজা বেগম</t>
  </si>
  <si>
    <t>০৮/০৪/১৯৭৯</t>
  </si>
  <si>
    <t>মোছাঃ সকিনা খাতুন</t>
  </si>
  <si>
    <t>মোঃ নজির মন্ডল</t>
  </si>
  <si>
    <t>মোছাঃ জাদু খাতুন</t>
  </si>
  <si>
    <t>১২/১০/১৯৭২</t>
  </si>
  <si>
    <t>মোছাঃ শাহিনা আক্তার</t>
  </si>
  <si>
    <t>মোঃ আব্দুস ছালাম</t>
  </si>
  <si>
    <t>মোছাঃ ছকিনা খাতুন</t>
  </si>
  <si>
    <t>২১/০৭/১৯৮৭</t>
  </si>
  <si>
    <t>মোঃ মোনাজাত সেখ</t>
  </si>
  <si>
    <t>নুরছিয়া বেগম</t>
  </si>
  <si>
    <t>মোছাঃ রিজিয়া পারভীন</t>
  </si>
  <si>
    <t>মোঃ আজগর আলী</t>
  </si>
  <si>
    <t>রাহাতন নেছা</t>
  </si>
  <si>
    <t>২২/০৫/১৯৮২</t>
  </si>
  <si>
    <t>আব্দুল মজিদ মপ্সী</t>
  </si>
  <si>
    <t>আম্মেয়া খাতুন</t>
  </si>
  <si>
    <t>১৩/০৩/১৯৫৭</t>
  </si>
  <si>
    <t>মোঃ রবিউল হক</t>
  </si>
  <si>
    <t>হানিফা খাতুন</t>
  </si>
  <si>
    <t>২৩/০৫/১৯৮৬</t>
  </si>
  <si>
    <t>০৯/০৭/১৯৮৫</t>
  </si>
  <si>
    <t>মোছাঃ মুরশিদা খাতুন</t>
  </si>
  <si>
    <t>মকবুল খাঁ</t>
  </si>
  <si>
    <t>০৯/০৮/১৯৭৪</t>
  </si>
  <si>
    <t>জারমান সেখ</t>
  </si>
  <si>
    <t>মোছাঃ ছুরাতন বেগম</t>
  </si>
  <si>
    <t>২৮/০৩/১৯৭৭</t>
  </si>
  <si>
    <t>মোঃ ছামছুল ইসলাম</t>
  </si>
  <si>
    <t>মোছাঃ জামিরুল ইসলাম</t>
  </si>
  <si>
    <t>০৩/০৭/১৯৮৫</t>
  </si>
  <si>
    <t>মোঃ রমজান আলী</t>
  </si>
  <si>
    <t>মোছাঃ দুখিজান</t>
  </si>
  <si>
    <t>০৫/০৭/১৯৭৭</t>
  </si>
  <si>
    <t>মোছাঃ আনেছা খাতুন</t>
  </si>
  <si>
    <t>মোঃ অমরাজ মন্ডল</t>
  </si>
  <si>
    <t>মোছাঃ রবেজান বিবি</t>
  </si>
  <si>
    <t>০৩/০৫/১৯৭২</t>
  </si>
  <si>
    <t>খেলাফত সেখ</t>
  </si>
  <si>
    <t>মোছাঃ হাদ এছা খাতুন</t>
  </si>
  <si>
    <t>০৫/০৯/১৯৬৯</t>
  </si>
  <si>
    <t>মোঃ সেকেন্দার আলী</t>
  </si>
  <si>
    <t>পাঁচু মিস্ত্রী</t>
  </si>
  <si>
    <t>গোলেজান বিবি</t>
  </si>
  <si>
    <t>১৪/১০/১৯৫৫</t>
  </si>
  <si>
    <t>০৩/০৯/১৯৫৫</t>
  </si>
  <si>
    <t>০১/০৩/১৯৭১</t>
  </si>
  <si>
    <t>মনছুর আলী</t>
  </si>
  <si>
    <t>মোছাঃ শুখজান</t>
  </si>
  <si>
    <t>০৫/০৩/১৯৭১</t>
  </si>
  <si>
    <t>হাবিবর রহমান</t>
  </si>
  <si>
    <t>বারেকজান</t>
  </si>
  <si>
    <t>১৫/০৯/১৯৫৭</t>
  </si>
  <si>
    <t>মোছাঃ জান্নাতন নেছা</t>
  </si>
  <si>
    <t>মোঃ জাবের শেখ</t>
  </si>
  <si>
    <t>মোছাঃ তোতা খাতুন</t>
  </si>
  <si>
    <t>২২/০৮/১৯৬৭</t>
  </si>
  <si>
    <t>মোছাঃ মাচকুরা খাতুন</t>
  </si>
  <si>
    <t>মোঃ ফজলুর রহমান বিশ্বাস</t>
  </si>
  <si>
    <t>মোছাঃ আলিমা খাতুন</t>
  </si>
  <si>
    <t>২২/০৮/১৯৮৩</t>
  </si>
  <si>
    <t>ছামছুদ্দিন সেখ</t>
  </si>
  <si>
    <t>মোছাঃ নজিরন নেছা</t>
  </si>
  <si>
    <t>২৫/০৫/১৯৭০</t>
  </si>
  <si>
    <t>মোছাঃ নাছরিন খাতুন</t>
  </si>
  <si>
    <t>মোঃ রুস্তম আলী</t>
  </si>
  <si>
    <t>১০/০৬/১৯৮৮</t>
  </si>
  <si>
    <t>কুদরত মিস্ত্রী</t>
  </si>
  <si>
    <t>খদেজা বিবি</t>
  </si>
  <si>
    <t>০৮/০১/১৯৫২</t>
  </si>
  <si>
    <t>খোকন মন্ডল</t>
  </si>
  <si>
    <t>আছিরন নেছা</t>
  </si>
  <si>
    <t>মোঃ মজিবর রহমান</t>
  </si>
  <si>
    <t>২২/০৩/১৯৭৭</t>
  </si>
  <si>
    <t>মোছাঃ তরিকা খাতুন</t>
  </si>
  <si>
    <t>মোঃ মহিম সেখ</t>
  </si>
  <si>
    <t>মোছাঃ আয়মন খাতুন</t>
  </si>
  <si>
    <t>১৭/০৭/১৯৭৯</t>
  </si>
  <si>
    <t>মোছাঃ রহিদা খাতুন</t>
  </si>
  <si>
    <t>নিজামদ্দিন</t>
  </si>
  <si>
    <t>মোছাঃ ভানুজান</t>
  </si>
  <si>
    <t>১০/০১/১৯৬৭</t>
  </si>
  <si>
    <t>হযরত সেখ</t>
  </si>
  <si>
    <t>মোছাঃ রহমহল নেছা</t>
  </si>
  <si>
    <t>১৮/০৮/১৯৮৮</t>
  </si>
  <si>
    <t>মোছাঃ ছাহেরা খাতুন</t>
  </si>
  <si>
    <t>২২/০১/১৯৬৭</t>
  </si>
  <si>
    <t>মোঃ লোকমান মন্ডল</t>
  </si>
  <si>
    <t>মোছাঃ জহেরুন নেছা</t>
  </si>
  <si>
    <t>১০/০৩/১৯৬৭</t>
  </si>
  <si>
    <t>মোঃ আব্দুল হোসেন</t>
  </si>
  <si>
    <t>০৮/০১/১৯৭৭</t>
  </si>
  <si>
    <t>আহাসান আলী</t>
  </si>
  <si>
    <t>মোছাঃ ফুলজান বিবি</t>
  </si>
  <si>
    <t>১২/০৪/১৯৫২</t>
  </si>
  <si>
    <t>মোঃ হারুন রশিদ</t>
  </si>
  <si>
    <t>মোছাঃ আলতাফন</t>
  </si>
  <si>
    <t>০৮/০৩/১৯৭৭</t>
  </si>
  <si>
    <t>মোঃ নবীছদ্দীন</t>
  </si>
  <si>
    <t>মোছাঃ আশরাফন খাতুন</t>
  </si>
  <si>
    <t>০৩/০১/১৯৭২</t>
  </si>
  <si>
    <t>মোছাঃ ইমামন নেছা</t>
  </si>
  <si>
    <t>নিয়মত আলী</t>
  </si>
  <si>
    <t>খুদজান নেছা</t>
  </si>
  <si>
    <t>মোঃ মনছুর আলী</t>
  </si>
  <si>
    <t>২০/০৭/১৯৬৭</t>
  </si>
  <si>
    <t>মোছাঃ নিহারন খাতুন</t>
  </si>
  <si>
    <t>আলম সেখ</t>
  </si>
  <si>
    <t>ছালেহার</t>
  </si>
  <si>
    <t>০৭/০৩/১৯৫৭</t>
  </si>
  <si>
    <t>মোছাঃ আশেয়ারা খাতুন</t>
  </si>
  <si>
    <t>হেকমত আলী</t>
  </si>
  <si>
    <t>আতেজান</t>
  </si>
  <si>
    <t>১০/০৭/১৯৫২</t>
  </si>
  <si>
    <t>মোঃ ইসমাইল হোসেন</t>
  </si>
  <si>
    <t>২০/০২/১৯৮৩</t>
  </si>
  <si>
    <t>ছমির মন্ডল</t>
  </si>
  <si>
    <t>কুলছুম</t>
  </si>
  <si>
    <t>১২/০৯/১৯৬৭</t>
  </si>
  <si>
    <t>মোছাঃ ফলেজান</t>
  </si>
  <si>
    <t>১৯/০৯/১৯৮২</t>
  </si>
  <si>
    <t>মোছাঃ জমিনা খাতুন</t>
  </si>
  <si>
    <t>আয়জান নেছা</t>
  </si>
  <si>
    <t>০২/০৭/১৯৩৫</t>
  </si>
  <si>
    <t>মোঃ সুফিয়া খাতুন</t>
  </si>
  <si>
    <t>নুরুল ইসলাম</t>
  </si>
  <si>
    <t>মোছাঃ ফুলছুরাতন</t>
  </si>
  <si>
    <t>০৩/০৭/১৯৭২</t>
  </si>
  <si>
    <t>আজের আলী</t>
  </si>
  <si>
    <t>২২/০৫/১৯৬৭</t>
  </si>
  <si>
    <t>১১/০২/১৯৭২</t>
  </si>
  <si>
    <t>মোঃ ইব্রাহিম সেখ</t>
  </si>
  <si>
    <t>মোছাঃ রাহাতন খাতুন</t>
  </si>
  <si>
    <t>মোছাঃ মরজিনা খাতুন</t>
  </si>
  <si>
    <t>১৯/০৩/১৯৬৭</t>
  </si>
  <si>
    <t>মোঃ শাহতাব আলী</t>
  </si>
  <si>
    <t>০৯/০২/১৯৮৬</t>
  </si>
  <si>
    <t>১৯/০৩/১৯৮৮</t>
  </si>
  <si>
    <t>মোছাঃ নবিরন নেছা</t>
  </si>
  <si>
    <t>মোঃ নাসির উদ্দীন</t>
  </si>
  <si>
    <t>০৯/০২/১৯৬৭</t>
  </si>
  <si>
    <t>রবজেল সেখ</t>
  </si>
  <si>
    <t>০১/০৯/১৯৬৯</t>
  </si>
  <si>
    <t>মোছাঃ ফুলজান</t>
  </si>
  <si>
    <t>মোঃ জানু সেখ</t>
  </si>
  <si>
    <t>০৭/০৫/১৯৮২</t>
  </si>
  <si>
    <t>মোঃ আবু কালাম</t>
  </si>
  <si>
    <t>১০/০৭/১৯৭২</t>
  </si>
  <si>
    <t>আফজেল খাঁ</t>
  </si>
  <si>
    <t>বহেরন খাতুন</t>
  </si>
  <si>
    <t>০৭/০১/১৯৬২</t>
  </si>
  <si>
    <t>মোছাঃ বিউটি</t>
  </si>
  <si>
    <t>মোঃ বিসারত হোসেন</t>
  </si>
  <si>
    <t>মোছাঃ বাঁচেনা খাতুন</t>
  </si>
  <si>
    <t>মোছাঃ লাভলী খাতুন</t>
  </si>
  <si>
    <t>মোঃ লালচাদ সেখ</t>
  </si>
  <si>
    <t>০১/০৩/১৯৮২</t>
  </si>
  <si>
    <t>মোছাঃ নাছিমা খাতুন</t>
  </si>
  <si>
    <t>মোঃ নাজিমদ্দিন</t>
  </si>
  <si>
    <t>শাফিয়া খাতুন</t>
  </si>
  <si>
    <t>০৭/০৩/১৯৭৯</t>
  </si>
  <si>
    <t>মোঃ জানের আলী</t>
  </si>
  <si>
    <t>২০/০৯/১৯৮৭</t>
  </si>
  <si>
    <t>মোছাঃ সবেদা খাতুন</t>
  </si>
  <si>
    <t>মোঃ ফজের আলী</t>
  </si>
  <si>
    <t>০১/০১/১৯৮৬</t>
  </si>
  <si>
    <t>মোছাঃ বালাজান খাতুন</t>
  </si>
  <si>
    <t>জসিম বিশ্বাস</t>
  </si>
  <si>
    <t>০২/০১/১৯৬২</t>
  </si>
  <si>
    <t>মোছাঃ খোরশেদা আক্তার পলি</t>
  </si>
  <si>
    <t>বাহাদুর শেখ</t>
  </si>
  <si>
    <t>০১/০২/১৯৭৭</t>
  </si>
  <si>
    <t>মোছাঃ ফিনকি আরা খাতুন</t>
  </si>
  <si>
    <t>১২/০২/১৯৮৮</t>
  </si>
  <si>
    <t>মোছাঃ কুরছিয়া খাতুন</t>
  </si>
  <si>
    <t>মোঃ আব্দুল কুদ্দুছ</t>
  </si>
  <si>
    <t>মোছাঃ মোমেনা খাতুন</t>
  </si>
  <si>
    <t>মোঃ ছামাদুল ইসলাম</t>
  </si>
  <si>
    <t>২২/০১/১৯৮৮</t>
  </si>
  <si>
    <t>আরজ উল্লাহ সেখ</t>
  </si>
  <si>
    <t>শুখজান বিবি</t>
  </si>
  <si>
    <t>১৭/০৭/১৯৫৭</t>
  </si>
  <si>
    <t>মোছাঃ হাচিনা খাতুন</t>
  </si>
  <si>
    <t>আক্কাচ আলী</t>
  </si>
  <si>
    <t>মোছাঃ হাদিকা খাতুন</t>
  </si>
  <si>
    <t>০৭/০২/১৯৮৪</t>
  </si>
  <si>
    <t>মোছাঃ নাজমা আক্তার</t>
  </si>
  <si>
    <t>মোঃ ছরোয়ার হোসেন</t>
  </si>
  <si>
    <t>মোছাঃ আক্তারী বেগম</t>
  </si>
  <si>
    <t>২৪/১১/১৯৭৪</t>
  </si>
  <si>
    <t>মোছাঃ সুকিলা খাতুন</t>
  </si>
  <si>
    <t>মোঃ সাহেব আলী</t>
  </si>
  <si>
    <t>২২/০২/১৯৮৭</t>
  </si>
  <si>
    <t>জামাত আলী</t>
  </si>
  <si>
    <t>নেবরা খাতুন</t>
  </si>
  <si>
    <t>০৫/০৩/১৯৬৭</t>
  </si>
  <si>
    <t>মোঃ জিব্রাইল হোসেন</t>
  </si>
  <si>
    <t>১৫/০৫/১৯৮৮</t>
  </si>
  <si>
    <t>মোছাঃ আহরন নেছা</t>
  </si>
  <si>
    <t>পাঁচু আলী</t>
  </si>
  <si>
    <t>মোছাঃ লালু বিবি খাতুন</t>
  </si>
  <si>
    <t>১০/০২/১৯৫২</t>
  </si>
  <si>
    <t>মোছাঃ শাকিলা খাতুন</t>
  </si>
  <si>
    <t>মোঃ আতিয়ার রহমান</t>
  </si>
  <si>
    <t>২১/০৫/১৯৮৮</t>
  </si>
  <si>
    <t>মোছাঃ জোসনা খাতুন</t>
  </si>
  <si>
    <t>০৭/০১/১৯৮৮</t>
  </si>
  <si>
    <t>শ্রী কৌশল্যাহ চন্দ্র দাসী</t>
  </si>
  <si>
    <t>শ্রী ভাদু কুমার দাস</t>
  </si>
  <si>
    <t>শ্রীমতি সর্ববালা দাসী</t>
  </si>
  <si>
    <t>০৪/০৫/১৯৮৭</t>
  </si>
  <si>
    <t>মোঃ আক্কবার শেখ</t>
  </si>
  <si>
    <t>০২/০১/১৯৮০</t>
  </si>
  <si>
    <t>মোছাঃ মেরিনা জেসমিন মিনা</t>
  </si>
  <si>
    <t>মোছাঃ মর্জিনা বেগম</t>
  </si>
  <si>
    <t>২৬/১২/১৯৮৯</t>
  </si>
  <si>
    <t>২০/০১/১৯৭৭</t>
  </si>
  <si>
    <t>মোঃ রহমত আলী</t>
  </si>
  <si>
    <t>সাহার বানু</t>
  </si>
  <si>
    <t>২০/০২/১৯৮২</t>
  </si>
  <si>
    <t>মোছাঃ কল্পনা খাতুন</t>
  </si>
  <si>
    <t>মোঃ খবির উদ্দীন</t>
  </si>
  <si>
    <t>মোছাঃ মানুয়ারা খাতুন</t>
  </si>
  <si>
    <t>০২/০৫/১৯৭৫</t>
  </si>
  <si>
    <t>মোছাঃ খালেদা আক্তার</t>
  </si>
  <si>
    <t>মোছাঃ খাতন নেছা</t>
  </si>
  <si>
    <t>২০/০৩/১৯৮০</t>
  </si>
  <si>
    <t>রায়হান শেখ</t>
  </si>
  <si>
    <t>মোছাঃ ছেমন নেছা</t>
  </si>
  <si>
    <t>১৫/১০/১৯৪২</t>
  </si>
  <si>
    <t>মোছাঃ ছাবিকুন্নাহার (সনি)</t>
  </si>
  <si>
    <t>মোঃ কিয়ামুদ্দীন</t>
  </si>
  <si>
    <t>মোছাঃ আলফাতন নেছা</t>
  </si>
  <si>
    <t>১২/১০/১৯৮৯</t>
  </si>
  <si>
    <t>মহির উদ্দীন</t>
  </si>
  <si>
    <t>ছালেহা খাতুন</t>
  </si>
  <si>
    <t>১৫/০৫/১৯৭২</t>
  </si>
  <si>
    <t>রহমতুল্লাহ</t>
  </si>
  <si>
    <t>মোছাঃ পাকী জান</t>
  </si>
  <si>
    <t>১৫/১২/১৯৮২</t>
  </si>
  <si>
    <t>আব্দুল শেখ</t>
  </si>
  <si>
    <t>বিবিজান</t>
  </si>
  <si>
    <t>১০/১০/১৯৩৭</t>
  </si>
  <si>
    <t>মোছাঃ বিলকিস বানু</t>
  </si>
  <si>
    <t>মোঃ আঃ মতিন</t>
  </si>
  <si>
    <t>মোছাঃ দুলি খাতুন</t>
  </si>
  <si>
    <t>১০/১০/১৯৮৪</t>
  </si>
  <si>
    <t>মোছাঃ আম্বিয়া খাতুন</t>
  </si>
  <si>
    <t>২০/১০/১৯৮২</t>
  </si>
  <si>
    <t>উম্মত আলি</t>
  </si>
  <si>
    <t>১২/০২/১৯৮২</t>
  </si>
  <si>
    <t>মোছাঃ ছফেলা খাতুন</t>
  </si>
  <si>
    <t>২০/১০/১৯৪৭</t>
  </si>
  <si>
    <t>মোছাঃ সুরাইয়া আক্তার</t>
  </si>
  <si>
    <t>শের মোহাম্মদ</t>
  </si>
  <si>
    <t>১৫/০৩/১৯৮৬</t>
  </si>
  <si>
    <t>মোছাঃ রাহেলা খাতুন</t>
  </si>
  <si>
    <t>মোছাঃ মজিবর</t>
  </si>
  <si>
    <t>মোছাঃ সফেলা খাতুন</t>
  </si>
  <si>
    <t>০১/০৯/১৯৭৭</t>
  </si>
  <si>
    <t>মোছাঃ শাহেদা খাতুন</t>
  </si>
  <si>
    <t>মজিবর</t>
  </si>
  <si>
    <t>১০/১০/১৯৭৫</t>
  </si>
  <si>
    <t>মোঃ ইসমাইল</t>
  </si>
  <si>
    <t>মোছাঃ বেবী খাতুন</t>
  </si>
  <si>
    <t>মোঃ নিহাজদ্দীন শেখ</t>
  </si>
  <si>
    <t>১৫/০৪/১৯৬৭</t>
  </si>
  <si>
    <t>মোঃ আব্দুল জব্বার</t>
  </si>
  <si>
    <t>১৫/০৬/১৯৮৮</t>
  </si>
  <si>
    <t>মোঃ আবুল হোসেন</t>
  </si>
  <si>
    <t>১৭/১২/১৯৮৪</t>
  </si>
  <si>
    <t>মোঃ আতাহার আলী</t>
  </si>
  <si>
    <t>মোছাঃ মিলুজান</t>
  </si>
  <si>
    <t>১০/০৯/১৯৮২</t>
  </si>
  <si>
    <t>মোঃ আঃ খালেক</t>
  </si>
  <si>
    <t>২০/১১/১৯৮৮</t>
  </si>
  <si>
    <t>মোছাঃ শাবানা খাতুন</t>
  </si>
  <si>
    <t>মোঃ আবুল হাশেম</t>
  </si>
  <si>
    <t>২২/১১/১৯৮৮</t>
  </si>
  <si>
    <t>মোছাঃ জালেমা খাতুন</t>
  </si>
  <si>
    <t>মোছাঃ রোজিনা খাতুন</t>
  </si>
  <si>
    <t>মোঃ রইচ আলী</t>
  </si>
  <si>
    <t>১০/১২/১৯৮০</t>
  </si>
  <si>
    <t>মোছাঃ এরিনা খাতুন</t>
  </si>
  <si>
    <t>মৃত ওমর আলী</t>
  </si>
  <si>
    <t>১০/১০/১৯৭৭</t>
  </si>
  <si>
    <t>সৈয়দ আলী</t>
  </si>
  <si>
    <t>২০/০১/১৯৪৭</t>
  </si>
  <si>
    <t>মোছাঃ নেকজান নেছা</t>
  </si>
  <si>
    <t>০১/১২/১৯৮৫</t>
  </si>
  <si>
    <t>ওমর আলী</t>
  </si>
  <si>
    <t>২০/০১/১৯৭০</t>
  </si>
  <si>
    <t>মোঃ চাঁদ শেখ</t>
  </si>
  <si>
    <t>মোছাঃ তাইজান</t>
  </si>
  <si>
    <t>১৫/০৫/১৯৫৭</t>
  </si>
  <si>
    <t>গফুর শেখ</t>
  </si>
  <si>
    <t>সামেনা খাতুন</t>
  </si>
  <si>
    <t>১০/০৫/১৯৬৭</t>
  </si>
  <si>
    <t>মোছাঃ ছাবিনা খাতুন</t>
  </si>
  <si>
    <t>মোঃ ছোটু খাঁ</t>
  </si>
  <si>
    <t>মোছাঃ সিরাতন নেছা</t>
  </si>
  <si>
    <t>২০/১০/১৯৮৭</t>
  </si>
  <si>
    <t>মোছাঃ মোহনা খাতুন</t>
  </si>
  <si>
    <t>নবীছন নেছা</t>
  </si>
  <si>
    <t>১৬/০১/১৯৭২</t>
  </si>
  <si>
    <t>১০/১০/১৯৮২</t>
  </si>
  <si>
    <t>খ. আ. হিসাব</t>
  </si>
  <si>
    <t>১৫/০৫/১৯৬৭</t>
  </si>
  <si>
    <t>মোছাঃ সাথী খাতুন</t>
  </si>
  <si>
    <t>মোঃ শাহ আলম</t>
  </si>
  <si>
    <t>মোছাঃ শাহানারা বেগম</t>
  </si>
  <si>
    <t>২০/০২/১৯৮৮</t>
  </si>
  <si>
    <t>মোঃ হাফিজুর রহমান</t>
  </si>
  <si>
    <t>মোছাঃ আছিয়া খাতুন</t>
  </si>
  <si>
    <t>০২/১০/১৯৮৯</t>
  </si>
  <si>
    <t>মোছাঃ সকেজান</t>
  </si>
  <si>
    <t>ছিয়ামুদ্দীন</t>
  </si>
  <si>
    <t>মোছাঃ লাল বুড়ি</t>
  </si>
  <si>
    <t>মোছাঃ গহরজান</t>
  </si>
  <si>
    <t>মোছাঃ সুরাতন</t>
  </si>
  <si>
    <t>১০/১২/১৯৭৫</t>
  </si>
  <si>
    <t>লাল মহামুদ</t>
  </si>
  <si>
    <t>০৯/০১/১৯৮৪</t>
  </si>
  <si>
    <t>ফয়জ উদ্দিন</t>
  </si>
  <si>
    <t>মোছাঃ চানা খাতুন</t>
  </si>
  <si>
    <t>মোঃ জহর আলী</t>
  </si>
  <si>
    <t>মোছাঃ রেজিনা খাতুন</t>
  </si>
  <si>
    <t>হায়ারুদ্দিন</t>
  </si>
  <si>
    <t>চাঁদনী খাতুন</t>
  </si>
  <si>
    <t>১৯/১০/১৯৪৭</t>
  </si>
  <si>
    <t>গাড়াবোব, গাংনী, মেহেরপুর</t>
  </si>
  <si>
    <t>মোছাঃ করিমন নেছা</t>
  </si>
  <si>
    <t>মো: কিনার বকস</t>
  </si>
  <si>
    <t>০২/০১/১৯৭৭</t>
  </si>
  <si>
    <t>ফজিলা খাতুন</t>
  </si>
  <si>
    <t>মোছাঃ কাফেলা খাতুন</t>
  </si>
  <si>
    <t>কাদের</t>
  </si>
  <si>
    <t>মোছাঃ ফুল বিবি</t>
  </si>
  <si>
    <t>১৫/১০/১৯৬৭</t>
  </si>
  <si>
    <t>বশির উদ্দিন</t>
  </si>
  <si>
    <t>মোছাঃ বানেছা খাতুন</t>
  </si>
  <si>
    <t>১০/১২/১৯৮৭</t>
  </si>
  <si>
    <t>ভাদু খাঁ</t>
  </si>
  <si>
    <t>মোছাঃ উলফাতন</t>
  </si>
  <si>
    <t>মোছাঃ ইসরাফন</t>
  </si>
  <si>
    <t>মো: ইসা</t>
  </si>
  <si>
    <t>মোছাঃ জাহেরা</t>
  </si>
  <si>
    <t>গাড়াবোব, ধানখোলা, গাংনী, মেহেরপুর</t>
  </si>
  <si>
    <t>মোছাঃ মুসলিমা খাতুন</t>
  </si>
  <si>
    <t>মো: হাশেম খাঁ</t>
  </si>
  <si>
    <t>হাদেছা খাতুন</t>
  </si>
  <si>
    <t>মোছাঃ জাহেরা খাতুন</t>
  </si>
  <si>
    <t>উসমান</t>
  </si>
  <si>
    <t>সহিজান</t>
  </si>
  <si>
    <t>১০/১২/১৯৪৭</t>
  </si>
  <si>
    <t>মো: গোলাম রসুল</t>
  </si>
  <si>
    <t>১০/০৭/১৯৮২</t>
  </si>
  <si>
    <t>আজিজ</t>
  </si>
  <si>
    <t>মোছাঃ বিউটি খাতুন</t>
  </si>
  <si>
    <t>মো: রহেদ আলী</t>
  </si>
  <si>
    <t>মো: খেজমত মন্ডল</t>
  </si>
  <si>
    <t>১৯/০৯/১৯৮৭</t>
  </si>
  <si>
    <t>মো: আকমেল</t>
  </si>
  <si>
    <t>মোছাঃ ছামেনা</t>
  </si>
  <si>
    <t>১০/০১/১৯৮৭</t>
  </si>
  <si>
    <t>আ: জলিল</t>
  </si>
  <si>
    <t>১০/০২/১৯৬৭</t>
  </si>
  <si>
    <t>মো: নুর হক</t>
  </si>
  <si>
    <t>১৪/০৯/১৯৮৫</t>
  </si>
  <si>
    <t>মো: রহিম বকস</t>
  </si>
  <si>
    <t>১২/০১/১৯৬২</t>
  </si>
  <si>
    <t>মীর আব্দুর রউফ</t>
  </si>
  <si>
    <t>১৩/০১/১৯৭৩</t>
  </si>
  <si>
    <t>মোছাঃ সুমিতা খাতুন</t>
  </si>
  <si>
    <t>মো: কুতুব উদ্দীন</t>
  </si>
  <si>
    <t>২০/০৫/১৯৮৮</t>
  </si>
  <si>
    <t>মোছাঃ রোকসানা পারভীন</t>
  </si>
  <si>
    <t>আইয়ুব হোসেন মন্ডল</t>
  </si>
  <si>
    <t>১০/০২/১৯৮০</t>
  </si>
  <si>
    <t>ফজল শেখ</t>
  </si>
  <si>
    <t>মোছাঃ আশেদা খাতুন</t>
  </si>
  <si>
    <t>মোছাঃ নার্গিস</t>
  </si>
  <si>
    <t>মো: আতিক কাজী</t>
  </si>
  <si>
    <t>১৫/১০/১৯৮২</t>
  </si>
  <si>
    <t>মোছাঃ আহাতন নেছা</t>
  </si>
  <si>
    <t>আমোদ</t>
  </si>
  <si>
    <t>আসছা</t>
  </si>
  <si>
    <t>১০/০২/১৯৫৭</t>
  </si>
  <si>
    <t>মো: ওয়াজেল হক</t>
  </si>
  <si>
    <t>নছিরন</t>
  </si>
  <si>
    <t>০১/১২/১৯৬২</t>
  </si>
  <si>
    <t>খোদা বক্স</t>
  </si>
  <si>
    <t>২০/১০/১৯৬৭</t>
  </si>
  <si>
    <t>মোছাঃ ছায়েরা খাতুন</t>
  </si>
  <si>
    <t>কিনু শেখ</t>
  </si>
  <si>
    <t>জিয়ারন</t>
  </si>
  <si>
    <t>২০/১০/১৯৩৭</t>
  </si>
  <si>
    <t>মো: আতাহার আলী</t>
  </si>
  <si>
    <t>১৫/০৬/১৯৭২</t>
  </si>
  <si>
    <t>মোছাঃ শাহানা খাতুন</t>
  </si>
  <si>
    <t>রেজাউল হক</t>
  </si>
  <si>
    <t>সাইমা খাতুন</t>
  </si>
  <si>
    <t>১৫/১০/১৯৮১</t>
  </si>
  <si>
    <t>মোছাঃ রাফিয়া খাতুন</t>
  </si>
  <si>
    <t>মোঃ আফাজুদ্দীন</t>
  </si>
  <si>
    <t>ফুল বিবি</t>
  </si>
  <si>
    <t>১০/১১/১৯৮২</t>
  </si>
  <si>
    <t>মোছাঃ মুর্শিদা খাতুন</t>
  </si>
  <si>
    <t>মো: লোকমান হোসেন</t>
  </si>
  <si>
    <t>১০/১২/১৯৮২</t>
  </si>
  <si>
    <t>আরজ শেখ</t>
  </si>
  <si>
    <t>হামিদা খাতুন</t>
  </si>
  <si>
    <t>১০/০৬/১৯৫৭</t>
  </si>
  <si>
    <t>শুকুর আলী</t>
  </si>
  <si>
    <t>ওফাত আলী</t>
  </si>
  <si>
    <t>মোছাঃ সবুরজান খাতুন</t>
  </si>
  <si>
    <t>১৫/১০/১৯৭৭</t>
  </si>
  <si>
    <t>মো: রসুল</t>
  </si>
  <si>
    <t>১০/১১/১৯৭৫</t>
  </si>
  <si>
    <t>মোছাঃ বুলু নেছা</t>
  </si>
  <si>
    <t>বিল্লাল</t>
  </si>
  <si>
    <t>মনোয়ারা</t>
  </si>
  <si>
    <t>মোছাঃ সইদা খাতুন</t>
  </si>
  <si>
    <t>আলতাফন</t>
  </si>
  <si>
    <t>১০/১২/১৯৭২</t>
  </si>
  <si>
    <t>মোছাঃ তফছিয়া খাতুন</t>
  </si>
  <si>
    <t>সামজাদ আলী</t>
  </si>
  <si>
    <t>১০/০৬/১৯৭৮</t>
  </si>
  <si>
    <t>০৫/০৬/১৯৬২</t>
  </si>
  <si>
    <t>আনছারুল হক</t>
  </si>
  <si>
    <t>১০/১২/১৯৭৭</t>
  </si>
  <si>
    <t>মোছাঃ সেলিনা আক্তার বানু</t>
  </si>
  <si>
    <t>মো: নুর বকস</t>
  </si>
  <si>
    <t>মোছাঃ ফাহিমা খাতুন</t>
  </si>
  <si>
    <t>আবুল কাশেম</t>
  </si>
  <si>
    <t>আমন উদ্দিন শেখ</t>
  </si>
  <si>
    <t>০১/১০/১৯৬৭</t>
  </si>
  <si>
    <t>কলিম উদ্দিম</t>
  </si>
  <si>
    <t>মোছাঃ লামিয়া খাতুন</t>
  </si>
  <si>
    <t>মো: আমিরুল ইসলাম</t>
  </si>
  <si>
    <t>১০/১১/১৯৬৭</t>
  </si>
  <si>
    <t>মোছাঃ রুলিয়া খাতুন</t>
  </si>
  <si>
    <t>মো: আজগার আলী</t>
  </si>
  <si>
    <t>মোছাঃ জোসনা বানু</t>
  </si>
  <si>
    <t>১০/০১/১৯৮৮</t>
  </si>
  <si>
    <t>মোছাঃ পানুয়ারা বেগম</t>
  </si>
  <si>
    <t>মওলাবকস</t>
  </si>
  <si>
    <t>টগরজান</t>
  </si>
  <si>
    <t>০১/১০/১৯৭০</t>
  </si>
  <si>
    <t>মো: আবু বক্কর</t>
  </si>
  <si>
    <t>০৩/১১/১৯৭৩</t>
  </si>
  <si>
    <t>মোছাঃ কবিতা খাতুন</t>
  </si>
  <si>
    <t>মো: আব্দুল মালেক</t>
  </si>
  <si>
    <t>মোছাঃ সোনাভানু</t>
  </si>
  <si>
    <t>নামাজি মন্ডল</t>
  </si>
  <si>
    <t>রেজিয়া খাতুন</t>
  </si>
  <si>
    <t>১৫/০৫/১৯৪৭</t>
  </si>
  <si>
    <t>ফকির মহম্মদ</t>
  </si>
  <si>
    <t>মোছাঃ নবীছন নেছা</t>
  </si>
  <si>
    <t>০৪/০২/১৯৬৪</t>
  </si>
  <si>
    <t>মোছাঃ উনজিলা খাতুন</t>
  </si>
  <si>
    <t>ইদ্রীস আলী</t>
  </si>
  <si>
    <t>রসুলা খাতুন</t>
  </si>
  <si>
    <t>১০/০১/১৯৭৭</t>
  </si>
  <si>
    <t>মোছাঃ রাশেদা খাতুন</t>
  </si>
  <si>
    <t>মো: হাবুল শেখ</t>
  </si>
  <si>
    <t>মোছাঃ আলতাফোন নেছা</t>
  </si>
  <si>
    <t>হিরু শেখ</t>
  </si>
  <si>
    <t>১০/১০/১৯৫৭</t>
  </si>
  <si>
    <t>আহসান আলী মীর</t>
  </si>
  <si>
    <t>মোছাঃ রিকাতন নেছা</t>
  </si>
  <si>
    <t>১০/১০/১৯৬২</t>
  </si>
  <si>
    <t>মো: শাহাদত আলী</t>
  </si>
  <si>
    <t>মোছাঃ মরিয়ম নেছা</t>
  </si>
  <si>
    <t>খেদু মীর</t>
  </si>
  <si>
    <t>মুজাহার মন্ডল</t>
  </si>
  <si>
    <t>মোছাঃ ছফুরা খাতুন</t>
  </si>
  <si>
    <t>১০/০১/১৯৫২</t>
  </si>
  <si>
    <t>মো: মকবুল হোসেন</t>
  </si>
  <si>
    <t>১১/০৫/১৯৭২</t>
  </si>
  <si>
    <t>মোছাঃ গুলসেতারা</t>
  </si>
  <si>
    <t>মো: রমজান আলী</t>
  </si>
  <si>
    <t>আব্দুল আজিজ</t>
  </si>
  <si>
    <t>মোছাঃ জাহেরা বেগম</t>
  </si>
  <si>
    <t>১০/১০/১৯৮৭</t>
  </si>
  <si>
    <t>মোছাঃ রেকসোনা খাতুন</t>
  </si>
  <si>
    <t>মো: রফিকুল ইসলাম</t>
  </si>
  <si>
    <t>মোছাঃ ফুলু খাতুন</t>
  </si>
  <si>
    <t>১২/০৩/১৯৮৯</t>
  </si>
  <si>
    <t>মোছাঃ সাবানা খাতুন</t>
  </si>
  <si>
    <t>মো: মোজাম্মেল হক</t>
  </si>
  <si>
    <t>মোছাঃ উলফাতন নেছা</t>
  </si>
  <si>
    <t>১২/০৩/১৯৮৮</t>
  </si>
  <si>
    <t>মো: হামান আলী</t>
  </si>
  <si>
    <t>০৬০ ১</t>
  </si>
  <si>
    <t>মোছাঃ কুসুম</t>
  </si>
  <si>
    <t>মো: কোরবান আলী</t>
  </si>
  <si>
    <t>মমেজান খাতুন</t>
  </si>
  <si>
    <t>১০/১০/১৯৭৯</t>
  </si>
  <si>
    <t>দোলত হোসেন</t>
  </si>
  <si>
    <t>মোছাঃ মুকরিমা খাতুন</t>
  </si>
  <si>
    <t>০১/১০/১৯৭২</t>
  </si>
  <si>
    <t>ইসমাঈল শেখ</t>
  </si>
  <si>
    <t>দেলজান</t>
  </si>
  <si>
    <t>০৫/০১/১৯৩২</t>
  </si>
  <si>
    <t>এছের মন্ডল</t>
  </si>
  <si>
    <t>মোছাঃ ছামেদা খাতুন</t>
  </si>
  <si>
    <t>২৫/০৮/১৯৬৭</t>
  </si>
  <si>
    <t>লিফাজ মন্ডল</t>
  </si>
  <si>
    <t>জাহানারা</t>
  </si>
  <si>
    <t>১৫/০৭/১৯৬২</t>
  </si>
  <si>
    <t>মোছাঃ নাছরিন আক্তার</t>
  </si>
  <si>
    <t>মো: আ: খালেক</t>
  </si>
  <si>
    <t>২৫/১০/১৯৮০</t>
  </si>
  <si>
    <t>মোছাঃ ইসমতারা খাতুন</t>
  </si>
  <si>
    <t>মো: ইয়াছিন আলী</t>
  </si>
  <si>
    <t>মোছাঃ শোহেরা খাতুন</t>
  </si>
  <si>
    <t>আরমান শেখ</t>
  </si>
  <si>
    <t>রমেশা খাতুন</t>
  </si>
  <si>
    <t>২০/১১/১৯৪২</t>
  </si>
  <si>
    <t>মো: কাবেল ইসলাম</t>
  </si>
  <si>
    <t>মোছাঃ তৌহিদা খাতুন</t>
  </si>
  <si>
    <t>১৮/০৫/১৯৮৯</t>
  </si>
  <si>
    <t>মোছাঃ সোনিয়া খাতুন</t>
  </si>
  <si>
    <t>মো: আরশাদ আলী</t>
  </si>
  <si>
    <t>মোছাঃ নারগিস খাতুন</t>
  </si>
  <si>
    <t>২০/০১/১৯৮৯</t>
  </si>
  <si>
    <t>জসিমদ্দিন</t>
  </si>
  <si>
    <t>মোছাঃ সারভানু</t>
  </si>
  <si>
    <t>১৬/০৭/১৯৮৭</t>
  </si>
  <si>
    <t>মোছাঃ তহমিনা</t>
  </si>
  <si>
    <t>জামাত আলী মন্ডল</t>
  </si>
  <si>
    <t>মোছাঃ গোলাপ জান</t>
  </si>
  <si>
    <t>১৯/০৯/১৯৬২</t>
  </si>
  <si>
    <t>ফরিদ কারিকর</t>
  </si>
  <si>
    <t>১০/০৯/১৯৮৫</t>
  </si>
  <si>
    <t>মো: আতার আলী মোল্লা</t>
  </si>
  <si>
    <t>মোছাঃ তহমিনা বেগম</t>
  </si>
  <si>
    <t>১৬/০৮/১৯৭৫</t>
  </si>
  <si>
    <t>মোছাঃ রোখুলা বেগম</t>
  </si>
  <si>
    <t>আয়ুব আলী</t>
  </si>
  <si>
    <t>রোজিনা</t>
  </si>
  <si>
    <t>২০/০৭/১৯৬৩</t>
  </si>
  <si>
    <t>মোছাঃ টগর বেগম</t>
  </si>
  <si>
    <t>মো: হারান মন্ডল</t>
  </si>
  <si>
    <t>মোছাঃ আছুরা বেগম</t>
  </si>
  <si>
    <t>২৫/০৯/১৯৮৩</t>
  </si>
  <si>
    <t>মোছাঃ সেলিনা বেগম</t>
  </si>
  <si>
    <t>মো: নিয়াজ উদ্দিন</t>
  </si>
  <si>
    <t>মোছাঃ রাশিদা বেগম</t>
  </si>
  <si>
    <t>১৬/১০/১৯৭৩</t>
  </si>
  <si>
    <t>মোছাঃ বেলিয়ারা বেগম</t>
  </si>
  <si>
    <t>মো: জহুর আলী</t>
  </si>
  <si>
    <t>২১/০৩/১৯৭৮</t>
  </si>
  <si>
    <t>মোছাঃ জমেলা</t>
  </si>
  <si>
    <t>১০/১১/১৯৮৫</t>
  </si>
  <si>
    <t>মোছাঃ রাহেলা বেগম</t>
  </si>
  <si>
    <t>জয়নদ্দি</t>
  </si>
  <si>
    <t>মোছাঃ আয়েশা বেগম</t>
  </si>
  <si>
    <t>মোছাঃ আলেয়া</t>
  </si>
  <si>
    <t>২৯/০১/১৯৭৭</t>
  </si>
  <si>
    <t>মোছাঃ লিপিযারা বেগম</t>
  </si>
  <si>
    <t>মো: আবের আলী</t>
  </si>
  <si>
    <t>মোছাঃ নিহারুন নেছা</t>
  </si>
  <si>
    <t>২০/০৮/১৯৮৯</t>
  </si>
  <si>
    <t>মোছাঃ মিলি বেগম</t>
  </si>
  <si>
    <t>মো: আঃ মজিদ শেখ</t>
  </si>
  <si>
    <t>২৫/০৯/১৯৭২</t>
  </si>
  <si>
    <t>মোছাঃ জাকিয়া সুলতানা</t>
  </si>
  <si>
    <t>মো: শহিদুল ইসলাম</t>
  </si>
  <si>
    <t>মোছাঃ আকলিমা</t>
  </si>
  <si>
    <t>১৬/০৮/১৯৮৫</t>
  </si>
  <si>
    <t>মো: ইউনুচ আলী</t>
  </si>
  <si>
    <t>মোছাঃ আরশাফন</t>
  </si>
  <si>
    <t>২৮/০৩/১৯৮৭</t>
  </si>
  <si>
    <t>ছপেত মন্ডল</t>
  </si>
  <si>
    <t>আলিমন্ নেছা</t>
  </si>
  <si>
    <t>১৫/০৬/১৯৬২</t>
  </si>
  <si>
    <t>মোছাঃ ছায়েরা বেগম</t>
  </si>
  <si>
    <t>নুর বকস</t>
  </si>
  <si>
    <t>রবিরন নেছা</t>
  </si>
  <si>
    <t>১২/০৫/১৯৫৯</t>
  </si>
  <si>
    <t>মো: তাহেরুদ্দিন</t>
  </si>
  <si>
    <t>১৯/০৭/১৯৭১</t>
  </si>
  <si>
    <t>আলী হোসেন</t>
  </si>
  <si>
    <t>১৭/০৮/১৯৮৫</t>
  </si>
  <si>
    <t>ভাদু শেখ</t>
  </si>
  <si>
    <t>মোছাঃ আনজিরা বেগম</t>
  </si>
  <si>
    <t>১৪/০৬/১৯৮৭</t>
  </si>
  <si>
    <t>তুষ্টু মালিথা</t>
  </si>
  <si>
    <t>জমেলা খাতুন</t>
  </si>
  <si>
    <t>১৩/০৮/১৯৫৭</t>
  </si>
  <si>
    <t>মোছাঃ ফুলনারা খাতুন</t>
  </si>
  <si>
    <t>মো: হক্ছেদ আলী</t>
  </si>
  <si>
    <t>মোছাঃ হাফিজা বেগম</t>
  </si>
  <si>
    <t>মোছাঃ নকিজান</t>
  </si>
  <si>
    <t>মো: নজু বিশ্বাস</t>
  </si>
  <si>
    <t>মোছাঃ কমলা বেগম</t>
  </si>
  <si>
    <t>মোছাঃ রমছন নেছা</t>
  </si>
  <si>
    <t>৫৭০0৩৮৩৫৪৫৪ ১</t>
  </si>
  <si>
    <t>১৩/০৭/১৯৫২</t>
  </si>
  <si>
    <t>ইসলাম</t>
  </si>
  <si>
    <t>১৩/০৬/১৯৮৭</t>
  </si>
  <si>
    <t>মোছাঃ জেসমিন খাতুন</t>
  </si>
  <si>
    <t>মো: আব্দুর রহমান</t>
  </si>
  <si>
    <t>মোছাঃ মনজিরা খাতুন</t>
  </si>
  <si>
    <t>মোছাঃ লালবানু</t>
  </si>
  <si>
    <t>আব্দুল জব্বার</t>
  </si>
  <si>
    <t>মোছাঃ খদেজা</t>
  </si>
  <si>
    <t>১০/০৮/১৯৮২</t>
  </si>
  <si>
    <t>মোছাঃ পারভিনা খাতুন</t>
  </si>
  <si>
    <t>মো: ছাদের আলী</t>
  </si>
  <si>
    <t>মোছাঃ সাদোনা খাতুন</t>
  </si>
  <si>
    <t>মো: নজরুল ইসলাম</t>
  </si>
  <si>
    <t>ছানোয়ারা খাতুন</t>
  </si>
  <si>
    <t>১৪/০৪/১৯৮৫</t>
  </si>
  <si>
    <t>মো: নবিছদ্দিন শেখ</t>
  </si>
  <si>
    <t>আজিরন নেছা</t>
  </si>
  <si>
    <t>১৮/০৭/১৯৭২</t>
  </si>
  <si>
    <t>মোছাঃ খদেজান</t>
  </si>
  <si>
    <t>জটি মন্ডল</t>
  </si>
  <si>
    <t>অশো বেগম</t>
  </si>
  <si>
    <t>১৯/০৮/১৯৩৭</t>
  </si>
  <si>
    <t>মেছাঃ হামিদা খাতুন</t>
  </si>
  <si>
    <t>১৩/০৪/১৯৭৫</t>
  </si>
  <si>
    <t>আজাহার আলী</t>
  </si>
  <si>
    <t>ফতেজান</t>
  </si>
  <si>
    <t>১১/১০/১৯৫৭</t>
  </si>
  <si>
    <t>মুল্লুক শেখ</t>
  </si>
  <si>
    <t>১৭/০৮/১৯৮০</t>
  </si>
  <si>
    <t>মোছাঃ বেগমজান</t>
  </si>
  <si>
    <t>ছামেদ আলী</t>
  </si>
  <si>
    <t>১৩/০৬/১৯৬২</t>
  </si>
  <si>
    <t>২৫/০৭/১৯৬৯</t>
  </si>
  <si>
    <t>গোলাম শেখ</t>
  </si>
  <si>
    <t>২১/০৪/১৯৬১</t>
  </si>
  <si>
    <t>রুলুল আমিন</t>
  </si>
  <si>
    <t>মোছাঃ তোড়জিয়া খাতুন</t>
  </si>
  <si>
    <t>১২/০১/১৯৮৭</t>
  </si>
  <si>
    <t>মো: মহির উদ্দীন</t>
  </si>
  <si>
    <t>০৪/০১/১৯৫৭</t>
  </si>
  <si>
    <t>মো: বাদল শেখ</t>
  </si>
  <si>
    <t>মোছাঃ শরজান</t>
  </si>
  <si>
    <t>১১/০১/১৯৮০</t>
  </si>
  <si>
    <t>মো: হেকমত আলি</t>
  </si>
  <si>
    <t>২৪/০৪/১৯৭৯</t>
  </si>
  <si>
    <t>১২/০৪/১৯৬৯</t>
  </si>
  <si>
    <t>মো: ফরমান আলি</t>
  </si>
  <si>
    <t>মোছাঃ ছাইমন নেছা</t>
  </si>
  <si>
    <t>মোছাঃ রেকছনা খাতুন</t>
  </si>
  <si>
    <t>মো: শুকুর আলী</t>
  </si>
  <si>
    <t>০৯/০৬/১৯৮৭</t>
  </si>
  <si>
    <t>মোছাঃ জানেহার খাতুন</t>
  </si>
  <si>
    <t>১৮/০৭/১৯৬২</t>
  </si>
  <si>
    <t>মোঃ চুরমান আলি</t>
  </si>
  <si>
    <t>মোছাঃ মঞ্জুরা খাতুন</t>
  </si>
  <si>
    <t>১৩/০৭/১৯৮৬</t>
  </si>
  <si>
    <t>মোছাঃ চম্পা খাতুন</t>
  </si>
  <si>
    <t>মো: ছাবদুল আলি</t>
  </si>
  <si>
    <t>২২/০৮/১৯৮৫</t>
  </si>
  <si>
    <t>ছারু হাজী</t>
  </si>
  <si>
    <t>ছিরিমন খাতুন</t>
  </si>
  <si>
    <t>১২/০৬/১৯৩৭</t>
  </si>
  <si>
    <t>মোছাঃ বুলুয়ারা খাতুন</t>
  </si>
  <si>
    <t>মো: মকছেদ আলী</t>
  </si>
  <si>
    <t>১১/০৭/১৯৬২</t>
  </si>
  <si>
    <t>মো: ইদ্রিস আলী</t>
  </si>
  <si>
    <t>মোছাঃ রইরোন</t>
  </si>
  <si>
    <t>০২/০৬/১৯৭০</t>
  </si>
  <si>
    <t>আব্দুল মন্ডল</t>
  </si>
  <si>
    <t>ভাদু জান খাতুন</t>
  </si>
  <si>
    <t>১৫/০৪/১৯৭০</t>
  </si>
  <si>
    <t>এরশাদ মোল্লা</t>
  </si>
  <si>
    <t>১১/০১/১৯৫৭</t>
  </si>
  <si>
    <t>মোছাঃ পাপিয়া খাতুন</t>
  </si>
  <si>
    <t>০২/০২/১৯৭০</t>
  </si>
  <si>
    <t>মোছাঃ সালেহার খাতুন</t>
  </si>
  <si>
    <t>মো: আতর আলী</t>
  </si>
  <si>
    <t>মোছাঃ রেজিয়া খাতুন</t>
  </si>
  <si>
    <t>০৩/০৪/১৯৭২</t>
  </si>
  <si>
    <t>হবের মন্ডল</t>
  </si>
  <si>
    <t>০৪/০১/১৯৬২</t>
  </si>
  <si>
    <t>ফকির মোহাম্মদ</t>
  </si>
  <si>
    <t>২২/০৮/১৯৮৬</t>
  </si>
  <si>
    <t>মো: আলি হোসেন</t>
  </si>
  <si>
    <t>মোছাঃ জালিমন্</t>
  </si>
  <si>
    <t>২৩/০১/১৯৮৮</t>
  </si>
  <si>
    <t>মোছাঃ শাহাব ভানু</t>
  </si>
  <si>
    <t>হোসেন আলী</t>
  </si>
  <si>
    <t>জাফেলা খাতুন</t>
  </si>
  <si>
    <t>০১/০১/১৯৫৭</t>
  </si>
  <si>
    <t>মাহমুদ আলী</t>
  </si>
  <si>
    <t>৫৭০0৩৮৩৫৪৬০ ১</t>
  </si>
  <si>
    <t>০২/০৪/১৯৮৭</t>
  </si>
  <si>
    <t>মোছাঃ চামিলী খাতুন</t>
  </si>
  <si>
    <t>মো: বদর উদ্দিন</t>
  </si>
  <si>
    <t>মোছাঃ গুলশানারা</t>
  </si>
  <si>
    <t>০৩/০১/১৯৮৮</t>
  </si>
  <si>
    <t>মো: আজিজুল হক</t>
  </si>
  <si>
    <t>১৮/১০/১৯৮৮</t>
  </si>
  <si>
    <t>মো: আব্দুল করিম</t>
  </si>
  <si>
    <t>মো: দানিয়াজ হোসেন</t>
  </si>
  <si>
    <t>মোছাঃ ছালেহা বেগম</t>
  </si>
  <si>
    <t>১৩/০৩/১৯৭৯</t>
  </si>
  <si>
    <t>মোছাঃ জেসমিন আরা</t>
  </si>
  <si>
    <t>মো: বগরউদ্দিন</t>
  </si>
  <si>
    <t>মোছাঃ খালেদা বেগম</t>
  </si>
  <si>
    <t>০৪/০৩/১৯৭৭</t>
  </si>
  <si>
    <t>সারা খাতুন</t>
  </si>
  <si>
    <t>০৫/০৮/১৯৬৭</t>
  </si>
  <si>
    <t>সিফাত আলী</t>
  </si>
  <si>
    <t>মোছাঃ আফাতন বেগম</t>
  </si>
  <si>
    <t>হোসেন মন্ডল</t>
  </si>
  <si>
    <t>জাসেনা খাতুন</t>
  </si>
  <si>
    <t>২৫/০৯/১৯৫৮</t>
  </si>
  <si>
    <t>মোছাঃ সাজেদা বেগম</t>
  </si>
  <si>
    <t>মজিবার</t>
  </si>
  <si>
    <t>মোছাঃ আরজিয়া</t>
  </si>
  <si>
    <t>১৫/১১/১৯৬৪</t>
  </si>
  <si>
    <t>মোছাঃ পারভীনা বেগম</t>
  </si>
  <si>
    <t>১৮/১০/১৯৮৫</t>
  </si>
  <si>
    <t>মো: আঃ রহিম মন্ডল</t>
  </si>
  <si>
    <t>মোছাঃ ছাবিরন নেছা</t>
  </si>
  <si>
    <t>১৫/০৫/১৯৮২</t>
  </si>
  <si>
    <t>মোছাঃ মানছুরা বেগম</t>
  </si>
  <si>
    <t>মো: ছাবের আলী</t>
  </si>
  <si>
    <t>মোছাঃ হামেদা</t>
  </si>
  <si>
    <t>০৮/০৫/১৯৭৫</t>
  </si>
  <si>
    <t>হায়ারুদ্দি</t>
  </si>
  <si>
    <t>আদরী</t>
  </si>
  <si>
    <t>২৫/১১/১৯৫৭</t>
  </si>
  <si>
    <t>মোঃ মহসিন</t>
  </si>
  <si>
    <t>১১/০৮/১৯৮৫</t>
  </si>
  <si>
    <t>ইলাহী বিশ্বাস</t>
  </si>
  <si>
    <t>মো: ছামেনা</t>
  </si>
  <si>
    <t>১৩/১১/১৯৫৭</t>
  </si>
  <si>
    <t>মোছাঃ বিউটি বেগম</t>
  </si>
  <si>
    <t>মো: আত্তাব আলী</t>
  </si>
  <si>
    <t>রাহাতুল্লাহ শেখ</t>
  </si>
  <si>
    <t>মোছাঃ খাদেজা বিবি</t>
  </si>
  <si>
    <t>মিসেস ছুবরোন নেছা</t>
  </si>
  <si>
    <t>আইনদ্দি মির্জা</t>
  </si>
  <si>
    <t>ভানু বিবি</t>
  </si>
  <si>
    <t>৩০/১২/১৯৬০</t>
  </si>
  <si>
    <t>মোছাঃ পুতুল বেগম</t>
  </si>
  <si>
    <t>মো: আ: বারী</t>
  </si>
  <si>
    <t>মোছাঃ ছামাতন</t>
  </si>
  <si>
    <t>২০/১১/১৯৮২</t>
  </si>
  <si>
    <t>মো: আলম শেখ</t>
  </si>
  <si>
    <t>মোছাঃ লাবিখন নেছা</t>
  </si>
  <si>
    <t>০৯/১১/১৯৬২</t>
  </si>
  <si>
    <t>মোছাঃ শেফালী বেগম</t>
  </si>
  <si>
    <t>মো: মজিবার রহমান</t>
  </si>
  <si>
    <t>ছাহেরা খাতুন</t>
  </si>
  <si>
    <t>১৯/১০/১৯৭৫</t>
  </si>
  <si>
    <t>মো: হবি দর্জি</t>
  </si>
  <si>
    <t>০৩/০২/১৯৭২</t>
  </si>
  <si>
    <t>মো: আঃ বারী</t>
  </si>
  <si>
    <t>মোছাঃ রাশেদা</t>
  </si>
  <si>
    <t>১৩/০৯/১৯৬৯</t>
  </si>
  <si>
    <t>ছামছুদ্দীন মোল্লা</t>
  </si>
  <si>
    <t>মোছাঃ পয়ছন নেছা</t>
  </si>
  <si>
    <t>১৪/১০/১৯৬৭</t>
  </si>
  <si>
    <t>মো: আশরাফুল ইসলাম</t>
  </si>
  <si>
    <t>১৪/১০/১৯৮৭</t>
  </si>
  <si>
    <t>আ: ওহাব</t>
  </si>
  <si>
    <t>মোছাঃ বেগু</t>
  </si>
  <si>
    <t>আ: কাদের</t>
  </si>
  <si>
    <t>০১/০২/১৯৫৭</t>
  </si>
  <si>
    <t>মোছাঃ নজেরা খাতুন</t>
  </si>
  <si>
    <t>মো: ছিয়ামদ্দি শেখ</t>
  </si>
  <si>
    <t>মোছাঃ বছেরা খাতুন</t>
  </si>
  <si>
    <t>১০/০২/১৯১৯</t>
  </si>
  <si>
    <t>মোছাঃ লিলুফা খাতুন</t>
  </si>
  <si>
    <t>মো: জহিরুদ্দি</t>
  </si>
  <si>
    <t>১১/০৩/১৯৮৭</t>
  </si>
  <si>
    <t>মোছাঃ শাহানাজ খাতুন</t>
  </si>
  <si>
    <t>রিয়াজুদ্দি</t>
  </si>
  <si>
    <t>মোছাঃ রহিমা</t>
  </si>
  <si>
    <t>১৩/০৯/১৯৬৭</t>
  </si>
  <si>
    <t>দুমোন সরদার</t>
  </si>
  <si>
    <t>ছইমন নেছা</t>
  </si>
  <si>
    <t>২০/০১/১৯৪২</t>
  </si>
  <si>
    <t>রিয়াজদ্দিন</t>
  </si>
  <si>
    <t>কমলা</t>
  </si>
  <si>
    <t>০৫/০৮/১৯৫৭</t>
  </si>
  <si>
    <t>মোছাঃ লিপিযারা</t>
  </si>
  <si>
    <t>আমানুল হক</t>
  </si>
  <si>
    <t>০৫/০৭/১৯৮৫</t>
  </si>
  <si>
    <t>মোছাঃ নহরজান খাতুন</t>
  </si>
  <si>
    <t>মতামদ আলী শেখ</t>
  </si>
  <si>
    <t>নবীরন নেছা</t>
  </si>
  <si>
    <t>১০/১১/১৯৪২</t>
  </si>
  <si>
    <t>মোছাঃ শিরিনা সুলতানা</t>
  </si>
  <si>
    <t>মো: মঈনদ্দিন</t>
  </si>
  <si>
    <t>মোছাঃ মহাজেরা খাতুন</t>
  </si>
  <si>
    <t>২২/০৯/১৯৭৫</t>
  </si>
  <si>
    <t>মো: কোবাদ আলী শেখ</t>
  </si>
  <si>
    <t>১৫/০৬/১৯৮৩</t>
  </si>
  <si>
    <t>মোছাঃ জান্নাতুল হেজবুনাহার</t>
  </si>
  <si>
    <t>মো: আলী মুজজামান</t>
  </si>
  <si>
    <t>মোছাঃ জান্নাতুল বাকীয়া</t>
  </si>
  <si>
    <t>২০/০৭/১৯৮৯</t>
  </si>
  <si>
    <t>মো: ফজলুল হক</t>
  </si>
  <si>
    <t>মোছাঃ রৌশনারা</t>
  </si>
  <si>
    <t>০৮/১১/১৯৬৩</t>
  </si>
  <si>
    <t>০৮/০৫/১৯৬৫</t>
  </si>
  <si>
    <t>মোছাঃ হাচিনা বানু</t>
  </si>
  <si>
    <t>মির জবেদ আলী</t>
  </si>
  <si>
    <t>মোছাঃ মর্জিয়া খাতুন</t>
  </si>
  <si>
    <t>০৩/১২/১৯৭২</t>
  </si>
  <si>
    <t>মোছাঃ তাজিনা পারভীন</t>
  </si>
  <si>
    <t>মো: আবু তালেব</t>
  </si>
  <si>
    <t>মোছাঃ আনজুমানারা বেগম</t>
  </si>
  <si>
    <t>মোছাঃ আফছানা আক্তার</t>
  </si>
  <si>
    <t>১৪/০৪/১৯৮৬</t>
  </si>
  <si>
    <t>মোছাঃ মালেকা</t>
  </si>
  <si>
    <t>ছলিম আলী</t>
  </si>
  <si>
    <t>মোছাঃ মদিনা</t>
  </si>
  <si>
    <t>১৬/০৫/১৯৭৭</t>
  </si>
  <si>
    <t>মো: মুফাচ্ছল খাঁ</t>
  </si>
  <si>
    <t>১৩/০৯/১৯৭৭</t>
  </si>
  <si>
    <t>তাছেন মন্ডল</t>
  </si>
  <si>
    <t>কলিমন</t>
  </si>
  <si>
    <t>১৪/০৫/১৯৪৭</t>
  </si>
  <si>
    <t>কাজী নজরুল ইসলাম</t>
  </si>
  <si>
    <t>১৭/০৫/১৯৮২</t>
  </si>
  <si>
    <t>মো: খেদের সরকার</t>
  </si>
  <si>
    <t>১০/০৮/১৯৮৫</t>
  </si>
  <si>
    <t>মো: গোলাম মুরতুজা</t>
  </si>
  <si>
    <t>২৫/০২/১৯৭৮</t>
  </si>
  <si>
    <t>মোছাঃ লাইলী বেগম</t>
  </si>
  <si>
    <t>ভুইরন বিশ্বাস</t>
  </si>
  <si>
    <t>ছইরন নেছা</t>
  </si>
  <si>
    <t>মোছাঃ হামিদা বেগম</t>
  </si>
  <si>
    <t>ছকিনা খাতুন</t>
  </si>
  <si>
    <t>১২/০৩/১৯৫৭</t>
  </si>
  <si>
    <t>মোছাঃ মিনারা খাতুন</t>
  </si>
  <si>
    <t>মো: কাশেম শেখ</t>
  </si>
  <si>
    <t>মোছাঃ মমিনা</t>
  </si>
  <si>
    <t>মো: আঃ হান্নান</t>
  </si>
  <si>
    <t>মোছাঃ জয়নব</t>
  </si>
  <si>
    <t>১৪/০৯/১৯৮২</t>
  </si>
  <si>
    <t>মোছাঃ পারভীনা</t>
  </si>
  <si>
    <t>মো: পটল</t>
  </si>
  <si>
    <t>মোছাঃ সখেদা</t>
  </si>
  <si>
    <t>১০/০১/১৯৭৯</t>
  </si>
  <si>
    <t>মোছাঃ গোলাপী</t>
  </si>
  <si>
    <t>মো: গোলাম মস্তফা</t>
  </si>
  <si>
    <t>২০/০৮/১৯৮৫</t>
  </si>
  <si>
    <t>মোছাঃ বিলকিচ</t>
  </si>
  <si>
    <t>হামেদ খাঁ</t>
  </si>
  <si>
    <t>শুকজান</t>
  </si>
  <si>
    <t>২৫/১০/১৯৪৯</t>
  </si>
  <si>
    <t>আ: রাজ্জাক</t>
  </si>
  <si>
    <t>মোছাঃ হাচিনা বেগম</t>
  </si>
  <si>
    <t>১৫/০৭/১৯৭২</t>
  </si>
  <si>
    <t>মোজাম্মাদ শেখ</t>
  </si>
  <si>
    <t>মজিরন নেছা</t>
  </si>
  <si>
    <t>০৪/১০/১৯৭৭</t>
  </si>
  <si>
    <t>১৫/০৯/১৯৭২</t>
  </si>
  <si>
    <t>মলেজান</t>
  </si>
  <si>
    <t>০৮/০৪/১৯৫২</t>
  </si>
  <si>
    <t>সন্ধ্যা মন্ডল</t>
  </si>
  <si>
    <t>অরবিন্দু মন্ডল</t>
  </si>
  <si>
    <t>পূলী মন্ডল</t>
  </si>
  <si>
    <t>০২/০৮/১৯৭৬</t>
  </si>
  <si>
    <t>শিক্ষক</t>
  </si>
  <si>
    <t>রুস্তম আলী</t>
  </si>
  <si>
    <t>০৭/১১/১৯৮২</t>
  </si>
  <si>
    <t>মো: খবির উদ্দিন</t>
  </si>
  <si>
    <t>২২/০৪/১৯৮৫</t>
  </si>
  <si>
    <t>মো: ইদ্রীস আলী</t>
  </si>
  <si>
    <t>১১/০৬/১৯৮৫</t>
  </si>
  <si>
    <t>মোছাঃ রাহেমা খাতুন</t>
  </si>
  <si>
    <t>জানালী সেখ</t>
  </si>
  <si>
    <t>মোছাঃ ছি্পা খাতুন</t>
  </si>
  <si>
    <t>১০/১০/১৯৭৩</t>
  </si>
  <si>
    <t>দোয়াত আলী</t>
  </si>
  <si>
    <t>মোছাঃ খোদেজান</t>
  </si>
  <si>
    <t>মোছাঃ নাজেরা খাতুন</t>
  </si>
  <si>
    <t>মহব্বত আলী</t>
  </si>
  <si>
    <t>আসমা খাতুন</t>
  </si>
  <si>
    <t>০৪/০২/১৯৮৬</t>
  </si>
  <si>
    <t>মো: আবু বক্কার</t>
  </si>
  <si>
    <t>মোছাঃ খোদেজান নেছা</t>
  </si>
  <si>
    <t>৩০/১১/১৯৮৪</t>
  </si>
  <si>
    <t>আব্দুল মোতালেব</t>
  </si>
  <si>
    <t>১৩/০৭/১৯৭৬</t>
  </si>
  <si>
    <t>আমোদ আলী</t>
  </si>
  <si>
    <t>মোছাঃ সোনাতন বিবি</t>
  </si>
  <si>
    <t>১১/১০/১৯৮৫</t>
  </si>
  <si>
    <t>তাহাজ উদ্দীন</t>
  </si>
  <si>
    <t>মুছা মালিথা</t>
  </si>
  <si>
    <t>১১/০৫/১৯৭১</t>
  </si>
  <si>
    <t>মোছাঃ সাহারবানু</t>
  </si>
  <si>
    <t>মাদার আলি</t>
  </si>
  <si>
    <t>মোছাঃ সজিরন নেছা</t>
  </si>
  <si>
    <t>০২/১১/১৯৭২</t>
  </si>
  <si>
    <t>মোছাঃ জৈগুন নেছা</t>
  </si>
  <si>
    <t>০৬/১০/১৯৭৭</t>
  </si>
  <si>
    <t>মোছাঃ ভানুয়ারা</t>
  </si>
  <si>
    <t>জসিমুদ্দিন</t>
  </si>
  <si>
    <t>মোছাঃ আরজু খাতুন</t>
  </si>
  <si>
    <t>০৬/১১/১৯৭২</t>
  </si>
  <si>
    <t>বুরহান উদ্দীন</t>
  </si>
  <si>
    <t>১২/১০/১৯৪২</t>
  </si>
  <si>
    <t>তাইজেল বিশ্বাস</t>
  </si>
  <si>
    <t>মোছাঃ রেইজান নেছা</t>
  </si>
  <si>
    <t>০৬/১২/১৯৪৭</t>
  </si>
  <si>
    <t>শাহাদৎ</t>
  </si>
  <si>
    <t>মোছাঃ নেহারন</t>
  </si>
  <si>
    <t>১২/০৩/১৯৭৬</t>
  </si>
  <si>
    <t>আ: রহমান</t>
  </si>
  <si>
    <t>মোছাঃ নুরমান খাতুন</t>
  </si>
  <si>
    <t>১৮/১২/১৯৭০</t>
  </si>
  <si>
    <t>রবজেল</t>
  </si>
  <si>
    <t>মোছাঃ বাছীরন</t>
  </si>
  <si>
    <t>১৮/১০/১৯৮৬</t>
  </si>
  <si>
    <t>মো: হাফিজুল</t>
  </si>
  <si>
    <t>মোছাঃ রুমিয়া খাতুন</t>
  </si>
  <si>
    <t>০৬/১০/১৯৮২</t>
  </si>
  <si>
    <t>মোছাঃ দীপালি খাতুন</t>
  </si>
  <si>
    <t>মো: কাউছার আলি</t>
  </si>
  <si>
    <t>০৬/১২/১৯৮৭</t>
  </si>
  <si>
    <t>মোছাঃ বাছীরন নেছা</t>
  </si>
  <si>
    <t>মো: মতলেব</t>
  </si>
  <si>
    <t>কমলা খাতুন</t>
  </si>
  <si>
    <t>০২/১১/১৯৬৭</t>
  </si>
  <si>
    <t>মোছাঃ রশিদা খাতুন</t>
  </si>
  <si>
    <t>শাহাদৎ আলি</t>
  </si>
  <si>
    <t>০৯/১১/১৯৭৫</t>
  </si>
  <si>
    <t>মো: ইমাদুল হক</t>
  </si>
  <si>
    <t>১২/০৭/১৯৮৯</t>
  </si>
  <si>
    <t>মোছাঃ রাহাতন নেছা</t>
  </si>
  <si>
    <t>আফেজ উদ্দীন</t>
  </si>
  <si>
    <t>মোছাঃ জায়েদা খাতুন</t>
  </si>
  <si>
    <t>০৮/০৬/১৯৬২</t>
  </si>
  <si>
    <t>মো: নুরুল ইসলাম</t>
  </si>
  <si>
    <t>মোছাঃ জীবননারা</t>
  </si>
  <si>
    <t>০৬/১১/১৯৮২</t>
  </si>
  <si>
    <t>মোছাঃ আছমিনা খাতুন</t>
  </si>
  <si>
    <t>মো: আতিয়ার</t>
  </si>
  <si>
    <t>২৭/১১/১৯৮২</t>
  </si>
  <si>
    <t>মো: দীন মহাম্মদ</t>
  </si>
  <si>
    <t>মোছাঃ মেহের নিগার</t>
  </si>
  <si>
    <t>মোছাঃ হাসিনা খাতুন</t>
  </si>
  <si>
    <t>মো: হাশেম আলি</t>
  </si>
  <si>
    <t>০৬/০১/১৯৮১</t>
  </si>
  <si>
    <t>মোছাঃ থেইমন নেছা</t>
  </si>
  <si>
    <t>জুলমাত আলি</t>
  </si>
  <si>
    <t>গৌরব খাতুন</t>
  </si>
  <si>
    <t>০৬/১১/১৯৬৭</t>
  </si>
  <si>
    <t>আইজদ্দিন আলি</t>
  </si>
  <si>
    <t>মোছাঃ আসুরা খাতুন</t>
  </si>
  <si>
    <t>মহির উদ্দিন</t>
  </si>
  <si>
    <t>মায়াজান</t>
  </si>
  <si>
    <t>০৬/০৬/১৯৭২</t>
  </si>
  <si>
    <t>রহমত আলী</t>
  </si>
  <si>
    <t>০৭/১০/১৯৬৩</t>
  </si>
  <si>
    <t>মো: আতাউল হক</t>
  </si>
  <si>
    <t>০৪/০৬/১৯৮৭</t>
  </si>
  <si>
    <t>রহমত আলি</t>
  </si>
  <si>
    <t>২১/১২/১৯৫০</t>
  </si>
  <si>
    <t>মোছাঃ শারমিন খাতুন</t>
  </si>
  <si>
    <t>মো: আজিজুল শেখ</t>
  </si>
  <si>
    <t>০৬/১০/১৯৮৯</t>
  </si>
  <si>
    <t>মোছাঃ ছুরাতন খাতুন</t>
  </si>
  <si>
    <t>আদরী খাতুন</t>
  </si>
  <si>
    <t>১৬/১১/১৯৫৩</t>
  </si>
  <si>
    <t>মো: ইদুল হক</t>
  </si>
  <si>
    <t>মোছাঃ বাশেরা খাতুন</t>
  </si>
  <si>
    <t>১৮/০৭/১৯৮৩</t>
  </si>
  <si>
    <t>মো: হিদাত আলী</t>
  </si>
  <si>
    <t>২৬/০৬/১৯৮৭</t>
  </si>
  <si>
    <t>২৬/১০/১৯৭৯</t>
  </si>
  <si>
    <t>চমৎকার সৈয়দ আলী</t>
  </si>
  <si>
    <t>মোছাঃ ককিলা খাতুন</t>
  </si>
  <si>
    <t>০৪/০৬/১৯৫৪</t>
  </si>
  <si>
    <t>মোছাঃ শেলীনা খাতুন</t>
  </si>
  <si>
    <t>মো: সৈয়দ আলী</t>
  </si>
  <si>
    <t>মোছাঃ শিবু খাতুন</t>
  </si>
  <si>
    <t>০৫/১০/১৯৭৭</t>
  </si>
  <si>
    <t>মো: শমসের আলী</t>
  </si>
  <si>
    <t>রমেজান নেছা</t>
  </si>
  <si>
    <t>১২/০৬/১৯৫৮</t>
  </si>
  <si>
    <t>রইছ উদ্দীন</t>
  </si>
  <si>
    <t>মোছাঃ রওশন আরা খাতুন</t>
  </si>
  <si>
    <t>১৮/১০/১৯৬২</t>
  </si>
  <si>
    <t>মোছাঃ ইয়ারন নেছা</t>
  </si>
  <si>
    <t>মো: ইয়াকুব আলী</t>
  </si>
  <si>
    <t>১২/০১/১৯৮৪</t>
  </si>
  <si>
    <t>ছিবান মন্ডল</t>
  </si>
  <si>
    <t>০৬/১০/১৯৬৫</t>
  </si>
  <si>
    <t>মোছাঃ ফেন্সীআরা খাতুন</t>
  </si>
  <si>
    <t>মোছাঃ আফরোজা</t>
  </si>
  <si>
    <t>জমির উদ্দীন</t>
  </si>
  <si>
    <t>শাকুর নেছা</t>
  </si>
  <si>
    <t>০১/০২/১৯৫৫</t>
  </si>
  <si>
    <t>মোছাঃ রানি খাতুন</t>
  </si>
  <si>
    <t>মো: নছির উদ্দীন</t>
  </si>
  <si>
    <t>মোছাঃ মধমালা</t>
  </si>
  <si>
    <t>মো: সিরাজ উদ্দীন</t>
  </si>
  <si>
    <t>মোছাঃ শাহিনা আক্তার চিন্তা</t>
  </si>
  <si>
    <t>মো: ফকির বিশ্বাস</t>
  </si>
  <si>
    <t>১৬/১২/১৯৬৮</t>
  </si>
  <si>
    <t>মোছাঃ শারমিন সুলতানা পান্না</t>
  </si>
  <si>
    <t>মো: নুরুল হুদা</t>
  </si>
  <si>
    <t>০৬/১০/১৯৮৮</t>
  </si>
  <si>
    <t>মোছাঃ নাজমা নাজমিন</t>
  </si>
  <si>
    <t>শওকত আলী</t>
  </si>
  <si>
    <t>মোছাঃ রোকিয়া খাতুন</t>
  </si>
  <si>
    <t>১৬/০৭/১৯৭৫</t>
  </si>
  <si>
    <t>মোছাঃ গুশিতা খাতুন</t>
  </si>
  <si>
    <t>২০/১১/১৯৭২</t>
  </si>
  <si>
    <t>মোহাঃ আলতাফ হোসেন</t>
  </si>
  <si>
    <t>১১/১০/১৯৮২</t>
  </si>
  <si>
    <t>মোহাঃ সামসুল হক</t>
  </si>
  <si>
    <t>শরিফুল</t>
  </si>
  <si>
    <t>১২/১০/১৯৮৭</t>
  </si>
  <si>
    <t>মোছাঃ ভাদি বেওয়া</t>
  </si>
  <si>
    <t>পুলিন মন্ডল</t>
  </si>
  <si>
    <t>রহিমন্ নেছা</t>
  </si>
  <si>
    <t>০৬/০৪/১৯৩৫</t>
  </si>
  <si>
    <t>মো: বজলুল হক</t>
  </si>
  <si>
    <t>১৮/০৪/১৯৮৯</t>
  </si>
  <si>
    <t>মোছাঃ রাশিয় খাতুন</t>
  </si>
  <si>
    <t>ইব্রাহিম মন্ডল</t>
  </si>
  <si>
    <t>মোছাঃ ভাদি খাতুন</t>
  </si>
  <si>
    <t>২০/০৫/১৯৬২</t>
  </si>
  <si>
    <t>মোছাঃ শাহারবানু খাতুন</t>
  </si>
  <si>
    <t>ইলা বকস</t>
  </si>
  <si>
    <t>মহিরন খাতুন</t>
  </si>
  <si>
    <t>১৮/০৫/১৯৬২</t>
  </si>
  <si>
    <t>রহমান আলী</t>
  </si>
  <si>
    <t>১৭/১০/১৯৮৯</t>
  </si>
  <si>
    <t>মোছাঃ জোছসনা খাতুন</t>
  </si>
  <si>
    <t>মোহাঃ সিরাজুল</t>
  </si>
  <si>
    <t>মোছাঃ আথলিমা</t>
  </si>
  <si>
    <t>১০/১১/১৯৮৯</t>
  </si>
  <si>
    <t>মোহাঃ ইমরান হোসেন</t>
  </si>
  <si>
    <t>২০/১২/১৯৮৬</t>
  </si>
  <si>
    <t>মোহাঃ নাজের আলী</t>
  </si>
  <si>
    <t>২০/১২/১৯৮৭</t>
  </si>
  <si>
    <t>আঃ কাশেম</t>
  </si>
  <si>
    <t>মোছাঃ আজিরন খাতুন</t>
  </si>
  <si>
    <t>০৬/১০/১৯৭৫</t>
  </si>
  <si>
    <t>মোছাঃ আছিরন</t>
  </si>
  <si>
    <t>১৮/১০/১৯৮৭</t>
  </si>
  <si>
    <t>মোছাঃ সাগরিকা খাতুন</t>
  </si>
  <si>
    <t>জারফে আলী</t>
  </si>
  <si>
    <t>মোছাঃ অহিদা খাতুন</t>
  </si>
  <si>
    <t>০৪/০৫/১৯৮৫</t>
  </si>
  <si>
    <t>০৬/১০/১৯৮৭</t>
  </si>
  <si>
    <t>১৮/০৪/১৯৬৮</t>
  </si>
  <si>
    <t>আজিজুল হক</t>
  </si>
  <si>
    <t>মোছাঃ আহারন</t>
  </si>
  <si>
    <t>১৫/১১/১৯৮৩</t>
  </si>
  <si>
    <t>মোছাঃ আছেদা বিবি</t>
  </si>
  <si>
    <t>তৈয়ব আলী</t>
  </si>
  <si>
    <t>ফয়েজান খাতুন</t>
  </si>
  <si>
    <t>০৪/০৬/১৯৬২</t>
  </si>
  <si>
    <t>আফতব আলী</t>
  </si>
  <si>
    <t>মোছাঃ জরিনা বেগম</t>
  </si>
  <si>
    <t>২৫/১০/১৯৮১</t>
  </si>
  <si>
    <t>মোছাঃ অহিরন খাতুন</t>
  </si>
  <si>
    <t>মোহাঃ আঃ রহিম বকস</t>
  </si>
  <si>
    <t>মোছাঃ রেয়োজন খাতুন</t>
  </si>
  <si>
    <t>০৬/১০/১৯৮৩</t>
  </si>
  <si>
    <t>মোছাঃ খাইরন নেছা</t>
  </si>
  <si>
    <t>জুলমৎ সেক</t>
  </si>
  <si>
    <t>মুন্তাজ মন্ডল</t>
  </si>
  <si>
    <t>মোছাঃ ক্ষেপিজান</t>
  </si>
  <si>
    <t>১৭/০৬/১৯৭৫</t>
  </si>
  <si>
    <t>মোছাঃ জালেহার খাতুন</t>
  </si>
  <si>
    <t>জহুর আলী</t>
  </si>
  <si>
    <t>মোছাঃ ছালেহার খাতুন</t>
  </si>
  <si>
    <t>০৪/০৫/১৯৬৫</t>
  </si>
  <si>
    <t>মোছাঃ রমেছা খাতুন</t>
  </si>
  <si>
    <t>হুফরুদ্দিন সেখ</t>
  </si>
  <si>
    <t>আজিমা খাতুন</t>
  </si>
  <si>
    <t>ছিরমত আলী</t>
  </si>
  <si>
    <t>মোছাঃ ছামিরন</t>
  </si>
  <si>
    <t>০৬/১০/১৯৭৯</t>
  </si>
  <si>
    <t>মোছাঃ জিন্নাতআরা খাতুন</t>
  </si>
  <si>
    <t>মো: জিয়ারুল হোসেন</t>
  </si>
  <si>
    <t>২০/১২/১৯৮২</t>
  </si>
  <si>
    <t>মোছাঃ মলিনা খাতুন</t>
  </si>
  <si>
    <t>দারজেল হক</t>
  </si>
  <si>
    <t>মোছাঃ ফাতিমা খাতুন</t>
  </si>
  <si>
    <t>১২/১০/১৯৮০</t>
  </si>
  <si>
    <t>মো: আব্দুস সাত্তার</t>
  </si>
  <si>
    <t>মোছাঃ ছাবিয়া খাতুন</t>
  </si>
  <si>
    <t>০৪/০৮/১৯৫২</t>
  </si>
  <si>
    <t>মোছাঃ বুলকি খাতুন</t>
  </si>
  <si>
    <t>মো: তাহাজ উদ্দীন সেখ</t>
  </si>
  <si>
    <t>০৬/১১/১৯৭৫</t>
  </si>
  <si>
    <t>মো: অজিত মন্ডল</t>
  </si>
  <si>
    <t>সদর উদ্দীন</t>
  </si>
  <si>
    <t>মরিয়ম খাতুন</t>
  </si>
  <si>
    <t>০৬/১২/১৯৩৭</t>
  </si>
  <si>
    <t>মোছাঃ সবুরন নেছা</t>
  </si>
  <si>
    <t>০২/০৫/১৯৫৮</t>
  </si>
  <si>
    <t>মোছাঃ জিনজিরা খাতুন</t>
  </si>
  <si>
    <t>মো: আব্দুল মান্নান</t>
  </si>
  <si>
    <t>মোছাঃ কাশেরা খাতুন</t>
  </si>
  <si>
    <t>০২/০৪/১৯৭৯</t>
  </si>
  <si>
    <t>মো: গিয়াসউদ্দীন</t>
  </si>
  <si>
    <t>মো: ফরজ আলী</t>
  </si>
  <si>
    <t>মোছাঃ মজিরন নেছা</t>
  </si>
  <si>
    <t>১০/০৬/১৯৮৭</t>
  </si>
  <si>
    <t>আব্দুল লতীফ</t>
  </si>
  <si>
    <t>০৬/১১/১৯৬৫</t>
  </si>
  <si>
    <t>মো: ইছারুদ্দিন</t>
  </si>
  <si>
    <t>০২/১১/১৯৮৪</t>
  </si>
  <si>
    <t>মোছাঃ আশিয়া খাতুন</t>
  </si>
  <si>
    <t>মো: আঃ করিম মুনসি</t>
  </si>
  <si>
    <t>০৫/১০/১৯৭২</t>
  </si>
  <si>
    <t>মোছাঃ পারেছা খাতুন</t>
  </si>
  <si>
    <t>মো: আহাদ আলী</t>
  </si>
  <si>
    <t>২০/১০/১৯৭৭</t>
  </si>
  <si>
    <t>ইসমাঈল হোসেন</t>
  </si>
  <si>
    <t>মোছাঃ পারভীন খাতুন</t>
  </si>
  <si>
    <t>সুরুজ আলী</t>
  </si>
  <si>
    <t>হৈফত মন্ডল</t>
  </si>
  <si>
    <t>০৫/১০/১৯৫৭</t>
  </si>
  <si>
    <t>তফিল উদ্দীন</t>
  </si>
  <si>
    <t>ছফেলা খাতুন</t>
  </si>
  <si>
    <t>১০/০৪/১৯৩৯</t>
  </si>
  <si>
    <t>মোছাঃ পুষ্প খাতুন</t>
  </si>
  <si>
    <t>মোঃ ইমান মন্ডল</t>
  </si>
  <si>
    <t>০৪/১০/১৯৮৭</t>
  </si>
  <si>
    <t>পাঞ্জাব আলী বিং</t>
  </si>
  <si>
    <t>২০/১০/১৯৫৭</t>
  </si>
  <si>
    <t>মোঃ সেকেদার আলী</t>
  </si>
  <si>
    <t>মোছাঃ জালিমন নেছা</t>
  </si>
  <si>
    <t>ইউসুব আলী</t>
  </si>
  <si>
    <t>আবেদা খাতুন</t>
  </si>
  <si>
    <t>০৬/০৭/১৯৮৮</t>
  </si>
  <si>
    <t>মোছাঃ বেনুয়ারা</t>
  </si>
  <si>
    <t>১০/১০/১৯৬৭</t>
  </si>
  <si>
    <t>খোকা মন্ডল</t>
  </si>
  <si>
    <t>সুবারন নেছা</t>
  </si>
  <si>
    <t>২৮/১২/১৯৩৭</t>
  </si>
  <si>
    <t>মোছাঃ নছরীন খাতুন</t>
  </si>
  <si>
    <t>মোঃ নবীউদ্দীন</t>
  </si>
  <si>
    <t>মোছাঃ সফুরা খাতুন</t>
  </si>
  <si>
    <t>নিবারন নেছা</t>
  </si>
  <si>
    <t>০২/০১/১৯৪৭</t>
  </si>
  <si>
    <t>সুজাত আলী</t>
  </si>
  <si>
    <t>১৮/০৯/১৯৮৬</t>
  </si>
  <si>
    <t>মোছাঃ মুনজিরা খাতুন</t>
  </si>
  <si>
    <t>মোঃ মোজাহার আলী</t>
  </si>
  <si>
    <t>মোছাঃ আলেজান খাতুন</t>
  </si>
  <si>
    <t>১৩/১২/১৯৮০</t>
  </si>
  <si>
    <t>মোঃ শামসুল আলী</t>
  </si>
  <si>
    <t>তাজভানু</t>
  </si>
  <si>
    <t>২৭/০৮/১৯৬২</t>
  </si>
  <si>
    <t>মোছাঃ সাহার ভানু</t>
  </si>
  <si>
    <t>০৫/০৩/১৯৭৫</t>
  </si>
  <si>
    <t>ইসাহাক আলী</t>
  </si>
  <si>
    <t>মোছাঃ জমিলা খাতুন</t>
  </si>
  <si>
    <t>০৪/০৯/১৯৫২</t>
  </si>
  <si>
    <t>দিন ইসলাম</t>
  </si>
  <si>
    <t>০২/১২/১৯৭৭</t>
  </si>
  <si>
    <t>মোঃ জামাত আলী</t>
  </si>
  <si>
    <t>মোছাঃ রিকাতন</t>
  </si>
  <si>
    <t>০১/০৩/১৯৮৪</t>
  </si>
  <si>
    <t>মোছাঃ বেলিয়ারা</t>
  </si>
  <si>
    <t>আজমত আলী</t>
  </si>
  <si>
    <t>০২/০৪/১৯৭০</t>
  </si>
  <si>
    <t>ছিরিমন নেছা</t>
  </si>
  <si>
    <t>১০/১১/১৯৫৭</t>
  </si>
  <si>
    <t>আঃ রশিদ</t>
  </si>
  <si>
    <t>সোনাভানু</t>
  </si>
  <si>
    <t>২২/০৪/১৯৭০</t>
  </si>
  <si>
    <t>মোছাঃ আজিনা খাতুন</t>
  </si>
  <si>
    <t>আবুল মিয়া</t>
  </si>
  <si>
    <t>০৮/০৯/১৯৭৬</t>
  </si>
  <si>
    <t>আঃ হান্নান</t>
  </si>
  <si>
    <t>রিজিয়া পারভীন</t>
  </si>
  <si>
    <t>১২/১১/১৯৮৭</t>
  </si>
  <si>
    <t>মোছাঃ দিলরুবা</t>
  </si>
  <si>
    <t>মোছাঃ জিয়াউল হক</t>
  </si>
  <si>
    <t>মোছাঃ আজিলা খাতুন</t>
  </si>
  <si>
    <t>০১/০৮/১৯৭২</t>
  </si>
  <si>
    <t>মাহমুদ</t>
  </si>
  <si>
    <t>কিতমন</t>
  </si>
  <si>
    <t>১৪/১২/১৯৪২</t>
  </si>
  <si>
    <t>মোছাঃ হিরা মুক্তা</t>
  </si>
  <si>
    <t>মোঃ ইমরাতুল্লাহ</t>
  </si>
  <si>
    <t>০১/০১/১৯৮৮</t>
  </si>
  <si>
    <t>০৫/০৪/১৯৭২</t>
  </si>
  <si>
    <t>জালাল উদ্দীন</t>
  </si>
  <si>
    <t>মোঃ ওমর আলী</t>
  </si>
  <si>
    <t>মোছাঃ ওলফা খাতুন</t>
  </si>
  <si>
    <t>নুর ইসলাম</t>
  </si>
  <si>
    <t>মোছাঃ লছিয়া বেগম</t>
  </si>
  <si>
    <t>০৫/০৩/১৯৬২</t>
  </si>
  <si>
    <t>মোছাঃ রাজিয়া খাতুন</t>
  </si>
  <si>
    <t>রিয়াজ উদ্দিন</t>
  </si>
  <si>
    <t>০২/১০/১৯৬৭</t>
  </si>
  <si>
    <t>মোছাঃ খোদেজা খাতুন</t>
  </si>
  <si>
    <t>মোছাঃ নরম জান</t>
  </si>
  <si>
    <t>০৩/১০/১৯৭০</t>
  </si>
  <si>
    <t>মোছাঃ শাহিদুন্নাহার</t>
  </si>
  <si>
    <t>মোঃ আঃ সাত্তার</t>
  </si>
  <si>
    <t>০৩/০৬/১৯৬২</t>
  </si>
  <si>
    <t>মল্লিক</t>
  </si>
  <si>
    <t>মোছাঃ আয়েজান</t>
  </si>
  <si>
    <t>২১/১২/১৯৫৭</t>
  </si>
  <si>
    <t>পাতান আলী</t>
  </si>
  <si>
    <t>রোকেয়া খাতুন</t>
  </si>
  <si>
    <t>১৮/০৪/১৯৬২</t>
  </si>
  <si>
    <t>আঃ হামিদ</t>
  </si>
  <si>
    <t>১৫/১০/১৯৭৫</t>
  </si>
  <si>
    <t>খিলাফত মন্ডল</t>
  </si>
  <si>
    <t>কমেলা</t>
  </si>
  <si>
    <t>০৫/০৩/১৯৭২</t>
  </si>
  <si>
    <t>মোছাঃ জফিরন</t>
  </si>
  <si>
    <t>শফেরুদ্দিন</t>
  </si>
  <si>
    <t>১৪/০৩/১৯৭০</t>
  </si>
  <si>
    <t>মোছাঃ আকতার বানু</t>
  </si>
  <si>
    <t>জেহের আলী</t>
  </si>
  <si>
    <t>০৫/১২/১৯৬৭</t>
  </si>
  <si>
    <t>সামছুদ্দীন মন্ডল</t>
  </si>
  <si>
    <t>১২/১২/১৯৬০</t>
  </si>
  <si>
    <t>রাহাতুল্লাহ</t>
  </si>
  <si>
    <t>খাদিজা খাতুন</t>
  </si>
  <si>
    <t>১৭/০৭/১৯৫১</t>
  </si>
  <si>
    <t>মোঃ আবুল মোমিন</t>
  </si>
  <si>
    <t>০১/১২/১৯৮৩</t>
  </si>
  <si>
    <t>মোছাঃ রাফিজা খাতুন</t>
  </si>
  <si>
    <t>মোঃ ছামছুদ্দীন</t>
  </si>
  <si>
    <t>০৮/০৫/১৯৮৫</t>
  </si>
  <si>
    <t>ইছারুদ্দীন</t>
  </si>
  <si>
    <t>০২/১২/১৯৬৭</t>
  </si>
  <si>
    <t>ফেলজান</t>
  </si>
  <si>
    <t>০৭/০৮/১৯৮৬</t>
  </si>
  <si>
    <t>লিহাজুদ্দীন</t>
  </si>
  <si>
    <t>১২/১০/১৯৬০</t>
  </si>
  <si>
    <t>আবিদা খাতুন</t>
  </si>
  <si>
    <t>১৪/১১/১৯৬৭</t>
  </si>
  <si>
    <t>নফর আলী</t>
  </si>
  <si>
    <t>মোছাঃ লতিফা খাতুন</t>
  </si>
  <si>
    <t>০১/০৯/১৯৮৭</t>
  </si>
  <si>
    <t>মোঃ দুরুজ আলী</t>
  </si>
  <si>
    <t>রমজান মন্ডল</t>
  </si>
  <si>
    <t>রমেল</t>
  </si>
  <si>
    <t>২২/০১/১৯৭০</t>
  </si>
  <si>
    <t>গাড়ীড়োব, গাংনী, মেহেরপুর</t>
  </si>
  <si>
    <t>তুষ্ট মন্ডল</t>
  </si>
  <si>
    <t>০১/০৪/১৯৫২</t>
  </si>
  <si>
    <t>মোঃ রহমতুল্লাহ</t>
  </si>
  <si>
    <t>মোছাঃ খুকিজান</t>
  </si>
  <si>
    <t>০১/০৮/১৯৭৫</t>
  </si>
  <si>
    <t>১৯/০৮/১৯৮২</t>
  </si>
  <si>
    <t>জলিল বিশ্বাস</t>
  </si>
  <si>
    <t>মোছাঃ জনোয়ারা খাতুন</t>
  </si>
  <si>
    <t>০৮/০৭/১৯৫৭</t>
  </si>
  <si>
    <t>রহিমা</t>
  </si>
  <si>
    <t>০৫/১২/১৯৬২</t>
  </si>
  <si>
    <t>২৫/০৫/১৯৭৭</t>
  </si>
  <si>
    <t>আঃ রহমান মন্ডল</t>
  </si>
  <si>
    <t>মোছাঃ পাতুজান বিবি</t>
  </si>
  <si>
    <t>১৯/০৯/১৯৬৯</t>
  </si>
  <si>
    <t>মোঃ খেদু বকস</t>
  </si>
  <si>
    <t>মোছাঃ সত্য খাতুন</t>
  </si>
  <si>
    <t>০৩/০৯/১৯৫১</t>
  </si>
  <si>
    <t>মোছাঃ জেসমিন</t>
  </si>
  <si>
    <t>মোঃ রেহেদুল ইসলাম</t>
  </si>
  <si>
    <t>০৭/০৮/১৯৮৩</t>
  </si>
  <si>
    <t>মোছাঃ আসপিয়া আক্তার ঝর্না</t>
  </si>
  <si>
    <t>মোছাঃ আশাদুল ইসলাম</t>
  </si>
  <si>
    <t>১১/১২/১৯৮৫</t>
  </si>
  <si>
    <t>ভাদু খা</t>
  </si>
  <si>
    <t>মোছাঃ উলফাতন খাতুন</t>
  </si>
  <si>
    <t>আব্দুল কুদ্দুস</t>
  </si>
  <si>
    <t>জেয়নব নেছা</t>
  </si>
  <si>
    <t>২১/১১/১৯৭৫</t>
  </si>
  <si>
    <t>মোঃ খেজমত আলী</t>
  </si>
  <si>
    <t>মোছাঃ সারভান</t>
  </si>
  <si>
    <t>২৮/০৫/১৯৮৪</t>
  </si>
  <si>
    <t>জাহাঙ্গীর বিশ্বাস</t>
  </si>
  <si>
    <t>গৌরব</t>
  </si>
  <si>
    <t>২৯/০৪/১৯৬৪</t>
  </si>
  <si>
    <t>মোঃ নেরোজ আলী</t>
  </si>
  <si>
    <t>মোছাঃ হাফিজা</t>
  </si>
  <si>
    <t>২২/১২/১৯৮৭</t>
  </si>
  <si>
    <t>মোঃ আসান খাঁ</t>
  </si>
  <si>
    <t>১২/১২/১৯৮৭</t>
  </si>
  <si>
    <t>মোঃ ইউনুছ আলী</t>
  </si>
  <si>
    <t>মোছাঃ অনজনা পারভীন</t>
  </si>
  <si>
    <t>০৪/০২/১৯৮১</t>
  </si>
  <si>
    <t>মোছাঃ রইজন নেছা</t>
  </si>
  <si>
    <t>ফজলু হক</t>
  </si>
  <si>
    <t>মোছাঃ মোথলেচা</t>
  </si>
  <si>
    <t>২৫/০৬/১৯৬২</t>
  </si>
  <si>
    <t>ছুইমুদ্দিন</t>
  </si>
  <si>
    <t>মোছাঃ আফিরন</t>
  </si>
  <si>
    <t>২২/০৯/১৯৭১</t>
  </si>
  <si>
    <t>দেছের আলী মন্ডল</t>
  </si>
  <si>
    <t>সবেজান</t>
  </si>
  <si>
    <t>০১/০২/১৯২৭</t>
  </si>
  <si>
    <t>মোছাঃ কুলসুম বিবি</t>
  </si>
  <si>
    <t>০৪/০২/১৯৭৫</t>
  </si>
  <si>
    <t>সিদ্দিক হোসেন</t>
  </si>
  <si>
    <t>মোছাঃ ছাইরন নেছা</t>
  </si>
  <si>
    <t>০৯/০৭/১৯৮১</t>
  </si>
  <si>
    <t>ফজলু মিয়া</t>
  </si>
  <si>
    <t>মোছাঃ মোকেলো</t>
  </si>
  <si>
    <t>মোছাঃ মোকেলোচা খাতুন</t>
  </si>
  <si>
    <t>বদু মিয়া</t>
  </si>
  <si>
    <t>মৃত রমুজা খাতুন</t>
  </si>
  <si>
    <t>মোছাঃ সাপিয়া</t>
  </si>
  <si>
    <t>মোছাঃ আফসুন</t>
  </si>
  <si>
    <t>১২/০৮/১৯৭১</t>
  </si>
  <si>
    <t>২৪/১১/১৯৬৪</t>
  </si>
  <si>
    <t>মোছাঃ জনিয়ারা</t>
  </si>
  <si>
    <t>ওলিউল্লাহ</t>
  </si>
  <si>
    <t>মোঃ মহিরুদ্দীন</t>
  </si>
  <si>
    <t>মোছাঃ কুলসন</t>
  </si>
  <si>
    <t>২৪/১০/১৯৭২</t>
  </si>
  <si>
    <t>মোঃ তানজিমান</t>
  </si>
  <si>
    <t>২৩/০৭/১৯৮৩</t>
  </si>
  <si>
    <t>ছাদেক বিশ্বাস</t>
  </si>
  <si>
    <t>মোছাঃ আহিরন নেছা</t>
  </si>
  <si>
    <t>২৯/০৮/১৯৫৭</t>
  </si>
  <si>
    <t>জামিরন</t>
  </si>
  <si>
    <t>মোছাঃ রাশেদা বেগম</t>
  </si>
  <si>
    <t>রোমেজা</t>
  </si>
  <si>
    <t>মোছাঃ রিতা খাতুন</t>
  </si>
  <si>
    <t>মোঃ তোফাজ্জেল হোসেন</t>
  </si>
  <si>
    <t>০৮/০৯/১৯৮৫</t>
  </si>
  <si>
    <t>উম্মে ছাইফুন (রুমা)</t>
  </si>
  <si>
    <t>লতিফ বিশ্বাস</t>
  </si>
  <si>
    <t>বইমন নেছা</t>
  </si>
  <si>
    <t>০৫/০৪/১৯৭১</t>
  </si>
  <si>
    <t>মোবারক মন্ডল</t>
  </si>
  <si>
    <t>মৃত ছকিনা খাতুন</t>
  </si>
  <si>
    <t>০৩/০৮/১৯৫৭</t>
  </si>
  <si>
    <t>মোছাঃ জুলফাতন খাতুন</t>
  </si>
  <si>
    <t>মোছাঃ রেশমা খাতুন</t>
  </si>
  <si>
    <t>মোঃ রাজ্জাক আলী</t>
  </si>
  <si>
    <t>০৩/০৯/১৯৮৭</t>
  </si>
  <si>
    <t>বইনুদ্দীন বিশ্বাস</t>
  </si>
  <si>
    <t>রেজান খাতুন</t>
  </si>
  <si>
    <t>মোছাঃ উলফা খাতুন</t>
  </si>
  <si>
    <t>ইমদাদুল হক</t>
  </si>
  <si>
    <t>০৩/০৫/১৯৮০</t>
  </si>
  <si>
    <t>মোছাঃ গোলাপী খাতুন</t>
  </si>
  <si>
    <t>মোঃ চাঁদ আলী</t>
  </si>
  <si>
    <t>০৫/০৩/১৯৮৭</t>
  </si>
  <si>
    <t>মেহের বিশ্বাস</t>
  </si>
  <si>
    <t>রাহেলা খাতুন</t>
  </si>
  <si>
    <t>০৫/০৮/১৯৩৭</t>
  </si>
  <si>
    <t>মোছাঃ শামীমা আক্তার</t>
  </si>
  <si>
    <t>৩১/১২/১৯৭৬</t>
  </si>
  <si>
    <t>মোছাঃ লিপিয়ার</t>
  </si>
  <si>
    <t>মোঃ ইমাজুদ্দীন</t>
  </si>
  <si>
    <t>০৩/১২/১৯৮৭</t>
  </si>
  <si>
    <t>মোঃ সৈয়দ আলী</t>
  </si>
  <si>
    <t>মোছাঃ জয়নব নেছা</t>
  </si>
  <si>
    <t>০২/০৮/১৯৭৩</t>
  </si>
  <si>
    <t>০৫/০৮/১৯৮৪</t>
  </si>
  <si>
    <t>মোঃ মাজেদ আলী মীর</t>
  </si>
  <si>
    <t>২২/১১/১৯৭৭</t>
  </si>
  <si>
    <t>মোঃ রহমতুল্লাহ বিশ্বাস</t>
  </si>
  <si>
    <t>০২/০৮/১৯৬৭</t>
  </si>
  <si>
    <t>আব্দুল বারী সেখ</t>
  </si>
  <si>
    <t>০৮/০৯/১৯৬৫</t>
  </si>
  <si>
    <t>মোছাঃ রওশনারা</t>
  </si>
  <si>
    <t>হায়াত আলী</t>
  </si>
  <si>
    <t>মোছাঃ সাহারন</t>
  </si>
  <si>
    <t>মোছাঃ পারুলা</t>
  </si>
  <si>
    <t>মোঃ মজিরুদ্দীন</t>
  </si>
  <si>
    <t>০৫/০৫/১৯৬৮</t>
  </si>
  <si>
    <t>মোঃ জামাল উদ্দীন</t>
  </si>
  <si>
    <t>২৮/১২/১৯৮৮</t>
  </si>
  <si>
    <t>মোঃ আব্দুল আলীম</t>
  </si>
  <si>
    <t>মোছাঃ রাশিরা খাতুন</t>
  </si>
  <si>
    <t>০৫/০৮/১৯৮৩</t>
  </si>
  <si>
    <t>মোছাঃ রিক্তা খাতুন</t>
  </si>
  <si>
    <t>মোঃ আরশাদ আলী</t>
  </si>
  <si>
    <t>২১/০২/১৯৭৯</t>
  </si>
  <si>
    <t>মোঃ আব্দুর রশিদ</t>
  </si>
  <si>
    <t>মোছাঃ নিছারন খাতুন</t>
  </si>
  <si>
    <t>মোছাঃ হোসনে আরা খাতুন</t>
  </si>
  <si>
    <t>মোঃ হামিদুর রহমান</t>
  </si>
  <si>
    <t>আম্বিয়া রহমান</t>
  </si>
  <si>
    <t>৩০/০৯/১৯৭৯</t>
  </si>
  <si>
    <t>মোছাঃ সারজিনা আক্তার</t>
  </si>
  <si>
    <t>মোঃ শফিউল ইসলাম</t>
  </si>
  <si>
    <t>১২/০৫/১৯৮২</t>
  </si>
  <si>
    <t>মোঃ মুছাব আলী</t>
  </si>
  <si>
    <t>মোছাঃ মাহিরন</t>
  </si>
  <si>
    <t>১৫/০৬/১৯৮৫</t>
  </si>
  <si>
    <t>ওসমান খান</t>
  </si>
  <si>
    <t>মোছাঃ ভাদিজান</t>
  </si>
  <si>
    <t>০৫/১০/১৯৫৯</t>
  </si>
  <si>
    <t>ছিপাত</t>
  </si>
  <si>
    <t>সুরাজ</t>
  </si>
  <si>
    <t>১৬/০৮/১৯৫৭</t>
  </si>
  <si>
    <t>১৮/০৬/১৯৮৫</t>
  </si>
  <si>
    <t>মোছাঃ লাল বিবি</t>
  </si>
  <si>
    <t>করিম খা</t>
  </si>
  <si>
    <t>২০/১১/১৯৪৭</t>
  </si>
  <si>
    <t>মোছাঃ মুরশিদা বেগম</t>
  </si>
  <si>
    <t>ইছাহক</t>
  </si>
  <si>
    <t>মোঃ নিয়াজুল ইসলাম</t>
  </si>
  <si>
    <t>০৮/০৬/১৯৮৮</t>
  </si>
  <si>
    <t>মোছাঃ উজিলা খাতুন</t>
  </si>
  <si>
    <t>মোঃ আলামিন</t>
  </si>
  <si>
    <t>মোছাঃ লাবনী খাতুন</t>
  </si>
  <si>
    <t>মোঃ ইমদাদুল হক</t>
  </si>
  <si>
    <t>মোছাঃ আশিন্নুর খাতুন</t>
  </si>
  <si>
    <t>০৮/১০/১৯৮৭</t>
  </si>
  <si>
    <t>মোঃ সমসের আলি</t>
  </si>
  <si>
    <t>১৩/০৬/১৯৬৭</t>
  </si>
  <si>
    <t>মোছাঃ মজিরন খাতুন</t>
  </si>
  <si>
    <t>মিষ্ট খাতুন</t>
  </si>
  <si>
    <t>১৪/০৫/১৯৩৭</t>
  </si>
  <si>
    <t>দিদার বকস</t>
  </si>
  <si>
    <t>১৬/০৭/১৯৮০</t>
  </si>
  <si>
    <t>মোছাঃ পিনজিরা খাতুন</t>
  </si>
  <si>
    <t>গরীবুল্লাহ</t>
  </si>
  <si>
    <t>হোচেন আলী</t>
  </si>
  <si>
    <t>১১/১০/১৯৮০</t>
  </si>
  <si>
    <t>মোছাঃ সাবিরন নেছা</t>
  </si>
  <si>
    <t>হোচেন মোল্লা</t>
  </si>
  <si>
    <t>১৫/০৮/১৯৬২</t>
  </si>
  <si>
    <t>মোছাঃ শাহারন নেছা</t>
  </si>
  <si>
    <t>১৪/০৭/১৯৮৭</t>
  </si>
  <si>
    <t>মোছাঃ দিনা খাতুন</t>
  </si>
  <si>
    <t>১৩/১০/১৯৮৬</t>
  </si>
  <si>
    <t>মোঃ কলিমদ্দিন</t>
  </si>
  <si>
    <t>১৫/০৮/১৯৬৫</t>
  </si>
  <si>
    <t>জংগল শেখ</t>
  </si>
  <si>
    <t>১৪/০৮/১৯৭৭</t>
  </si>
  <si>
    <t>মোছাঃ শুকজান খাতুন</t>
  </si>
  <si>
    <t>মোঃ হারুন-অর-রশিদ</t>
  </si>
  <si>
    <t>১৩/০৭/১৯৮০</t>
  </si>
  <si>
    <t>মোছাঃ সালমা খাতুন</t>
  </si>
  <si>
    <t>মোঃ আব্দুর সাত্তার</t>
  </si>
  <si>
    <t>মোঃ আব্দুল কাশেম শেখ</t>
  </si>
  <si>
    <t>১৩/০৫/১৯৭৭</t>
  </si>
  <si>
    <t>মোঃ বছের আলী</t>
  </si>
  <si>
    <t>মোছাঃ ছায়রা বেগম</t>
  </si>
  <si>
    <t>১০/০৯/১৯৭২</t>
  </si>
  <si>
    <t>মোছাঃ ওছিরন বেগম</t>
  </si>
  <si>
    <t>আমিরদ্দিন</t>
  </si>
  <si>
    <t>১৯/০৪/১৯৬৭</t>
  </si>
  <si>
    <t>মোছাঃ হানিফা খাতুন</t>
  </si>
  <si>
    <t>পরিষ্কার বেগম</t>
  </si>
  <si>
    <t>২০/১০/১৯৭৯</t>
  </si>
  <si>
    <t>মুন্নুক শেখ</t>
  </si>
  <si>
    <t>১০/০৮/১৯৭২</t>
  </si>
  <si>
    <t>শ্রমিক</t>
  </si>
  <si>
    <t>মোছাঃ হালেজান</t>
  </si>
  <si>
    <t>জামিরন নেছা</t>
  </si>
  <si>
    <t>১৪/০৮/১৯৬২</t>
  </si>
  <si>
    <t>মোছাঃ ছাইনা খাতুন</t>
  </si>
  <si>
    <t>১৫/০৯/১৯৮২</t>
  </si>
  <si>
    <t>হেলাল উদ্দীন</t>
  </si>
  <si>
    <t>খাতেজান</t>
  </si>
  <si>
    <t>১২/০৬/১৯৬৭</t>
  </si>
  <si>
    <t>১১/০৮/১৯৬৯</t>
  </si>
  <si>
    <t>মোছাঃ সাদিনা খাতুন</t>
  </si>
  <si>
    <t>মোঃ হায়াত আলী বিশ্বাস</t>
  </si>
  <si>
    <t>১৩/০৮/১৯৭৫</t>
  </si>
  <si>
    <t>মোছাঃ জমিনা বেগম</t>
  </si>
  <si>
    <t>মোঃ ইমান আলী</t>
  </si>
  <si>
    <t>মোছাঃ নফুরা বেগম</t>
  </si>
  <si>
    <t>১৪/০৭/১৯৬১</t>
  </si>
  <si>
    <t>মোঃ রজব আলী</t>
  </si>
  <si>
    <t>১৮/০৮/১৯৭৭</t>
  </si>
  <si>
    <t>মোছাঃ ফুলজান বেগম</t>
  </si>
  <si>
    <t>২১/১০/১৯৬৯</t>
  </si>
  <si>
    <t>মোঃ নকিুদ্দিন</t>
  </si>
  <si>
    <t>১১/০৮/১৯৮২</t>
  </si>
  <si>
    <t>অন্যান্য</t>
  </si>
  <si>
    <t>মোছাঃ আক্তার বানু</t>
  </si>
  <si>
    <t>১৫/১০/১৯৮৮</t>
  </si>
  <si>
    <t>মোছাঃ ফলজন বেগম</t>
  </si>
  <si>
    <t>১৪/০৭/১৯৮৪</t>
  </si>
  <si>
    <t>মোছাঃ সাগরী খাতুন</t>
  </si>
  <si>
    <t>দিদার শেখ</t>
  </si>
  <si>
    <t>১৭/০৫/১৯৮৮</t>
  </si>
  <si>
    <t>মোছাঃ সাইজান</t>
  </si>
  <si>
    <t>দীন মোহাম্মদ</t>
  </si>
  <si>
    <t>কয়েদা বানু</t>
  </si>
  <si>
    <t>১৭/০৮/১৯৬৫</t>
  </si>
  <si>
    <t>মোছাঃ কুমকুম আরা</t>
  </si>
  <si>
    <t>মকলেছুর রহমান</t>
  </si>
  <si>
    <t>জাম্নাতু নেছা</t>
  </si>
  <si>
    <t>১১/০৬/১৯৭০</t>
  </si>
  <si>
    <t>মোঃ রুপচাঁদ আলী</t>
  </si>
  <si>
    <t>মোছাঃ পানুয়ারা খাতুন</t>
  </si>
  <si>
    <t>২১/০৬/১৯৮২</t>
  </si>
  <si>
    <t>২০/০৬/১৯৬৭</t>
  </si>
  <si>
    <t>মোছাঃ শাহিনা খাতুন</t>
  </si>
  <si>
    <t>মোঃ ওবাহিদুল্লাহ</t>
  </si>
  <si>
    <t>১৯/০৭/১৯৮৮</t>
  </si>
  <si>
    <t>মোঃ হেকে মদ্দিন</t>
  </si>
  <si>
    <t>মোছাঃ খাজিমন নেছা</t>
  </si>
  <si>
    <t>মোঃ কাঙ্গালী শেখ</t>
  </si>
  <si>
    <t>মোছাঃ খতেজান</t>
  </si>
  <si>
    <t>১৩/০৭/১৯৬৩</t>
  </si>
  <si>
    <t>মোছাঃ শিরিনা আক্তার</t>
  </si>
  <si>
    <t>মোঃ তোজাম্মেল হক</t>
  </si>
  <si>
    <t>১৪/০৬/১৯৮৫</t>
  </si>
  <si>
    <t>মোঃ রাহাজেল পরামানিক</t>
  </si>
  <si>
    <t>১৬/০৮/১৯৮২</t>
  </si>
  <si>
    <t>মোছাঃ খুকু মনি</t>
  </si>
  <si>
    <t>১৮/০৯/১৯৮৮</t>
  </si>
  <si>
    <t>কাঙাল শেখ</t>
  </si>
  <si>
    <t>ফলেজান</t>
  </si>
  <si>
    <t>মোছাঃ ছফেলা বেগম</t>
  </si>
  <si>
    <t>হৈফত শেখ</t>
  </si>
  <si>
    <t>মোছাঃ নিহারন বেওয়া</t>
  </si>
  <si>
    <t>১৭/০৫/১৯৫২</t>
  </si>
  <si>
    <t>আকবর আলী</t>
  </si>
  <si>
    <t>১৪/০৬/১৯৬৭</t>
  </si>
  <si>
    <t>আছিরুদ্দিন</t>
  </si>
  <si>
    <t>২০/০৭/১৯৭৭</t>
  </si>
  <si>
    <t>মোছাঃ বেদানা খাতুন</t>
  </si>
  <si>
    <t>১৯/০৫/১৯৮০</t>
  </si>
  <si>
    <t>মোঃ সুন্নত মালিথা</t>
  </si>
  <si>
    <t>মোছাঃ মুনজিরা বেগম</t>
  </si>
  <si>
    <t>১২/০৬/১৯৭০</t>
  </si>
  <si>
    <t>মোছাঃ জবেদা বেগম</t>
  </si>
  <si>
    <t>ফাতেমা বেওয়া</t>
  </si>
  <si>
    <t>১৪/০৬/১৯৫৯</t>
  </si>
  <si>
    <t>মোঃ একরামুল মল্লিক</t>
  </si>
  <si>
    <t>২২/০৭/১৯৬৭</t>
  </si>
  <si>
    <t>মোছাঃ রুপিয়া খাতুন</t>
  </si>
  <si>
    <t>মোঃ আছিরুদ্দিন</t>
  </si>
  <si>
    <t>১১/১০/১৯৭৫</t>
  </si>
  <si>
    <t>জৌলুস</t>
  </si>
  <si>
    <t>১৫/০৬/১৯৮০</t>
  </si>
  <si>
    <t>হারেজে আলী</t>
  </si>
  <si>
    <t>মাহিরন নেছা</t>
  </si>
  <si>
    <t>১১/০৯/১৯৭৫</t>
  </si>
  <si>
    <t>মোঃ আব্দুর রহমান</t>
  </si>
  <si>
    <t>১৮/০৬/১৯৭৭</t>
  </si>
  <si>
    <t>মোছাঃ সোনা ভানু</t>
  </si>
  <si>
    <t>মোছাঃ জহুরা বেওয়া</t>
  </si>
  <si>
    <t>১৮/০৮/১৯৫৭</t>
  </si>
  <si>
    <t>মোছাঃ আসেনা খাতুন</t>
  </si>
  <si>
    <t>নসকর আলী</t>
  </si>
  <si>
    <t>কুলছুম বেওয়া</t>
  </si>
  <si>
    <t>১৩/০৯/১৯৭৫</t>
  </si>
  <si>
    <t>১৭/০৮/১৯৮২</t>
  </si>
  <si>
    <t>বরকত উল্লাহ</t>
  </si>
  <si>
    <t>মৃতো বেগম</t>
  </si>
  <si>
    <t>১৪/০৪/১৯৬৫</t>
  </si>
  <si>
    <t>মোছাঃ শরিফা ইয়াসমিন</t>
  </si>
  <si>
    <t>মোছাঃ সপুরা বেগম</t>
  </si>
  <si>
    <t>২১/০৮/১৯৯১</t>
  </si>
  <si>
    <t>মোছাঃ ছপুরা বেগম</t>
  </si>
  <si>
    <t>নুর মোহাম্মদ</t>
  </si>
  <si>
    <t>ছুরাতন নেছা</t>
  </si>
  <si>
    <t>১১/০৬/১৯৬২</t>
  </si>
  <si>
    <t>মোছাঃ শামসুন নাহার</t>
  </si>
  <si>
    <t>১৩/০৭/১৯৮২</t>
  </si>
  <si>
    <t>মোছাঃ শাহনাজ খাতুন</t>
  </si>
  <si>
    <t>মোঃ শওকত আলী</t>
  </si>
  <si>
    <t>১৬/০৬/১৯৮৮</t>
  </si>
  <si>
    <t>জানালী</t>
  </si>
  <si>
    <t>চিনি বিবি</t>
  </si>
  <si>
    <t>১৭/০৬/১৯৬২</t>
  </si>
  <si>
    <t>নেজামদ্দিন শেখ</t>
  </si>
  <si>
    <t>মোছাঃ আমেনা বেওয়া</t>
  </si>
  <si>
    <t>০৯/০৮/১৯৬৭</t>
  </si>
  <si>
    <t>মোছাঃ জৌলব বেওয়া</t>
  </si>
  <si>
    <t>১৫/০৬/১৯৭৫</t>
  </si>
  <si>
    <t>১৩/০৬/১৯৭২</t>
  </si>
  <si>
    <t>শিরিন আক্তার</t>
  </si>
  <si>
    <t>সিদ্দিকুল্লাহ</t>
  </si>
  <si>
    <t>তাহেরা বেগম</t>
  </si>
  <si>
    <t>২১/০৮/১৯৫৭</t>
  </si>
  <si>
    <t>মোঃ কুতুব উদ্দীন</t>
  </si>
  <si>
    <t>মোছাঃ তজবিরা খাতুন</t>
  </si>
  <si>
    <t>বদরুদ্দীন শেখ</t>
  </si>
  <si>
    <t>হাজেরা খাতুন</t>
  </si>
  <si>
    <t>১৪/১০/১৯৭৩</t>
  </si>
  <si>
    <t>মোছাঃ জোৎস্না খাতুন</t>
  </si>
  <si>
    <t>জান মোহাম্মদ</t>
  </si>
  <si>
    <t>১৩/০৮/১৯৭৭</t>
  </si>
  <si>
    <t>মোছাঃ রমুজা খাতুন</t>
  </si>
  <si>
    <t>মোঃ শামসুল ইসলাম</t>
  </si>
  <si>
    <t>তাজবানু</t>
  </si>
  <si>
    <t>১৮/০৭/১৯৬৫</t>
  </si>
  <si>
    <t>মোঃ মহাসিন আলী</t>
  </si>
  <si>
    <t>মোছাঃ রসিলা খাতুন</t>
  </si>
  <si>
    <t>১৮/০৯/১৯৮৫</t>
  </si>
  <si>
    <t>মোঃ তনু মিয়া</t>
  </si>
  <si>
    <t>মোছাঃ জুলেখা বেগম</t>
  </si>
  <si>
    <t>১৪/০৮/১৯৬৯</t>
  </si>
  <si>
    <t>মোছাঃ ভাদিরন</t>
  </si>
  <si>
    <t>রব্বানী মন্ডল</t>
  </si>
  <si>
    <t>জয়রন নেছা</t>
  </si>
  <si>
    <t>১৩/০৪/১৯৬২</t>
  </si>
  <si>
    <t>১০/০৭/১৯৮৫</t>
  </si>
  <si>
    <t>মোছাঃ মাহমুদা খাতুন</t>
  </si>
  <si>
    <t>ওহিদুর হক</t>
  </si>
  <si>
    <t>মোছাঃ সুরাইয়া খাতুন</t>
  </si>
  <si>
    <t>২০/০৮/১৯৮০</t>
  </si>
  <si>
    <t>১০/০৫/১৯৮৭</t>
  </si>
  <si>
    <t>মোঃ আফজউদ্দিন</t>
  </si>
  <si>
    <t>১১/০৮/১৯৭৯</t>
  </si>
  <si>
    <t>আকসাদ আলী</t>
  </si>
  <si>
    <t>মোছাঃ আশেরা খাতুন</t>
  </si>
  <si>
    <t>১৫/০৭/১৯৭৫</t>
  </si>
  <si>
    <t>মোছাঃ রিজিয়া বেওয়া</t>
  </si>
  <si>
    <t>হাফিজ উদ্দীন</t>
  </si>
  <si>
    <t>মোছাঃ জরফুন নেছা</t>
  </si>
  <si>
    <t>১৩/০৭/১৯৫৫</t>
  </si>
  <si>
    <t>আব্দুল রাখাল</t>
  </si>
  <si>
    <t>হাওয়া খাতুন</t>
  </si>
  <si>
    <t>১৬/০৫/১৯৭০</t>
  </si>
  <si>
    <t>কাদের বকস</t>
  </si>
  <si>
    <t>মোছাঃ খাতুন নেছা</t>
  </si>
  <si>
    <t>১৩/০৫/১৯৬৫</t>
  </si>
  <si>
    <t>মোছাঃ হাদিসন খাতুন</t>
  </si>
  <si>
    <t>মোঃ হেদায়েত আলী</t>
  </si>
  <si>
    <t>মোছাঃ বেগম</t>
  </si>
  <si>
    <t>২০/০৪/১৯৮৭</t>
  </si>
  <si>
    <t>মোছাঃ শাহিদা বেগম</t>
  </si>
  <si>
    <t>মোছাঃ মখিন বিবি</t>
  </si>
  <si>
    <t>৫৭০০৩৮৩৫৫৪৪-৩</t>
  </si>
  <si>
    <t>১৭/০৮/১৯৬৭</t>
  </si>
  <si>
    <t>কহিনুর বেগম</t>
  </si>
  <si>
    <t>জিয়াদ আলী</t>
  </si>
  <si>
    <t>ছকিনা বেগম</t>
  </si>
  <si>
    <t>১৮/০৯/১৯৬৭</t>
  </si>
  <si>
    <t>মোঃ ছায়তুল্লাহ</t>
  </si>
  <si>
    <t>মোছাঃ হাওয়া জান</t>
  </si>
  <si>
    <t>১১/০৭/১৯৮৭</t>
  </si>
  <si>
    <t>১০/০৮/১৯৫৯</t>
  </si>
  <si>
    <t>মোছাঃ শাহারন বেওয়া</t>
  </si>
  <si>
    <t>নছিয়া বেগম</t>
  </si>
  <si>
    <t>সদর আলী</t>
  </si>
  <si>
    <t>সাবানা বেগম</t>
  </si>
  <si>
    <t>৫৭০০৩৮৩৫৫৪-৭৪</t>
  </si>
  <si>
    <t>মোছাঃ মমিনা খাতুন</t>
  </si>
  <si>
    <t>মোঃ লিয়াকত শেখ</t>
  </si>
  <si>
    <t>মোছাঃ অজিফা বেগম</t>
  </si>
  <si>
    <t>৫৭০০৩৮৩৫৫৪-৭৫</t>
  </si>
  <si>
    <t>২০/১০/১৯৮৩</t>
  </si>
  <si>
    <t>নুর মোহাম্মদ আশরাফ আলী</t>
  </si>
  <si>
    <t>৫৭০০৩৮৩৫৫৪-৭৬</t>
  </si>
  <si>
    <t>১০/০৭/১৯৭০</t>
  </si>
  <si>
    <t>মোছাঃ সতু বেগম</t>
  </si>
  <si>
    <t>৫৭০০৩৮৩৫৫৪-৭৭</t>
  </si>
  <si>
    <t>১৯/০৫/১৯৬৯</t>
  </si>
  <si>
    <t>৫৭০০৩৮৩৫৫৪-৭৮</t>
  </si>
  <si>
    <t>১৩/০৫/১৯৮৫</t>
  </si>
  <si>
    <t>মোঃ মুনতাজ আলী</t>
  </si>
  <si>
    <t>৫৭০০৩৮৩৫৫৪-৭৯</t>
  </si>
  <si>
    <t>২৫/০৬/১৯৬৭</t>
  </si>
  <si>
    <t>২১/০৭/১৯৮১</t>
  </si>
  <si>
    <t>মোঃ আবু শামা</t>
  </si>
  <si>
    <t>মোছাঃ রাহাজান</t>
  </si>
  <si>
    <t>১৬/০৫/১৯৮৬</t>
  </si>
  <si>
    <t>নঈমদ্দিন</t>
  </si>
  <si>
    <t>১৮/০৭/১৯৭০</t>
  </si>
  <si>
    <t>মোঃ মুসা শেখ</t>
  </si>
  <si>
    <t>মোছাঃ ছামেনা বেগম</t>
  </si>
  <si>
    <t>১১/০৬/১৯৫৯</t>
  </si>
  <si>
    <t>মোঃ কালু বিশ্বাস</t>
  </si>
  <si>
    <t>১৬/০৮/১৯৮০</t>
  </si>
  <si>
    <t>মোছাঃ হাওয়া খাতুন</t>
  </si>
  <si>
    <t>মোঃ আয়েত আলী</t>
  </si>
  <si>
    <t>১৪/০৬/১৯৭৭</t>
  </si>
  <si>
    <t>মোছাঃ সিরিনা খাতুন</t>
  </si>
  <si>
    <t>ফইমদ্দিন</t>
  </si>
  <si>
    <t>১৭/০৯/১৯৮৭</t>
  </si>
  <si>
    <t>মোঃ হজরত শেখ</t>
  </si>
  <si>
    <t>১১/০৫/১৯৬৭</t>
  </si>
  <si>
    <t>১৯/০৮/১৯৮০</t>
  </si>
  <si>
    <t>নরম জান</t>
  </si>
  <si>
    <t>আফছার মন্ডল</t>
  </si>
  <si>
    <t>২২/০৭/১৯৩২</t>
  </si>
  <si>
    <t>মোছাঃ নেকছার বানু</t>
  </si>
  <si>
    <t>রুস্তম শাহ</t>
  </si>
  <si>
    <t>২৩/০৮/১৯৮১</t>
  </si>
  <si>
    <t>মোঃ দবির উদ্দীন</t>
  </si>
  <si>
    <t>০২/০৪/১৯৮৫</t>
  </si>
  <si>
    <t>সিদ্দিক আলী</t>
  </si>
  <si>
    <t>মোছাঃ ছাইরন খাতুন</t>
  </si>
  <si>
    <t>১১/০৪/১৯৭৭</t>
  </si>
  <si>
    <t>মোছাঃ সুকজান</t>
  </si>
  <si>
    <t>তাসের মন্ডল</t>
  </si>
  <si>
    <t>বামনী খাতুন</t>
  </si>
  <si>
    <t>১৫/০১/১৯৭২</t>
  </si>
  <si>
    <t>মোছাঃ বিলুয়ারা খাতুন</t>
  </si>
  <si>
    <t>মোঃ ইসাহক</t>
  </si>
  <si>
    <t>মোঃ হেকমত আলী</t>
  </si>
  <si>
    <t>২২/০৪/১৯৮২</t>
  </si>
  <si>
    <t>মোঃ নফর আলী</t>
  </si>
  <si>
    <t>১৬/০৫/১৯৮৫</t>
  </si>
  <si>
    <t>মোছাঃ মুন্ছুরা খাতুন</t>
  </si>
  <si>
    <t>আরেছ মন্ডল</t>
  </si>
  <si>
    <t>০৮/০৬/১৯৫৭</t>
  </si>
  <si>
    <t>০৭/০১/১৯৮৭</t>
  </si>
  <si>
    <t>মোছাঃ আরশেদা খাতুন</t>
  </si>
  <si>
    <t>নিফাজ মন্ডল</t>
  </si>
  <si>
    <t>০৯/০৪/১৯৫৫</t>
  </si>
  <si>
    <t>ছাদের আলি</t>
  </si>
  <si>
    <t>০৮/০৬/১৯৭২</t>
  </si>
  <si>
    <t>মোঃ ফজল আলি</t>
  </si>
  <si>
    <t>২১/০৪/১৯৭২</t>
  </si>
  <si>
    <t>মোছাঃ জাহারুন খাতুন</t>
  </si>
  <si>
    <t>চাঁদ আলি</t>
  </si>
  <si>
    <t>মোছাঃ রজবালা খাতুন</t>
  </si>
  <si>
    <t>০৬/০১/১৯৭২</t>
  </si>
  <si>
    <t>মোছাঃ উলকা খাতুন</t>
  </si>
  <si>
    <t>০৫/০১/১৯৮৯</t>
  </si>
  <si>
    <t>ইয়াকুব আলী মন্ডল</t>
  </si>
  <si>
    <t>২৫/০৬/১৯৭৭</t>
  </si>
  <si>
    <t>মোছাঃ রোকছানা খাতুন</t>
  </si>
  <si>
    <t>আজমত</t>
  </si>
  <si>
    <t>২৬/০৫/১৯৮৬</t>
  </si>
  <si>
    <t>এন্দের আলী কারিগর</t>
  </si>
  <si>
    <t>২৫/০৪/১৯৭৩</t>
  </si>
  <si>
    <t>হসেন কারিগর</t>
  </si>
  <si>
    <t>মোছাঃ জিজ্ঞান বিবি</t>
  </si>
  <si>
    <t>নঈমদ্দিন মন্ডল</t>
  </si>
  <si>
    <t>চাঁদ বিবি</t>
  </si>
  <si>
    <t>মোঃ আপছার কারিগর</t>
  </si>
  <si>
    <t>মোছাঃ মোয়রন নেছা</t>
  </si>
  <si>
    <t>১৭/০৪/১৯৭১</t>
  </si>
  <si>
    <t>মোছাঃ নাজমিন আরা</t>
  </si>
  <si>
    <t>মোছাঃ মছিয়া খাতুন</t>
  </si>
  <si>
    <t>১৬/০৪/১৯৮২</t>
  </si>
  <si>
    <t>"গাড়াবোব</t>
  </si>
  <si>
    <t xml:space="preserve"> গাংনী</t>
  </si>
  <si>
    <t xml:space="preserve"> মেহেরপুর"</t>
  </si>
  <si>
    <t>মোছাঃ জলেখা বিবি</t>
  </si>
  <si>
    <t>০৯/০৬/১৯৭২</t>
  </si>
  <si>
    <t>মোছাঃ আকলীমা খাতুন</t>
  </si>
  <si>
    <t>মোঃ বাবর আলি</t>
  </si>
  <si>
    <t>২২/০৬/১৯৭৯</t>
  </si>
  <si>
    <t>মোছাঃ ছিয়াতন খাতুন</t>
  </si>
  <si>
    <t>বাহার মন্ডল</t>
  </si>
  <si>
    <t>সালেহার বিবি</t>
  </si>
  <si>
    <t>২৪/০৪/১৯৫২</t>
  </si>
  <si>
    <t>চমৎকার</t>
  </si>
  <si>
    <t>মোছাঃ এলেজান</t>
  </si>
  <si>
    <t>১১/০১/১৯৭১</t>
  </si>
  <si>
    <t>০৬/০১/১৯৬৭</t>
  </si>
  <si>
    <t>নুরাল</t>
  </si>
  <si>
    <t>সোহাগী</t>
  </si>
  <si>
    <t>০৮/০১/১৯৫০</t>
  </si>
  <si>
    <t>মোছাঃ খালেদা খাতুন</t>
  </si>
  <si>
    <t>মোঃ উম্মাদ আলী</t>
  </si>
  <si>
    <t>মোছাঃ মাকছুদা খাতুন</t>
  </si>
  <si>
    <t>২২/০৬/১৯৮৭</t>
  </si>
  <si>
    <t>মোছাঃ ছারু খাতুন</t>
  </si>
  <si>
    <t>১২/০১/১৯৫৩</t>
  </si>
  <si>
    <t>মোছাঃ আলেছা খাতুন</t>
  </si>
  <si>
    <t>মোঃ হযরত আলি</t>
  </si>
  <si>
    <t>২৩/০৪/১৯৮৫</t>
  </si>
  <si>
    <t>মোঃ খয়রুদ্দীন কারিগর</t>
  </si>
  <si>
    <t>১৮/০৭/১৯৮২</t>
  </si>
  <si>
    <t>মোছাঃ করিমন খাতুন</t>
  </si>
  <si>
    <t>জিম্মাত মন্ডল</t>
  </si>
  <si>
    <t>মোছাঃ ছুরাজ বিবি</t>
  </si>
  <si>
    <t>১৬/০৮/১৯৪২</t>
  </si>
  <si>
    <t>মোঃ কুদ্দুস বিশ্বাস</t>
  </si>
  <si>
    <t>মোছাঃ ছারভানু</t>
  </si>
  <si>
    <t>১৬/০৭/১৯৮১</t>
  </si>
  <si>
    <t>এঞ্জেল আলী</t>
  </si>
  <si>
    <t>মোছাঃ ছাইফা খাতুন</t>
  </si>
  <si>
    <t>২৮/০৯/১৯৭৯</t>
  </si>
  <si>
    <t>মোছাঃ আইতন নেছা</t>
  </si>
  <si>
    <t>জাহানারা খাতুন</t>
  </si>
  <si>
    <t>১৪/০৫/১৯৭২</t>
  </si>
  <si>
    <t>ছিপারদ্দী কারিগর</t>
  </si>
  <si>
    <t>১৮/০৫/১৯৪৭</t>
  </si>
  <si>
    <t>মোঃ আকবার আলী</t>
  </si>
  <si>
    <t>১৬/০৬/১৯৭০</t>
  </si>
  <si>
    <t>মোছাঃ ছাবিরন খাতুন</t>
  </si>
  <si>
    <t>মোঃ মাদার মন্ডল</t>
  </si>
  <si>
    <t>২৪/০৪/১৯৭০</t>
  </si>
  <si>
    <t>মোছাঃ শমেজান খাতুন</t>
  </si>
  <si>
    <t>আঃ রওফ</t>
  </si>
  <si>
    <t>ছগুরা খাতুন</t>
  </si>
  <si>
    <t>২৫/০৬/১৯৭২</t>
  </si>
  <si>
    <t>মোঃ গোলেবাস মন্ডল</t>
  </si>
  <si>
    <t>মোছাঃ রজিফা খাতুন</t>
  </si>
  <si>
    <t>২৬/০৭/১৯৮৭</t>
  </si>
  <si>
    <t>মোঃ ওহাব আলি</t>
  </si>
  <si>
    <t>মোছাঃ জালেমন</t>
  </si>
  <si>
    <t>১২/০৪/১৯৭১</t>
  </si>
  <si>
    <t>মোছাঃ রেক্ছুনা খাতুন</t>
  </si>
  <si>
    <t>মোঃ জাকের আলি</t>
  </si>
  <si>
    <t>২৫/০৭/১৯৮৫</t>
  </si>
  <si>
    <t>আজগর আলি</t>
  </si>
  <si>
    <t>মোছাঃ ছামসুন্নাহার</t>
  </si>
  <si>
    <t>১৩/০৫/১৯৭১</t>
  </si>
  <si>
    <t>মোছাঃ ফেরদৌসি খাতুন</t>
  </si>
  <si>
    <t>মোঃ জালাল উদ্দীন</t>
  </si>
  <si>
    <t>১২/০৭/১৯৮৭</t>
  </si>
  <si>
    <t>মোছাঃ শরেজান</t>
  </si>
  <si>
    <t>ভাদু</t>
  </si>
  <si>
    <t>মোছাঃ ইকাতোন</t>
  </si>
  <si>
    <t>১৬/০৭/১৯৪২</t>
  </si>
  <si>
    <t>মোছাঃ আলতাফোন</t>
  </si>
  <si>
    <t>২২/০৫/১৯৮৬</t>
  </si>
  <si>
    <t>মোঃ বাদল শেখ</t>
  </si>
  <si>
    <t>১১/০৫/১৯৬২</t>
  </si>
  <si>
    <t>মোঃ মহসীন</t>
  </si>
  <si>
    <t>২৪/০৫/১৯৬৯</t>
  </si>
  <si>
    <t>মোঃ ছবকুল</t>
  </si>
  <si>
    <t>আলতাফোন</t>
  </si>
  <si>
    <t>১৫/১১/১৯৭৭</t>
  </si>
  <si>
    <t>মোঃ আয়ুব আলি</t>
  </si>
  <si>
    <t>মোছাঃ মতিয়ার খাতুন</t>
  </si>
  <si>
    <t>২৫/০৭/১৯৮৩</t>
  </si>
  <si>
    <t>মোছাঃ পুনকা বতী</t>
  </si>
  <si>
    <t>নিয়ামত আলি</t>
  </si>
  <si>
    <t>২৮/০৮/১৯৭৭</t>
  </si>
  <si>
    <t>কারেল</t>
  </si>
  <si>
    <t>১১/১২/১৯৩৭</t>
  </si>
  <si>
    <t>মোছাঃ আস্তরা খাতুন</t>
  </si>
  <si>
    <t>চিনি বাস</t>
  </si>
  <si>
    <t>ফরজ</t>
  </si>
  <si>
    <t>১৩/০৬/১৯৪৫</t>
  </si>
  <si>
    <t>দাউদ আলী</t>
  </si>
  <si>
    <t>মোছাঃ শরিদা খাতুন</t>
  </si>
  <si>
    <t>ইউনুচ আলী</t>
  </si>
  <si>
    <t>১৫/০৪/১৯৮৩</t>
  </si>
  <si>
    <t>মোছাঃ সাদানা খাতুন</t>
  </si>
  <si>
    <t>মোঃ জিল্লুর রহমান</t>
  </si>
  <si>
    <t>১২/০৭/১৯৮২</t>
  </si>
  <si>
    <t>মোঃ আমদ আলী</t>
  </si>
  <si>
    <t>০৬/০৪/১৯৪৭</t>
  </si>
  <si>
    <t>মোছাঃ হোসেনয়ারা খাতুন</t>
  </si>
  <si>
    <t>মোঃ আসাদ</t>
  </si>
  <si>
    <t>২৩/০৯/১৯৭২</t>
  </si>
  <si>
    <t>মোছাঃ আজেদা খাতুন</t>
  </si>
  <si>
    <t>মাদার সেখ</t>
  </si>
  <si>
    <t>জাহিদা খাতুন</t>
  </si>
  <si>
    <t>২৮/১১/১৯৬৩</t>
  </si>
  <si>
    <t>মোছাঃ আকিমন</t>
  </si>
  <si>
    <t>মোঃ আলামিন হোসেন</t>
  </si>
  <si>
    <t>২৭/০৯/১৯৭৯</t>
  </si>
  <si>
    <t>নাজির মন্ডল</t>
  </si>
  <si>
    <t>১৪/০৪/১৯৫৭</t>
  </si>
  <si>
    <t>নছিমদ্দীন সেখ</t>
  </si>
  <si>
    <t>১২/০৮/১৯৬৭</t>
  </si>
  <si>
    <t>মাহমুদ খাঁ</t>
  </si>
  <si>
    <t>মোছাঃ জরিমন্ খাতুন</t>
  </si>
  <si>
    <t>১৫/০৬/১৯৭৯</t>
  </si>
  <si>
    <t>আমির আলি</t>
  </si>
  <si>
    <t>১২/০৬/১৯৭২</t>
  </si>
  <si>
    <t>মোছাঃ মোমিনা খাতুন</t>
  </si>
  <si>
    <t>মোঃ আচমত</t>
  </si>
  <si>
    <t>মোছাঃ দেলজান</t>
  </si>
  <si>
    <t>১৭/০৪/১৯৭৭</t>
  </si>
  <si>
    <t>মোঃ একরাম আলী</t>
  </si>
  <si>
    <t>মোছাঃ জিওজান</t>
  </si>
  <si>
    <t>মোঃ শুকুর উদ্দীন</t>
  </si>
  <si>
    <t>মোছাঃ জাইরুল</t>
  </si>
  <si>
    <t>১৬/০৯/১৯৭২</t>
  </si>
  <si>
    <t>চাঁদ আলী</t>
  </si>
  <si>
    <t>মোছাঃ জামেলা</t>
  </si>
  <si>
    <t>০৩/০৭/১৯৬৭</t>
  </si>
  <si>
    <t>মেছের আলি</t>
  </si>
  <si>
    <t>মোছাঃ খাতুন</t>
  </si>
  <si>
    <t>০৬/০৩/১৯৭১</t>
  </si>
  <si>
    <t>মোছাঃ শবেজান</t>
  </si>
  <si>
    <t>ছাদের আলী</t>
  </si>
  <si>
    <t>মোছাঃ সাহরুন</t>
  </si>
  <si>
    <t>০৪/০৩/১৯৬৫</t>
  </si>
  <si>
    <t>মোছাঃ ছাহেলা</t>
  </si>
  <si>
    <t>০৯/০৩/১৯৭৭</t>
  </si>
  <si>
    <t>১২/০৩/১৯৫৯</t>
  </si>
  <si>
    <t>মোঃ ফয়জদ্দীন</t>
  </si>
  <si>
    <t>১৯/০৩/১৯৮০</t>
  </si>
  <si>
    <t>মোছাঃ মাফুজা খাতুন</t>
  </si>
  <si>
    <t>মোছাঃ মাহাতোন খাতুন</t>
  </si>
  <si>
    <t>০৯/০৩/১৯৬৭</t>
  </si>
  <si>
    <t>মোঃ আয়ুব নবী</t>
  </si>
  <si>
    <t>মোছাঃ ছামিরুন খাতুন</t>
  </si>
  <si>
    <t>০৭/০৩/১৯৭৬</t>
  </si>
  <si>
    <t>০৮/০৩/১৯৭২</t>
  </si>
  <si>
    <t>খোকন শেখ</t>
  </si>
  <si>
    <t>মোছাঃ খুকী খাতুন</t>
  </si>
  <si>
    <t>০৬/০৩/১৯৩৮</t>
  </si>
  <si>
    <t>মোছাঃ জহিরুন নেছা</t>
  </si>
  <si>
    <t>ফজলু খাতুন</t>
  </si>
  <si>
    <t>মোছাঃ মকলেচা খাতুন</t>
  </si>
  <si>
    <t>০৫/০৪/১৯৭০</t>
  </si>
  <si>
    <t>মোছাঃ রিকাতোন নেছা</t>
  </si>
  <si>
    <t>০৪/০৩/১৯৬৯</t>
  </si>
  <si>
    <t>মোছাঃ নুম্মিহার খাতুন</t>
  </si>
  <si>
    <t>০৫/০৩/১৯৬৫</t>
  </si>
  <si>
    <t>মোঃ আবু বক্কর আলি</t>
  </si>
  <si>
    <t>মোছাঃ হুসনে আরা খাতুন</t>
  </si>
  <si>
    <t>০৮/০৩/১৯৮৭</t>
  </si>
  <si>
    <t>মোঃ মরজেম আলি</t>
  </si>
  <si>
    <t>মোছাঃ ওজিনা খাতুন</t>
  </si>
  <si>
    <t>০৯/০৩/১৯৮৯</t>
  </si>
  <si>
    <t>মোঃ কুরমান আলি</t>
  </si>
  <si>
    <t>০৯/০৩/১৯৮৩</t>
  </si>
  <si>
    <t>কিফাত আলি</t>
  </si>
  <si>
    <t>দুলা খাতুন</t>
  </si>
  <si>
    <t>১৫/০৩/১৯৪৭</t>
  </si>
  <si>
    <t>মোছাঃ অমেলা খাতুন</t>
  </si>
  <si>
    <t>রইচ উদ্দীন</t>
  </si>
  <si>
    <t>ছালেহার খাতুন</t>
  </si>
  <si>
    <t>০১/০৩/১৯৪৭</t>
  </si>
  <si>
    <t>মোছাঃ মেরীনা খাতুন</t>
  </si>
  <si>
    <t>মোঃ সহিদুল ইসলাম</t>
  </si>
  <si>
    <t>১০/০৩/১৯৮৭</t>
  </si>
  <si>
    <t>মোছাঃ শাপলা খাতুন</t>
  </si>
  <si>
    <t>মোঃ দুলাল সেখ</t>
  </si>
  <si>
    <t>২৫/১১/১৯৮৭</t>
  </si>
  <si>
    <t>মোছাঃ কাদিরন খাতুন</t>
  </si>
  <si>
    <t>হেরেন সেখ</t>
  </si>
  <si>
    <t>মোছাঃ আহাতন খাতুন</t>
  </si>
  <si>
    <t>মোছাঃ ফেরদৌস আরা খাতুন</t>
  </si>
  <si>
    <t>মোছাঃ খুকি খাতুন</t>
  </si>
  <si>
    <t>১৩/০৫/১৯৭২</t>
  </si>
  <si>
    <t>মোঃ আঃ সালাম</t>
  </si>
  <si>
    <t>২৬/১১/১৯৭৭</t>
  </si>
  <si>
    <t>মোছাঃ মানছুরা খাতুন</t>
  </si>
  <si>
    <t>মোঃ মুনছুর আলী</t>
  </si>
  <si>
    <t>মোছাঃ আশুরা খাতুন</t>
  </si>
  <si>
    <t>২৩/০৮/১৯৮২</t>
  </si>
  <si>
    <t>মোজাম্মেল হক</t>
  </si>
  <si>
    <t>মোছাঃ রূপিয়া খাতুন</t>
  </si>
  <si>
    <t>১২/১০/১৯৮৮</t>
  </si>
  <si>
    <t>২৭/০৯/১৯৭২</t>
  </si>
  <si>
    <t>মোছাঃ পপি খাতুন</t>
  </si>
  <si>
    <t>১৪/০৪/১৯৮৩</t>
  </si>
  <si>
    <t>মোছাঃ ছামসুন্নাহার খাতুন</t>
  </si>
  <si>
    <t>১৮/০৪/১৯৮৭</t>
  </si>
  <si>
    <t>আমির মন্ডল</t>
  </si>
  <si>
    <t>০৮/০৪/১৯৪৭</t>
  </si>
  <si>
    <t>মোছাঃ পরিচুন নেছা</t>
  </si>
  <si>
    <t>মোঃ ফিয়াজুদ্দীন সেখ</t>
  </si>
  <si>
    <t>মোছাঃ আদুরী খাতুন</t>
  </si>
  <si>
    <t>মোছাঃ রাজেদা খাতুন</t>
  </si>
  <si>
    <t>১৪/০৫/১৯৮৫</t>
  </si>
  <si>
    <t>মোছাঃ সুপিয়া খাতুন</t>
  </si>
  <si>
    <t>আমোদ আলি</t>
  </si>
  <si>
    <t>মোছাঃ ছিয়ারুন খাতুন</t>
  </si>
  <si>
    <t>১৮/০৬/১৯৭০</t>
  </si>
  <si>
    <t>মোছাঃ মোরজিনা খাতুন</t>
  </si>
  <si>
    <t>মোছাঃ কুলছুন বেওয়া</t>
  </si>
  <si>
    <t>১৪/০৬/১৯৭৩</t>
  </si>
  <si>
    <t>ফকির মন্ডল</t>
  </si>
  <si>
    <t>জেলেখার খাতুন</t>
  </si>
  <si>
    <t>১৫/০২/১৯৪২</t>
  </si>
  <si>
    <t>মোঃ ইসমোত আলী</t>
  </si>
  <si>
    <t>১৫/১১/১৯৮৮</t>
  </si>
  <si>
    <t>মোছাঃ দীলফেরদৌস আরা</t>
  </si>
  <si>
    <t>২৬/০৪/১৯৮২</t>
  </si>
  <si>
    <t>মোঃ ছমির আহমোদ</t>
  </si>
  <si>
    <t>সেলিনা বেগম</t>
  </si>
  <si>
    <t>মল্লিক মন্ডল</t>
  </si>
  <si>
    <t>২৭/০১/১৯৭৭</t>
  </si>
  <si>
    <t>মোঃ মুতালেফ</t>
  </si>
  <si>
    <t>মোছাঃ শাহিনা বেগম</t>
  </si>
  <si>
    <t>আলম মন্ডল</t>
  </si>
  <si>
    <t>মোছাঃ ফুলবতি</t>
  </si>
  <si>
    <t>০৯/১১/১৯৫৭</t>
  </si>
  <si>
    <t>আলী শেখ</t>
  </si>
  <si>
    <t>১৯/০১/১৯৮২</t>
  </si>
  <si>
    <t>মোঃ রাজ্জাক মন্ডল</t>
  </si>
  <si>
    <t>খতেজান</t>
  </si>
  <si>
    <t>০৮/০১/১৯৬২</t>
  </si>
  <si>
    <t>মোছাঃ জান্নাতুন</t>
  </si>
  <si>
    <t>খাতের আলী</t>
  </si>
  <si>
    <t>মোঃ লোকমান</t>
  </si>
  <si>
    <t>মোছাঃ ফরাজন নেছা</t>
  </si>
  <si>
    <t>আয়নদ্দী</t>
  </si>
  <si>
    <t>রইমন</t>
  </si>
  <si>
    <t>২৫/১১/১৯৭২</t>
  </si>
  <si>
    <t>মুজাম্মেল</t>
  </si>
  <si>
    <t>মোছাঃ তাহেরা</t>
  </si>
  <si>
    <t>২৫/০৪/১৯৭৭</t>
  </si>
  <si>
    <t>মেণ্ডু</t>
  </si>
  <si>
    <t>মোছাঃ ফারহানা সুলতানা</t>
  </si>
  <si>
    <t>মোছাঃ নজরুল ইসলাম</t>
  </si>
  <si>
    <t>০২/০২/১৯৮৭</t>
  </si>
  <si>
    <t>আবু হোসেন</t>
  </si>
  <si>
    <t>মোছাঃ মনিরা খানম</t>
  </si>
  <si>
    <t>২৭/১১/১৯৫৯</t>
  </si>
  <si>
    <t>মোছাঃ সালেহা সুলতানা</t>
  </si>
  <si>
    <t>মোঃ আব্দুল ওয়াহেদ</t>
  </si>
  <si>
    <t>২০/১১/১৯৬৭</t>
  </si>
  <si>
    <t>নুর মুহাম্মদ</t>
  </si>
  <si>
    <t>৩১/০৩/১৯৮০</t>
  </si>
  <si>
    <t>বকস্ মন্ডল</t>
  </si>
  <si>
    <t>১৪/০৭/১৯৭২</t>
  </si>
  <si>
    <t>মোঃ আবু সামা</t>
  </si>
  <si>
    <t>২৮/০১/১৯৮৫</t>
  </si>
  <si>
    <t>মোছাঃ আকেছা খাতুন</t>
  </si>
  <si>
    <t>১৭/০৭/১৯৬৫</t>
  </si>
  <si>
    <t>মোছাঃ আসমা বেগম</t>
  </si>
  <si>
    <t>সুরাত মন্ডল</t>
  </si>
  <si>
    <t>মোছাঃ ময়মোনা</t>
  </si>
  <si>
    <t>২০/১১/১৯৫৯</t>
  </si>
  <si>
    <t>মোছাঃ সজনী খাতুন</t>
  </si>
  <si>
    <t>মোঃ আঃ কুদ্দুস</t>
  </si>
  <si>
    <t>১২/০৩/১৯৮২</t>
  </si>
  <si>
    <t>ফরিং হালশেন</t>
  </si>
  <si>
    <t>নিবারন</t>
  </si>
  <si>
    <t>১৩/০৯/১৯৫৭</t>
  </si>
  <si>
    <t>০৭/১০/১৯৭৭</t>
  </si>
  <si>
    <t>মোঃ রহিদুল ইসলাম</t>
  </si>
  <si>
    <t>মোছাঃ ফাতিমা বেগম</t>
  </si>
  <si>
    <t>মোঃ পির বক্স</t>
  </si>
  <si>
    <t>মোছাঃ রূপজান</t>
  </si>
  <si>
    <t>১০/১২/১৯৫৯</t>
  </si>
  <si>
    <t>মোছাঃ শেলী</t>
  </si>
  <si>
    <t>মোঃ আবু তাহের</t>
  </si>
  <si>
    <t>২১/০২/১৯৮২</t>
  </si>
  <si>
    <t>০৬/০৫/১৯৮১</t>
  </si>
  <si>
    <t>রিয়াজতূলা বিশ্বাস</t>
  </si>
  <si>
    <t>ছাকেনা</t>
  </si>
  <si>
    <t>১৬/০৯/১৯৭৫</t>
  </si>
  <si>
    <t>মোছাঃ রঙ্গিলা</t>
  </si>
  <si>
    <t>২১/০৯/১৯৮৮</t>
  </si>
  <si>
    <t>মোছাঃ ভানু বেগম</t>
  </si>
  <si>
    <t>মোঃ মজরুদ্দি</t>
  </si>
  <si>
    <t>২২/০৩/১৯৬৭</t>
  </si>
  <si>
    <t>মোছাঃ মারজিয়া</t>
  </si>
  <si>
    <t>সামাদ আলী</t>
  </si>
  <si>
    <t>শুখজান</t>
  </si>
  <si>
    <t>২১/০৩/১৯৬৯</t>
  </si>
  <si>
    <t>মোঃ আয়ুব আলী</t>
  </si>
  <si>
    <t>মোছাঃ লতিফন</t>
  </si>
  <si>
    <t>২৩/০১/১৯৮১</t>
  </si>
  <si>
    <t>মসলেম শেখ</t>
  </si>
  <si>
    <t>২০/০৯/১৯৮৩</t>
  </si>
  <si>
    <t>মোছাঃ দেলোয়ারা</t>
  </si>
  <si>
    <t>দিন মহম্মাদ</t>
  </si>
  <si>
    <t>মোছাঃ ফেরদৌসী</t>
  </si>
  <si>
    <t>১৯/০৯/১৯৮৮</t>
  </si>
  <si>
    <t>মোছাঃ রোকিয়া বেগম</t>
  </si>
  <si>
    <t>নুর বক্স শেখ</t>
  </si>
  <si>
    <t>খাতুন নেছা</t>
  </si>
  <si>
    <t>১০/০৫/১৯৭১</t>
  </si>
  <si>
    <t>মোছাঃ খদিজা খাতুন</t>
  </si>
  <si>
    <t>মোছাঃ শাহানারা</t>
  </si>
  <si>
    <t>২৩/০৪/১৯৮৮</t>
  </si>
  <si>
    <t>মোছাঃ আকলিমা বেগম</t>
  </si>
  <si>
    <t>পিরোজদ্দি মল্লিক</t>
  </si>
  <si>
    <t>২৭/১১/১৯৩৭</t>
  </si>
  <si>
    <t>সেলিনা খাতুন</t>
  </si>
  <si>
    <t>সামছুর রহমান শেখ</t>
  </si>
  <si>
    <t>০১/০১/১৯৬৫</t>
  </si>
  <si>
    <t>শামীম আরা</t>
  </si>
  <si>
    <t>আঃ রহিম</t>
  </si>
  <si>
    <t>৩১/১২/১৯৬৯</t>
  </si>
  <si>
    <t>আব্দুল হক মৌলবী</t>
  </si>
  <si>
    <t>জরিনা খাতুন</t>
  </si>
  <si>
    <t>১০/০৫/১৯৪৭</t>
  </si>
  <si>
    <t>মোঃ রবগুল হোসেন</t>
  </si>
  <si>
    <t>মোছাঃ ছাহেরা বেগম</t>
  </si>
  <si>
    <t>১১/০৬/১৯৮২</t>
  </si>
  <si>
    <t>মোছাঃ রনি খাতুন</t>
  </si>
  <si>
    <t>মোঃ ইউনুচ আলী</t>
  </si>
  <si>
    <t>মোছাঃ বর্না খাতুন</t>
  </si>
  <si>
    <t>১২/০৬/১৯৮৯</t>
  </si>
  <si>
    <t>মোছাঃ লিপিযারা খাতুন</t>
  </si>
  <si>
    <t>০৮/০৪/১৯৮৯</t>
  </si>
  <si>
    <t>মোছাঃ গুলশনারা খাতুন</t>
  </si>
  <si>
    <t>মোঃ খাইরুল ইসলাম</t>
  </si>
  <si>
    <t>মোছাঃ বুলবুলি খাতুন</t>
  </si>
  <si>
    <t>০৩/০৪/১৯৮৮</t>
  </si>
  <si>
    <t>কুমার আলী</t>
  </si>
  <si>
    <t>১১/০৫/১৯৮৯</t>
  </si>
  <si>
    <t>মোছাঃ আরবি খাতুন</t>
  </si>
  <si>
    <t>মোছাঃ রমছা খাতুন</t>
  </si>
  <si>
    <t>২৫/০৮/১৯৭২</t>
  </si>
  <si>
    <t>মোঃ বাবর আলী</t>
  </si>
  <si>
    <t>১০/০৯/১৯৫৯</t>
  </si>
  <si>
    <t>মোঃ ইয়াদালী মোল্লা</t>
  </si>
  <si>
    <t>১০/০১/১৯৭১</t>
  </si>
  <si>
    <t>মোছাঃ নাসিমা খাতুন</t>
  </si>
  <si>
    <t>কোবাদ আলী</t>
  </si>
  <si>
    <t>৩০/১২/১৯৭৭</t>
  </si>
  <si>
    <t>সরকারী চাকুরী</t>
  </si>
  <si>
    <t>১৯/০২/১৯৮৭</t>
  </si>
  <si>
    <t>মোছাঃ হারিযন খাতুন</t>
  </si>
  <si>
    <t>১৭/০৪/১৯৪৬</t>
  </si>
  <si>
    <t>২১/০৮/১৯৮৬</t>
  </si>
  <si>
    <t>মোছাঃ জান্নাতুল ফেরদোস</t>
  </si>
  <si>
    <t>মোঃ জাকারিয়া হোসেন</t>
  </si>
  <si>
    <t>২৬/০৬/১৯৮৮</t>
  </si>
  <si>
    <t>মোঃ লালচাঁদ</t>
  </si>
  <si>
    <t>১২/০৯/১৯৮৫</t>
  </si>
  <si>
    <t>সেকেন্দার আলী</t>
  </si>
  <si>
    <t>খাইরন নেছা</t>
  </si>
  <si>
    <t>২১/১০/১৯৫৭</t>
  </si>
  <si>
    <t>মোঃ তাইজুল ইসলাম</t>
  </si>
  <si>
    <t>হুসনিয়ারা বেগম</t>
  </si>
  <si>
    <t>১৪/০৭/১৯৮৩</t>
  </si>
  <si>
    <t>মোছাঃ মেঘনা খাতুন</t>
  </si>
  <si>
    <t>১৩/১০/১৯৮৮</t>
  </si>
  <si>
    <t>মোছাঃ জামবিয়া খাতুন</t>
  </si>
  <si>
    <t>মোঃ জানবাস আলী</t>
  </si>
  <si>
    <t>লাল মনি</t>
  </si>
  <si>
    <t>ফতে জান</t>
  </si>
  <si>
    <t>২১/০৮/১৯৭৭</t>
  </si>
  <si>
    <t>মোছাঃ হাজেরা বেগম</t>
  </si>
  <si>
    <t>১৭/০৭/১৯৮৫</t>
  </si>
  <si>
    <t>১৪/০৬/১৯৮১</t>
  </si>
  <si>
    <t>আজিমদ্দিন</t>
  </si>
  <si>
    <t>১৪/০৯/১৯৬৯</t>
  </si>
  <si>
    <t>মোছাঃ স্বপ্না খাতুন</t>
  </si>
  <si>
    <t>২০/০৫/১৯৮৬</t>
  </si>
  <si>
    <t>মতলেব মন্ডল</t>
  </si>
  <si>
    <t>১৯/০৮/১৯৬৫</t>
  </si>
  <si>
    <t>মোঃ সুলতান শেখ</t>
  </si>
  <si>
    <t>মোছাঃ কামেন</t>
  </si>
  <si>
    <t>২৬/০৮/১৯৬৯</t>
  </si>
  <si>
    <t>মোছাঃ রুমানা খাতুন</t>
  </si>
  <si>
    <t>মোঃ আব্দুল লতিফ</t>
  </si>
  <si>
    <t>১৮/০৭/১৯৮৮</t>
  </si>
  <si>
    <t>মোছাঃ নেছার বেগম</t>
  </si>
  <si>
    <t>রবেচ্ছুদ্দীন মালিথা</t>
  </si>
  <si>
    <t>মোঃ ইবাদত আলী</t>
  </si>
  <si>
    <t>১১/০৭/১৯৮৮</t>
  </si>
  <si>
    <t>মোঃ ইমাদুল ইসলাম</t>
  </si>
  <si>
    <t>২০/০৬/১৯৮৪</t>
  </si>
  <si>
    <t>আজগর আলী</t>
  </si>
  <si>
    <t>১৬/০৮/১৯৬৫</t>
  </si>
  <si>
    <t>মোছাঃ সাহিদা খাতুন</t>
  </si>
  <si>
    <t>মোঃ ফরজ আলী</t>
  </si>
  <si>
    <t>২০/০৬/১৯৭৩</t>
  </si>
  <si>
    <t>মোছাঃ মুছলিমা খাতুন</t>
  </si>
  <si>
    <t>হাফিজ উদ্দিন</t>
  </si>
  <si>
    <t>১৮/০৯/১৯৭৭</t>
  </si>
  <si>
    <t>আলীমদ্দিন</t>
  </si>
  <si>
    <t>মোহাম্মদ আলী</t>
  </si>
  <si>
    <t>মোছাঃ নেকছার খাতুন</t>
  </si>
  <si>
    <t>২১/০৪/১৯৪৭</t>
  </si>
  <si>
    <t>মোছাঃ মুলাম জান</t>
  </si>
  <si>
    <t>মোছাঃ খালেছা বেগম</t>
  </si>
  <si>
    <t>রজ্ বালা</t>
  </si>
  <si>
    <t>১৮/০৭/১৯৩৭</t>
  </si>
  <si>
    <t>মোঃ আবের আলী</t>
  </si>
  <si>
    <t>মোছাঃ আকিমন নেছা</t>
  </si>
  <si>
    <t>১৬/০৭/১৯৮২</t>
  </si>
  <si>
    <t>মোঃ নাজিম উদ্দীন খান</t>
  </si>
  <si>
    <t>মোছাঃ আছলিমা খাতুন</t>
  </si>
  <si>
    <t>১২/১২/১৯৮৩</t>
  </si>
  <si>
    <t>মোঃ মধু শেখ</t>
  </si>
  <si>
    <t>আলেজান</t>
  </si>
  <si>
    <t>শামসুদ্দীন মন্ডল</t>
  </si>
  <si>
    <t>মোছাঃ আতাফন নেছা</t>
  </si>
  <si>
    <t>১৭/০৭/১৯৬৯</t>
  </si>
  <si>
    <t>মোছাঃ রেকছুনা খাতুন</t>
  </si>
  <si>
    <t>মোঃ নবীছুদ্দীন</t>
  </si>
  <si>
    <t>মোছাঃ তপছিয়া খাতুন</t>
  </si>
  <si>
    <t>১৭/০৫/১৯৮৭</t>
  </si>
  <si>
    <t>মোছাঃ তাছলিমা খাতুন</t>
  </si>
  <si>
    <t>মোছাঃ আজিরন নেছা</t>
  </si>
  <si>
    <t>২৪/০৬/১৯৮৭</t>
  </si>
  <si>
    <t>চাঁদ হালসনা</t>
  </si>
  <si>
    <t>১৭/০৫/১৯৬২</t>
  </si>
  <si>
    <t>মোছাঃ ফুলছুরা বেগম</t>
  </si>
  <si>
    <t>মোঃ জমসের আলী</t>
  </si>
  <si>
    <t>ধুলি বেগম</t>
  </si>
  <si>
    <t>২০/০৭/১৯৬৫</t>
  </si>
  <si>
    <t>হযরত আলী</t>
  </si>
  <si>
    <t>মোছাঃ পাখিজান</t>
  </si>
  <si>
    <t>০৮/০৭/১৯৮৪</t>
  </si>
  <si>
    <t>মোছাঃ রোজিফা খাতুন</t>
  </si>
  <si>
    <t>মোঃ ছয়রুদ্দীন</t>
  </si>
  <si>
    <t>তাজের আলী</t>
  </si>
  <si>
    <t>মোছাঃ সবুজান</t>
  </si>
  <si>
    <t>১৯/০৭/১৯৮২</t>
  </si>
  <si>
    <t>মোছাঃ ছিপারন নেছা</t>
  </si>
  <si>
    <t>নুর হোসেন</t>
  </si>
  <si>
    <t>মোছাঃ মাবিয়া বেগম</t>
  </si>
  <si>
    <t>১০/০৮/১৯৮১</t>
  </si>
  <si>
    <t>মোছাঃ নিলুফা খাতুন</t>
  </si>
  <si>
    <t>মোঃ লালু</t>
  </si>
  <si>
    <t>মোছাঃ কুরসিয়া বেগম</t>
  </si>
  <si>
    <t>১২/০৮/১৯৮৬</t>
  </si>
  <si>
    <t>আমিরুদ্দীন</t>
  </si>
  <si>
    <t>১৭/০৭/১৯৬১</t>
  </si>
  <si>
    <t>মোঃ হানা</t>
  </si>
  <si>
    <t>১১/০৮/১৯৮৮</t>
  </si>
  <si>
    <t>লাল মোহাম্মদ</t>
  </si>
  <si>
    <t>১৫/০৮/১৯৮৭</t>
  </si>
  <si>
    <t>মোছাঃ লতা খাতুন</t>
  </si>
  <si>
    <t>মোঃ আব্দুর রাজ্জাক</t>
  </si>
  <si>
    <t>১৯/০৫/১৯৮৮</t>
  </si>
  <si>
    <t>শাহাদত মন্ডল</t>
  </si>
  <si>
    <t>হিমা জান</t>
  </si>
  <si>
    <t>১০/০৮/১৯৪২</t>
  </si>
  <si>
    <t>মোঃ বাহার আলী</t>
  </si>
  <si>
    <t>০৫/০৫/১৯৭৫</t>
  </si>
  <si>
    <t>মোঃ নুর বকস</t>
  </si>
  <si>
    <t>শাহাদৎ আলী</t>
  </si>
  <si>
    <t>১২/০৬/১৯৮৮</t>
  </si>
  <si>
    <t>মোঃ ফাকের আলী</t>
  </si>
  <si>
    <t>মোছাঃ জমিরন নেছা</t>
  </si>
  <si>
    <t>মোছাঃ রাজমিনা খাতুন</t>
  </si>
  <si>
    <t>মোঃ জারাফত বিশ্বাস</t>
  </si>
  <si>
    <t>২২/১১/১৯৮৯</t>
  </si>
  <si>
    <t>মোছাঃ শাহাদানা খাতুন</t>
  </si>
  <si>
    <t>মোঃ নিয়ামত আলী</t>
  </si>
  <si>
    <t>১০/১২/১৯৮৩</t>
  </si>
  <si>
    <t>২০/১১/১৯৮৫</t>
  </si>
  <si>
    <t>মোছাঃ হোসেনয়ারা</t>
  </si>
  <si>
    <t>হাশেম আলী</t>
  </si>
  <si>
    <t>১৫/১২/১৯৮৫</t>
  </si>
  <si>
    <t>মোঃ দাউদ আলী</t>
  </si>
  <si>
    <t>মোঃ আইয়ুব আলী</t>
  </si>
  <si>
    <t>ছারু মন্ডল</t>
  </si>
  <si>
    <t>মোছাঃ নিহারন</t>
  </si>
  <si>
    <t>১৩/১২/১৯৫৮</t>
  </si>
  <si>
    <t>মওলা বক্‌স</t>
  </si>
  <si>
    <t>১০/০৫/১৯৮১</t>
  </si>
  <si>
    <t>মোছাঃ তারজিনা খাতুন</t>
  </si>
  <si>
    <t>মোঃ তাহাজউদ্দীন</t>
  </si>
  <si>
    <t>মোঃ জানালী মন্ডল</t>
  </si>
  <si>
    <t>১২/০৪/১৯৮৪</t>
  </si>
  <si>
    <t>মোঃ ছায়েন বকস</t>
  </si>
  <si>
    <t>১৩/১২/১৯৫২</t>
  </si>
  <si>
    <t>মোছাঃ রেহানা খাতুন</t>
  </si>
  <si>
    <t>মোঃ আকমল হোসেন</t>
  </si>
  <si>
    <t>১২/১২/১৯৭৯</t>
  </si>
  <si>
    <t>১৭/০১/১৯৮৯</t>
  </si>
  <si>
    <t>মোঃ দিদার মল্লিক</t>
  </si>
  <si>
    <t>১০/১২/১৯৭৩</t>
  </si>
  <si>
    <t>মোঃ দছির উদ্দীন</t>
  </si>
  <si>
    <t>মোছাঃ কশুরা খাতুন</t>
  </si>
  <si>
    <t>২৮/১০/১৯৮৮</t>
  </si>
  <si>
    <t>মোঃ আব্দুল কুদ্দুস</t>
  </si>
  <si>
    <t>৩০/১২/১৯৮৮</t>
  </si>
  <si>
    <t>মোছাঃ ছারা খাতুন</t>
  </si>
  <si>
    <t>২০/১২/১৯৮৩</t>
  </si>
  <si>
    <t>রমব বখস</t>
  </si>
  <si>
    <t>নিহারন নেছা</t>
  </si>
  <si>
    <t>১১/০২/১৯৭০</t>
  </si>
  <si>
    <t>মোলাজান খাতুন</t>
  </si>
  <si>
    <t>আবুজর আলী</t>
  </si>
  <si>
    <t>২০/১২/১৯৬৫</t>
  </si>
  <si>
    <t>মোঃ আইয়ুব আলি</t>
  </si>
  <si>
    <t>১১/১০/১৯৮৮</t>
  </si>
  <si>
    <t>২০/০২/১৯৮৯</t>
  </si>
  <si>
    <t>মওলা বখস</t>
  </si>
  <si>
    <t>মোছাঃ আকিমন খাতুন</t>
  </si>
  <si>
    <t>০৫/১০/১৯৭৫</t>
  </si>
  <si>
    <t>মোছাঃ আমিরন নেছা</t>
  </si>
  <si>
    <t>আফেল উদ্দিন</t>
  </si>
  <si>
    <t>মোছাঃ বানেরা খাতুন</t>
  </si>
  <si>
    <t>মোঃ রিকাব আলী</t>
  </si>
  <si>
    <t>মোছাঃ কান্দালী খাতুন</t>
  </si>
  <si>
    <t>২১/০৬/১৯৭৫</t>
  </si>
  <si>
    <t>২৩/১২/১৯৮৪</t>
  </si>
  <si>
    <t>কেরামত আলী</t>
  </si>
  <si>
    <t>০৪/০৬/১৯৭৭</t>
  </si>
  <si>
    <t>মোছাঃ ছাবিনা ইয়াসমিন বিথি</t>
  </si>
  <si>
    <t>মোছাঃ সাইনাজ পারভীন</t>
  </si>
  <si>
    <t>বদিরদ্দিন আলী</t>
  </si>
  <si>
    <t>মোছাঃ রমেলা খাতুন</t>
  </si>
  <si>
    <t>১২/০৬/১৯৫০</t>
  </si>
  <si>
    <t>হচেন আলী</t>
  </si>
  <si>
    <t>০৫/১১/১৯৮২</t>
  </si>
  <si>
    <t>মোছাঃ বুলু খাতুন</t>
  </si>
  <si>
    <t>বছের আলী</t>
  </si>
  <si>
    <t>মোছাঃ নেরোদা খাতুন</t>
  </si>
  <si>
    <t>১৩/০৫/১৯৭৮</t>
  </si>
  <si>
    <t>মোছাঃ ওলে খাতুন</t>
  </si>
  <si>
    <t>মোঃ গফুর আলী</t>
  </si>
  <si>
    <t>০৫/০৮/১৯৮২</t>
  </si>
  <si>
    <t>মোছাঃ নাজিরা বেগম</t>
  </si>
  <si>
    <t>মফেল উদ্দিন বিঃ</t>
  </si>
  <si>
    <t>২০/০৭/১৯৭১</t>
  </si>
  <si>
    <t>মোছাঃ মাসুদা খাতুন</t>
  </si>
  <si>
    <t>১২/১১/১৯৮৯</t>
  </si>
  <si>
    <t>মোছাঃ তানজিলা খাতুন</t>
  </si>
  <si>
    <t>১০/০৩/১৯৮২</t>
  </si>
  <si>
    <t>মোঃ আবু বাক্কার</t>
  </si>
  <si>
    <t>মোছাঃ রুকিয়া খাতুন</t>
  </si>
  <si>
    <t>১৮/০৫/১৯৭৩</t>
  </si>
  <si>
    <t>১০/০৬/১৯৭৩</t>
  </si>
  <si>
    <t>আজিমুদ্দিন</t>
  </si>
  <si>
    <t>১২/০৪/১৯৭৭</t>
  </si>
  <si>
    <t>মোছাঃ রসেনা খাতুন</t>
  </si>
  <si>
    <t>জাহের আলী</t>
  </si>
  <si>
    <t>০৫/১১/১৯৭২</t>
  </si>
  <si>
    <t>২১/১০/১৯৮৭</t>
  </si>
  <si>
    <t>১২/০৮/১৯৮৫</t>
  </si>
  <si>
    <t>মোছাঃ নাহিমা খাতুন</t>
  </si>
  <si>
    <t>মোছাঃ নাজিয়া বেগম</t>
  </si>
  <si>
    <t>০৮/০২/১৯৮২</t>
  </si>
  <si>
    <t>মোছাঃ নুরুন্নাহার খাতুন</t>
  </si>
  <si>
    <t>মোঃ নুরুল হক</t>
  </si>
  <si>
    <t>১২/০৫/১৯৭৫</t>
  </si>
  <si>
    <t>০৪/০৩/১৯৭৯</t>
  </si>
  <si>
    <t>মোছাঃ মোমেনা বেগম</t>
  </si>
  <si>
    <t>১৫/০৮/১৯৭৪</t>
  </si>
  <si>
    <t>মোছাঃ শাহার বানু</t>
  </si>
  <si>
    <t>১০/০৫/১৯৭৯</t>
  </si>
  <si>
    <t>মোঃ গোলাম কবির</t>
  </si>
  <si>
    <t>১২/০৫/১৯৬৯</t>
  </si>
  <si>
    <t>মোহাঃ আনছার আলী</t>
  </si>
  <si>
    <t>৩০/০৯/১৯৭১</t>
  </si>
  <si>
    <t>মোছাঃ নার্গিস খানম</t>
  </si>
  <si>
    <t>মোঃ আবু ইউসুফ</t>
  </si>
  <si>
    <t>মোছাঃ ছালমা বেগম</t>
  </si>
  <si>
    <t>১৩/০৪/১৯৮২</t>
  </si>
  <si>
    <t>মোছাঃ লতিফা হেলালী</t>
  </si>
  <si>
    <t>ছামসুল আলম</t>
  </si>
  <si>
    <t>মোছাঃ ইয়াসমিন খাতুন</t>
  </si>
  <si>
    <t>মোছাঃ আরজিয়া বেগম</t>
  </si>
  <si>
    <t>০২/০১/১৯৮৫</t>
  </si>
  <si>
    <t>মোছাঃ গুলশনারা বেগম</t>
  </si>
  <si>
    <t>০৭/০১/১৯৬৫</t>
  </si>
  <si>
    <t>আব্দুল হান্নান</t>
  </si>
  <si>
    <t>মোছাঃ তহিদা খাতুন</t>
  </si>
  <si>
    <t>০৫/০২/১৯৭২</t>
  </si>
  <si>
    <t>মাতু বিবি</t>
  </si>
  <si>
    <t>১০/০৬/১৯৪৭</t>
  </si>
  <si>
    <t>মোঃ ইয়াসিন আলী</t>
  </si>
  <si>
    <t>মোছাঃ ভাজালি খাতুন</t>
  </si>
  <si>
    <t>১২/০৫/১৯৮১</t>
  </si>
  <si>
    <t>০৬/০১/১৯৮৪</t>
  </si>
  <si>
    <t>মোঃ নজরুল হোসেন</t>
  </si>
  <si>
    <t>কাংগালী শেখ</t>
  </si>
  <si>
    <t>ফলেজান খাতুন</t>
  </si>
  <si>
    <t>০৮/০৩/১৯৫০</t>
  </si>
  <si>
    <t>মোছাঃ রেখা পারভীন</t>
  </si>
  <si>
    <t>১২/০৬/১৯৮৩</t>
  </si>
  <si>
    <t>মোছাঃ বিলকিস খাতুন</t>
  </si>
  <si>
    <t>০২/০১/১৯৮৬</t>
  </si>
  <si>
    <t>ইয়াকুব মন্ডল</t>
  </si>
  <si>
    <t>০৬/০৮/১৯৭৯</t>
  </si>
  <si>
    <t>মোঃ হুবদেল শেখ</t>
  </si>
  <si>
    <t>মহরদ্দীন শেখ</t>
  </si>
  <si>
    <t>০৫/০৩/১৯৫৭</t>
  </si>
  <si>
    <t>কিয়ামদ্দিন</t>
  </si>
  <si>
    <t xml:space="preserve"> ০৯/০৬/১৯৬৯</t>
  </si>
  <si>
    <t>১০/০৪/১৯৭৭</t>
  </si>
  <si>
    <t>০২/০৬/১৯৭২</t>
  </si>
  <si>
    <t>আসাদ আলী</t>
  </si>
  <si>
    <t>মোছাঃ আয়জান বেগম</t>
  </si>
  <si>
    <t>০৫/০৩/১৯৬৯</t>
  </si>
  <si>
    <t>মোছাঃ তোতাজান</t>
  </si>
  <si>
    <t>নিয়াজ শেখ</t>
  </si>
  <si>
    <t>০৮/০৬/১৯৩২</t>
  </si>
  <si>
    <t>মোঃ বাহার মালিথা</t>
  </si>
  <si>
    <t>১৩/১০/১৯৬৫</t>
  </si>
  <si>
    <t>মোছাঃ তামেসা খাতুন</t>
  </si>
  <si>
    <t>গরি খাঁ</t>
  </si>
  <si>
    <t>একিনি বেগম</t>
  </si>
  <si>
    <t>১৩/০২/১৯৫৭</t>
  </si>
  <si>
    <t>মোছাঃ তিব্বত আরা খাতুন</t>
  </si>
  <si>
    <t>মোঃ ইয়াছিন বিশ্বাস</t>
  </si>
  <si>
    <t>১০/০৩/১৯৭৯</t>
  </si>
  <si>
    <t>মোছাঃ জানিয়ারা খাতুন</t>
  </si>
  <si>
    <t>মোঃ দাউদ শেখ</t>
  </si>
  <si>
    <t>মাছুরা</t>
  </si>
  <si>
    <t>ফরিদ্ শেখ</t>
  </si>
  <si>
    <t>জায়রন নেছা</t>
  </si>
  <si>
    <t>০৬/০৮/১৯৬৫</t>
  </si>
  <si>
    <t>আজাদ আলী বিশ্বাস</t>
  </si>
  <si>
    <t>মোছাঃ সখিনা খাতুন</t>
  </si>
  <si>
    <t>১৪/১২/১৯৩৯</t>
  </si>
  <si>
    <t>নাসিমা পারভীন</t>
  </si>
  <si>
    <t>আশরাফ উদ্দিন</t>
  </si>
  <si>
    <t>মোছাঃ নিরা রেজিনা নাহার</t>
  </si>
  <si>
    <t>১৬/১১/১৯৭৬</t>
  </si>
  <si>
    <t>মোছাঃ জুলিযা নাসরিন</t>
  </si>
  <si>
    <t>মোছাঃ ছিতারা বেগম</t>
  </si>
  <si>
    <t>মোছাঃ হালেমা খাতুন</t>
  </si>
  <si>
    <t>ওসমান মীর</t>
  </si>
  <si>
    <t>মলিদা খাতুন</t>
  </si>
  <si>
    <t>মোছাঃ রেকছোনা খাতুন</t>
  </si>
  <si>
    <t>মোঃ পাঞ্জাব মেম্বার</t>
  </si>
  <si>
    <t>০৩/০২/১৯৮২</t>
  </si>
  <si>
    <t>১০/০২/১৯৭৯</t>
  </si>
  <si>
    <t>নচ্ছর মন্ডল</t>
  </si>
  <si>
    <t>০৩/০৪/১৯৬৭</t>
  </si>
  <si>
    <t>মোঃ রহমত উল্লাহ</t>
  </si>
  <si>
    <t>মোছাঃ ছারভান</t>
  </si>
  <si>
    <t>০২/০৬/১৯৫৯</t>
  </si>
  <si>
    <t>মোছাঃ মুনজিলা খাতুন</t>
  </si>
  <si>
    <t>মোঃ জমির উদ্দীন</t>
  </si>
  <si>
    <t>১০/০২/১৯৭৭</t>
  </si>
  <si>
    <t>আব্দুল বারি</t>
  </si>
  <si>
    <t>০৬/০২/১৯৬৫</t>
  </si>
  <si>
    <t>মোছাঃ বেগম খাতুন</t>
  </si>
  <si>
    <t>০৪/০২/১৯৬৯</t>
  </si>
  <si>
    <t>মোছাঃ বানিয়ারা খাতুন</t>
  </si>
  <si>
    <t>মোঃ বাবলু</t>
  </si>
  <si>
    <t xml:space="preserve"> ০৯/০৫/১৯৮৫</t>
  </si>
  <si>
    <t>আব্দুল বারেক</t>
  </si>
  <si>
    <t>মোঃ আজিজুল শেখ</t>
  </si>
  <si>
    <t>১০/০৮/১৯৮৩</t>
  </si>
  <si>
    <t>বাহার আলী</t>
  </si>
  <si>
    <t>মোছাঃ ছৈয়তন</t>
  </si>
  <si>
    <t>২০/০৮/১৯৮৭</t>
  </si>
  <si>
    <t>মোছাঃ হাদেছা খাতুন</t>
  </si>
  <si>
    <t>রফাত আলী শেখ</t>
  </si>
  <si>
    <t>মোছাঃ সবুর নেছা</t>
  </si>
  <si>
    <t>০২/০৩/১৯৬৯</t>
  </si>
  <si>
    <t>মোতালেব</t>
  </si>
  <si>
    <t>ময়না খাতুন</t>
  </si>
  <si>
    <t>০২/০১/১৯৭০</t>
  </si>
  <si>
    <t>রুফাত আলী</t>
  </si>
  <si>
    <t>০৬/০২/১৯৬২</t>
  </si>
  <si>
    <t>ছেরেজান</t>
  </si>
  <si>
    <t>০১/০২/১৯৫০</t>
  </si>
  <si>
    <t>আব্দুল করিম মন্ডল</t>
  </si>
  <si>
    <t>সদর উদ্দিন</t>
  </si>
  <si>
    <t>মোছাঃ রানী খাতুন</t>
  </si>
  <si>
    <t>২৮/০৯/১৯৭৬</t>
  </si>
  <si>
    <t>মোছাঃ কনা খাতুন</t>
  </si>
  <si>
    <t>মোঃ মজফজ আলী</t>
  </si>
  <si>
    <t>মোছাঃ নফুরা খাতুন</t>
  </si>
  <si>
    <t>০১/০২/১৯৮৩</t>
  </si>
  <si>
    <t>মোছাঃ মাহিরন খাতুন</t>
  </si>
  <si>
    <t>মফেজ মোল্লা</t>
  </si>
  <si>
    <t>মোছাঃ আমেদা খাতুন</t>
  </si>
  <si>
    <t>মেয়াল মন্ডল</t>
  </si>
  <si>
    <t>০২/০১/১৯৬৯</t>
  </si>
  <si>
    <t>শাহাদত হোসেন</t>
  </si>
  <si>
    <t>০৩/০১/১৯৪৫</t>
  </si>
  <si>
    <t>০৭/০২/১৯৭২</t>
  </si>
  <si>
    <t>খুকি খাতুন</t>
  </si>
  <si>
    <t>১০/০৫/১৯৭৩</t>
  </si>
  <si>
    <t>মোছাঃ রওশন আরা</t>
  </si>
  <si>
    <t>১৫/১০/১৯৬৫</t>
  </si>
  <si>
    <t>ওলি আহমেদ</t>
  </si>
  <si>
    <t>মোছাঃ পরিষ্কার খাতুন</t>
  </si>
  <si>
    <t>০৭/০৩/১৯৬২</t>
  </si>
  <si>
    <t>মোঃ হিসাব মন্ডল</t>
  </si>
  <si>
    <t>০২/০১/১৯৮২</t>
  </si>
  <si>
    <t xml:space="preserve"> ০৯/০৩/১৯৬৪</t>
  </si>
  <si>
    <t>মোছাঃ ইসরাফন নেছা</t>
  </si>
  <si>
    <t>একতার আলী</t>
  </si>
  <si>
    <t>১২/১০/১৯৬২</t>
  </si>
  <si>
    <t>মোছাঃ কহিনুর আক্তার</t>
  </si>
  <si>
    <t>মোঃ কিতাব আলী</t>
  </si>
  <si>
    <t>১০/০৯/১৯৮৪</t>
  </si>
  <si>
    <t>মোছাঃ আল্লাদি খাতুন</t>
  </si>
  <si>
    <t>তাসের আলী</t>
  </si>
  <si>
    <t>মোছাঃ মেহেরন</t>
  </si>
  <si>
    <t>০৫/০২/১৯৬২</t>
  </si>
  <si>
    <t>মোছাঃ ফজিলাতুন নেছা</t>
  </si>
  <si>
    <t>১০/০২/১৯৬৫</t>
  </si>
  <si>
    <t>মোবারক আলী</t>
  </si>
  <si>
    <t>রমেছা খাতুন</t>
  </si>
  <si>
    <t>০৭/০১/১৯৫২</t>
  </si>
  <si>
    <t>মোঃ আয়জুদ্দীন</t>
  </si>
  <si>
    <t>মোছাঃ ছিয়াতন</t>
  </si>
  <si>
    <t>০৩/০৫/১৯৭৭</t>
  </si>
  <si>
    <t>মোঃ এলাহাদ</t>
  </si>
  <si>
    <t>১০/০২/১৯৮৩</t>
  </si>
  <si>
    <t>আব্দুর রাজ্জাক</t>
  </si>
  <si>
    <t>ছলেমান</t>
  </si>
  <si>
    <t>মোছাঃ সারেজান</t>
  </si>
  <si>
    <t>০৭/০১/১৯৬৭</t>
  </si>
  <si>
    <t>আবুল হোসেন</t>
  </si>
  <si>
    <t>মোছাঃ যমুনা বেগম</t>
  </si>
  <si>
    <t>০৪/০১/১৯৭১</t>
  </si>
  <si>
    <t>গোলাম</t>
  </si>
  <si>
    <t>০৫/০১/১৯৮৪</t>
  </si>
  <si>
    <t>হামেদা খাতুন</t>
  </si>
  <si>
    <t>১৮/০৯/১৯৫৭</t>
  </si>
  <si>
    <t>মোছাঃ মার্জিয়া খাতুন</t>
  </si>
  <si>
    <t>মোঃ মাজেত মল্লিক</t>
  </si>
  <si>
    <t>ছফরুদ্দিন</t>
  </si>
  <si>
    <t>শহিদা খাতুন</t>
  </si>
  <si>
    <t>ছকিনা</t>
  </si>
  <si>
    <t>১২/০২/১৯৬২</t>
  </si>
  <si>
    <t>মোছাঃ মেলেজান</t>
  </si>
  <si>
    <t>শাবানা বেগম</t>
  </si>
  <si>
    <t>১০/১১/১৯৬২</t>
  </si>
  <si>
    <t>মোঃ আলি হোসেন</t>
  </si>
  <si>
    <t>০৩/০১/১৯৭৭</t>
  </si>
  <si>
    <t>মোছাঃ ফেরদৌসি বেগম</t>
  </si>
  <si>
    <t>০৩/০১/১৯৮২</t>
  </si>
  <si>
    <t>খেদ আলী খন্দকার</t>
  </si>
  <si>
    <t>মোছাঃ শামেনা বেগম</t>
  </si>
  <si>
    <t>১০/০২/১৯৬৯</t>
  </si>
  <si>
    <t>মোঃ মকলেছুর রহমান মুকুল</t>
  </si>
  <si>
    <t>০৩/০৪/১৯৮৬</t>
  </si>
  <si>
    <t>নছিয়া</t>
  </si>
  <si>
    <t>০৩/০৫/১৯৮৫</t>
  </si>
  <si>
    <t>মোঃ বজলুর রহমান</t>
  </si>
  <si>
    <t>১২/০২/১৯৭২</t>
  </si>
  <si>
    <t>০৫/০৪/১৯৬২</t>
  </si>
  <si>
    <t>১০/০৩/১৯৪৭</t>
  </si>
  <si>
    <t>ওয়াজ শেখ</t>
  </si>
  <si>
    <t>রহিমা বেগম</t>
  </si>
  <si>
    <t>০৮/০৬/১৯৬৯</t>
  </si>
  <si>
    <t>মোঃ আলাউদ্দীন</t>
  </si>
  <si>
    <t>০৬/০৩/১৯৭২</t>
  </si>
  <si>
    <t>মোঃ মহিউদ্দিন খাঁ</t>
  </si>
  <si>
    <t>০৬/০২/১৯৭২</t>
  </si>
  <si>
    <t>মোছাঃ ফরিদা আশরাফ</t>
  </si>
  <si>
    <t>এস এম আবু তাহের</t>
  </si>
  <si>
    <t>মোছাঃ রোমানা তাহের</t>
  </si>
  <si>
    <t>১২/০৯/১৯৭৪</t>
  </si>
  <si>
    <t>মোছাঃ মানেজা বেগম</t>
  </si>
  <si>
    <t>আজিজুল শাহ</t>
  </si>
  <si>
    <t>নাইবানু</t>
  </si>
  <si>
    <t>১৫/০৩/১৯৪৫</t>
  </si>
  <si>
    <t>সৈয়দা তহমিনা আশরাফ</t>
  </si>
  <si>
    <t>মোঃ সোলাইমান</t>
  </si>
  <si>
    <t>৩০/১২/১৯৭৬</t>
  </si>
  <si>
    <t>২০/০৬/১৯৮৩</t>
  </si>
  <si>
    <t>মোঃ গোলাম পজ্ঞাতন</t>
  </si>
  <si>
    <t>হুরমত বিশ্বাস</t>
  </si>
  <si>
    <t>মোছাঃ জাফু বেগম</t>
  </si>
  <si>
    <t>০৫/০২/১৯৪২</t>
  </si>
  <si>
    <t>মোছাঃ শ্যামলি খাতুন</t>
  </si>
  <si>
    <t>মোঃ নাজিম উদ্দীন</t>
  </si>
  <si>
    <t>১০/০২/১৯৮৫</t>
  </si>
  <si>
    <t>মোছাঃ নীলিমা আফরোজ</t>
  </si>
  <si>
    <t>মোছাঃ মাহমুদা বেগম</t>
  </si>
  <si>
    <t>মোছাঃ চামিলি খাতুন</t>
  </si>
  <si>
    <t>মোছাঃ রাফিজা বেগম</t>
  </si>
  <si>
    <t>০২/০১/১৯৮৯</t>
  </si>
  <si>
    <t>সুম্মত মালিথা</t>
  </si>
  <si>
    <t>গোলজান</t>
  </si>
  <si>
    <t>১০/০৪/১৯৪২</t>
  </si>
  <si>
    <t>মোঃ আহসান আলী</t>
  </si>
  <si>
    <t>০৩/০৫/১৯৫৭</t>
  </si>
  <si>
    <t>০৫/০৪/১৯৮০</t>
  </si>
  <si>
    <t>ফরজ কাজী</t>
  </si>
  <si>
    <t>মরু বেগম</t>
  </si>
  <si>
    <t>১৫/০৩/১৯৪২</t>
  </si>
  <si>
    <t>মোছাঃ ছালেমা বেগম</t>
  </si>
  <si>
    <t>ছলেমান শেখ</t>
  </si>
  <si>
    <t>নছিয়া খাতুন</t>
  </si>
  <si>
    <t>মোছাঃ নজেরা বেগম</t>
  </si>
  <si>
    <t>মোঃ মনিরুল ইসলাম</t>
  </si>
  <si>
    <t>০৩/০২/১৯৮১</t>
  </si>
  <si>
    <t>গৃহিনী</t>
  </si>
  <si>
    <t>গাড়ীডোব</t>
  </si>
  <si>
    <t xml:space="preserve"> মেহেরপুর</t>
  </si>
  <si>
    <t>মোছাঃ সোহাগী</t>
  </si>
  <si>
    <t>১০/০৪/১৯৮৫</t>
  </si>
  <si>
    <t>মোছাঃ শাবেজান</t>
  </si>
  <si>
    <t>নুর বক্স</t>
  </si>
  <si>
    <t>০৮/১০/১৯৬৪</t>
  </si>
  <si>
    <t>মোছাঃ আপ্পনা খাতুন</t>
  </si>
  <si>
    <t>মোঃ ফজল শেখ</t>
  </si>
  <si>
    <t>মোছাঃ বেলি খাতুন</t>
  </si>
  <si>
    <t>মোঃ তৌহিদুল ইসলাম</t>
  </si>
  <si>
    <t>০৯/০২/১৯৮৮</t>
  </si>
  <si>
    <t>মোছাঃ ছইরন খাতুন</t>
  </si>
  <si>
    <t>মোছাঃ উলি খাতুন</t>
  </si>
  <si>
    <t>০৮/০১/১৯৬৭</t>
  </si>
  <si>
    <t>মোছাঃ রিজ্কা খাতুন</t>
  </si>
  <si>
    <t>খলিল খাঁ</t>
  </si>
  <si>
    <t>১২/০৩/১৯৮৭</t>
  </si>
  <si>
    <t>মোছাঃ হিফারন</t>
  </si>
  <si>
    <t>১২/০৪/১৯৮৭</t>
  </si>
  <si>
    <t>ছামছুদ্দীন</t>
  </si>
  <si>
    <t>মোছাঃ ছফেরা খাতুন</t>
  </si>
  <si>
    <t>০৪/০২/১৯৫৭</t>
  </si>
  <si>
    <t>০৮/০৩/১৯৭৩</t>
  </si>
  <si>
    <t>মোছাঃ হাছিনা আক্তার</t>
  </si>
  <si>
    <t>মোঃ হারুন আর রশীদ</t>
  </si>
  <si>
    <t>মোছাঃ মলিনা রশিদ</t>
  </si>
  <si>
    <t>১৮/০৪/১৯৮০</t>
  </si>
  <si>
    <t>মোছাঃ কায়মন নেছা</t>
  </si>
  <si>
    <t>কুদুন খাঁ</t>
  </si>
  <si>
    <t>১০/০২/১৯৪২</t>
  </si>
  <si>
    <t>০৮/০৭/১৯৮৭</t>
  </si>
  <si>
    <t>মোঃ বিসারত আলী</t>
  </si>
  <si>
    <t>মোছাঃ রেক্সোনা খাতুন</t>
  </si>
  <si>
    <t>মোছাঃ ছাপিয়া খাতুন</t>
  </si>
  <si>
    <t>০৫/০৭/১৯৮৮</t>
  </si>
  <si>
    <t>নিজাম উদ্দীন খা</t>
  </si>
  <si>
    <t>০৮/০৩/১৯৬০</t>
  </si>
  <si>
    <t>ময়েজদ্দীন</t>
  </si>
  <si>
    <t>মোছাঃ জাহারন নেছা</t>
  </si>
  <si>
    <t>২১/০১/১৯৭৩</t>
  </si>
  <si>
    <t>বাঁশবাড়ীয়া</t>
  </si>
  <si>
    <t xml:space="preserve"> গাড়ীডোব</t>
  </si>
  <si>
    <t>সাদেক আলী</t>
  </si>
  <si>
    <t>মোছাঃ শোকজান</t>
  </si>
  <si>
    <t>১২/০২/১৯৮০</t>
  </si>
  <si>
    <t>মোঃ মমতাজ মালিথা</t>
  </si>
  <si>
    <t>মোছাঃ ওসরা খাতুন</t>
  </si>
  <si>
    <t>২১/০২/১৯৫৭</t>
  </si>
  <si>
    <t>মোছাঃ রক্তিমা খাতুন</t>
  </si>
  <si>
    <t>১২/১০/১৯৮৫</t>
  </si>
  <si>
    <t>মোঃ বদর উদ্দীন</t>
  </si>
  <si>
    <t>মোছাঃ নপুরা খাতুন</t>
  </si>
  <si>
    <t>গরীব মন্ডল</t>
  </si>
  <si>
    <t>মোঃ খলিলুর রহমান</t>
  </si>
  <si>
    <t>বাঁশবাড়িয়া</t>
  </si>
  <si>
    <t>মোছাঃ নুসরাত জাহান</t>
  </si>
  <si>
    <t>মোঃ ফেলু মন্ডল</t>
  </si>
  <si>
    <t>মোছাঃ আনিসা বেগম</t>
  </si>
  <si>
    <t>০২/০৬/১৯৮৯</t>
  </si>
  <si>
    <t>নেয়ামত আলী</t>
  </si>
  <si>
    <t>ফুলজান বিবি</t>
  </si>
  <si>
    <t>০১/০৬/১৯৬১</t>
  </si>
  <si>
    <t>হেলাল উদ্দিন</t>
  </si>
  <si>
    <t>হুরজান বিবি</t>
  </si>
  <si>
    <t>০২/০৭/১৯৬৯</t>
  </si>
  <si>
    <t>মোছাঃ খালেদা আকতার</t>
  </si>
  <si>
    <t>০১/১০/১৯৮৯</t>
  </si>
  <si>
    <t>মোছাঃ সারা খাতুন</t>
  </si>
  <si>
    <t>ফকির মালিথা</t>
  </si>
  <si>
    <t>মতিয়ারা খাতুন</t>
  </si>
  <si>
    <t>০২/১০/১৯২৫</t>
  </si>
  <si>
    <t>ইছাহাক মোল্লা</t>
  </si>
  <si>
    <t>মোঃ লুৎফর রহমান</t>
  </si>
  <si>
    <t>০১/০৬/১৯৮৫</t>
  </si>
  <si>
    <t>মোছাঃ লাকী খাতুন</t>
  </si>
  <si>
    <t>মোছাঃ তারাফুল</t>
  </si>
  <si>
    <t>১৫/১০/১৯৮৫</t>
  </si>
  <si>
    <t>মবজেল হোসেন</t>
  </si>
  <si>
    <t>কালু মন্ডল</t>
  </si>
  <si>
    <t>মোছাঃ মিনুয়ারা</t>
  </si>
  <si>
    <t>১০/১০/১৯৮০</t>
  </si>
  <si>
    <t>আত্তাব মন্ডল</t>
  </si>
  <si>
    <t>মোছাঃ সাহারন নেছা</t>
  </si>
  <si>
    <t>১৫/০৬/১৯৫৭</t>
  </si>
  <si>
    <t>মোছাঃ জাম্বাতন নেছা</t>
  </si>
  <si>
    <t>মোছাঃ শকেজান</t>
  </si>
  <si>
    <t>১৮/০৬/১৯৮২</t>
  </si>
  <si>
    <t>১২/০৮/১৯৬২</t>
  </si>
  <si>
    <t>১০/১১/১৯৮৬</t>
  </si>
  <si>
    <t>মোঃ মোফাজ্জেল হোসেন</t>
  </si>
  <si>
    <t>১৫/০৯/১৯৮৬</t>
  </si>
  <si>
    <t>মোছাঃ মলেজান</t>
  </si>
  <si>
    <t>ফকিরজান</t>
  </si>
  <si>
    <t>মোছাঃ সইমেনা খাতুন</t>
  </si>
  <si>
    <t>ওয়াদ মন্ডল</t>
  </si>
  <si>
    <t>১৫/১০/১৯৫২</t>
  </si>
  <si>
    <t>মোছাঃ রিনা খাতুন</t>
  </si>
  <si>
    <t>মোছাঃ আজিবার হোসেন</t>
  </si>
  <si>
    <t>মোছাঃ রাকিয়া খাতুন</t>
  </si>
  <si>
    <t>জারমান আলী</t>
  </si>
  <si>
    <t>১০/০৬/১৯৫৪</t>
  </si>
  <si>
    <t>মহম্মাদ আলী</t>
  </si>
  <si>
    <t>০৫/০৬/১৯৬৩</t>
  </si>
  <si>
    <t>সলেমান বিশ্বাস</t>
  </si>
  <si>
    <t>বাবর আলী</t>
  </si>
  <si>
    <t>মোছাঃ সকিনা বিবি</t>
  </si>
  <si>
    <t>০৪/০৭/১৯৬৭</t>
  </si>
  <si>
    <t>মোছাঃ হালিম</t>
  </si>
  <si>
    <t>মোঃ জহর মন্ডল</t>
  </si>
  <si>
    <t>মোছাঃ সালেহার</t>
  </si>
  <si>
    <t>১০/০৬/১৯৬৫</t>
  </si>
  <si>
    <t>মোছাঃ তরিফন খাতুন</t>
  </si>
  <si>
    <t>রাসুল মন্ডল</t>
  </si>
  <si>
    <t>মোছাঃ সায়েরা খাতুন</t>
  </si>
  <si>
    <t>মোছাঃ ফরিদা বেগম</t>
  </si>
  <si>
    <t>মোঃ আলতাব হোসেন</t>
  </si>
  <si>
    <t>মোছাঃ ফজিলা বেগম</t>
  </si>
  <si>
    <t>১৬/০৯/১৯৭৪</t>
  </si>
  <si>
    <t>নহিম শেখ</t>
  </si>
  <si>
    <t>১০/১০/১৯৬৮</t>
  </si>
  <si>
    <t>মোঃ খেদের আলী</t>
  </si>
  <si>
    <t>মোছাঃ শিখা খাতুন</t>
  </si>
  <si>
    <t>মোঃ ইকরাম উদ্দীন শেখ</t>
  </si>
  <si>
    <t>মোছাঃ রওশান আরা</t>
  </si>
  <si>
    <t>আইন উদ্দীন শেখ</t>
  </si>
  <si>
    <t>মালজান শেখ</t>
  </si>
  <si>
    <t>১০/১০/১৯২৫</t>
  </si>
  <si>
    <t>মোছাঃ গোলজান</t>
  </si>
  <si>
    <t>মোঃ সুলতান হোসেন</t>
  </si>
  <si>
    <t>মোছাঃ কুলসুম</t>
  </si>
  <si>
    <t>২১/০৬/১৯৫৯</t>
  </si>
  <si>
    <t>মোছাঃ সায়রা খাতুন</t>
  </si>
  <si>
    <t>১৫/০৮/১৯৭৫</t>
  </si>
  <si>
    <t>১০/১১/১৯৬৫</t>
  </si>
  <si>
    <t>আব্দুল মজিদ</t>
  </si>
  <si>
    <t>২৫/১০/১৯৭৫</t>
  </si>
  <si>
    <t>মোছাঃ রত্না খাতুন</t>
  </si>
  <si>
    <t>আমির আলী</t>
  </si>
  <si>
    <t>মোছাঃ জেলেহার</t>
  </si>
  <si>
    <t>মোঃ মোহাব আলী</t>
  </si>
  <si>
    <t>মোছাঃ খোদেজা</t>
  </si>
  <si>
    <t>১০/১২/১৯৬০</t>
  </si>
  <si>
    <t>মোছাঃ সাহেলা খাতুন</t>
  </si>
  <si>
    <t>মোঃ হেদায়েতউল্লা</t>
  </si>
  <si>
    <t>মোছাঃ তাসলিমা</t>
  </si>
  <si>
    <t>মোছাঃ চিন্তা খাতুন</t>
  </si>
  <si>
    <t>লিয়াকত হোসেন</t>
  </si>
  <si>
    <t>মোছাঃ মনোয়ারা বেগম</t>
  </si>
  <si>
    <t>২০/১১/১৯৭৫</t>
  </si>
  <si>
    <t>মোছাঃ রন্না খাতুন</t>
  </si>
  <si>
    <t>কাজিমদ্দিন</t>
  </si>
  <si>
    <t>মোছাঃ জাহারন</t>
  </si>
  <si>
    <t>১২/০৬/১৯৭৪</t>
  </si>
  <si>
    <t>মোঃ নকিমিদ্দিন</t>
  </si>
  <si>
    <t>১২/১২/১৯৬৭</t>
  </si>
  <si>
    <t>মোছাঃ বেলিনা খাতুন</t>
  </si>
  <si>
    <t>মোঃ কলিম উদ্দীন</t>
  </si>
  <si>
    <t>১২/০৮/১৯৮৭</t>
  </si>
  <si>
    <t>মোছাঃ নুরনাহার</t>
  </si>
  <si>
    <t>মোঃ ওয়াজেদ শেখ</t>
  </si>
  <si>
    <t>১২/১১/১৯৬০</t>
  </si>
  <si>
    <t>০১/০৮/১৯৬৭</t>
  </si>
  <si>
    <t>সায়রা খাতুন</t>
  </si>
  <si>
    <t>১৯/১১/১৯৬৭</t>
  </si>
  <si>
    <t>মোশারেফ হোসেন</t>
  </si>
  <si>
    <t>১০/১২/১৯৬৫</t>
  </si>
  <si>
    <t>মোঃ শাকের আলী</t>
  </si>
  <si>
    <t>মোছাঃ সানোয়ারা</t>
  </si>
  <si>
    <t>১২/০৮/১৯৮০</t>
  </si>
  <si>
    <t>মোঃ ইকরাম হোসেন</t>
  </si>
  <si>
    <t>মোছাঃ জিজান</t>
  </si>
  <si>
    <t>১২/১২/১৯৮২</t>
  </si>
  <si>
    <t>মোঃ কাওসার আলী</t>
  </si>
  <si>
    <t>মোছাঃ রাহেনা খাতুন</t>
  </si>
  <si>
    <t>১৭/০৭/১৯৮১</t>
  </si>
  <si>
    <t>মোছাব খাঁ</t>
  </si>
  <si>
    <t>লুৎফন নেছা</t>
  </si>
  <si>
    <t>১৫/০৮/১৯৫২</t>
  </si>
  <si>
    <t>মোছাঃ আনার কলি</t>
  </si>
  <si>
    <t>মোছাঃ হামিরন নেছা</t>
  </si>
  <si>
    <t>২৫/০৩/১৯৭৫</t>
  </si>
  <si>
    <t>মোঃ মহসিন শেখ</t>
  </si>
  <si>
    <t>২৮/০৮/১৯৮০</t>
  </si>
  <si>
    <t>মোঃ শরিফুদ্দিন শেখ</t>
  </si>
  <si>
    <t>১৭/০৭/১৯৮৪</t>
  </si>
  <si>
    <t>খেদের মাহমুদ</t>
  </si>
  <si>
    <t>১১/০২/১৯৫২</t>
  </si>
  <si>
    <t>মোঃ মজনু হোসেন</t>
  </si>
  <si>
    <t>১৬/১০/১৯৭৮</t>
  </si>
  <si>
    <t>জোনাব মন্ডল</t>
  </si>
  <si>
    <t>১৬/০৩/১৯৮২</t>
  </si>
  <si>
    <t>মোছাঃ দুলু খাতুন</t>
  </si>
  <si>
    <t>ইতবার শেখ</t>
  </si>
  <si>
    <t>দাসীমন খাতুন</t>
  </si>
  <si>
    <t>১৬/০৫/১৯৫২</t>
  </si>
  <si>
    <t xml:space="preserve"> ধানখোলা</t>
  </si>
  <si>
    <t>মোঃ সামসুল ইসলাম</t>
  </si>
  <si>
    <t>১৮/০৭/১৯৮৭</t>
  </si>
  <si>
    <t>রজব আলী</t>
  </si>
  <si>
    <t>মোছাঃ টুনি খাতুন</t>
  </si>
  <si>
    <t>১৪/০৪/১৯৭২</t>
  </si>
  <si>
    <t>মোঃ মোহার আলী</t>
  </si>
  <si>
    <t>১৯/০৯/১৯৭০</t>
  </si>
  <si>
    <t>মোছাঃ লালভানু</t>
  </si>
  <si>
    <t>শুকুর মন্ডল</t>
  </si>
  <si>
    <t>মোছাঃ নাইমন নেছা</t>
  </si>
  <si>
    <t>২৫/০৫/১৯৭২</t>
  </si>
  <si>
    <t>মোঃ কবিরুদ্দিন</t>
  </si>
  <si>
    <t>মোছাঃ অঞ্জনা খাতুন</t>
  </si>
  <si>
    <t>১২/০৯/১৯৭৬</t>
  </si>
  <si>
    <t>১৪/০৪/১৯৮২</t>
  </si>
  <si>
    <t>১৬/০৮/১৯৭৪</t>
  </si>
  <si>
    <t>মোছাঃ দাখিলা খাতুন</t>
  </si>
  <si>
    <t>১৮/০৯/১৯৭২</t>
  </si>
  <si>
    <t>মোঃ রহমান মোল্লা</t>
  </si>
  <si>
    <t>মোছাঃ বানোয়ারা</t>
  </si>
  <si>
    <t>ইসমাইল হোসেন</t>
  </si>
  <si>
    <t>১৮/১০/১৯৭৭</t>
  </si>
  <si>
    <t>মোছাঃ বানোয়ারা খাতুন</t>
  </si>
  <si>
    <t>নিজামুদ্দীন খাঁ</t>
  </si>
  <si>
    <t>মোছাঃ জমিরন</t>
  </si>
  <si>
    <t>১২/১১/১৯৬৭</t>
  </si>
  <si>
    <t>মোঃ হাম্মাদ খাঁ</t>
  </si>
  <si>
    <t>মোছাঃ মোর্শেদা খাতুন</t>
  </si>
  <si>
    <t>১৯/০৯/১৯৭২</t>
  </si>
  <si>
    <t>মোছাঃ আনজুমান আরা</t>
  </si>
  <si>
    <t>আরজেল হক</t>
  </si>
  <si>
    <t>মোছাঃ শাহেরা খাতুন</t>
  </si>
  <si>
    <t>২৫/০৫/১৯৮২</t>
  </si>
  <si>
    <t>মোঃ কাবাতুল্লাহ</t>
  </si>
  <si>
    <t>১৮/০৮/১৯৮১</t>
  </si>
  <si>
    <t>মফিজ উদ্দীন শেখ</t>
  </si>
  <si>
    <t>২২/১০/১৯৬৭</t>
  </si>
  <si>
    <t>মোছাঃ রওশন আরা বেগম</t>
  </si>
  <si>
    <t>১৩/০৬/১৯৫৩</t>
  </si>
  <si>
    <t>মোছাঃ সুরজিয়া খানম</t>
  </si>
  <si>
    <t>মোঃ শামসুল আলম খান</t>
  </si>
  <si>
    <t>২৯/১১/১৯৭৫</t>
  </si>
  <si>
    <t>মোছাঃ সাহারা বেগম</t>
  </si>
  <si>
    <t>ছফিরুদ্দিন খান</t>
  </si>
  <si>
    <t>১২/১২/১৯৬১</t>
  </si>
  <si>
    <t>মোছাঃ নিহারন বিবি</t>
  </si>
  <si>
    <t>১৪/১১/১৯৭৭</t>
  </si>
  <si>
    <t>মোঃ আহাম্মাদ আলী</t>
  </si>
  <si>
    <t>১৮/১০/১৯৭৬</t>
  </si>
  <si>
    <t>মোছাঃ সারজিনা খাতুন</t>
  </si>
  <si>
    <t>মোঃ শাহজাহান আলী</t>
  </si>
  <si>
    <t>১৫/০৮/১৯৮০</t>
  </si>
  <si>
    <t>মোঃ জয়নাল হোসেন</t>
  </si>
  <si>
    <t>মোছাঃ সাবিরন খাতুন</t>
  </si>
  <si>
    <t>খয়ের উদ্দীন</t>
  </si>
  <si>
    <t>১১/০৮/১৯৭২</t>
  </si>
  <si>
    <t>মোঃ শাবর হক</t>
  </si>
  <si>
    <t>আনজুমানয়ারা</t>
  </si>
  <si>
    <t>আসমত আলী</t>
  </si>
  <si>
    <t>০৬/০৮/১৯৭২</t>
  </si>
  <si>
    <t>গরীব শা</t>
  </si>
  <si>
    <t>কাসেম খাতুন</t>
  </si>
  <si>
    <t>১৩/০৮/১৯৭২</t>
  </si>
  <si>
    <t>মোছাঃ ইসমত আরা</t>
  </si>
  <si>
    <t>মোঃ আশরাফুল ইসলাম</t>
  </si>
  <si>
    <t>মোছাঃ আমবিয়া খাতুন</t>
  </si>
  <si>
    <t>আহম্মদ শেখ</t>
  </si>
  <si>
    <t>২১/০৮/১৯৬৭</t>
  </si>
  <si>
    <t>মোছাঃ দেলোয়ারা খাতুন</t>
  </si>
  <si>
    <t>২৬/০৮/১৯৮২</t>
  </si>
  <si>
    <t>আমিরুদ্দিন</t>
  </si>
  <si>
    <t>১৮/০৭/১৯৮১</t>
  </si>
  <si>
    <t>মোছাঃ নাছরিনা খাতুন</t>
  </si>
  <si>
    <t>মোঃ নবির উদ্দীন</t>
  </si>
  <si>
    <t>মোছাঃ শিরিনা আকতার</t>
  </si>
  <si>
    <t>১২/০৩/১৯৬৫</t>
  </si>
  <si>
    <t>মোঃ আনোয়ার হোসেন</t>
  </si>
  <si>
    <t>জামেলা খাতুন</t>
  </si>
  <si>
    <t>১৯/০৭/১৯৭৪</t>
  </si>
  <si>
    <t>বরকত জোয়ার্দার</t>
  </si>
  <si>
    <t>মোছাঃ রেণুকা খাতুন</t>
  </si>
  <si>
    <t>২৬/০৫/১৯৬৭</t>
  </si>
  <si>
    <t>মোকছাদ আলী</t>
  </si>
  <si>
    <t>২১/০৭/১৯৮৩</t>
  </si>
  <si>
    <t>মোছাঃ শামিমা কুদ্দুস</t>
  </si>
  <si>
    <t>২৫/১০/১৯৮২</t>
  </si>
  <si>
    <t>মোছাঃ ফেরদোস আরা</t>
  </si>
  <si>
    <t>ইছাহাক আলী</t>
  </si>
  <si>
    <t>১৯/০৮/১৯৭০</t>
  </si>
  <si>
    <t>১৮/১০/১৯৬৭</t>
  </si>
  <si>
    <t>মোছাঃ সুলতানা খাতুন</t>
  </si>
  <si>
    <t>মোঃ শাহাবুদ্দীন</t>
  </si>
  <si>
    <t>১১/০৫/১৯৭৯</t>
  </si>
  <si>
    <t>মোছাঃ খায়রুন নেছা</t>
  </si>
  <si>
    <t>মোছাঃ জৈগুন</t>
  </si>
  <si>
    <t>১৪/০৭/১৯৬৫</t>
  </si>
  <si>
    <t>মোছাঃ আনেরা খাতুন</t>
  </si>
  <si>
    <t>মোঃ আবুতালেব</t>
  </si>
  <si>
    <t>১৪/০৭/১৯৬৯</t>
  </si>
  <si>
    <t>মোছাঃ সুমি খাতুন</t>
  </si>
  <si>
    <t>সিফার উদ্দীন শেখ</t>
  </si>
  <si>
    <t>নহেরুন</t>
  </si>
  <si>
    <t>১৫/১০/১৯৪৭</t>
  </si>
  <si>
    <t>মোঃ সনাতন</t>
  </si>
  <si>
    <t>মোছাঃ আশরাফন</t>
  </si>
  <si>
    <t>১১/০৯/১৯৭০</t>
  </si>
  <si>
    <t>মোঃ আলতাফ আলী</t>
  </si>
  <si>
    <t>১৬/০৯/১৯৮৪</t>
  </si>
  <si>
    <t>১৭/০৮/১৯৭৩</t>
  </si>
  <si>
    <t>মোঃ পীর বকস</t>
  </si>
  <si>
    <t>মোছাঃ ফুলবতী</t>
  </si>
  <si>
    <t>মোঃ মারফত আলী</t>
  </si>
  <si>
    <t>১৪/০৩/১৯৮১</t>
  </si>
  <si>
    <t>মোছাঃ তানজিরা খাতুন</t>
  </si>
  <si>
    <t>মোঃ ইন্তাদুল হক</t>
  </si>
  <si>
    <t>১৮/০৪/১৯৭৭</t>
  </si>
  <si>
    <t>মোঃ আলী হোসেন</t>
  </si>
  <si>
    <t>মোছাঃ মেহেরুন নেছা</t>
  </si>
  <si>
    <t>২৩/০৪/১৯৮৪</t>
  </si>
  <si>
    <t>মোছাঃ ইসমোতারা</t>
  </si>
  <si>
    <t>কাওছার আলী</t>
  </si>
  <si>
    <t>মোছাঃ খুশি খাতুন</t>
  </si>
  <si>
    <t>২৭/০৯/১৯৮৩</t>
  </si>
  <si>
    <t>১৫/০৮/১৯৮১</t>
  </si>
  <si>
    <t>মজিবর রহমান</t>
  </si>
  <si>
    <t>১৫/০৯/১৯৬৭</t>
  </si>
  <si>
    <t>২৫/০৭/১৯৭১</t>
  </si>
  <si>
    <t>আবু শ্যামা</t>
  </si>
  <si>
    <t>২৩/০৭/১৯৪৫</t>
  </si>
  <si>
    <t>মোছাঃ মিনা বেগম</t>
  </si>
  <si>
    <t>০২/০৩/১৯৭৯</t>
  </si>
  <si>
    <t>মোছাঃ ছয়েলা খাতুন</t>
  </si>
  <si>
    <t>ফাকের আলী</t>
  </si>
  <si>
    <t>জিজান খাতুন</t>
  </si>
  <si>
    <t>১০/১০/১৯৪৫</t>
  </si>
  <si>
    <t>মোছাঃ ছেরেজান খাতুন</t>
  </si>
  <si>
    <t>মোছাঃ জাহারন খাতুন</t>
  </si>
  <si>
    <t>০৬/০৫/১৯৬৭</t>
  </si>
  <si>
    <t>০১/০১/১৯৬২</t>
  </si>
  <si>
    <t>মোহাঃ আবু বক্কর</t>
  </si>
  <si>
    <t>১০/০৯/১৯৮৮</t>
  </si>
  <si>
    <t>৩১/১২/১৯৭৭</t>
  </si>
  <si>
    <t>২১/১২/১৯৭৬</t>
  </si>
  <si>
    <t>২২/১০/১৯৫১</t>
  </si>
  <si>
    <t>জাকির হোসেন</t>
  </si>
  <si>
    <t>জোহরা খাতুন</t>
  </si>
  <si>
    <t>০৩/০৭/১৯৬৮</t>
  </si>
  <si>
    <t>মোছাঃ নাজমীন নারা</t>
  </si>
  <si>
    <t>মোঃ আলিউল ইসলাম</t>
  </si>
  <si>
    <t>মোছাঃ সমিরন নেছা</t>
  </si>
  <si>
    <t>২২/০৮/১৯৭৪</t>
  </si>
  <si>
    <t>মোছাঃ রাশিরা বেগম</t>
  </si>
  <si>
    <t>ইরফান আলী</t>
  </si>
  <si>
    <t>একাতন বেগম</t>
  </si>
  <si>
    <t>২০/০৪/১৯৪৮</t>
  </si>
  <si>
    <t>মোছাঃ ফরিদা ইয়াসমিন</t>
  </si>
  <si>
    <t>সামসুল আলম</t>
  </si>
  <si>
    <t>২৬/০৬/১৯৭৫</t>
  </si>
  <si>
    <t>বেনি মন্ডল</t>
  </si>
  <si>
    <t>মোছাঃ সোহাগি</t>
  </si>
  <si>
    <t>২৯/০৯/১৯৩৩</t>
  </si>
  <si>
    <t>মল্লিক শেখ</t>
  </si>
  <si>
    <t>মোছাঃ প্রমেলা বেগম</t>
  </si>
  <si>
    <t>২২/০১/১৯৬৩</t>
  </si>
  <si>
    <t>মহলেম আলী</t>
  </si>
  <si>
    <t>৩০/০৪/১৯৭৭</t>
  </si>
  <si>
    <t>মোঃ আব্দুল জলিল</t>
  </si>
  <si>
    <t>১৩/০৪/১৯৭৩</t>
  </si>
  <si>
    <t>জুব্বার আলী</t>
  </si>
  <si>
    <t>হালেজান খাতুন</t>
  </si>
  <si>
    <t>০১/০৫/১৯৪১</t>
  </si>
  <si>
    <t>মোঃ পিন্টু আলী</t>
  </si>
  <si>
    <t>৩০/০৪/১৯৮২</t>
  </si>
  <si>
    <t>মোছাঃ বেলিয়ারা খাতুন</t>
  </si>
  <si>
    <t>মোঃ আকুবর আলী</t>
  </si>
  <si>
    <t>১৭/০৭/১৯৮২</t>
  </si>
  <si>
    <t>মোঃ গয়েচ উদ্দিন</t>
  </si>
  <si>
    <t>মোছাঃ গোলাপ নেছা</t>
  </si>
  <si>
    <t>২১/০৪/১৯৬৩</t>
  </si>
  <si>
    <t>মোঃ জহুর উদ্দিন</t>
  </si>
  <si>
    <t>মোছাঃ গোলেজান নেছা</t>
  </si>
  <si>
    <t>০৭/০৪/১৯৮৬</t>
  </si>
  <si>
    <t>মোঃ মহরম আলী</t>
  </si>
  <si>
    <t>২৭/০৭/১৯৮৩</t>
  </si>
  <si>
    <t>মজেম হোসেন</t>
  </si>
  <si>
    <t>০৬/০১/১৯৬৩</t>
  </si>
  <si>
    <t>মোছাঃ ছানুয়ার বেগম</t>
  </si>
  <si>
    <t>০২/১১/১৯৫৯</t>
  </si>
  <si>
    <t>মোছাঃ নবিছন নেছা</t>
  </si>
  <si>
    <t>আসান শেখ</t>
  </si>
  <si>
    <t>কালী খাতুন</t>
  </si>
  <si>
    <t>২৭/১১/১৯৩৩</t>
  </si>
  <si>
    <t>০১/০৮/১৯৮৬</t>
  </si>
  <si>
    <t>আনজেল খাঁ</t>
  </si>
  <si>
    <t>মোছাঃ জাহিরন নেছা</t>
  </si>
  <si>
    <t>০১/০১/১৯৬৭</t>
  </si>
  <si>
    <t>মোছাঃ সকিলা খাতুন</t>
  </si>
  <si>
    <t>আব্দুর রহিম</t>
  </si>
  <si>
    <t>১৯/০৫/১৯৬৬</t>
  </si>
  <si>
    <t>মোছাঃ চামেলী খাতুন</t>
  </si>
  <si>
    <t>২৭/০৭/১৯৮৮</t>
  </si>
  <si>
    <t>মোছাঃ জিম্বাতন নেছা</t>
  </si>
  <si>
    <t>০৪/০৩/১৯৮০</t>
  </si>
  <si>
    <t>আরজেল শেখ</t>
  </si>
  <si>
    <t>২৯/০৯/১৯৬৭</t>
  </si>
  <si>
    <t>০১/০৪/১৯৮৮</t>
  </si>
  <si>
    <t>মোছাঃ বিনা খাতুন</t>
  </si>
  <si>
    <t>২১/০১/১৯৮৬</t>
  </si>
  <si>
    <t>২২/০৬/১৯৬৭</t>
  </si>
  <si>
    <t>রয়ছদ্দীন</t>
  </si>
  <si>
    <t>খেলেজান</t>
  </si>
  <si>
    <t>১৯/০২/১৯৪৩</t>
  </si>
  <si>
    <t>১০/০৪/১৯৬৭</t>
  </si>
  <si>
    <t>ছক্কিমন নেছা</t>
  </si>
  <si>
    <t>১২/০৩/১৯৭৩</t>
  </si>
  <si>
    <t>মোছাঃ আবুল কাশেম</t>
  </si>
  <si>
    <t>০৭/০২/১৯৮৬</t>
  </si>
  <si>
    <t>মোছাঃ সহিদা বেগম</t>
  </si>
  <si>
    <t>মোঃ নূর মোহাম্মদ</t>
  </si>
  <si>
    <t>মোছাঃ জকিমন নেছা</t>
  </si>
  <si>
    <t>১৯/০৫/১৯৭১</t>
  </si>
  <si>
    <t>২৫/০৮/১৯৬০</t>
  </si>
  <si>
    <t>হায়দার খাঁ</t>
  </si>
  <si>
    <t>মোছাঃ মাজেদা বেগম</t>
  </si>
  <si>
    <t>১৮/০৫/১৯৫৮</t>
  </si>
  <si>
    <t>মোঃ নহর আলী</t>
  </si>
  <si>
    <t>মোছাঃ আরেজান খাতুন</t>
  </si>
  <si>
    <t>২৬/০৭/১৯৮৮</t>
  </si>
  <si>
    <t>মোঃ গোলাম পস্তুত</t>
  </si>
  <si>
    <t>২২/০৪/১৯৭৮</t>
  </si>
  <si>
    <t>মোঃ তাহাজ উদ্দীন</t>
  </si>
  <si>
    <t>২০/০৩/১৯৭০</t>
  </si>
  <si>
    <t>২৭/০৪/১৯৭২</t>
  </si>
  <si>
    <t>মোঃ নবিছদ্দিন</t>
  </si>
  <si>
    <t>১৯/০৪/১৯৭৯</t>
  </si>
  <si>
    <t>মোছাঃ বিলকিচ আরা</t>
  </si>
  <si>
    <t>মোঃ ইসমাইল হক</t>
  </si>
  <si>
    <t>মোছাঃ সাইবানু</t>
  </si>
  <si>
    <t>১০/০৭/১৯৭৭</t>
  </si>
  <si>
    <t>মহিরুদ্দিন</t>
  </si>
  <si>
    <t>মোছাঃ হাজিরন</t>
  </si>
  <si>
    <t>২৫/০৭/১৯৮২</t>
  </si>
  <si>
    <t>মোছাঃ রীনা খাতুন</t>
  </si>
  <si>
    <t>মোঃ কোরবান আলী</t>
  </si>
  <si>
    <t>১৯/০৭/১৯৭৭</t>
  </si>
  <si>
    <t>মোঃ হাফেজ উদ্দীন</t>
  </si>
  <si>
    <t>মোছাঃ শাহাজাদী বেগম</t>
  </si>
  <si>
    <t>১০/০৮/১৯৭৯</t>
  </si>
  <si>
    <t>মোঃ ছাত্তার মিয়া</t>
  </si>
  <si>
    <t>২২/০১/১৯৭৯</t>
  </si>
  <si>
    <t>পাতান শেখ</t>
  </si>
  <si>
    <t>২১/০২/১৯৭৫</t>
  </si>
  <si>
    <t>মোছাঃ হাসমত আরা</t>
  </si>
  <si>
    <t>আঃ মজিদ</t>
  </si>
  <si>
    <t>০৫/০৭/১৯৮০</t>
  </si>
  <si>
    <t>০৩/০৬/১৯৮৭</t>
  </si>
  <si>
    <t>মোছাঃ খাদিজা বানু</t>
  </si>
  <si>
    <t>২৪/১১/১৯৬৭</t>
  </si>
  <si>
    <t>আহাম্মদ আলী</t>
  </si>
  <si>
    <t>১৪/০৯/১৯৭৭</t>
  </si>
  <si>
    <t>নিয়ামত মল্লিক</t>
  </si>
  <si>
    <t>১৫/০৪/১৯৬২</t>
  </si>
  <si>
    <t>মোছাঃ রেজবীনা খাতুন</t>
  </si>
  <si>
    <t>আত্তর আলী</t>
  </si>
  <si>
    <t>পরিছন নেছা</t>
  </si>
  <si>
    <t>১৯/০৫/১৯৮৭</t>
  </si>
  <si>
    <t>বুলু খাঁন</t>
  </si>
  <si>
    <t>শোলেজান</t>
  </si>
  <si>
    <t>মোছাঃ শম্পা খাতুন</t>
  </si>
  <si>
    <t>০৬/০১/১৯৮২</t>
  </si>
  <si>
    <t>মোছাঃ শাহর বানু</t>
  </si>
  <si>
    <t>মোহাঃ ইদ্রিস আলী</t>
  </si>
  <si>
    <t>০২/০৪/১৯৮২</t>
  </si>
  <si>
    <t>মোছাঃ তাজমিনা খাতুন</t>
  </si>
  <si>
    <t>নাজিম উদ্দীন</t>
  </si>
  <si>
    <t>মোছাঃ মাছুলি আরা</t>
  </si>
  <si>
    <t>মোঃ তারজুল ইসলাম</t>
  </si>
  <si>
    <t>মোছাঃ আনুরা খাতুন</t>
  </si>
  <si>
    <t>০৪/০৩/১৯৮১</t>
  </si>
  <si>
    <t>মোছাঃ তোহমিনা খাতুন</t>
  </si>
  <si>
    <t>মোঃ মহিরউদ্দিন</t>
  </si>
  <si>
    <t>১৪/০৪/১৯৬২</t>
  </si>
  <si>
    <t>মুনসুর আলী</t>
  </si>
  <si>
    <t>০৭/০১/১৯৮২</t>
  </si>
  <si>
    <t>মোছাঃ কাকলী খাতুন</t>
  </si>
  <si>
    <t>মোঃ মরাজেম হোসেন</t>
  </si>
  <si>
    <t>১০/০১/১৯৮৫</t>
  </si>
  <si>
    <t>মসলেম মন্ডল</t>
  </si>
  <si>
    <t>জুরাতন নেছা</t>
  </si>
  <si>
    <t>মোছাঃ বদিরুন নেছা</t>
  </si>
  <si>
    <t>আব্দুস সাত্তার</t>
  </si>
  <si>
    <t>রেহেজান খাতুন</t>
  </si>
  <si>
    <t>মোঃ মুনছুর মন্ডল</t>
  </si>
  <si>
    <t>মোছাঃ নেছারন</t>
  </si>
  <si>
    <t>উমর মল্লিক</t>
  </si>
  <si>
    <t>০৭/০৪/১৯৮২</t>
  </si>
  <si>
    <t>মোছাঃ ছানোয়ারা</t>
  </si>
  <si>
    <t>রহিমা মল্লিক</t>
  </si>
  <si>
    <t>বালাজান</t>
  </si>
  <si>
    <t>১৬/০৭/১৯৬২</t>
  </si>
  <si>
    <t>১১/০৭/১৯৭৯</t>
  </si>
  <si>
    <t>মোঃ আজগার আলী</t>
  </si>
  <si>
    <t>মোছাঃ কদভান খাতুন</t>
  </si>
  <si>
    <t>১৫/০৩/১৯৬৭</t>
  </si>
  <si>
    <t>আজাহার মন্ডল</t>
  </si>
  <si>
    <t>১১/০৭/১৯৭০</t>
  </si>
  <si>
    <t>মোছাঃ রুনা খাতুন</t>
  </si>
  <si>
    <t>মোহাঃ ছানোয়ার হোসেন</t>
  </si>
  <si>
    <t>২৮/০৬/১৯৮৯</t>
  </si>
  <si>
    <t>ছবদার হোসেন</t>
  </si>
  <si>
    <t>মোছাঃ খাদিজা বেগম</t>
  </si>
  <si>
    <t>১৫/০৫/১৯৫৯</t>
  </si>
  <si>
    <t>মোঃ মকরেম শেখ</t>
  </si>
  <si>
    <t>মোছাঃ বানেরা বেগম</t>
  </si>
  <si>
    <t>১১/০২/১৯৭৪</t>
  </si>
  <si>
    <t>মোঃ লুকমান মন্ডল</t>
  </si>
  <si>
    <t>মোছাঃ জিম্বাতারা</t>
  </si>
  <si>
    <t>১৩/০১/১৯৭৮</t>
  </si>
  <si>
    <t>মোছাঃ লাবনী ইয়াসমিন</t>
  </si>
  <si>
    <t>মোঃ মোহাদ্দেস হোসেন</t>
  </si>
  <si>
    <t>১৭/০৮/১৯৮৪</t>
  </si>
  <si>
    <t>তোজাম্মেল হোসেন</t>
  </si>
  <si>
    <t>মোছাঃ মরজেনা খাতুন</t>
  </si>
  <si>
    <t>ছকেনা খাতুন</t>
  </si>
  <si>
    <t>১৩/০৩/১৯৫২</t>
  </si>
  <si>
    <t>১২/০৭/১৯৭৪</t>
  </si>
  <si>
    <t>মোছাঃ মজিফা খাতুন</t>
  </si>
  <si>
    <t>মোছাঃ সোহাগি খাতুন</t>
  </si>
  <si>
    <t>১৫/০৭/১৯৮৭</t>
  </si>
  <si>
    <t>মোছাঃ হোসনিয়ারা খাতুন</t>
  </si>
  <si>
    <t>মোঃ হারুন রশীদ খান</t>
  </si>
  <si>
    <t>১৮/০৮/১৯৮৪</t>
  </si>
  <si>
    <t>আলাহামদু</t>
  </si>
  <si>
    <t>ফুলের সর</t>
  </si>
  <si>
    <t>১২/০৫/১৯৪৭</t>
  </si>
  <si>
    <t>জেসেন মন্ডল</t>
  </si>
  <si>
    <t>মোছাঃ আজিমন নেছা</t>
  </si>
  <si>
    <t>১৩/০৩/১৯৬৭</t>
  </si>
  <si>
    <t>দবির উদ্দীন মন্ডল</t>
  </si>
  <si>
    <t>৩০/০৬/১৯৭৯</t>
  </si>
  <si>
    <t>মোছাঃ সুরজিনা খাতুন</t>
  </si>
  <si>
    <t>মোঃ জিনারুল ইসলাম</t>
  </si>
  <si>
    <t>মোছাঃ এম্পিয়া বেগম</t>
  </si>
  <si>
    <t>মোঃ নূর হক মন্ডল</t>
  </si>
  <si>
    <t>মোঃ আব্দুল আউয়াল</t>
  </si>
  <si>
    <t>১১/০৭/১৯৮৩</t>
  </si>
  <si>
    <t>মোছাঃ নিগারন নেছা</t>
  </si>
  <si>
    <t>মফেজদ্দি</t>
  </si>
  <si>
    <t>১৬/০৩/১৯৪৭</t>
  </si>
  <si>
    <t>মোছাঃ নিছারন</t>
  </si>
  <si>
    <t>মোঃ জহুর আলী</t>
  </si>
  <si>
    <t>২৫/০৭/১৯৭৮</t>
  </si>
  <si>
    <t>মোছাঃ রাফিয়া বেগম</t>
  </si>
  <si>
    <t>২২/০৩/১৯৭৫</t>
  </si>
  <si>
    <t>মোঃ ছওয়াব আলী</t>
  </si>
  <si>
    <t>মোছাঃ হাসিনা বেগম</t>
  </si>
  <si>
    <t>২২/০৭/১৯৭৯</t>
  </si>
  <si>
    <t>২০/০৫/১৯৮৯</t>
  </si>
  <si>
    <t>মোহাঃ রজব আলী</t>
  </si>
  <si>
    <t>ছালেহা বেগম</t>
  </si>
  <si>
    <t>২৫/০৭/১৯৮০</t>
  </si>
  <si>
    <t>মোছাঃ জান্নাতুল বাকিয়া</t>
  </si>
  <si>
    <t>২৫/০৭/১৯৮৭</t>
  </si>
  <si>
    <t>হাসমুদ্দিন</t>
  </si>
  <si>
    <t>২৫/০৮/১৯৪৭</t>
  </si>
  <si>
    <t>মোঃ ইলাহী</t>
  </si>
  <si>
    <t>২৪/০৪/১৯৮৮</t>
  </si>
  <si>
    <t>২২/০৫/১৯৮৭</t>
  </si>
  <si>
    <t>মোঃ জয়নাল আবেদীন</t>
  </si>
  <si>
    <t>১৫/০১/১৯৫০</t>
  </si>
  <si>
    <t>মোছাঃ নাসরিন আক্তার নাইচ</t>
  </si>
  <si>
    <t>মোঃ হামিদুল ইসলাম</t>
  </si>
  <si>
    <t>০৫/০৬/১৯৮০</t>
  </si>
  <si>
    <t>মোঃ তক্কেল হোসেন</t>
  </si>
  <si>
    <t>১৮/০৯/১৯৯০</t>
  </si>
  <si>
    <t>০১/০১/১৯৯০</t>
  </si>
  <si>
    <t>মোঃ ইমাজ উদ্দিন</t>
  </si>
  <si>
    <t>মোছাঃ ছাদেক খাতুন</t>
  </si>
  <si>
    <t>মোঃ তৈয়ব আলী</t>
  </si>
  <si>
    <t>মোছাঃ হাসি বেগম</t>
  </si>
  <si>
    <t>৩০/০৭/১৯৮৭</t>
  </si>
  <si>
    <t>মোছাঃ জাইরন নেছা</t>
  </si>
  <si>
    <t>৩০/০৬/১৯৮৭</t>
  </si>
  <si>
    <t>মোছাঃ শাহানাজ পারভিন</t>
  </si>
  <si>
    <t>১৫/১২/১৯৮৬</t>
  </si>
  <si>
    <t>মোছাঃ মমতাজ পারভিন</t>
  </si>
  <si>
    <t>১০/১১/১৯৮৮</t>
  </si>
  <si>
    <t>নৈমদ্দীন শেখ</t>
  </si>
  <si>
    <t>মোছাঃ রিজিয়া খাতুন</t>
  </si>
  <si>
    <t>০১/০১/১৯৮০</t>
  </si>
  <si>
    <t>মোছাঃ ডলিয়ার খাতুন</t>
  </si>
  <si>
    <t>মোঃ সানোয়ার হোসেন</t>
  </si>
  <si>
    <t>মোছাঃ বেনিয়ারা খাতুন</t>
  </si>
  <si>
    <t>০১/০২/১৯৯১</t>
  </si>
  <si>
    <t>মোছাঃ আল্পনা খাতুন</t>
  </si>
  <si>
    <t>মোঃ আনিস উদ্দীন</t>
  </si>
  <si>
    <t>মোছাঃ কুসুম বালা</t>
  </si>
  <si>
    <t>১৫/১১/১৯৮৪</t>
  </si>
  <si>
    <t>মোছাঃ মেরিনা খাতুন</t>
  </si>
  <si>
    <t>০৩/১২/১৯৯১</t>
  </si>
  <si>
    <t>মোছাঃ তারাজান খাতুন</t>
  </si>
  <si>
    <t>মোঃ আব্দুল লতিব</t>
  </si>
  <si>
    <t>০২/০৫/১৯৮৯</t>
  </si>
  <si>
    <t>মোছাঃ ওলিমা খাতুন</t>
  </si>
  <si>
    <t>মোঃ আঃ ওয়াহেদ</t>
  </si>
  <si>
    <t>মোছাঃ মিসনারা খাতুন</t>
  </si>
  <si>
    <t>০১/০১/১৯৯২</t>
  </si>
  <si>
    <t>মোছাঃ নিলুফার ইয়াছমিন</t>
  </si>
  <si>
    <t>মোঃ হাফেজ উদ্দিন</t>
  </si>
  <si>
    <t>০১/০১/১৯৭৮</t>
  </si>
  <si>
    <t>১৩/০৭/১৯৯০</t>
  </si>
  <si>
    <t>০৫/১২/১৯৯১</t>
  </si>
  <si>
    <t>মোছাঃ শাকিলা কাজল</t>
  </si>
  <si>
    <t>মোঃ আলেখীম আহসান</t>
  </si>
  <si>
    <t>মোছাঃ জাবেনা খাতুন</t>
  </si>
  <si>
    <t>০৭/১০/১৯৮৭</t>
  </si>
  <si>
    <t>মোঃ ভাদু খাঁ</t>
  </si>
  <si>
    <t>০১/০১/১৯৬৮</t>
  </si>
  <si>
    <t>মোঃ সাইদুল ইসলাম</t>
  </si>
  <si>
    <t>০৫/১০/১৯৯০</t>
  </si>
  <si>
    <t>হোসেন</t>
  </si>
  <si>
    <t>আমেনা</t>
  </si>
  <si>
    <t>২০/১০/১৯৯০</t>
  </si>
  <si>
    <t>০১/০৫/১৯৯১</t>
  </si>
  <si>
    <t>১০/০৬/১৯৮৬</t>
  </si>
  <si>
    <t>মোঃ সাইফুল ইসলাম</t>
  </si>
  <si>
    <t>১১/১১/১৯৯০</t>
  </si>
  <si>
    <t>মোছাঃ শিখা পারভীন</t>
  </si>
  <si>
    <t>মোঃ ময়নাল হক</t>
  </si>
  <si>
    <t>০১/১১/১৯৯১</t>
  </si>
  <si>
    <t>মোছাঃ জামিরন খাতুন</t>
  </si>
  <si>
    <t>১০/১০/১৯৮৮</t>
  </si>
  <si>
    <t>পাঞ্জাব আলী</t>
  </si>
  <si>
    <t>সরম জান</t>
  </si>
  <si>
    <t>১০/০৭/১৯৬৬</t>
  </si>
  <si>
    <t>মোঃ জসিম আলী</t>
  </si>
  <si>
    <t>২৩/০৭/১৯৮৮</t>
  </si>
  <si>
    <t>অনুকূল শেখ</t>
  </si>
  <si>
    <t>মোছাঃ পাতান জান খাতুন</t>
  </si>
  <si>
    <t>০৫/০৬/১৯৩৮</t>
  </si>
  <si>
    <t>মোছাঃ শান্তা খাতুন</t>
  </si>
  <si>
    <t>মোঃ আঃ বারী</t>
  </si>
  <si>
    <t>০১/১২/১৯৯১</t>
  </si>
  <si>
    <t>গাজী সামসুদ্দীন</t>
  </si>
  <si>
    <t>মোছাঃ দেলজান খাতুন</t>
  </si>
  <si>
    <t>০১/০১/১৯৭৪</t>
  </si>
  <si>
    <t>মোছাঃ গিনিয়ারা</t>
  </si>
  <si>
    <t>মোঃ নিয়াত আলী</t>
  </si>
  <si>
    <t>০৫/০৩/১৯৯১</t>
  </si>
  <si>
    <t>আব্দুল সিদ্দিক</t>
  </si>
  <si>
    <t>মোছাঃ আবেদা</t>
  </si>
  <si>
    <t>০২/০১/১৯৮৪</t>
  </si>
  <si>
    <t>০১/০১/১৯৯১</t>
  </si>
  <si>
    <t>মোছাঃ শকিলা খাতুন</t>
  </si>
  <si>
    <t>২৭/০২/১৯৯০</t>
  </si>
  <si>
    <t>১৫/০১/১৯৯০</t>
  </si>
  <si>
    <t>মোছাঃ গোলমজান</t>
  </si>
  <si>
    <t>মোঃ গাজলু আলী</t>
  </si>
  <si>
    <t>০৩/১০/১৯৮৯</t>
  </si>
  <si>
    <t>২০/১১/১৯৮৬</t>
  </si>
  <si>
    <t>মোছাঃ জোছনা বেগম</t>
  </si>
  <si>
    <t>মোঃ জয়নাল মীর</t>
  </si>
  <si>
    <t>২২/০৮/১৯৭৯</t>
  </si>
  <si>
    <t>মোঃ ইমাদুল</t>
  </si>
  <si>
    <t>মোছাঃ ফাতেমা</t>
  </si>
  <si>
    <t>মোছাঃ নাজেরা বেগম</t>
  </si>
  <si>
    <t>০৫/০৬/১৯৯১</t>
  </si>
  <si>
    <t>মোছাঃ বেঘাতন খাতুন</t>
  </si>
  <si>
    <t>০৫/০৪/১৯৬৭</t>
  </si>
  <si>
    <t>মোছাঃ ইসমাতারা</t>
  </si>
  <si>
    <t>মোঃ ইসরাইল হোসেন</t>
  </si>
  <si>
    <t>মোঃ ফকিরুল ইসলাম</t>
  </si>
  <si>
    <t>০৬/০৬/১৯৯১</t>
  </si>
  <si>
    <t>মোঃ আঃ রাজ্জাক</t>
  </si>
  <si>
    <t>মোছাঃ ফুরু খাতুন</t>
  </si>
  <si>
    <t>মোছাঃ দিপা খাতুন</t>
  </si>
  <si>
    <t>২২/০৮/১৯৯০</t>
  </si>
  <si>
    <t>মোছাঃ জাকিয়া আকতার</t>
  </si>
  <si>
    <t>মোঃ কিতাব আলি</t>
  </si>
  <si>
    <t>১১/০১/১৯৯০</t>
  </si>
  <si>
    <t>মোঃ আজমত আলী</t>
  </si>
  <si>
    <t>মোছাঃ তাসমিনা খাতুন</t>
  </si>
  <si>
    <t>০২/০৮/১৯৯১</t>
  </si>
  <si>
    <t>মোছাঃ হাবিবা সুলতানা</t>
  </si>
  <si>
    <t>২৮/০৯/১৯৮৯</t>
  </si>
  <si>
    <t>মোছাঃ ছুফিয়া খাতুন</t>
  </si>
  <si>
    <t>০৫/০৩/১৯৯০</t>
  </si>
  <si>
    <t>কল্পনারানী সাহা</t>
  </si>
  <si>
    <t>মঙ্গল চন্দ্র সাহা</t>
  </si>
  <si>
    <t>অঞ্জলী রানী সাহা</t>
  </si>
  <si>
    <t>১০/০২/১৯৮৪</t>
  </si>
  <si>
    <t>২৫/০৫/১৯৯১</t>
  </si>
  <si>
    <t>আদব আলী</t>
  </si>
  <si>
    <t>রাবেয়া খাতুন</t>
  </si>
  <si>
    <t>মোছাঃ শীলা খাতুন</t>
  </si>
  <si>
    <t>মোঃ নূহ আলম</t>
  </si>
  <si>
    <t>৩০/০৯/১৯৯০</t>
  </si>
  <si>
    <t>মোছাঃ সিলভিয়া আক্তার</t>
  </si>
  <si>
    <t>মোছাঃ নার্গিস আক্তার</t>
  </si>
  <si>
    <t>১২/১২/১৯৯০</t>
  </si>
  <si>
    <t>মোঃ মনিরুজ্জামান</t>
  </si>
  <si>
    <t>০৪/০৭/১৯৮৭</t>
  </si>
  <si>
    <t>মোঃ জিওরাইল হোসেন</t>
  </si>
  <si>
    <t>মোছাঃ চিন্তামনি বেগম</t>
  </si>
  <si>
    <t>০৩/০৮/১৯৮৯</t>
  </si>
  <si>
    <t>সাদিয়া হাসান</t>
  </si>
  <si>
    <t>মোঃ শহিদুল হাসান</t>
  </si>
  <si>
    <t>মিনারা বেগম</t>
  </si>
  <si>
    <t>০৪/১০/১৯৯১</t>
  </si>
  <si>
    <t>মোছাঃ বাবলী খাতুন</t>
  </si>
  <si>
    <t>মোঃ বাবু মিয়াদা</t>
  </si>
  <si>
    <t>মোঃ সদর আলী</t>
  </si>
  <si>
    <t>০৫/০৬/১৯৭৫</t>
  </si>
  <si>
    <t>০০০০০, গাংনী, মেহেরপুর</t>
  </si>
  <si>
    <t>মোছাঃ নাহিদা খাতুন</t>
  </si>
  <si>
    <t>মোঃ নায়েব আলী</t>
  </si>
  <si>
    <t>মোছাঃ বুলুয়ারা</t>
  </si>
  <si>
    <t>৩০/০৪/১৯৯০</t>
  </si>
  <si>
    <t>গাড়াডোব, ধানখোলা, গাংনী, মেহেরপুর</t>
  </si>
  <si>
    <t>মোছাঃ খাইরুল নেছা</t>
  </si>
  <si>
    <t>মোঃ আব্দুল আজিজ</t>
  </si>
  <si>
    <t>০১/০১/১৯৮৭</t>
  </si>
  <si>
    <t>মোছাঃ নাজমিন আক্তার</t>
  </si>
  <si>
    <t>মোছাঃ আরিজান বেগম</t>
  </si>
  <si>
    <t>১০/০৫/১৯৯১</t>
  </si>
  <si>
    <t>মোছাঃ সপ্না খাতুন</t>
  </si>
  <si>
    <t>০২/০৫/১৯৯০</t>
  </si>
  <si>
    <t>মোঃ সোয়াত আলী</t>
  </si>
  <si>
    <t>মোঃ আক্তার আলী</t>
  </si>
  <si>
    <t>মোছাঃ লাবনী আকতার</t>
  </si>
  <si>
    <t>১০/০৬/১৯৯১</t>
  </si>
  <si>
    <t>মোছাঃ রাজিনা খাতুন</t>
  </si>
  <si>
    <t>০৫/১০/১৯৯১</t>
  </si>
  <si>
    <t>০৬/০৪/১৯৯১</t>
  </si>
  <si>
    <t>মোছাঃ জেছমিনা খাতুন</t>
  </si>
  <si>
    <t>০৫/০৯/১৯৯১</t>
  </si>
  <si>
    <t>মীর আসাদুজ্জামান</t>
  </si>
  <si>
    <t>১৩/১২/১৯৯০</t>
  </si>
  <si>
    <t>মোঃ ছিয়াসুদ্দিন শেখ</t>
  </si>
  <si>
    <t>মোছাঃ লালবুড়ী খাতুন</t>
  </si>
  <si>
    <t>০২/০৫/১৯৯১</t>
  </si>
  <si>
    <t>১৬/০২/১৯৯১</t>
  </si>
  <si>
    <t>মোছাঃ রেনুকা খাতুন</t>
  </si>
  <si>
    <t>মোঃ ইসলাম হোসেন</t>
  </si>
  <si>
    <t>৩০/০৩/১৯৮৯</t>
  </si>
  <si>
    <t>মোঃ নিফাজ আলী</t>
  </si>
  <si>
    <t>০২/০৪/১৯৮৯</t>
  </si>
  <si>
    <t>মোঃ জেহের আলী</t>
  </si>
  <si>
    <t>১০/০৭/১৯৯১</t>
  </si>
  <si>
    <t>মোঃ হাবিবুর রহমান</t>
  </si>
  <si>
    <t>১৯/১০/১৯৯১</t>
  </si>
  <si>
    <t>মোঃ মহিরুদ্দীন শেখ</t>
  </si>
  <si>
    <t>১০/০১/১৯৯০</t>
  </si>
  <si>
    <t>মোঃ আয়নাল হক</t>
  </si>
  <si>
    <t>মোছাঃ উম্মে হাবিবা সুমী</t>
  </si>
  <si>
    <t>মোঃ সালাউদ্দিন মন্ডল</t>
  </si>
  <si>
    <t>মোছাঃ সাহানারা খাতুন</t>
  </si>
  <si>
    <t>২৫/০৩/১৯৯১</t>
  </si>
  <si>
    <t>মোছাঃ সাবিনা ইয়াসমিন</t>
  </si>
  <si>
    <t>মোঃ শফিকুল ইসলাম</t>
  </si>
  <si>
    <t>২০/১২/১৯৯০</t>
  </si>
  <si>
    <t>মোছাঃ কাজলি ইয়াসমিন</t>
  </si>
  <si>
    <t>মোঃ আলিম মিয়া</t>
  </si>
  <si>
    <t>জায়েদ আলী</t>
  </si>
  <si>
    <t>কহিনুর</t>
  </si>
  <si>
    <t>০২/০৮/১৯৮৬</t>
  </si>
  <si>
    <t>মোঃ আইজাল হক</t>
  </si>
  <si>
    <t>রুমিলা</t>
  </si>
  <si>
    <t>জহিরন</t>
  </si>
  <si>
    <t>২০/০৪/১৯৮৮</t>
  </si>
  <si>
    <t>মোছাঃ জেবা ইয়াসমিন</t>
  </si>
  <si>
    <t>মোঃ জমিরুল ইসলাম</t>
  </si>
  <si>
    <t>২১/০৬/১৯৯০</t>
  </si>
  <si>
    <t>মোছাঃ সহিরন নেছা</t>
  </si>
  <si>
    <t>০১/১০/১৯৯১</t>
  </si>
  <si>
    <t>মোছাঃ সুমাইয়া আক্তার</t>
  </si>
  <si>
    <t>০৩/০১/১৯৯০</t>
  </si>
  <si>
    <t>মোছাঃ আক্তার নাছরীন রিনা</t>
  </si>
  <si>
    <t>মোঃ হোসেন আলী</t>
  </si>
  <si>
    <t>মোছাঃ রুমী আক্তার</t>
  </si>
  <si>
    <t>১২/০৩/১৯৯১</t>
  </si>
  <si>
    <t>মোছাঃ শুকিরন নেছা</t>
  </si>
  <si>
    <t>০৩/০৪/১৯৯০</t>
  </si>
  <si>
    <t>মোঃ মহসীন আলী</t>
  </si>
  <si>
    <t>মোছাঃ রুচিয়া খাতুন</t>
  </si>
  <si>
    <t>০৭/০২/১৯৯১</t>
  </si>
  <si>
    <t>মোছাঃ আফসানা আক্তার</t>
  </si>
  <si>
    <t>মোছাঃ শেলিনা আক্তার</t>
  </si>
  <si>
    <t>২৭/০৭/১৯৯১</t>
  </si>
  <si>
    <t>সাবিনা ইয়াসমিন</t>
  </si>
  <si>
    <t>ইসলাম শেখ</t>
  </si>
  <si>
    <t>কুলসুম বেগম</t>
  </si>
  <si>
    <t>২৪/১১/১৯৯০</t>
  </si>
  <si>
    <t>মোঃ শাহাবদ্দীন</t>
  </si>
  <si>
    <t>মোছাঃ ছানুয়ার খাতুন</t>
  </si>
  <si>
    <t>০৯/০২/১৯৯০</t>
  </si>
  <si>
    <t>মোছাঃ মিতালী</t>
  </si>
  <si>
    <t>মোঃ আশরাফুল</t>
  </si>
  <si>
    <t>০৫/০৭/১৯৯১</t>
  </si>
  <si>
    <t>২০/০৫/১৯৮২</t>
  </si>
  <si>
    <t>মোছাঃ ফিরোজা খানম</t>
  </si>
  <si>
    <t>মোঃ গোলাম মর্তুজা</t>
  </si>
  <si>
    <t>মোছাঃ শিল্পি খাতুন</t>
  </si>
  <si>
    <t>২৪/০৩/১৯৯০</t>
  </si>
  <si>
    <t>মোছাঃ শোভা খাতুন</t>
  </si>
  <si>
    <t>মোঃ কিবরিয়া জোয়ার্দ্দার</t>
  </si>
  <si>
    <t>০৪/১২/১৯৯০</t>
  </si>
  <si>
    <t>মোছাঃ আছেনা খাতুন</t>
  </si>
  <si>
    <t>মোঃ মল্লিক আলী</t>
  </si>
  <si>
    <t>মোছাঃ নবিছান নেছা</t>
  </si>
  <si>
    <t>২৫/০৪/১৯৭৪</t>
  </si>
  <si>
    <t>মোঃ শফিউল্লাহ</t>
  </si>
  <si>
    <t>মোছাঃ রমজা খাতুন</t>
  </si>
  <si>
    <t>মোছাঃ আয়েশা সিদ্দিকা</t>
  </si>
  <si>
    <t>মোঃ নবীর উদ্দীন</t>
  </si>
  <si>
    <t>মোছাঃ কাজলী খাতুন</t>
  </si>
  <si>
    <t>মোঃ মহিবুল ইসলাম</t>
  </si>
  <si>
    <t>২০/০২/১৯৯০</t>
  </si>
  <si>
    <t>মোছাঃ মিতা খাতুন</t>
  </si>
  <si>
    <t>মোঃ মোতালেব হোসেন</t>
  </si>
  <si>
    <t>০৬/০১/১৯৯০</t>
  </si>
  <si>
    <t>মোছাঃ সাফিয়া বেগম</t>
  </si>
  <si>
    <t>মোঃ আমিন আলী</t>
  </si>
  <si>
    <t>১০/০১/১৯৮০</t>
  </si>
  <si>
    <t>মোঃ বিল্লাল হোসেন</t>
  </si>
  <si>
    <t>মোঃ আব্দুল জলিল খান</t>
  </si>
  <si>
    <t>১২/১১/১৯৯১</t>
  </si>
  <si>
    <t>মোছাঃ কানিজ আকতার রুপা</t>
  </si>
  <si>
    <t>১২/০৩/১৯৯০</t>
  </si>
  <si>
    <t>মোঃ ইমাদুল হক</t>
  </si>
  <si>
    <t>০৪/০১/১৯৯০</t>
  </si>
  <si>
    <t>মোঃ ওয়াজেদ আলী</t>
  </si>
  <si>
    <t>মোছাঃ নুরজান খাতুন</t>
  </si>
  <si>
    <t>০১/০৯/১৯৯০</t>
  </si>
  <si>
    <t>মোঃ আব্দুল বারীক</t>
  </si>
  <si>
    <t>মোছাঃ জারেহা খাতুন</t>
  </si>
  <si>
    <t>০১/০৫/১৯৯০</t>
  </si>
  <si>
    <t>মোছাঃ জেসমিন আরা খাতুন</t>
  </si>
  <si>
    <t>মোঃ বজলু রহমান</t>
  </si>
  <si>
    <t>১৩/০৩/১৯৯০</t>
  </si>
  <si>
    <t>মোঃ আরজুল হক</t>
  </si>
  <si>
    <t>০৯/১০/১৯৯১</t>
  </si>
  <si>
    <t>-, গাড়াডোব, গাংনী, মেহেরপুর</t>
  </si>
  <si>
    <t>মোছাঃ মুক্তি খাতুন</t>
  </si>
  <si>
    <t>মোঃ হিফাজ উদ্দিন</t>
  </si>
  <si>
    <t>০৬/০৭/১৯৮৯</t>
  </si>
  <si>
    <t>মোছাঃ সামিয়ারা খাতুন</t>
  </si>
  <si>
    <t>আইয়ুব আলী</t>
  </si>
  <si>
    <t>জইনব নেছা</t>
  </si>
  <si>
    <t>মোছাঃ সাকিলা খাতুন</t>
  </si>
  <si>
    <t>৩০/০৩/১৯৯০</t>
  </si>
  <si>
    <t>মোছাঃ নাজমুননাহার</t>
  </si>
  <si>
    <t>মোঃ কিয়ামুদ্দিন</t>
  </si>
  <si>
    <t>১৫/০৯/১৯৯০</t>
  </si>
  <si>
    <t>মোছাঃ রাসেদা খাতুন</t>
  </si>
  <si>
    <t>মোঃ আবু বক্কর সিদ্দিক</t>
  </si>
  <si>
    <t>০৫/০৭/১৯৯০</t>
  </si>
  <si>
    <t>মোঃ তাহারুল ইসলাম</t>
  </si>
  <si>
    <t>মোছাঃ ফিনি খাতুন</t>
  </si>
  <si>
    <t>২০/০৯/১৯৯১</t>
  </si>
  <si>
    <t>মোঃ রহিম খাঁ</t>
  </si>
  <si>
    <t>১০/০৫/১৯৮৬</t>
  </si>
  <si>
    <t>মোঃ মুনতাজ</t>
  </si>
  <si>
    <t>মোছাঃ নুর জাহান</t>
  </si>
  <si>
    <t>মোছাঃ ডালিয়া খাতুন</t>
  </si>
  <si>
    <t>মোছাঃ আস্তারা খাতুন</t>
  </si>
  <si>
    <t>মোছাঃ উলফা</t>
  </si>
  <si>
    <t>মোঃ আঃ মান্নান</t>
  </si>
  <si>
    <t>মোছাঃ আফসানা জামান</t>
  </si>
  <si>
    <t>মোহামদ আলী</t>
  </si>
  <si>
    <t>মোছাঃ জলি খাতুন</t>
  </si>
  <si>
    <t>মোহাঃ জলিল শেখ</t>
  </si>
  <si>
    <t>মোছাঃ রংবানু খাতুন</t>
  </si>
  <si>
    <t>১০/১০/১৯৯১</t>
  </si>
  <si>
    <t>মোছাঃ কাকুলী আক্তার</t>
  </si>
  <si>
    <t>মোছাঃ রোয়াজান বেগম</t>
  </si>
  <si>
    <t>০৫/০৮/১৯৯১</t>
  </si>
  <si>
    <t>১২/০২/১৯৭৯</t>
  </si>
  <si>
    <t>০২/০১/১৯৯০</t>
  </si>
  <si>
    <t>মোছাঃ আইরিন</t>
  </si>
  <si>
    <t>মোঃ মজনুর রহমান</t>
  </si>
  <si>
    <t>মোছাঃ সুপিয়া বেগম</t>
  </si>
  <si>
    <t>মোছাঃ কামিনি খাতুন</t>
  </si>
  <si>
    <t>মোহাঃ কাশেম খাঁন</t>
  </si>
  <si>
    <t>০১/০৬/১৯৯০</t>
  </si>
  <si>
    <t>মোঃ আতিকুল ইসলাম</t>
  </si>
  <si>
    <t>০৭/০৮/১৯৮৪</t>
  </si>
  <si>
    <t>১২/০৮/১৯৬৬</t>
  </si>
  <si>
    <t>সোনিয়া সুলতানা</t>
  </si>
  <si>
    <t>৩১/১২/১৯৮৫</t>
  </si>
  <si>
    <t>মোছাঃ রঙ্গিনা বেগম</t>
  </si>
  <si>
    <t>সামছুদ্দিন</t>
  </si>
  <si>
    <t>মোছাঃ হালিমা বিবি</t>
  </si>
  <si>
    <t>মোঃ সফর উদ্দিন শেখ</t>
  </si>
  <si>
    <t>মোছাঃ আজিমা খাতুন</t>
  </si>
  <si>
    <t>০৫/১০/১৯৬৯</t>
  </si>
  <si>
    <t>মোঃ পাতান আলি</t>
  </si>
  <si>
    <t>মোছাঃ আল্লাদি</t>
  </si>
  <si>
    <t>১৮/১২/১৯৮৪</t>
  </si>
  <si>
    <t>মোছাঃ সোনিয়া আক্তার</t>
  </si>
  <si>
    <t>১৬/০৫/১৯৯২</t>
  </si>
  <si>
    <t>মোঃ আবেদ আলী</t>
  </si>
  <si>
    <t>০৫/০১/১৯৯২</t>
  </si>
  <si>
    <t>মোছাঃ আল্লাদী খাতুন</t>
  </si>
  <si>
    <t>১৭/১০/১৯৯২</t>
  </si>
  <si>
    <t>০৩/০৫/১৯৯২</t>
  </si>
  <si>
    <t>গাড়াবোব</t>
  </si>
  <si>
    <t>মোঃ রহমান আলী</t>
  </si>
  <si>
    <t>১৮/০৪/১৯৯২</t>
  </si>
  <si>
    <t>মোছাঃ হ্যাপি খাতুন</t>
  </si>
  <si>
    <t>মোছাঃ রাজিফা খাতুন</t>
  </si>
  <si>
    <t>০৫/০৪/১৯৯২</t>
  </si>
  <si>
    <t>মোছাঃ মুসলিমা</t>
  </si>
  <si>
    <t>মোঃ হাসেম আলী খান</t>
  </si>
  <si>
    <t>মোছাঃ মিলি খাতুন</t>
  </si>
  <si>
    <t>মোছাঃ ডলিযান খাতুন</t>
  </si>
  <si>
    <t>০৭/০৮/১৯৯২</t>
  </si>
  <si>
    <t>মোছাঃ জমিনা</t>
  </si>
  <si>
    <t>০১/০১/১৯৯৩</t>
  </si>
  <si>
    <t>মোছাঃ জোবাইদা খানম</t>
  </si>
  <si>
    <t>উম্মে রুবাইয়াত ইয়াসমিন</t>
  </si>
  <si>
    <t>মোঃ আনছারুল হক</t>
  </si>
  <si>
    <t>১০/১২/১৯৯২</t>
  </si>
  <si>
    <t>উম্মে তাসলিমা আক্তার</t>
  </si>
  <si>
    <t>মোঃ কোবাদ আলী</t>
  </si>
  <si>
    <t>মোছাঃ রিক্তা আক্তার রিয়া</t>
  </si>
  <si>
    <t>০৩/০২/১৯৯২</t>
  </si>
  <si>
    <t>মোছাঃ আঁখি খাতুন</t>
  </si>
  <si>
    <t>মোঃ আত্তাব আলী</t>
  </si>
  <si>
    <t>৩০/০৬/১৯৯২</t>
  </si>
  <si>
    <t>মোঃ আব্দুল মোমিন</t>
  </si>
  <si>
    <t>৩০/০৫/১৯৯২</t>
  </si>
  <si>
    <t>মোছাঃ আনজিরা</t>
  </si>
  <si>
    <t>২০/০৫/১৯৯২</t>
  </si>
  <si>
    <t>মোঃ সামসুল হক</t>
  </si>
  <si>
    <t>০৭/০৫/১৯৯২</t>
  </si>
  <si>
    <t>মোছাঃ বেবী আক্তার</t>
  </si>
  <si>
    <t>০২/১২/১৯৯২</t>
  </si>
  <si>
    <t>১৪/০২/১৯৯২</t>
  </si>
  <si>
    <t>০৫/০৮/১৯৯২</t>
  </si>
  <si>
    <t>মোছাঃ আমিতন খাতুন</t>
  </si>
  <si>
    <t>০১/০২/১৯৯২</t>
  </si>
  <si>
    <t>শারমিন সুলতানা</t>
  </si>
  <si>
    <t>পারভীন আক্তার</t>
  </si>
  <si>
    <t>১৯/১২/১৯৯২</t>
  </si>
  <si>
    <t>মোঃ জুলমত কারী</t>
  </si>
  <si>
    <t>মোছাঃ নুরন্নাহার</t>
  </si>
  <si>
    <t>১২/০৮/১৯৯২</t>
  </si>
  <si>
    <t>মোছাঃ ইসমতারা</t>
  </si>
  <si>
    <t>২৪/০৫/১৯৯২</t>
  </si>
  <si>
    <t>মোঃ আজিজুল খন্দকার</t>
  </si>
  <si>
    <t>১২/০৩/১৯৯২</t>
  </si>
  <si>
    <t>মোঃ ইসরাফিল আলী</t>
  </si>
  <si>
    <t>২০/১১/১৯৯২</t>
  </si>
  <si>
    <t>মোছাঃ উসপিয়া</t>
  </si>
  <si>
    <t>মোঃ উসমান আলী</t>
  </si>
  <si>
    <t>মোছাঃ জয়তন নেছা</t>
  </si>
  <si>
    <t>মোছাঃ রুমনা খাতুন</t>
  </si>
  <si>
    <t>মোঃ নজর আলী সেধ</t>
  </si>
  <si>
    <t>০৭/০২/১৯৯২</t>
  </si>
  <si>
    <t>মোছাঃ রেবিনা খাতুন</t>
  </si>
  <si>
    <t>মোঃ জিয়ারুল ইসলাম</t>
  </si>
  <si>
    <t>১১/০৮/১৯৯২</t>
  </si>
  <si>
    <t>রেণুকা</t>
  </si>
  <si>
    <t>০৩/০৬/১৯৯২</t>
  </si>
  <si>
    <t>মোঃ আখের আলি</t>
  </si>
  <si>
    <t>০৪/০৫/১৯৯২</t>
  </si>
  <si>
    <t>নূর মোহামাদ</t>
  </si>
  <si>
    <t>০৫/০৫/১৯৯২</t>
  </si>
  <si>
    <t>মোঃ মাজেদ আলী</t>
  </si>
  <si>
    <t>মোছাঃ তাছলিমা খাতুন তমা</t>
  </si>
  <si>
    <t>০২/০২/১৯৯৩</t>
  </si>
  <si>
    <t>মোঃ আলাউদ্দিন মিয়া</t>
  </si>
  <si>
    <t>মোছাঃ মুরশীদা বেগম</t>
  </si>
  <si>
    <t>০৫/০৮/১৯৯৩</t>
  </si>
  <si>
    <t>মোছাঃ সুমনা আক্তার সুমা</t>
  </si>
  <si>
    <t>মোঃ রাশিদুল ইসলাম</t>
  </si>
  <si>
    <t>১৫/১০/১৯৯৩</t>
  </si>
  <si>
    <t>মোছাঃ লিমা খাতুন</t>
  </si>
  <si>
    <t>মোঃ আসাদুল ইসলাম</t>
  </si>
  <si>
    <t>০৫/০৭/১৯৯৩</t>
  </si>
  <si>
    <t>ফারজানা সুলতানা</t>
  </si>
  <si>
    <t>মোহাঃ নজরুল ইসলাম</t>
  </si>
  <si>
    <t>০৩/১২/১৯৯৩</t>
  </si>
  <si>
    <t>উম্মে সুমাইয়া</t>
  </si>
  <si>
    <t>১৫/০৫/১৯৯৩</t>
  </si>
  <si>
    <t>০১/০১/১৯৯৪</t>
  </si>
  <si>
    <t>মোছাঃ ফেপী খাতুন</t>
  </si>
  <si>
    <t>মোছাঃ হারেজান খাতুন</t>
  </si>
  <si>
    <t>২০/০৩/১৯৯৩</t>
  </si>
  <si>
    <t>মোছাঃ লিপি আক্তার</t>
  </si>
  <si>
    <t>মোছাঃ জেলেহার খাতুন</t>
  </si>
  <si>
    <t>০৭/০৯/১৯৯৩</t>
  </si>
  <si>
    <t>মোঃ তজাম আলী</t>
  </si>
  <si>
    <t>১০/১০/১৯৯৩</t>
  </si>
  <si>
    <t>মীর কানন আরা জান্নাত</t>
  </si>
  <si>
    <t>মীর কামরুজ্জামান</t>
  </si>
  <si>
    <t>২৬/১২/১৯৯৩</t>
  </si>
  <si>
    <t>মোছাঃ লাখি খাতুন</t>
  </si>
  <si>
    <t>মোঃ লাবলু</t>
  </si>
  <si>
    <t>মোছাঃ বিলকিস</t>
  </si>
  <si>
    <t>২০/০৫/১৯৯৩</t>
  </si>
  <si>
    <t>মোছাঃ শাহনাজ পারভিন</t>
  </si>
  <si>
    <t>মোঃ হাম্মান মন্ডল</t>
  </si>
  <si>
    <t>১০/০৭/১৯৯৩</t>
  </si>
  <si>
    <t>মোঃ শমসের আলী</t>
  </si>
  <si>
    <t>১২/০৫/১৯৯৩</t>
  </si>
  <si>
    <t>মোছাঃ ফারজানা সুলতানা</t>
  </si>
  <si>
    <t>মোঃ বাবুলুর রহমান</t>
  </si>
  <si>
    <t>মোছাঃ নাছিয়া রহমান</t>
  </si>
  <si>
    <t>১৫/০৮/১৯৯৩</t>
  </si>
  <si>
    <t>মোছাঃ আসমানী খাতুন</t>
  </si>
  <si>
    <t>মোঃ হাসেম আলী</t>
  </si>
  <si>
    <t>০২/০৩/১৯৯৩</t>
  </si>
  <si>
    <t>মোছাঃ শিমা খাতুন</t>
  </si>
  <si>
    <t>জগত আলী</t>
  </si>
  <si>
    <t>০১/০৫/১৯৯৩</t>
  </si>
  <si>
    <t>মোছাঃ কানিজ ফাতেমা</t>
  </si>
  <si>
    <t>মোঃ আবু তৈয়ব</t>
  </si>
  <si>
    <t>০৩/০৩/১৯৯৩</t>
  </si>
  <si>
    <t>মোঃ সাবের আলি</t>
  </si>
  <si>
    <t>মোঃ সাহাবুদ্দিন</t>
  </si>
  <si>
    <t>০৫/০৬/১৯৯৩</t>
  </si>
  <si>
    <t>১২/০৩/১৯৯৩</t>
  </si>
  <si>
    <t>মোঃ রেজেল আলী</t>
  </si>
  <si>
    <t>মোছাঃ খুর্শিদা খাতুন</t>
  </si>
  <si>
    <t>মোঃ আরশদ আলী</t>
  </si>
  <si>
    <t>১২/০৭/১৯৯৩</t>
  </si>
  <si>
    <t>মোছাঃ আজমিরা সুলতানা</t>
  </si>
  <si>
    <t>মোছাঃ আঞ্জুমানারা খাতুন</t>
  </si>
  <si>
    <t>০৯/০৫/১৯৯৩</t>
  </si>
  <si>
    <t>মোছাঃ সাগরিকা</t>
  </si>
  <si>
    <t>মোঃ কাউসার আলী</t>
  </si>
  <si>
    <t>মোছাঃ আখিতারা খাতুন</t>
  </si>
  <si>
    <t>২৫/০৫/১৯৯৩</t>
  </si>
  <si>
    <t>০১/০৩/১৯৯৩</t>
  </si>
  <si>
    <t>মোছাঃ সুন্দরী খাতুন</t>
  </si>
  <si>
    <t>মোছাঃ হীরা খাতুন</t>
  </si>
  <si>
    <t>মোঃ মোজাম্মেল</t>
  </si>
  <si>
    <t>মোঃ মোহামাদ আলী</t>
  </si>
  <si>
    <t>১২/০১/১৯৯৩</t>
  </si>
  <si>
    <t>আঃ হাম্নান</t>
  </si>
  <si>
    <t>মোছাঃ কাজল রেখা খাতুন</t>
  </si>
  <si>
    <t>০১/০২/১৯৯৩</t>
  </si>
  <si>
    <t>ইসরাত জাহান অগ্নি</t>
  </si>
  <si>
    <t>মোঃ ওহিদুজ্জামান মোল্লা</t>
  </si>
  <si>
    <t>১৮/০২/১৯৯৩</t>
  </si>
  <si>
    <t>০৫/০৩/১৯৯৩</t>
  </si>
  <si>
    <t>মোছাঃ ফারহানা খাতুন</t>
  </si>
  <si>
    <t>মোঃ ফারুক হোসেন</t>
  </si>
  <si>
    <t>০১/০৬/১৯৯৩</t>
  </si>
  <si>
    <t>মোছাঃ ফাল্গুনী আক্তার মল্লিকা</t>
  </si>
  <si>
    <t>মোঃ বাবলু মিয়া</t>
  </si>
  <si>
    <t>১০/০৫/১৯৯৩</t>
  </si>
  <si>
    <t>খাতুনে জান্নাত জিনিয়া</t>
  </si>
  <si>
    <t>০১/০৭/১৯৯৪</t>
  </si>
  <si>
    <t>মোছাঃ মাহমুদা শারমিন</t>
  </si>
  <si>
    <t>মোঃ মতিয়ার রহমান</t>
  </si>
  <si>
    <t>০১/০৫/১৯৯৪</t>
  </si>
  <si>
    <t>মোছাঃ হাফছা খাতুন</t>
  </si>
  <si>
    <t>মোঃ জাকারিয়া</t>
  </si>
  <si>
    <t>০৪/০৮/১৯৯৪</t>
  </si>
  <si>
    <t>মোছাঃ শাহাফোন নেছা</t>
  </si>
  <si>
    <t>১৫/০২/১৯৯৪</t>
  </si>
  <si>
    <t>মোছাঃ শাপলা খাতুন ইভা</t>
  </si>
  <si>
    <t>মোঃ সাফায়াত হোসেন</t>
  </si>
  <si>
    <t>০৯/০৯/১৯৯৪</t>
  </si>
  <si>
    <t>বাঁশাবাড়ীয়া</t>
  </si>
  <si>
    <t>ধানখোলা</t>
  </si>
  <si>
    <t>মোঃ আমির খসরু</t>
  </si>
  <si>
    <t>০৫/০৪/১৯৯৪</t>
  </si>
  <si>
    <t>১৪/০৮/১৯৯৪</t>
  </si>
  <si>
    <t>মোঃ ঝাড়ু মন্ডল</t>
  </si>
  <si>
    <t>০২/০৬/১৯৯৪</t>
  </si>
  <si>
    <t>মোঃ আবদার আলী</t>
  </si>
  <si>
    <t>১৬/০৬/১৯৯৪</t>
  </si>
  <si>
    <t>মোছাঃ সালমা আক্তার</t>
  </si>
  <si>
    <t>২৫/০৪/১৯৯৪</t>
  </si>
  <si>
    <t>মোছাঃ জান্নাতুল ফেরদৌস</t>
  </si>
  <si>
    <t>মোঃ জাহাঙ্গীর হোসেন</t>
  </si>
  <si>
    <t>১৭/০৫/১৯৯৪</t>
  </si>
  <si>
    <t>নস্কর</t>
  </si>
  <si>
    <t>০২/০৮/১৯৯৪</t>
  </si>
  <si>
    <t>মোছাঃ সারমিন আক্তার</t>
  </si>
  <si>
    <t>০৮/০৯/১৯৯৪</t>
  </si>
  <si>
    <t>মোঃ আলাউদ্দিন</t>
  </si>
  <si>
    <t>০২/০৫/১৯৯৪</t>
  </si>
  <si>
    <t>মোছাঃ চন্দনা খাতুন</t>
  </si>
  <si>
    <t>০৫/০৯/১৯৯৪</t>
  </si>
  <si>
    <t>মোঃ মোয়াজ্জেম হোসেন</t>
  </si>
  <si>
    <t>০৫/০৭/১৯৯৪</t>
  </si>
  <si>
    <t>মোছাঃ সাজিয়া সুলতানা</t>
  </si>
  <si>
    <t>মোঃ শাহাবুদ্দিন</t>
  </si>
  <si>
    <t>১৫/০৫/১৯৯৪</t>
  </si>
  <si>
    <t>মোছাঃ ফারহানা জেসমিন</t>
  </si>
  <si>
    <t>বেবী ইয়াছমিন</t>
  </si>
  <si>
    <t>১৫/০৮/১৯৯৪</t>
  </si>
  <si>
    <t>মোছাঃ ফেরদৌসি আরা</t>
  </si>
  <si>
    <t>০১/০৯/১৯৯৪</t>
  </si>
  <si>
    <t>মোছাঃ কোহিনুর খাতুন</t>
  </si>
  <si>
    <t>০৭/০৯/১৯৯৪</t>
  </si>
  <si>
    <t>মোছাঃ উলিফাতন নেছা</t>
  </si>
  <si>
    <t>০১/০১/১৯৯৫</t>
  </si>
  <si>
    <t>মোছাঃ মুন্নি খাতুন</t>
  </si>
  <si>
    <t>মোছাঃ রোজিনা আক্তার</t>
  </si>
  <si>
    <t>মোঃ লেকছার আলী</t>
  </si>
  <si>
    <t>২০/০৯/১৯৯৪</t>
  </si>
  <si>
    <t>মোঃ মহিরুল ইসলাম</t>
  </si>
  <si>
    <t>০১/১০/১৯৯৪</t>
  </si>
  <si>
    <t>মোঃ মজেদ হোসেন</t>
  </si>
  <si>
    <t>মোছাঃ মারিয়া খাতুন</t>
  </si>
  <si>
    <t>মোছাঃ মৌসুমী খাতুন</t>
  </si>
  <si>
    <t>১৫/১০/১৯৯৪</t>
  </si>
  <si>
    <t>১০/০৫/১৯৯৪</t>
  </si>
  <si>
    <t>প্রতিবন্ধী</t>
  </si>
  <si>
    <t>মোছাঃ শাহনাজ পারভিন সুমি</t>
  </si>
  <si>
    <t>মোঃ শাহাবুল ইসলাম</t>
  </si>
  <si>
    <t>০১/০৬/১৯৯২</t>
  </si>
  <si>
    <t>মোছাঃ শামিমা ইসলাম</t>
  </si>
  <si>
    <t>০৬/০৮/১৯৯৪</t>
  </si>
  <si>
    <t>মোছাঃ জান্নাতুন নুর</t>
  </si>
  <si>
    <t>মোঃ এনামুল হক</t>
  </si>
  <si>
    <t>মোছাঃ মমতাজুর নাহার</t>
  </si>
  <si>
    <t>১০/০৬/১৯৯২</t>
  </si>
  <si>
    <t>মোছাঃ ইয়াছমিনা খাতুন</t>
  </si>
  <si>
    <t>মোঃ ইয়াছিন আলী</t>
  </si>
  <si>
    <t>০৬/০৪/১৯৯৫</t>
  </si>
  <si>
    <t>মোঃ বেলি খাতুন</t>
  </si>
  <si>
    <t>মোঃ পাতান আলী</t>
  </si>
  <si>
    <t>১৪/১০/১৯৯৫</t>
  </si>
  <si>
    <t>০২/০৫/১৯৯৩</t>
  </si>
  <si>
    <t>মোছাঃ মুন্নিয়ারা খাতুন</t>
  </si>
  <si>
    <t>মোঃ মকলেছুর রহমান</t>
  </si>
  <si>
    <t>মোছাঃ জিনিয়া আক্তার</t>
  </si>
  <si>
    <t>০২/০৭/১৯৯৫</t>
  </si>
  <si>
    <t>মোঃ রইছদ্দীন</t>
  </si>
  <si>
    <t>০৫/০৩/১৯৯৫</t>
  </si>
  <si>
    <t>মোঃ শহিদ আলী</t>
  </si>
  <si>
    <t>মোছাঃ তহিরন নেছা</t>
  </si>
  <si>
    <t>২০/০৬/১৯৯৩</t>
  </si>
  <si>
    <t>০২/০৪/১৯৯৪</t>
  </si>
  <si>
    <t>০৩/০২/১৯৯৪</t>
  </si>
  <si>
    <t>০১/০৫/১৯৯২</t>
  </si>
  <si>
    <t>মোঃ ছিদ্দিক আলী</t>
  </si>
  <si>
    <t>মোছাঃ তারাফন নেছা</t>
  </si>
  <si>
    <t>২৫/০৯/১৯৯৪</t>
  </si>
  <si>
    <t>মোছাঃ রুবিনা খাতুন</t>
  </si>
  <si>
    <t>২৭/০৩/১৯৮৯</t>
  </si>
  <si>
    <t>০৬/০৪/১৯৯৩</t>
  </si>
  <si>
    <t>০৫/০৭/১৯৯৫</t>
  </si>
  <si>
    <t>কুমারী রুমপা রানী দাসী</t>
  </si>
  <si>
    <t>শ্রীঅমল কুমার দাস</t>
  </si>
  <si>
    <t>শ্রীমতি চন্দনা দাসী</t>
  </si>
  <si>
    <t>মোছাঃ খায়রুননেছা</t>
  </si>
  <si>
    <t>১০/০৮/১৯৯৫</t>
  </si>
  <si>
    <t>নামঃ আরতী রানী</t>
  </si>
  <si>
    <t>শ্রী লবা দাস</t>
  </si>
  <si>
    <t>শ্রীমতি আনারতী রানী</t>
  </si>
  <si>
    <t>২১/০৭/১৯৯৪</t>
  </si>
  <si>
    <t>মোঃ ইদু শেখ</t>
  </si>
  <si>
    <t>মোছাঃ রাখিয়া খাতুন</t>
  </si>
  <si>
    <t>০৮/০২/১৯৯১</t>
  </si>
  <si>
    <t>মোছাঃ সিমা খাতুন</t>
  </si>
  <si>
    <t>১০/১২/১৯৯৫</t>
  </si>
  <si>
    <t>১৩/০৪/১৯৯৫</t>
  </si>
  <si>
    <t>০১/০৩/১৯৯৫</t>
  </si>
  <si>
    <t>মোঃ জামাত শেখ</t>
  </si>
  <si>
    <t>১০/০১/১৯৯৫</t>
  </si>
  <si>
    <t>মোছাঃ রেবেকা সুলতানা</t>
  </si>
  <si>
    <t>মোঃ ইয়াকুব আলী</t>
  </si>
  <si>
    <t>১০/১০/১৯৯৪</t>
  </si>
  <si>
    <t>মোছাঃ রেনুফা খাতুন</t>
  </si>
  <si>
    <t>মোছাঃ কুলছুরা খাতুন</t>
  </si>
  <si>
    <t>৩০/১২/১৯৯৪</t>
  </si>
  <si>
    <t>মোঃ শরিফ উদ্দিন</t>
  </si>
  <si>
    <t>মোছাঃ শকেরা বানু</t>
  </si>
  <si>
    <t>২০/০৫/১৯৯১</t>
  </si>
  <si>
    <t>মোঃ মুনসুর আলী</t>
  </si>
  <si>
    <t>০৪/০৮/১৯৮৯</t>
  </si>
  <si>
    <t>মোঃ কামাল হোসেন</t>
  </si>
  <si>
    <t>মোছাঃ চুম্কী বেগম</t>
  </si>
  <si>
    <t>১৩/০৭/১৯৯১</t>
  </si>
  <si>
    <t>মোছাঃ লিলিযা খাতুন</t>
  </si>
  <si>
    <t>মোঃ কুরবান আলী</t>
  </si>
  <si>
    <t>মোঃ গনি দফাদার</t>
  </si>
  <si>
    <t>ইসলামপুর পাড়া</t>
  </si>
  <si>
    <t>০৭/০৮/১৯৯৪</t>
  </si>
  <si>
    <t>মোছাঃ দিলরুবা খাতুন</t>
  </si>
  <si>
    <t>মোঃ কাবের আলী</t>
  </si>
  <si>
    <t>২৫/০৫/১৯৯৫</t>
  </si>
  <si>
    <t>২৪/০৬/১৯৯৩</t>
  </si>
  <si>
    <t>মোছাঃ পলিযারা খাতুন</t>
  </si>
  <si>
    <t>মোছাঃ লিপিয়ারা খাতুন</t>
  </si>
  <si>
    <t>০২/০৩/১৯৮৯</t>
  </si>
  <si>
    <t>মোঃ মতিন</t>
  </si>
  <si>
    <t>১১/০১/১৯৯৫</t>
  </si>
  <si>
    <t>মোঃ হানিফ হোসেন</t>
  </si>
  <si>
    <t>মোছাঃ নাফিসা খাতুন</t>
  </si>
  <si>
    <t>০৪/০৩/১৯৯২</t>
  </si>
  <si>
    <t>মোছাঃ ফারহানা ইয়াসমিন</t>
  </si>
  <si>
    <t>০৮/০৮/১৯৯৪</t>
  </si>
  <si>
    <t>নাম: রুমানা খানম</t>
  </si>
  <si>
    <t>আঞ্জুমান আরা</t>
  </si>
  <si>
    <t>২০/০৭/১৯৯৫</t>
  </si>
  <si>
    <t>মোছাঃ সাফিয়া খাতুন</t>
  </si>
  <si>
    <t>১৫/১২/১৯৯৩</t>
  </si>
  <si>
    <t>নাম: মহুয়া আশরাফ</t>
  </si>
  <si>
    <t>মুস্তাফিজুর আশরাফ</t>
  </si>
  <si>
    <t>ফরিদা আশরাফ</t>
  </si>
  <si>
    <t>৩০/১২/১৯৯৫</t>
  </si>
  <si>
    <t>মোছাঃ ইসরাত জাহান</t>
  </si>
  <si>
    <t>মোছাঃ রিনা পারভিন</t>
  </si>
  <si>
    <t>০৩/০৯/১৯৯৫</t>
  </si>
  <si>
    <t>২০/০৩/১৯৯৫</t>
  </si>
  <si>
    <t>মোছাঃ ইসমোতারা বেগম</t>
  </si>
  <si>
    <t>২৪/০২/১৯৯৩</t>
  </si>
  <si>
    <t>মোঃ মল্লিক হোসেন</t>
  </si>
  <si>
    <t>১০/০৭/১৯৯০</t>
  </si>
  <si>
    <t>মোছাঃ সুরাইয়া জেবিন</t>
  </si>
  <si>
    <t>মোছাঃ রওশনআরা</t>
  </si>
  <si>
    <t>০১/১২/১৯৯৫</t>
  </si>
  <si>
    <t>মোছাঃ লিজা খাতুন</t>
  </si>
  <si>
    <t>মোঃ নজিত আলী</t>
  </si>
  <si>
    <t>০১/০৩/১৯৮৯</t>
  </si>
  <si>
    <t>মোছাঃ মায়া</t>
  </si>
  <si>
    <t>১০/০৯/১৯৯৩</t>
  </si>
  <si>
    <t>মোছাঃ মিনিয়ারা</t>
  </si>
  <si>
    <t>মোঃ মিজানুর রহমান</t>
  </si>
  <si>
    <t>মোছাঃ নেহারম খাতুন</t>
  </si>
  <si>
    <t>১২/০৬/১৯৯২</t>
  </si>
  <si>
    <t>গৃহকর্মী</t>
  </si>
  <si>
    <t>মোঃ মজিরদ্দীন</t>
  </si>
  <si>
    <t>মোছাঃ জলিমন</t>
  </si>
  <si>
    <t>১৫/১১/১৯৯৪</t>
  </si>
  <si>
    <t>মোছাঃ লাভলী</t>
  </si>
  <si>
    <t>মোঃ মহিদুল হক</t>
  </si>
  <si>
    <t>১২/০৪/১৯৯৪</t>
  </si>
  <si>
    <t>ব্রিজপাড়া</t>
  </si>
  <si>
    <t>মোছাঃ ছাবিনা ইয়াসমিন</t>
  </si>
  <si>
    <t>মোঃ সাহাবদ্দীন</t>
  </si>
  <si>
    <t>মোছাঃ হালিমা</t>
  </si>
  <si>
    <t>মোঃ চমৎকার আলী</t>
  </si>
  <si>
    <t>মোছাঃ রুমা খাতুন</t>
  </si>
  <si>
    <t>মোঃ সাহাদ</t>
  </si>
  <si>
    <t>মোছাঃ নাছিমা</t>
  </si>
  <si>
    <t>মোছাঃ নিলা খাতুন</t>
  </si>
  <si>
    <t>মোঃ বরকত আলী</t>
  </si>
  <si>
    <t>০৩/১০/১৯৯২</t>
  </si>
  <si>
    <t>মোঃ আশাদুল ইসলাম</t>
  </si>
  <si>
    <t>মোছাঃ মুকলিছা খাতুন</t>
  </si>
  <si>
    <t>হামিদুল</t>
  </si>
  <si>
    <t>মোছাঃ নাজেরা</t>
  </si>
  <si>
    <t>০১/০৭/১৯৯২</t>
  </si>
  <si>
    <t>মোছাঃ সুরভী আক্তার লিমা</t>
  </si>
  <si>
    <t>সেখ ফকিরুল</t>
  </si>
  <si>
    <t>১৭/০৩/১৯৯৫</t>
  </si>
  <si>
    <t>মোছাঃ সুলতানা আক্তার</t>
  </si>
  <si>
    <t>মোঃ সাদিকুর ইসলাম</t>
  </si>
  <si>
    <t>০৩/০৬/১৯৯৫</t>
  </si>
  <si>
    <t>কুঠিপাড়া</t>
  </si>
  <si>
    <t>মোছাঃ সাথীয়ারা খাতুন</t>
  </si>
  <si>
    <t>১২/০৫/১৯৯৬</t>
  </si>
  <si>
    <t>মোছাঃ সাদিয়া আফরিন</t>
  </si>
  <si>
    <t>০৫/০৩/১৯৯৬</t>
  </si>
  <si>
    <t>মোঃ মান্নাফ শেখ</t>
  </si>
  <si>
    <t>মোছাঃ হারাছন খাতুন</t>
  </si>
  <si>
    <t>০১/০৫/১৯৯৬</t>
  </si>
  <si>
    <t>পুকুর পাড়া</t>
  </si>
  <si>
    <t>মোঃ আলা উদ্দিন</t>
  </si>
  <si>
    <t>২২/০৮/১৯৯৬</t>
  </si>
  <si>
    <t>মোছাঃ মাসুমা আক্তার</t>
  </si>
  <si>
    <t>মোছাঃ মানজিরা বিবি</t>
  </si>
  <si>
    <t>১৭/০২/১৯৯৬</t>
  </si>
  <si>
    <t>মোছাঃ মনতারা খাতুন</t>
  </si>
  <si>
    <t>মোঃ মোলায়েম খাঁন</t>
  </si>
  <si>
    <t>০১/০৩/১৯৯৬</t>
  </si>
  <si>
    <t>০৭/০৩/১৯৯৬</t>
  </si>
  <si>
    <t>মোছাঃ রজিনা খাতুন</t>
  </si>
  <si>
    <t>২১/০৯/১৯৯৬</t>
  </si>
  <si>
    <t>মোছাঃ রিংকু খাতুন</t>
  </si>
  <si>
    <t>মোঃ ইলিয়াস নবী</t>
  </si>
  <si>
    <t>মোছাঃ টুরিনা</t>
  </si>
  <si>
    <t>২৬/০৭/১৯৯৬</t>
  </si>
  <si>
    <t>মোছাঃ রাবেয়া বসরি</t>
  </si>
  <si>
    <t>মোঃ আদম আলী</t>
  </si>
  <si>
    <t>মোঃ বানারুল ইসলাম</t>
  </si>
  <si>
    <t>০৭/০৬/১৯৯৬</t>
  </si>
  <si>
    <t>মোঃ হানিফ আলী</t>
  </si>
  <si>
    <t>০২/০৭/১৯৯৬</t>
  </si>
  <si>
    <t>মোছাঃ মুক্তা</t>
  </si>
  <si>
    <t>মোঃ ইয়ামিন আলী</t>
  </si>
  <si>
    <t>মোছাঃ রিক্সা খাতুন</t>
  </si>
  <si>
    <t>২২/০৫/১৯৯৬</t>
  </si>
  <si>
    <t>মোছাঃ ফারিয়া আফসানা</t>
  </si>
  <si>
    <t>এস এম আনিসুর রহমান</t>
  </si>
  <si>
    <t>০৬/১০/১৯৯৬</t>
  </si>
  <si>
    <t>মোছাঃ সুরাইয়া শারমিন</t>
  </si>
  <si>
    <t>মোঃ ইলিয়াস হোসেন</t>
  </si>
  <si>
    <t>মোছাঃ রিঞ্চা মন্ডল</t>
  </si>
  <si>
    <t>১৫/১০/১৯৯৬</t>
  </si>
  <si>
    <t>মোছাঃ সোনালি খাতুন</t>
  </si>
  <si>
    <t>২০/০১/১৯৯৬</t>
  </si>
  <si>
    <t>মোছাঃ তাপসী খানম</t>
  </si>
  <si>
    <t>মোঃ মহসিন খাঁন</t>
  </si>
  <si>
    <t>মোছাঃ মঞ্জরী খানম</t>
  </si>
  <si>
    <t>২৫/০৬/১৯৯০</t>
  </si>
  <si>
    <t>মোছাঃ দিলরুবা খানম</t>
  </si>
  <si>
    <t>১২/০৮/১৯৯৫</t>
  </si>
  <si>
    <t>মোসাঃ সখিনা বেগম</t>
  </si>
  <si>
    <t>মোঃ আক্কাছ মিয়া</t>
  </si>
  <si>
    <t>মোসাঃ অছিয়া বেগম</t>
  </si>
  <si>
    <t>লিন্ডা শারমীন</t>
  </si>
  <si>
    <t>এ.কে.এম. আবু লায়েছ</t>
  </si>
  <si>
    <t>মোছাঃ আসমত জাহান</t>
  </si>
  <si>
    <t>১৫/০২/১৯৮২</t>
  </si>
  <si>
    <t>রাশিদা বেগম</t>
  </si>
  <si>
    <t>মোঃ ইউনুজ আলী</t>
  </si>
  <si>
    <t>মোছাঃ কাবিরুন নেছা</t>
  </si>
  <si>
    <t>০১/০৭/১৯৮৫</t>
  </si>
  <si>
    <t>মোছাঃ গোলেনুর খাতুন</t>
  </si>
  <si>
    <t>মোঃ পিয়ার আলী</t>
  </si>
  <si>
    <t>মোছাঃ অছিয়া আলী</t>
  </si>
  <si>
    <t>১৭/১০/১৯৮০</t>
  </si>
  <si>
    <t>২৭/০২/১৯৮৫</t>
  </si>
  <si>
    <t>১০/১২/১৯৯৬</t>
  </si>
  <si>
    <t>মোছাঃ মনিতা খাতুন</t>
  </si>
  <si>
    <t>২০/০২/১৯৯৬</t>
  </si>
  <si>
    <t>মোঃ আব্দুল হাকিম</t>
  </si>
  <si>
    <t>০৩/০৫/১৯৯৬</t>
  </si>
  <si>
    <t>০৫/০৪/১৯৯৩</t>
  </si>
  <si>
    <t>মোছাঃ আসমা উল হুসনা</t>
  </si>
  <si>
    <t>২৭/০৮/১৯৯৭</t>
  </si>
  <si>
    <t>মোঃ রজ্জব আলী</t>
  </si>
  <si>
    <t>২০/০৪/১৯৯৬</t>
  </si>
  <si>
    <t>মোছাঃ লাভলী ইয়াছমিন</t>
  </si>
  <si>
    <t>১৪/০৩/১৯৯৬</t>
  </si>
  <si>
    <t>১৮/১১/১৯৯৬</t>
  </si>
  <si>
    <t>মোঃ হচেন আলী</t>
  </si>
  <si>
    <t>১০/০৯/১৯৯৫</t>
  </si>
  <si>
    <t>১৮/১১/১৯৯০</t>
  </si>
  <si>
    <t>মোছাঃ মেহেনীগা খাতুন</t>
  </si>
  <si>
    <t>২২/১১/১৯৯৩</t>
  </si>
  <si>
    <t>মোছাঃ সালমা পারভীন</t>
  </si>
  <si>
    <t>মোঃ আব্দুল মমিন</t>
  </si>
  <si>
    <t>১৫/০৩/১৯৯৪</t>
  </si>
  <si>
    <t>মোছাঃ সিমি খাতুন</t>
  </si>
  <si>
    <t>মোঃ মিনারুল ইসলাম</t>
  </si>
  <si>
    <t>০৫/১০/১৯৯৫</t>
  </si>
  <si>
    <t>মোঃ জহির আলী</t>
  </si>
  <si>
    <t>মোছাঃ চুমকি খাতুন</t>
  </si>
  <si>
    <t>২০/১২/১৯৯৭</t>
  </si>
  <si>
    <t>০২/০২/১৯৯২</t>
  </si>
  <si>
    <t>২০/০৮/১৯৯৫</t>
  </si>
  <si>
    <t>মোছাঃ পিংকি খাতুন</t>
  </si>
  <si>
    <t>মোছাঃ বিলকিচ খাতুন</t>
  </si>
  <si>
    <t>২৮/১০/১৯৯৬</t>
  </si>
  <si>
    <t>মোছাঃ জানিকা খাতুন</t>
  </si>
  <si>
    <t>মোঃ আলহিম</t>
  </si>
  <si>
    <t>মোছাঃ হোসনিয়ারা</t>
  </si>
  <si>
    <t>মোঃ নওশাদ আলী</t>
  </si>
  <si>
    <t>০৩/০৪/১৯৯৫</t>
  </si>
  <si>
    <t>মোছাঃ আরশিদা খাতুন</t>
  </si>
  <si>
    <t>মোঃ আকসেদ আলী</t>
  </si>
  <si>
    <t>মোছাঃ আফছোনা মিমি</t>
  </si>
  <si>
    <t>মোঃ আজীরুদ্দীন মন্ডল</t>
  </si>
  <si>
    <t>মোছাঃ জেরিনা জেবিন জ্যামি</t>
  </si>
  <si>
    <t>মোঃ জাহাঙ্গীর খন্দকার</t>
  </si>
  <si>
    <t>মোছাঃ রুছিলা খাতুন</t>
  </si>
  <si>
    <t>০২/০১/১৯৯৬</t>
  </si>
  <si>
    <t>১৫/০৮/১৯৯৭</t>
  </si>
  <si>
    <t>মোছাঃ আফরোজা আক্তার</t>
  </si>
  <si>
    <t>৩০/০৩/১৯৯৭</t>
  </si>
  <si>
    <t>মোছাঃ শারমিন আক্তার রুপা</t>
  </si>
  <si>
    <t>মোঃ মজিবুল হক</t>
  </si>
  <si>
    <t>মোছাঃ নুরুজ্জামান খাতুন</t>
  </si>
  <si>
    <t>মোঃ কিরামত আলী</t>
  </si>
  <si>
    <t>মোছাঃ শিলা খাতুন</t>
  </si>
  <si>
    <t>মোঃ মন্টু মিয়া</t>
  </si>
  <si>
    <t>২৯/০১/১৯৯৭</t>
  </si>
  <si>
    <t>১৪/০২/১৯৯৬</t>
  </si>
  <si>
    <t>মোছাঃ সোহানা আফরোজ</t>
  </si>
  <si>
    <t>০১/০১/১৯৯৭</t>
  </si>
  <si>
    <t>শামিমা আক্তার রুমি</t>
  </si>
  <si>
    <t>মোঃ আবুল খায়ের</t>
  </si>
  <si>
    <t>১৭/০৬/১৯৯৭</t>
  </si>
  <si>
    <t>মোছাঃ পপি আক্তার</t>
  </si>
  <si>
    <t>মোঃ ছাবের আলী</t>
  </si>
  <si>
    <t>১৪/০৮/১৯৯৫</t>
  </si>
  <si>
    <t>১২/১২/১৯৯৭</t>
  </si>
  <si>
    <t>মোছাঃ ফাতেমা তুজ যোহরা</t>
  </si>
  <si>
    <t>মোঃ তাহাজ উদ্দিন</t>
  </si>
  <si>
    <t>মোছাঃ জুইরন খাতুন</t>
  </si>
  <si>
    <t>১৭/১২/১৯৯৫</t>
  </si>
  <si>
    <t>মাহামুদা আক্তার মিতা</t>
  </si>
  <si>
    <t>মন্টু মিয়া</t>
  </si>
  <si>
    <t>রোমানা আক্তার</t>
  </si>
  <si>
    <t>২১/০২/১৯৯৭</t>
  </si>
  <si>
    <t>মোঃ জসিম উদ্দীন</t>
  </si>
  <si>
    <t>০৭/০৯/১৯৯২</t>
  </si>
  <si>
    <t>মোছাঃ মেহেরনীগার</t>
  </si>
  <si>
    <t>মোছাঃ জয়রন নেছা</t>
  </si>
  <si>
    <t>০৩/০৪/১৯৯৭</t>
  </si>
  <si>
    <t>মোছাঃ বিপাশা খাতুন</t>
  </si>
  <si>
    <t>মোঃ ভুলু শেখ</t>
  </si>
  <si>
    <t>১৬/০৮/১৯৯৭</t>
  </si>
  <si>
    <t>মোছাঃ শারমিন আক্তার লিপি</t>
  </si>
  <si>
    <t>ফুলনারা</t>
  </si>
  <si>
    <t>মোছাঃ দিতি বেগম</t>
  </si>
  <si>
    <t>মোঃ আরিফ হোসেন</t>
  </si>
  <si>
    <t>মোছাঃ আসলেমা বেগম</t>
  </si>
  <si>
    <t>মোঃ সামাদ আলী</t>
  </si>
  <si>
    <t>মোছাঃ সাহাতন নেছা</t>
  </si>
  <si>
    <t>০১/০১/১৯৯৬</t>
  </si>
  <si>
    <t>১৮/০৩/১৯৮৭</t>
  </si>
  <si>
    <t>মোঃ শাহরুল ইসলাম</t>
  </si>
  <si>
    <t>১৩/১০/১৯৯৭</t>
  </si>
  <si>
    <t>মোছাঃ শাবনুর খাতুন</t>
  </si>
  <si>
    <t>মোঃ তাজবুল হোসেন</t>
  </si>
  <si>
    <t>২১/০৩/১৯৯৪</t>
  </si>
  <si>
    <t>মোছাঃ জেসমিনা খাতুন</t>
  </si>
  <si>
    <t>মোঃ ওসমান আলী</t>
  </si>
  <si>
    <t>মোছাঃ গুলনাহার খাতুন</t>
  </si>
  <si>
    <t>১৩/০২/১৯৯০</t>
  </si>
  <si>
    <t>মোঃ জামিরুল ইসলাম</t>
  </si>
  <si>
    <t>মোছাঃ অঞ্জুরা খাতুন</t>
  </si>
  <si>
    <t>মোঃ আনোয়ারা হোসেন</t>
  </si>
  <si>
    <t>১৮/০৯/১৯৯৪</t>
  </si>
  <si>
    <t>০৪/১২/১৯৯৪</t>
  </si>
  <si>
    <t>মোছাঃ আর্জিনা খাতুন</t>
  </si>
  <si>
    <t>২০/০৬/১৯৯০</t>
  </si>
  <si>
    <t>মোছাঃ রুপালী</t>
  </si>
  <si>
    <t>১২/০৯/১৯৯৪</t>
  </si>
  <si>
    <t>চায়না খাতুন</t>
  </si>
  <si>
    <t>মোঃ মুনজের</t>
  </si>
  <si>
    <t>মোছাঃ সাহানারা</t>
  </si>
  <si>
    <t>০৫/০৩/১৯৯৪</t>
  </si>
  <si>
    <t>মোঃ ইফতার আলী</t>
  </si>
  <si>
    <t>মোঃ আক্তারুজ্জামান</t>
  </si>
  <si>
    <t>১৪/১০/১৯৯৭</t>
  </si>
  <si>
    <t>মোছাঃ চুমকী খাতুন</t>
  </si>
  <si>
    <t>মোঃ কাইমুদ্দিন</t>
  </si>
  <si>
    <t>মোছাঃ সুমি বেগম</t>
  </si>
  <si>
    <t>১৮/০১/১৯৯৫</t>
  </si>
  <si>
    <t>মোঃ খোকন আলী</t>
  </si>
  <si>
    <t>০৪/০৩/১৯৯৭</t>
  </si>
  <si>
    <t>মোছাঃ মুহতারা খাতুন</t>
  </si>
  <si>
    <t>১৭/০২/১৯৯৫</t>
  </si>
  <si>
    <t>মোছাঃ মৌসুমি খাতুন</t>
  </si>
  <si>
    <t>০১/১০/১৯৯৭</t>
  </si>
  <si>
    <t>মোছাঃ মুনজুরা খাতুন</t>
  </si>
  <si>
    <t>০১/০১/১৯৯৮</t>
  </si>
  <si>
    <t>মোছাঃ হাবেনা খাতুন</t>
  </si>
  <si>
    <t>মোঃ মিয়ারুল ইসলাম</t>
  </si>
  <si>
    <t>মোঃ আলফাজ হোসেন</t>
  </si>
  <si>
    <t>০৯/০৬/১৯৮৫</t>
  </si>
  <si>
    <t>শেখ মুছাব কাকা</t>
  </si>
  <si>
    <t>মোছাঃ রাবিয়া বেওয়া</t>
  </si>
  <si>
    <t>১৭/০৬/১৯৮২</t>
  </si>
  <si>
    <t>এস সি-৫২৯</t>
  </si>
  <si>
    <t>মোছাঃ শাহানা বেগম</t>
  </si>
  <si>
    <t>জান মোহামাদ</t>
  </si>
  <si>
    <t>মোছাঃ রজনী খাতুন</t>
  </si>
  <si>
    <t>মোঃ খোদা বকস সেখ</t>
  </si>
  <si>
    <t>০৯/০৮/১৯৯৮</t>
  </si>
  <si>
    <t>মোছাঃ জোসনা আক্তার</t>
  </si>
  <si>
    <t>মোঃ সহিদুল</t>
  </si>
  <si>
    <t>১৭/১১/১৯৯৫</t>
  </si>
  <si>
    <t>মোঃ রফিক আলী</t>
  </si>
  <si>
    <t>২২/০২/১৯৯৬</t>
  </si>
  <si>
    <t>০১/০৩/১৯৯৪</t>
  </si>
  <si>
    <t>মোঃ পুনা আলী</t>
  </si>
  <si>
    <t>১৭/০৫/১৯৯৫</t>
  </si>
  <si>
    <t>মোছাঃ তাসলিমা হিরা</t>
  </si>
  <si>
    <t>মোঃ আমজাদ হোসেন</t>
  </si>
  <si>
    <t>২৫/০৮/১৯৯৮</t>
  </si>
  <si>
    <t>মোছাঃ জুলি খাতুন</t>
  </si>
  <si>
    <t>মোঃ জাহাঙ্গীর আলম</t>
  </si>
  <si>
    <t>১৮/০৭/১৯৯৮</t>
  </si>
  <si>
    <t>মোছাঃ জিনিয়া খাতুন</t>
  </si>
  <si>
    <t>১৮/০৮/১৯৯৮</t>
  </si>
  <si>
    <t>১২/০৪/১৯৯৮</t>
  </si>
  <si>
    <t>১২/১০/১৯৯৮</t>
  </si>
  <si>
    <t>মোছাঃ শাহীনুর আক্তার</t>
  </si>
  <si>
    <t>০৮/১০/১৯৯৮</t>
  </si>
  <si>
    <t>মোঃ আকতারুজ্জামান</t>
  </si>
  <si>
    <t>১৭/১০/১৯৯৮</t>
  </si>
  <si>
    <t>মোঃ কাবেল উদ্দিন</t>
  </si>
  <si>
    <t>০৫/০১/১৯৯৮</t>
  </si>
  <si>
    <t>মোছাঃ মিমি খাতুন</t>
  </si>
  <si>
    <t>মোছাঃ নূরনাহার</t>
  </si>
  <si>
    <t>২৫/০২/১৯৯৮</t>
  </si>
  <si>
    <t>মোছাঃ সুমাইয়া খাতুন</t>
  </si>
  <si>
    <t>মোঃ ইউসুব আলী</t>
  </si>
  <si>
    <t>০৬/০৬/১৯৯৮</t>
  </si>
  <si>
    <t>মোছাঃ নূন্নাহার খাতুন</t>
  </si>
  <si>
    <t>১৫/০১/১৯৯৮</t>
  </si>
  <si>
    <t>মোছাঃ তরুনা খাতুন</t>
  </si>
  <si>
    <t>০৮/০৯/১৯৯৮</t>
  </si>
  <si>
    <t>মোঃ আলী রহমান</t>
  </si>
  <si>
    <t>২০/০১/১৯৯৮</t>
  </si>
  <si>
    <t>১৫/০৪/১৯৯৮</t>
  </si>
  <si>
    <t>মোছাঃ উম্মে হাবিবা</t>
  </si>
  <si>
    <t>১৬/০২/১৯৯৮</t>
  </si>
  <si>
    <t>২১/০৫/১৯৯৮</t>
  </si>
  <si>
    <t>মোছাঃ ছনিয়া খাতুন</t>
  </si>
  <si>
    <t>মোঃ ওলিচাঁদ</t>
  </si>
  <si>
    <t>০৭/০৯/১৯৯৬</t>
  </si>
  <si>
    <t>মোছাঃ সুবর্না শারমিন</t>
  </si>
  <si>
    <t>০১/০৯/১৯৯৭</t>
  </si>
  <si>
    <t>২১/০৮/১৯৯৩</t>
  </si>
  <si>
    <t>মোছাঃ মুনিয়া খাতুন</t>
  </si>
  <si>
    <t>মোঃ ফরিদ হোসেন</t>
  </si>
  <si>
    <t>২৬/১১/১৯৯৬</t>
  </si>
  <si>
    <t>মোঃ আব্দুল রউফ</t>
  </si>
  <si>
    <t>০৫/০৪/১৯৯৮</t>
  </si>
  <si>
    <t>মোছাঃ হাবিবা আক্তার</t>
  </si>
  <si>
    <t>মোঃ নবীরুল</t>
  </si>
  <si>
    <t>০২/০১/১৯৯৭</t>
  </si>
  <si>
    <t>মোছাঃ তাহমিনা খাতুন</t>
  </si>
  <si>
    <t>মৃত তিলবত শেখ</t>
  </si>
  <si>
    <t>১৬/০৪/১৯৯৫</t>
  </si>
  <si>
    <t>মো: আওলাদ হোসেন</t>
  </si>
  <si>
    <t>০২/০৯/১৯৯৯</t>
  </si>
  <si>
    <t>মোছাঃ সুমাইয়া আক্তার লিজা</t>
  </si>
  <si>
    <t>মো: খলিলুর রহমান</t>
  </si>
  <si>
    <t>২৫/১১/১৯৯৯</t>
  </si>
  <si>
    <t>মো: মজিবুর ইসলাম</t>
  </si>
  <si>
    <t>১৭/০৩/১৯৯৯</t>
  </si>
  <si>
    <t>ফারিয়া আফসানা তমা</t>
  </si>
  <si>
    <t>আবু তাহের</t>
  </si>
  <si>
    <t>ছালমা সুলতানা</t>
  </si>
  <si>
    <t>৩০/১১/১৯৯৯</t>
  </si>
  <si>
    <t>মো: মোশারফ হোসেন</t>
  </si>
  <si>
    <t>১০/০৫/১৯৯৯</t>
  </si>
  <si>
    <t>মোছাঃ সুমা খাতুন</t>
  </si>
  <si>
    <t>মো: আব্দুর রউফ</t>
  </si>
  <si>
    <t>০৫/০৯/১৯৯৯</t>
  </si>
  <si>
    <t>মো: আলমাছ হোসেন</t>
  </si>
  <si>
    <t>২৬/০৭/১৯৯৯</t>
  </si>
  <si>
    <t>মোছাঃ মনিরা আক্তার</t>
  </si>
  <si>
    <t>মো: মসলেম মালিথা</t>
  </si>
  <si>
    <t>২০/১১/১৯৯৯</t>
  </si>
  <si>
    <t>মো: হইরূদ্দিন</t>
  </si>
  <si>
    <t>২৬/০৫/১৯৯৯</t>
  </si>
  <si>
    <t>মো: বাবুল হোসেন</t>
  </si>
  <si>
    <t>১৫/০৭/১৯৯৯</t>
  </si>
  <si>
    <t>১৭/০৯/১৯৯৯</t>
  </si>
  <si>
    <t>মোছাঃ উম্মে জারিয়া</t>
  </si>
  <si>
    <t>মো: আক্তারুজ্জামান</t>
  </si>
  <si>
    <t>২১/০৮/১৯৯৯</t>
  </si>
  <si>
    <t>মোছাঃ সানজিদা আক্তার সানু</t>
  </si>
  <si>
    <t>মো: শাহজাহান আলী</t>
  </si>
  <si>
    <t>২৭/০৫/১৯৯৯</t>
  </si>
  <si>
    <t>মো: মোতালেব হোসেন</t>
  </si>
  <si>
    <t>০২/০৮/১৯৯৯</t>
  </si>
  <si>
    <t>তাসনিয়া জাহান মমতাজ</t>
  </si>
  <si>
    <t>মো: আব্দুল হামিদ</t>
  </si>
  <si>
    <t>১২/১২/১৯৯৯</t>
  </si>
  <si>
    <t>মোছাঃ চায়না আক্তার রুমা</t>
  </si>
  <si>
    <t>মো: হযরত আলী</t>
  </si>
  <si>
    <t>মো: সিদ্দীকুর রহমান</t>
  </si>
  <si>
    <t>১১/০৩/১৯৯৯</t>
  </si>
  <si>
    <t>কল্পনা খাতুন</t>
  </si>
  <si>
    <t>শফিকুল ইসলাম</t>
  </si>
  <si>
    <t>আলিয়া খাতুন</t>
  </si>
  <si>
    <t>১৮/০৮/১৯৯৯</t>
  </si>
  <si>
    <t>মোছাঃ শারমিন আক্তার রেবা</t>
  </si>
  <si>
    <t>মো: আবুল হোসেন</t>
  </si>
  <si>
    <t>১৪/০৮/১৯৯৯</t>
  </si>
  <si>
    <t>মোছাঃ সুর্জিনা খাতুন</t>
  </si>
  <si>
    <t>মো: ঈদবার আলী</t>
  </si>
  <si>
    <t>১২/০৭/১৯৯৯</t>
  </si>
  <si>
    <t>মো: আব্দুর রকিব</t>
  </si>
  <si>
    <t>২৭/০১/১৯৯৯</t>
  </si>
  <si>
    <t>মোছাঃ ডলি খাতুন</t>
  </si>
  <si>
    <t>মো: ডালিম হোসেন</t>
  </si>
  <si>
    <t>০৩/০৬/১৯৯৯</t>
  </si>
  <si>
    <t>১৪/০৬/১৯৯৯</t>
  </si>
  <si>
    <t>কৃষক</t>
  </si>
  <si>
    <t>মো: আরশেদ আলী</t>
  </si>
  <si>
    <t>২৩/০৭/১৯৯৯</t>
  </si>
  <si>
    <t>মো: মোতালেব সেখ</t>
  </si>
  <si>
    <t>মোছাঃ আনজু মোনয়ারা</t>
  </si>
  <si>
    <t>১২/০৩/১৯৭৯</t>
  </si>
  <si>
    <t>নূরাজাহান</t>
  </si>
  <si>
    <t>মো: নুরুল হক</t>
  </si>
  <si>
    <t>নজেরা বেগম</t>
  </si>
  <si>
    <t>কামাল আলী</t>
  </si>
  <si>
    <t>মোছাঃ তসলিমা</t>
  </si>
  <si>
    <t>০২/০১/১৯৯৪</t>
  </si>
  <si>
    <t>মোছাঃ মাকছুদা</t>
  </si>
  <si>
    <t>১৮/০২/১৯৭৬</t>
  </si>
  <si>
    <t>মোছাঃ কল্পনা আকতার</t>
  </si>
  <si>
    <t>আঃ রহমান</t>
  </si>
  <si>
    <t>ইফাত জাহান ঝুমুর</t>
  </si>
  <si>
    <t>মো: ইউসুফ আলী মোল্যা</t>
  </si>
  <si>
    <t>শবনম ইউসুফ</t>
  </si>
  <si>
    <t>২৯/১০/১৯৯১</t>
  </si>
  <si>
    <t>হ্যাপী আক্তার</t>
  </si>
  <si>
    <t>মো: ইউনুছ আলী</t>
  </si>
  <si>
    <t>ফাতেমা বেগম</t>
  </si>
  <si>
    <t>২১/০৭/১৯৮৯</t>
  </si>
  <si>
    <t>মোছাঃ মানিয়া খাতুন</t>
  </si>
  <si>
    <t>মো: শফিউল ইসলাম</t>
  </si>
  <si>
    <t>৩১/১২/১৯৯৩</t>
  </si>
  <si>
    <t>গাড়াডোব মালপাড়া, গাড়াডোব, গাংনী, মেহেরপুর</t>
  </si>
  <si>
    <t>শারমিন আক্তার রিমা</t>
  </si>
  <si>
    <t>এস. এম আতিয়ার রহমান</t>
  </si>
  <si>
    <t>রাজিয়া সুলতানা</t>
  </si>
  <si>
    <t>০১/০৫/১৯৯৮</t>
  </si>
  <si>
    <t>মৃত হাবিবুর রহমান</t>
  </si>
  <si>
    <t>আংগরা খাতুন</t>
  </si>
  <si>
    <t>১৭/০৬/১৯৯১</t>
  </si>
  <si>
    <t>মো: বিল্লাল হোসেন</t>
  </si>
  <si>
    <t>মোছাঃ হেসনেয়ারা খাতুন</t>
  </si>
  <si>
    <t>০১/০২/১৯৯৪</t>
  </si>
  <si>
    <t>গাড়াডোব পুকুরপাড়া, গাড়াডোব, গাংনী, মেহেরপুর</t>
  </si>
  <si>
    <t>মোছাঃ তানিয়া সুলতানা</t>
  </si>
  <si>
    <t>মৃত সাদেক আলী</t>
  </si>
  <si>
    <t>০৪/০৩/১৯৮৮</t>
  </si>
  <si>
    <t>মো: এরশাদ আলী</t>
  </si>
  <si>
    <t>মোছাঃ বিলকিছ খাতুন</t>
  </si>
  <si>
    <t>১০/১০/১৯৯৬</t>
  </si>
  <si>
    <t>মোছাঃ মিনা আক্তার</t>
  </si>
  <si>
    <t>আজিম</t>
  </si>
  <si>
    <t>মেমি</t>
  </si>
  <si>
    <t>০৮/০২/১৯৯৪</t>
  </si>
  <si>
    <t>পুকুর পাড়া, গাড়াডোব, গাংনী, মেহেরপুর</t>
  </si>
  <si>
    <t>মো: আঃ খালেক</t>
  </si>
  <si>
    <t>১০/০১/১৯৯৭</t>
  </si>
  <si>
    <t>১৯/০৯/১৯৯১</t>
  </si>
  <si>
    <t>পুকুরপাড়া, গাড়াডোব, গাংনী, মেহেরপুর</t>
  </si>
  <si>
    <t>মোছাঃ বেলীয়ারা খাতুন</t>
  </si>
  <si>
    <t>মো: মারুফ খান</t>
  </si>
  <si>
    <t>মোছাঃ আদরি খানম</t>
  </si>
  <si>
    <t>১৯/১২/১৯৯৩</t>
  </si>
  <si>
    <t>জলিবিল পাড়া, গাড়াডোব, গাংনী, মেহেরপুর</t>
  </si>
  <si>
    <t>মোছাঃ সুমমারা খাতুন</t>
  </si>
  <si>
    <t>আঃ আফেন উদ্দিন</t>
  </si>
  <si>
    <t>০৪/১০/১৯৯৫</t>
  </si>
  <si>
    <t>আমিরুল</t>
  </si>
  <si>
    <t>মরিয়ম</t>
  </si>
  <si>
    <t>০৪/০৭/১৯৯৫</t>
  </si>
  <si>
    <t>মোছাঃ মুক্তা মালা খাতুন</t>
  </si>
  <si>
    <t>মো: মককর উদ্দীন</t>
  </si>
  <si>
    <t>১৫/০৩/১৯৯৭</t>
  </si>
  <si>
    <t>গাড়াডোব জলিবিল পাড়া, গাড়াডোব, গাংনী, মেহেরপুর</t>
  </si>
  <si>
    <t>মো: বকুল আলী</t>
  </si>
  <si>
    <t>মোছাঃ পাললি খাতুন</t>
  </si>
  <si>
    <t>মো: আবুল কালাম</t>
  </si>
  <si>
    <t>১০/০২/১৯৯৭</t>
  </si>
  <si>
    <t>গাড়াডোব, পুকুর পাড়া, গাড়াডোব, গাংনী, মেহেরপুর</t>
  </si>
  <si>
    <t>মোছাঃ শান্তনা খাতুন বেবী</t>
  </si>
  <si>
    <t>মো: বাবর আলী</t>
  </si>
  <si>
    <t>মোছাঃ ভানুয়ারা খাতুন</t>
  </si>
  <si>
    <t>৩০/০৮/১৯৯৫</t>
  </si>
  <si>
    <t>মোছাঃ জুলেখা আক্তার</t>
  </si>
  <si>
    <t>মো: সেন্টু মিয়া</t>
  </si>
  <si>
    <t>মোছাঃ মুনজিরা</t>
  </si>
  <si>
    <t>মোছাঃ স্বপ্না আরা</t>
  </si>
  <si>
    <t>পানজাব আলী</t>
  </si>
  <si>
    <t>মরিয়ম নেছা</t>
  </si>
  <si>
    <t>২২/০২/১৯৯৭</t>
  </si>
  <si>
    <t>মোছাঃ নুননী খাতুন</t>
  </si>
  <si>
    <t>মোছাঃ আকিদা খাতুন</t>
  </si>
  <si>
    <t>০৫/০৬/১৯৯৪</t>
  </si>
  <si>
    <t>মো: মুনছুর আলী</t>
  </si>
  <si>
    <t>মোছাঃ খাদিজাতুল কোবরা নূর</t>
  </si>
  <si>
    <t>মো: গোলাম মর্তুজা</t>
  </si>
  <si>
    <t>মোছাঃ ফাতেমাতুজ জোহরা</t>
  </si>
  <si>
    <t>২৯/১০/১৯৯৮</t>
  </si>
  <si>
    <t>মোছাঃ যূথরুফা</t>
  </si>
  <si>
    <t>মৃত মো: মহি উদ্দীন</t>
  </si>
  <si>
    <t>মো: কাপ্তান আলী</t>
  </si>
  <si>
    <t>মোছাঃ আরশিদা বেগম</t>
  </si>
  <si>
    <t>১৩/১২/১৯৯৮</t>
  </si>
  <si>
    <t>মো: রফিকুল</t>
  </si>
  <si>
    <t>গাড়াডোব পুকুর পাড়া, গাড়াডোব, গাংনী, মেহেরপুর</t>
  </si>
  <si>
    <t>মোছাঃ তাসলিমা আক্তার</t>
  </si>
  <si>
    <t>মো: রুল আমিন</t>
  </si>
  <si>
    <t>মোছাঃ রহিমা আক্তার</t>
  </si>
  <si>
    <t>০৫/১০/১৯৯৪</t>
  </si>
  <si>
    <t>ইসলামপুর পাড়া, গাড়াডোব, গাংনী, মেহেরপুর</t>
  </si>
  <si>
    <t>মৃত কাবরুল ইসলাম</t>
  </si>
  <si>
    <t>মৃত মনোয়ারা</t>
  </si>
  <si>
    <t>১৫/০৬/১৯৮৯</t>
  </si>
  <si>
    <t>সামসুল</t>
  </si>
  <si>
    <t>২৩/১১/১৯৮৭</t>
  </si>
  <si>
    <t>ইসলামপাড়া, গাড়াডোব, গাংনী, মেহেরপুর</t>
  </si>
  <si>
    <t>মোছাঃ হাসি খাতুন</t>
  </si>
  <si>
    <t>মো: ইছাহক</t>
  </si>
  <si>
    <t>মোছাঃ ফেরদৌসি</t>
  </si>
  <si>
    <t>৩০/১০/১৯৯৮</t>
  </si>
  <si>
    <t>মো: জামাত আলী মন্ডল</t>
  </si>
  <si>
    <t>বাসন্তী দাসী</t>
  </si>
  <si>
    <t>রবিন দাস</t>
  </si>
  <si>
    <t>অঞ্জলী</t>
  </si>
  <si>
    <t>১০/০৪/১৯৯২</t>
  </si>
  <si>
    <t>মোছাঃ শাহিনুর খাতুন</t>
  </si>
  <si>
    <t>ফরিদা খাতুন</t>
  </si>
  <si>
    <t>১৩/০৮/১৯৯৮</t>
  </si>
  <si>
    <t>মো: আদম আলী</t>
  </si>
  <si>
    <t>০৭/০৯/১৯৯৮</t>
  </si>
  <si>
    <t>মো: হারেজ</t>
  </si>
  <si>
    <t>০৫/০১/১৯৯৬</t>
  </si>
  <si>
    <t>মো: দাউদ নবী</t>
  </si>
  <si>
    <t>৩০/১২/১৯৯৭</t>
  </si>
  <si>
    <t>মো: ইয়াজউদ্দীন</t>
  </si>
  <si>
    <t>মোছাঃ ছালেমা খাতুন</t>
  </si>
  <si>
    <t>০৯/০৫/১৯৯৬</t>
  </si>
  <si>
    <t>মো: নাজির আলী</t>
  </si>
  <si>
    <t>০৮/১২/১৯৯৮</t>
  </si>
  <si>
    <t>মৃত আব্দুল সাত্তার</t>
  </si>
  <si>
    <t>১০/০৪/১৯৯৬</t>
  </si>
  <si>
    <t>মোছাঃ ফুলবানু</t>
  </si>
  <si>
    <t>মো: লাল চাঁদ</t>
  </si>
  <si>
    <t>০৫/০২/১৯৯৫</t>
  </si>
  <si>
    <t>মাঠপাড়া, গাড়াডোব, গাংনী, মেহেরপুর</t>
  </si>
  <si>
    <t>মুমতাহিনা</t>
  </si>
  <si>
    <t>মোশারফ হোসেন</t>
  </si>
  <si>
    <t>রেহেনা খাতুন</t>
  </si>
  <si>
    <t>১০/১২/১৯৯৭</t>
  </si>
  <si>
    <t>মোছাঃ রেক্সনা খাতুন</t>
  </si>
  <si>
    <t>২১/১১/১৯৯৯</t>
  </si>
  <si>
    <t>ছফিকুল</t>
  </si>
  <si>
    <t>মোছাঃ ফিরোজা</t>
  </si>
  <si>
    <t>০৫/০২/১৯৯৯</t>
  </si>
  <si>
    <t>জলিবিলপাড়া, গাড়াডোব, গাংনী, মেহেরপুর</t>
  </si>
  <si>
    <t>মো: পাতান আলী</t>
  </si>
  <si>
    <t>মোছাঃ ভানু খাতুন</t>
  </si>
  <si>
    <t>০৮/০৭/১৯৯৯</t>
  </si>
  <si>
    <t>লাকি আক্তার</t>
  </si>
  <si>
    <t>মো: আলহিম মন্ডল</t>
  </si>
  <si>
    <t>মোছাঃ হেসনেয়ারা হোসেন</t>
  </si>
  <si>
    <t>মো: মাহিবুল হক</t>
  </si>
  <si>
    <t>মোছাঃ আবিরন খাতুন</t>
  </si>
  <si>
    <t>০১/০১/২০০০</t>
  </si>
  <si>
    <t>কুঠি পাড়া, গাড়াডোব, গাংনী, মেহেরপুর</t>
  </si>
  <si>
    <t>মোছাঃ মারুফা আক্তার</t>
  </si>
  <si>
    <t>মো: আব্দুল মজিদ</t>
  </si>
  <si>
    <t>১১/০৭/১৯৯৯</t>
  </si>
  <si>
    <t>মোছাঃ সামিউল বাসিরা</t>
  </si>
  <si>
    <t>মো: আব্দুর রহিম</t>
  </si>
  <si>
    <t>মৃত মোছাঃ ইসমোতারা খাতুন</t>
  </si>
  <si>
    <t>২২/০৭/১৯৯৯</t>
  </si>
  <si>
    <t>মোছাঃ রুবিয়া খাতুন</t>
  </si>
  <si>
    <t>মো: মুক্তার বিশ্বাস</t>
  </si>
  <si>
    <t>১৮/০১/১৯৯৯</t>
  </si>
  <si>
    <t>মোছাঃ আইরিন পারভিন</t>
  </si>
  <si>
    <t>মো: আব্দুল আলিম</t>
  </si>
  <si>
    <t>মারুফা খাতুন</t>
  </si>
  <si>
    <t>হারুন অর রশিদ</t>
  </si>
  <si>
    <t>ববি খন্দকার</t>
  </si>
  <si>
    <t>১০/০৪/১৯৯৯</t>
  </si>
  <si>
    <t>মো: আইনাল হক</t>
  </si>
  <si>
    <t>মোছাঃ রাবেয়া বেগম</t>
  </si>
  <si>
    <t>১০/১০/১৯৭১</t>
  </si>
  <si>
    <t>জেসমিন আরা</t>
  </si>
  <si>
    <t>মো: আয়েজ উদ্দিন</t>
  </si>
  <si>
    <t>মোছাঃ আক্তারুন নেছা</t>
  </si>
  <si>
    <t>পুনকা</t>
  </si>
  <si>
    <t>০৫/০৩/১৯৮৮</t>
  </si>
  <si>
    <t>মো: হানিফ আলী</t>
  </si>
  <si>
    <t>মোছাঃ মেগলী খাতুন</t>
  </si>
  <si>
    <t>২৮/০৯/১৯৭২</t>
  </si>
  <si>
    <t>০১/১২/১৯৮৬</t>
  </si>
  <si>
    <t>গাড়াবোড়, গাংনী, মেহেরপুর</t>
  </si>
  <si>
    <t>তফেল বিশ্বাস</t>
  </si>
  <si>
    <t>শাহ আলম</t>
  </si>
  <si>
    <t>মোছাঃ ছাবেজান খাতুন</t>
  </si>
  <si>
    <t>মোঃ রশনাই মন্ডল</t>
  </si>
  <si>
    <t>০৫/০১/১৯৬২</t>
  </si>
  <si>
    <t>নার্গিস খাতুন</t>
  </si>
  <si>
    <t>রমেশা</t>
  </si>
  <si>
    <t>১১/০৬/১৯৮৭</t>
  </si>
  <si>
    <t>মোঃ রয়েন</t>
  </si>
  <si>
    <t>২৩/০৩/১৯৭০</t>
  </si>
  <si>
    <t>মোছাঃ জামিনা বেগম</t>
  </si>
  <si>
    <t>মোঃ হানিফ সরদার</t>
  </si>
  <si>
    <t>০৪/০৬/১৯৮৮</t>
  </si>
  <si>
    <t>০৫/০৩/২০০০</t>
  </si>
  <si>
    <t>১৫/০৫/১৯৯৭</t>
  </si>
  <si>
    <t>মোঃ ওয়ারেচ</t>
  </si>
  <si>
    <t>২৫/১১/১৯৯৮</t>
  </si>
  <si>
    <t>মোঃ জিয়ারুল হক</t>
  </si>
  <si>
    <t>০৫/০৬/১৯৯৫</t>
  </si>
  <si>
    <t>মোঃ জহিরুল ইসলাম</t>
  </si>
  <si>
    <t>মোছাঃ ছালেহার বেগম</t>
  </si>
  <si>
    <t>১৬/১০/২০০৩</t>
  </si>
  <si>
    <t>১৪/০৭/২০০১</t>
  </si>
  <si>
    <t>মোছাঃ সালামা খাতুন</t>
  </si>
  <si>
    <t>০২/০৬/২০০২</t>
  </si>
  <si>
    <t>মোছাঃ নাজমিন সুলতানা</t>
  </si>
  <si>
    <t>মোঃ ইউসুফ আলী</t>
  </si>
  <si>
    <t>০৮/০১/২০০০</t>
  </si>
  <si>
    <t>০৪/০৪/২০০৩</t>
  </si>
  <si>
    <t>১২/০৩/১৯৯৮</t>
  </si>
  <si>
    <t>মোঃ আক্কেল আলী</t>
  </si>
  <si>
    <t>২৪/১০/১৯৯৮</t>
  </si>
  <si>
    <t>০১/০৭/১৯৯৭</t>
  </si>
  <si>
    <t>মোঃ ছদিমান</t>
  </si>
  <si>
    <t>১৩/০৪/২০০৩</t>
  </si>
  <si>
    <t>০৮/১২/২০০২</t>
  </si>
  <si>
    <t>মোছাঃ উর্মি খাতুন</t>
  </si>
  <si>
    <t>২৫/০৯/১৯৯৯</t>
  </si>
  <si>
    <t>মোঃ কামরুজ্জামান</t>
  </si>
  <si>
    <t>২৮/০২/১৯৯৭</t>
  </si>
  <si>
    <t>মোছাঃ খুশিয়ারা খাতুন</t>
  </si>
  <si>
    <t>২১/০৮/২০০১</t>
  </si>
  <si>
    <t>০৭/০৮/২০০০</t>
  </si>
  <si>
    <t>মোঃ আকছেদ</t>
  </si>
  <si>
    <t>১৭/০৫/১৯৯৯</t>
  </si>
  <si>
    <t>মোঃ মধু মিয়া</t>
  </si>
  <si>
    <t>২৭/১২/১৯৯৮</t>
  </si>
  <si>
    <t>মোছাঃ হাসিুয়ারা খাতুন</t>
  </si>
  <si>
    <t>০২/০২/২০০২</t>
  </si>
  <si>
    <t>মোঃ মফিজুল ইসলাম</t>
  </si>
  <si>
    <t>০৭/০৫/২০০১</t>
  </si>
  <si>
    <t>মোছাঃ বৃষ্টি খাতুন</t>
  </si>
  <si>
    <t>মোঃ হাম্মান আলী</t>
  </si>
  <si>
    <t>২৩/০৯/১৯৯৯</t>
  </si>
  <si>
    <t>মোছাঃ সন্ধ্যা খাতুন</t>
  </si>
  <si>
    <t>মোঃ সুমন মোল্লা</t>
  </si>
  <si>
    <t>১৮/০৬/২০০২</t>
  </si>
  <si>
    <t>মোছাঃ বিথি খাতুন</t>
  </si>
  <si>
    <t>মোঃ বাচ্চু মিয়া</t>
  </si>
  <si>
    <t>মোছাঃ মাহেরা খাতুন</t>
  </si>
  <si>
    <t>০৬/০৭/২০০২</t>
  </si>
  <si>
    <t>মোঃ মুক্তার আলী</t>
  </si>
  <si>
    <t>২৮/০৬/২০০৩</t>
  </si>
  <si>
    <t>মোছাঃ ইতি ইয়াসমিন</t>
  </si>
  <si>
    <t>মোঃ ওমর ফারুক</t>
  </si>
  <si>
    <t>১৭/১১/২০০৩</t>
  </si>
  <si>
    <t>০৫/১০/২০০২</t>
  </si>
  <si>
    <t>মোছাঃ মাহমুদা আক্তার</t>
  </si>
  <si>
    <t>মোছাঃ প্রেমোলা খাতুন</t>
  </si>
  <si>
    <t>০৫/০৯/২০০১</t>
  </si>
  <si>
    <t>মোছাঃ শারমিন আক্তার বন্যা</t>
  </si>
  <si>
    <t>০১/০৪/২০০১</t>
  </si>
  <si>
    <t>মোছাঃ নিবারন নেছা</t>
  </si>
  <si>
    <t>১৬/০৪/১৯৮৯</t>
  </si>
  <si>
    <t>মোছাঃ রুপা খাতুন</t>
  </si>
  <si>
    <t>১০/০৮/২০০০</t>
  </si>
  <si>
    <t>মোছাঃ মোতিজা খাতুন মুক্তা</t>
  </si>
  <si>
    <t>মোঃ মুরাদ আলী</t>
  </si>
  <si>
    <t>২১/০৫/১৯৯১</t>
  </si>
  <si>
    <t>মোছাঃ মাহিরুন খাতুন</t>
  </si>
  <si>
    <t>০৬/০৫/২০০০</t>
  </si>
  <si>
    <t>মোছাঃ শারমিন শাখা মীম</t>
  </si>
  <si>
    <t>মোঃ তোফাজ্জেল হক</t>
  </si>
  <si>
    <t>০১/০২/১৯৯৯</t>
  </si>
  <si>
    <t>মোছাঃ খাওলা জেরিন</t>
  </si>
  <si>
    <t>মাতাঃ মোছাঃ মুঞ্জরা বেগম</t>
  </si>
  <si>
    <t>১২/০১/২০০০</t>
  </si>
  <si>
    <t>মোছাঃ স্বর্ণা খাতুন</t>
  </si>
  <si>
    <t>মোছাঃ হোসনেয়ারা</t>
  </si>
  <si>
    <t>মোছাঃ ছাদিয়া খাতুন</t>
  </si>
  <si>
    <t>০৫/০৮/২০০২</t>
  </si>
  <si>
    <t>মোছাঃ সারমিন সুলতানা</t>
  </si>
  <si>
    <t>২৮/০৫/২০০০</t>
  </si>
  <si>
    <t>মোঃ আরোজ আলী</t>
  </si>
  <si>
    <t>০১/১২/২০০৩</t>
  </si>
  <si>
    <t>মোঃ আজিজুল</t>
  </si>
  <si>
    <t>মাতাঃ রমেছা খাতুন</t>
  </si>
  <si>
    <t>মোঃ জিয়ারুল</t>
  </si>
  <si>
    <t>মোছাঃ রাফেজা খাতুন</t>
  </si>
  <si>
    <t>২৫/০৪/২০০৩</t>
  </si>
  <si>
    <t>মোছাঃ রেশমা আক্তার কথা</t>
  </si>
  <si>
    <t>মোঃ আব্দুল রাজ্জাক</t>
  </si>
  <si>
    <t>মোছাঃ বাছিরন খাতুন</t>
  </si>
  <si>
    <t>১১/১০/২০০২</t>
  </si>
  <si>
    <t>১৫/০৩/২০০০</t>
  </si>
  <si>
    <t>মোছাঃ ছনিয়া</t>
  </si>
  <si>
    <t>০৩/০২/১৯৯৭</t>
  </si>
  <si>
    <t>মোছাঃ মুর্শিদা</t>
  </si>
  <si>
    <t>১৩/০৭/২০০১</t>
  </si>
  <si>
    <t>মোঃ জেল হক</t>
  </si>
  <si>
    <t>১০/০৭/১৯৯৭</t>
  </si>
  <si>
    <t>শামসুজ্জোহা</t>
  </si>
  <si>
    <t>মোছাঃ রশন আরা</t>
  </si>
  <si>
    <t>২৮/০৮/১৯৯৬</t>
  </si>
  <si>
    <t>নামঃ আফরিন জামান আখি</t>
  </si>
  <si>
    <t>পিতাঃ সাইফুজ্জামান কাজল</t>
  </si>
  <si>
    <t>মাতাঃ মোছাঃ সালেহা খাতুন</t>
  </si>
  <si>
    <t>২২/১১/২০০১</t>
  </si>
  <si>
    <t>মোছাঃ সামছিয়া আক্তার সুমি</t>
  </si>
  <si>
    <t>০১/০৮/১৯৮৭</t>
  </si>
  <si>
    <t>মোঃ রেজাউল</t>
  </si>
  <si>
    <t>মোছাঃ কামেলা</t>
  </si>
  <si>
    <t>১১/০৩/১৯৯৮</t>
  </si>
  <si>
    <t>মোছাঃ রিমা</t>
  </si>
  <si>
    <t>মোঃ সেফাউল হক</t>
  </si>
  <si>
    <t>মোছাঃ চায়না</t>
  </si>
  <si>
    <t>০৪/০৩/১৯৯৮</t>
  </si>
  <si>
    <t>মতিন রহমান</t>
  </si>
  <si>
    <t>মুনজুয়ারা</t>
  </si>
  <si>
    <t>০৬/০১/১৯৯২</t>
  </si>
  <si>
    <t>মোছাঃ চাঁদনী খাতুন</t>
  </si>
  <si>
    <t>১৩/০৬/২০০২</t>
  </si>
  <si>
    <t>মোছাঃ রিম্পা খাতুন</t>
  </si>
  <si>
    <t>০১/০২/১৯৯৬</t>
  </si>
  <si>
    <t>মোছাঃ আঁখি আলমগীর</t>
  </si>
  <si>
    <t>মোঃ আলমগীর হোসেন</t>
  </si>
  <si>
    <t>১৩/০১/২০০০</t>
  </si>
  <si>
    <t>মোছাঃ সাদিয়া খাতুন</t>
  </si>
  <si>
    <t>০৩/০৫/২০০৩</t>
  </si>
  <si>
    <t>মোছাঃ আঞ্জুমান খাতুন</t>
  </si>
  <si>
    <t>মোঃ আমজাদ আলী</t>
  </si>
  <si>
    <t>১৫/০১/২০০০</t>
  </si>
  <si>
    <t>মোছাঃ সানজিদা খাতুন</t>
  </si>
  <si>
    <t>২১/০৭/২০০১</t>
  </si>
  <si>
    <t>মোঃ মফিজুল</t>
  </si>
  <si>
    <t>০৪/০৫/২০০১</t>
  </si>
  <si>
    <t>১৯/০৭/২০০১</t>
  </si>
  <si>
    <t>২১/১১/১৯৯৭</t>
  </si>
  <si>
    <t>মোছাঃ নাজমা সুলতানা</t>
  </si>
  <si>
    <t>মোঃ নাজিরুল ইসলাম</t>
  </si>
  <si>
    <t>২৭/১০/২০০৩</t>
  </si>
  <si>
    <t>মোছাঃ রুপালি খাতুন</t>
  </si>
  <si>
    <t>১১/০৯/১৯৯৪</t>
  </si>
  <si>
    <t>লিজা ইয়াসমিন</t>
  </si>
  <si>
    <t>মোঃ হাবিবুর রহমান হারুন</t>
  </si>
  <si>
    <t>মোছাঃ রুনা বেগম</t>
  </si>
  <si>
    <t>২৯/০৬/১৯৯৩</t>
  </si>
  <si>
    <t>১২/০৩/২০০০</t>
  </si>
  <si>
    <t>মোছাঃ মুন্নী খাতুন</t>
  </si>
  <si>
    <t>মোছাঃ খাইরন খাতুন</t>
  </si>
  <si>
    <t>১৫/১১/২০০০</t>
  </si>
  <si>
    <t>০৭/০৩/১৯৯৯</t>
  </si>
  <si>
    <t>মোছাঃ পানসি খাতুন</t>
  </si>
  <si>
    <t>মোঃ পানজাব আলী</t>
  </si>
  <si>
    <t>১২/০৬/২০০৩</t>
  </si>
  <si>
    <t>দারাউদ্দিন</t>
  </si>
  <si>
    <t>শাহনাজ পারভীন</t>
  </si>
  <si>
    <t>০৫/০১/১৯৯৭</t>
  </si>
  <si>
    <t>মোঃ আক্কাস আলী</t>
  </si>
  <si>
    <t>১১/০৮/১৯৯৭</t>
  </si>
  <si>
    <t>মোছাঃ মাফরোজা খাতুন</t>
  </si>
  <si>
    <t>২০/০৭/২০০১</t>
  </si>
  <si>
    <t>২৮/০৭/১৯৯৯</t>
  </si>
  <si>
    <t>মোছাঃ বেলী খাতুন</t>
  </si>
  <si>
    <t>০১/০২/২০০৩</t>
  </si>
  <si>
    <t>মোঃ মিয়ারুল ইসলাম</t>
  </si>
  <si>
    <t>মোছাঃ নছিমা খাতুন</t>
  </si>
  <si>
    <t>মোঃ নাসির জোয়ার্দ্দার</t>
  </si>
  <si>
    <t>মোছাঃ মল্লিকা খাতুন</t>
  </si>
  <si>
    <t>১৭/০২/২০০১</t>
  </si>
  <si>
    <t>আজগার আলী</t>
  </si>
  <si>
    <t>বেদানা খাতুন</t>
  </si>
  <si>
    <t>০১/০৬/১৯৯৪</t>
  </si>
  <si>
    <t>মোছাঃ সায়েদুন্নেছা</t>
  </si>
  <si>
    <t>এ এস এম শাহজাহান কবীর</t>
  </si>
  <si>
    <t>৩১/১২/২০০৩</t>
  </si>
  <si>
    <t>মোছাঃ রোহানা খাতুন</t>
  </si>
  <si>
    <t>মোঃ খোরশেদ আলী</t>
  </si>
  <si>
    <t>০২/০৮/২০০৩</t>
  </si>
  <si>
    <t>মোছাঃ শারমিন</t>
  </si>
  <si>
    <t>মোঃ উমিজ উদ্দিন</t>
  </si>
  <si>
    <t>১৬/০৫/২০০১</t>
  </si>
  <si>
    <t>মোছাঃ সোনিয়া আক্তার হিরা</t>
  </si>
  <si>
    <t>মোঃ সাইদুর রহমান</t>
  </si>
  <si>
    <t>০৬/০৬/১৯৯৩</t>
  </si>
  <si>
    <t>০৫/০২/২০০০</t>
  </si>
  <si>
    <t>মোছাঃ সামসুন্নাহার সোনিয়া</t>
  </si>
  <si>
    <t>২০/০৩/২০০২</t>
  </si>
  <si>
    <t>মোঃ সোনিয়া খাতুন</t>
  </si>
  <si>
    <t>মোছাঃ হাচিনা</t>
  </si>
  <si>
    <t>১০/১০/২০০৩</t>
  </si>
  <si>
    <t>মোছাঃ সুমিয়ারা খাতুন</t>
  </si>
  <si>
    <t>মোঃ মোতালেব আলী</t>
  </si>
  <si>
    <t>১২/০৬/২০০১</t>
  </si>
  <si>
    <t>মোঃ ইমাম আলী</t>
  </si>
  <si>
    <t>মোঃ হাবেল আলী</t>
  </si>
  <si>
    <t>১১/০৭/২০০১</t>
  </si>
  <si>
    <t>মোছাঃ পিংকি পারভীন</t>
  </si>
  <si>
    <t>১৫/১২/১৯৯৫</t>
  </si>
  <si>
    <t>মোছাঃ তামান্না খাতুন</t>
  </si>
  <si>
    <t>০২/০৩/২০০৩</t>
  </si>
  <si>
    <t>মোঃ আলম হোসেন</t>
  </si>
  <si>
    <t>মোছাঃ ফেন্সিয়ারা খাতুন</t>
  </si>
  <si>
    <t>১০/১২/২০০০</t>
  </si>
  <si>
    <t>মোছাঃ ফাতেমা নাছরীন</t>
  </si>
  <si>
    <t>২৮/১১/২০০০</t>
  </si>
  <si>
    <t>মোঃ এলাহী মজনু</t>
  </si>
  <si>
    <t>০১/০৩/২০০৩</t>
  </si>
  <si>
    <t>মোছাঃ শাহিনুর আক্তার</t>
  </si>
  <si>
    <t>মোঃ শাহাদুল</t>
  </si>
  <si>
    <t>১৬/০৩/২০০০</t>
  </si>
  <si>
    <t>০৫/০৩/১৯৯৮</t>
  </si>
  <si>
    <t>মোহনা আক্তার মিম</t>
  </si>
  <si>
    <t>মোছাঃ লিপি খাতুন</t>
  </si>
  <si>
    <t>১৬/১২/২০০২</t>
  </si>
  <si>
    <t>মোছাঃ কুলসুন খাতুন</t>
  </si>
  <si>
    <t>০৬/০৩/১৯৯৭</t>
  </si>
  <si>
    <t>মোছাঃ ইরানি খাতুন</t>
  </si>
  <si>
    <t>মোঃ ইনামুল হক</t>
  </si>
  <si>
    <t>০৬/০৮/২০০৩</t>
  </si>
  <si>
    <t>মোঃ মিরাজুল ইসলাম</t>
  </si>
  <si>
    <t>০৩/১১/২০০০</t>
  </si>
  <si>
    <t>১২/১২/২০০২</t>
  </si>
  <si>
    <t>মোছাঃ সুরমা খাতুন</t>
  </si>
  <si>
    <t>১২/০৭/১৯৯৭</t>
  </si>
  <si>
    <t>মোছাঃ সনিয়া খাতুন</t>
  </si>
  <si>
    <t>মোঃ নাহারুল ইসলাম</t>
  </si>
  <si>
    <t>০১/০৩/১৯৯৭</t>
  </si>
  <si>
    <t>মোঃ বিসারত মন্ডল</t>
  </si>
  <si>
    <t>মোঃ ফরিদ</t>
  </si>
  <si>
    <t>০৭/০৪/১৯৯৯</t>
  </si>
  <si>
    <t>আশা খাতুন</t>
  </si>
  <si>
    <t>মোঃ আশাদুল হক</t>
  </si>
  <si>
    <t>১৫/০৫/১৯৯৬</t>
  </si>
  <si>
    <t>মোছাঃ বিথী খাতুন</t>
  </si>
  <si>
    <t>মোঃ ছবেদল হোসেন</t>
  </si>
  <si>
    <t>মোছাঃ মোহরজান</t>
  </si>
  <si>
    <t>০৯/০৩/১৯৯৩</t>
  </si>
  <si>
    <t>মোছাঃ সামরিনা ভুবন প্রিয়া</t>
  </si>
  <si>
    <t>মোঃ মুজাম্মেল হক</t>
  </si>
  <si>
    <t>০১/০১/২০০৩</t>
  </si>
  <si>
    <t>মোছাঃ লাকি খাতুন</t>
  </si>
  <si>
    <t>মোছাঃ ইভা খাতুন</t>
  </si>
  <si>
    <t>০৫/০৫/২০০০</t>
  </si>
  <si>
    <t>মোছাঃ রওশনা আরা</t>
  </si>
  <si>
    <t>০১/০২/২০০২</t>
  </si>
  <si>
    <t>০১/০৮/২০০০</t>
  </si>
  <si>
    <t>মোঃ হায়াত আলী</t>
  </si>
  <si>
    <t>১৭/০৩/২০০০</t>
  </si>
  <si>
    <t>১৭/১০/২০০১</t>
  </si>
  <si>
    <t>মোঃ কামাল উদ্দীন</t>
  </si>
  <si>
    <t>০১/০৮/২০০১</t>
  </si>
  <si>
    <t>মোছাঃ মীম খাতুন</t>
  </si>
  <si>
    <t>মোঃ শাহীন</t>
  </si>
  <si>
    <t>০৫/১১/২০০৩</t>
  </si>
  <si>
    <t>মোছাঃ সুমি আক্তার</t>
  </si>
  <si>
    <t>মোঃ ইকবাল হোসেন ইদু</t>
  </si>
  <si>
    <t>০৩/০৪/১৯৯৯</t>
  </si>
  <si>
    <t>মোছাঃ ছুমাইয়া সিদ্দিকা প্রিয়া</t>
  </si>
  <si>
    <t>মোঃ বাহাদ আলী</t>
  </si>
  <si>
    <t>১৫/০৭/২০০০</t>
  </si>
  <si>
    <t>০৩/০৭/২০০১</t>
  </si>
  <si>
    <t>মনিয়া খাতুন</t>
  </si>
  <si>
    <t>আব্দুস সালাম</t>
  </si>
  <si>
    <t>রুনা খাতুন</t>
  </si>
  <si>
    <t>১০/০২/১৯৯৯</t>
  </si>
  <si>
    <t>মোঃ উকিল আলী</t>
  </si>
  <si>
    <t>০১/০৬/১৯৯৯</t>
  </si>
  <si>
    <t>মোছাঃ এমপিয়া</t>
  </si>
  <si>
    <t>২২/১০/২০০২</t>
  </si>
  <si>
    <t>মোছাঃ সুরমিতা</t>
  </si>
  <si>
    <t>মোছাঃ আশানুর খাতুন</t>
  </si>
  <si>
    <t>মোছাঃ আরাধনী খাতুন</t>
  </si>
  <si>
    <t>২০/০৯/১৯৯৯</t>
  </si>
  <si>
    <t>মোছাঃ মিমিয়ারা খাতুন</t>
  </si>
  <si>
    <t>মোছাঃ শরিফা বেগম</t>
  </si>
  <si>
    <t>১৬/০৪/১৯৯৮</t>
  </si>
  <si>
    <t>মোঃ ছানোয়ার হোসেন</t>
  </si>
  <si>
    <t>১৩/০২/২০০২</t>
  </si>
  <si>
    <t>মোছাঃ হাদিছা খাতুন</t>
  </si>
  <si>
    <t>১৬/০৩/২০০১</t>
  </si>
  <si>
    <t>মোছাঃ বৃষ্টি</t>
  </si>
  <si>
    <t>০৫/০৭/২০০২</t>
  </si>
  <si>
    <t>০৬/০৬/২০০০</t>
  </si>
  <si>
    <t>মোঃ মজেহার মন্ডল</t>
  </si>
  <si>
    <t>মোঃ নুরজাহান</t>
  </si>
  <si>
    <t>বাশবাড়ীয়া, গাড়াবোড়, গাংনী, মেহেরপুর</t>
  </si>
  <si>
    <t>মোছাঃ তামান্না আফরিন তমা</t>
  </si>
  <si>
    <t>১৪/০৬/২০০০</t>
  </si>
  <si>
    <t>১০/০১/১৯৯১</t>
  </si>
  <si>
    <t>মোছাঃ বাছিরন নেছা</t>
  </si>
  <si>
    <t>১৭/০৯/২০০১</t>
  </si>
  <si>
    <t>নামঃ মাসুমা খাতুন</t>
  </si>
  <si>
    <t>মোঃ রাজু হোসেন</t>
  </si>
  <si>
    <t>নাজেরা খাতুন</t>
  </si>
  <si>
    <t>২৭/০৩/২০০৩</t>
  </si>
  <si>
    <t>মোছাঃ ঝুমা আক্তার</t>
  </si>
  <si>
    <t>মোঃ বদরুজ্জামান</t>
  </si>
  <si>
    <t>০৯/০৩/১৯৯৮</t>
  </si>
  <si>
    <t>মোছাঃ সানজিদা ইয়াসমিন</t>
  </si>
  <si>
    <t>১৫/০৯/১৯৯৯</t>
  </si>
  <si>
    <t>মোছাঃ হাফিজা আক্তার</t>
  </si>
  <si>
    <t>মোঃ হাফিজুল ইসলাম</t>
  </si>
  <si>
    <t>মোছাঃ সবিতা বেগম</t>
  </si>
  <si>
    <t>০৪/০৫/২০০০</t>
  </si>
  <si>
    <t>নামঃ মহুয়া সুলতানা মৌ</t>
  </si>
  <si>
    <t>মোঃ টিপু সুলতান</t>
  </si>
  <si>
    <t>০৫/১০/২০০৩</t>
  </si>
  <si>
    <t>২০/০২/২০০১</t>
  </si>
  <si>
    <t>মোছাঃ ছাদেক</t>
  </si>
  <si>
    <t>০৯/০৭/১৯৯৬</t>
  </si>
  <si>
    <t>লাবনী খাতুন</t>
  </si>
  <si>
    <t>মোঃ রেজাউল ইসলাম</t>
  </si>
  <si>
    <t>শান্তনা বেগম</t>
  </si>
  <si>
    <t>১৭/১০/১৯৯৫</t>
  </si>
  <si>
    <t>মোছাঃ জুঁইআরা খাতুন</t>
  </si>
  <si>
    <t>মোঃ জাহাঙ্গীর</t>
  </si>
  <si>
    <t>১৭/০৯/২০০৩</t>
  </si>
  <si>
    <t>মোছাঃ বিপাসা হায়াত</t>
  </si>
  <si>
    <t>মোঃ জয়েদ আলী</t>
  </si>
  <si>
    <t>১০/০৩/২০০২</t>
  </si>
  <si>
    <t>বাঁশবাড়ীয়া, গাড়াবোড়, গাংনী, মেহেরপুর</t>
  </si>
  <si>
    <t>মোঃ আখের আলী</t>
  </si>
  <si>
    <t>০৭/০৪/২০০০</t>
  </si>
  <si>
    <t>মোঃ শাহজাহান কবির</t>
  </si>
  <si>
    <t>১৩/১২/২০০৩</t>
  </si>
  <si>
    <t>মোঃ মজিবর</t>
  </si>
  <si>
    <t>১২/০৬/১৯৯৫</t>
  </si>
  <si>
    <t>মোছাঃ জালেদা খাতুন</t>
  </si>
  <si>
    <t>মোঃ জাহিদুল ইসলাম</t>
  </si>
  <si>
    <t>মৃত আমেনা খাতুন</t>
  </si>
  <si>
    <t>মোছাঃ মেম খাতুন</t>
  </si>
  <si>
    <t>মোছাঃ মারিয়া আফসানা বর্ষা</t>
  </si>
  <si>
    <t>১৩/০৯/২০০০</t>
  </si>
  <si>
    <t>মোছাঃ উম্মে সুরাইয়া লিজা</t>
  </si>
  <si>
    <t>মোছাঃ রওশনা খাতুন</t>
  </si>
  <si>
    <t>১০/১২/২০০৩</t>
  </si>
  <si>
    <t>মোঃ শরিফুল ইসলাম</t>
  </si>
  <si>
    <t>০১/০৬/২০০২</t>
  </si>
  <si>
    <t>মোঃ গোলাম কাউসার</t>
  </si>
  <si>
    <t>০৪/০৫/১৯৯৯</t>
  </si>
  <si>
    <t>মোছাঃ কাঞ্চন পারভীন</t>
  </si>
  <si>
    <t>মোছাঃ চানদীনা খাতুন</t>
  </si>
  <si>
    <t>মোঃ আঃ ওহাব আলী</t>
  </si>
  <si>
    <t>মোছাঃ শুকজাহান</t>
  </si>
  <si>
    <t>মোঃ আতর আলী</t>
  </si>
  <si>
    <t>মোছাঃ খালেছা খাতুন</t>
  </si>
  <si>
    <t>০৭/০১/২০০১</t>
  </si>
  <si>
    <t>মোঃ খায়রুল ইসলাম</t>
  </si>
  <si>
    <t>নাম: ছাবরিনা খাতুন</t>
  </si>
  <si>
    <t>মোঃ আঃ রহিম</t>
  </si>
  <si>
    <t>মাতা: নুরজাহান খাতুন</t>
  </si>
  <si>
    <t>১৫/০৩/১৯৯২</t>
  </si>
  <si>
    <t>মোঃ বাবু মিয়া</t>
  </si>
  <si>
    <t>০৩/০৪/২০০৩</t>
  </si>
  <si>
    <t>মোঃ আব্বাস আলী</t>
  </si>
  <si>
    <t>০২/০৪/১৯৯৫</t>
  </si>
  <si>
    <t>মোছাঃ টিয়া খাতুন</t>
  </si>
  <si>
    <t>মোঃ জিবন আলী</t>
  </si>
  <si>
    <t>মোছাঃ আজিড়ন</t>
  </si>
  <si>
    <t>০১/০১/২০০১</t>
  </si>
  <si>
    <t>মোঃ সামছুল আলম</t>
  </si>
  <si>
    <t>২৮/০৭/১৯৯৫</t>
  </si>
  <si>
    <t>১৮/০৬/১৯৯৯</t>
  </si>
  <si>
    <t>মোছাঃ হিরা</t>
  </si>
  <si>
    <t>মোঃ জহির উদ্দিন বাবর</t>
  </si>
  <si>
    <t>মোছাঃ আইনা খাতুন</t>
  </si>
  <si>
    <t>০২/০৩/১৯৯৭</t>
  </si>
  <si>
    <t>মোঃ মোশারেফ</t>
  </si>
  <si>
    <t>১৪/০১/১৯৯৭</t>
  </si>
  <si>
    <t>মোছাঃ রিজিয়া সুলতানা</t>
  </si>
  <si>
    <t>মোঃ আবু জাহিদ হিরো</t>
  </si>
  <si>
    <t>২০/০৯/২০০৩</t>
  </si>
  <si>
    <t>মোছাঃ আলেমা খাতুন</t>
  </si>
  <si>
    <t>১০/০২/২০০০</t>
  </si>
  <si>
    <t>মোছাঃ সকিনা খাতুন আঁখি</t>
  </si>
  <si>
    <t>০২/১২/২০০২</t>
  </si>
  <si>
    <t>মোঃ বককর আলী</t>
  </si>
  <si>
    <t>২৭/০৯/১৯৯৮</t>
  </si>
  <si>
    <t>মোছাঃ পলি খাতুন</t>
  </si>
  <si>
    <t>মোঃ ডালিম হোসেন</t>
  </si>
  <si>
    <t>০২/০৪/২০০২</t>
  </si>
  <si>
    <t>মোছাঃ মিম খাতুন</t>
  </si>
  <si>
    <t>মোঃ জাহারুল ইসলাম</t>
  </si>
  <si>
    <t>১৩/০৩/২০০৩</t>
  </si>
  <si>
    <t>০৮/০১/২০০১</t>
  </si>
  <si>
    <t>মোছাঃ রানি আক্তার</t>
  </si>
  <si>
    <t>২৫/০২/২০০৩</t>
  </si>
  <si>
    <t>মোঃ লালু হোসেন</t>
  </si>
  <si>
    <t>মোছাঃ রিবা খাতুন</t>
  </si>
  <si>
    <t>২০/০৪/১৯৯৯</t>
  </si>
  <si>
    <t>মোছাঃ সিনা খাতুন</t>
  </si>
  <si>
    <t>মোঃ সোহরাব</t>
  </si>
  <si>
    <t>মোছাঃ মলি খাতুন</t>
  </si>
  <si>
    <t>০৩/০৮/২০০২</t>
  </si>
  <si>
    <t>মোছাঃ শাহানার সাথী</t>
  </si>
  <si>
    <t>মোঃ শাহিন খাঁ</t>
  </si>
  <si>
    <t>০৫/১১/২০০১</t>
  </si>
  <si>
    <t>২৫/০৫/২০০০</t>
  </si>
  <si>
    <t>মোঃ জাফর আলী</t>
  </si>
  <si>
    <t>২০/০১/২০০২</t>
  </si>
  <si>
    <t>০৮/০৭/২০০১</t>
  </si>
  <si>
    <t>মোছাঃ মেরিনা সুলতানা</t>
  </si>
  <si>
    <t>মোঃ মজাল হোসেন</t>
  </si>
  <si>
    <t>মোছাঃ ফুলজান নেছা</t>
  </si>
  <si>
    <t>২০/০৩/২০০০</t>
  </si>
  <si>
    <t>নাম: আখি</t>
  </si>
  <si>
    <t>মোঃ আলম</t>
  </si>
  <si>
    <t>মোছাঃ এচমিনা খাতুন</t>
  </si>
  <si>
    <t>০১/০৭/২০০১</t>
  </si>
  <si>
    <t>মোছাঃ সানজিদা শামীম</t>
  </si>
  <si>
    <t>মোঃ শামীম আনোয়ার</t>
  </si>
  <si>
    <t>মাতা: মৌসুমী সুলতানা</t>
  </si>
  <si>
    <t>১৩/০৮/১৯৯৯</t>
  </si>
  <si>
    <t>মোছাঃ বিথী ইয়াসমিন</t>
  </si>
  <si>
    <t>১৮/০২/২০০২</t>
  </si>
  <si>
    <t>মোছাঃ রতনা খাতুন</t>
  </si>
  <si>
    <t>মোঃ মুকুল</t>
  </si>
  <si>
    <t>মোছাঃ রোজিনা</t>
  </si>
  <si>
    <t>১০/০৫/২০০৩</t>
  </si>
  <si>
    <t>মোছাঃ আছমা নূরী</t>
  </si>
  <si>
    <t>মোঃ আসলাম শেখ</t>
  </si>
  <si>
    <t>মোছাঃ মাহমুদা আক্তার রত্না</t>
  </si>
  <si>
    <t>মোছাঃ লুৎফা খাতুন</t>
  </si>
  <si>
    <t>২৬/০৬/২০০০</t>
  </si>
  <si>
    <t>০৪/০২/১৯৯৬</t>
  </si>
  <si>
    <t>মোছাঃ আছরিনা খাতুন</t>
  </si>
  <si>
    <t>০৬/০৩/২০০০</t>
  </si>
  <si>
    <t>মোছাঃ তানবিন খাতুন</t>
  </si>
  <si>
    <t>১৫/০১/২০০১</t>
  </si>
  <si>
    <t>মোছাঃ আয়না খাতুন</t>
  </si>
  <si>
    <t>[]</t>
  </si>
  <si>
    <t xml:space="preserve"> গাড়াডোব</t>
  </si>
  <si>
    <t>মোছাঃ নুপুর আক্তার</t>
  </si>
  <si>
    <t>মৃত আবুল কাশেম</t>
  </si>
  <si>
    <t>মোঃ নাজমুল হক</t>
  </si>
  <si>
    <t>মাতা: নাজমা খাতুন</t>
  </si>
  <si>
    <t>০৭/০৩/১৯৯৭</t>
  </si>
  <si>
    <t>মোঃ আব্দুল মোতালেব</t>
  </si>
  <si>
    <t>০৩/০৯/২০০০</t>
  </si>
  <si>
    <t>মোঃ ভাদু</t>
  </si>
  <si>
    <t>মোছাঃ মহিমা</t>
  </si>
  <si>
    <t>০২/০৩/২০০০</t>
  </si>
  <si>
    <t>মৃত সমর আলী</t>
  </si>
  <si>
    <t>মাতা: গোলেজান</t>
  </si>
  <si>
    <t>১০/০৮/১৯৯৭</t>
  </si>
  <si>
    <t>মোঃ সাজিদুল ইসলাম</t>
  </si>
  <si>
    <t>১০/০১/২০০১</t>
  </si>
  <si>
    <t>-=</t>
  </si>
  <si>
    <t>নাম: সুবর্না খাতুন</t>
  </si>
  <si>
    <t>মোঃ নিয়ামত জোয়াদ্দার</t>
  </si>
  <si>
    <t>০৭/০১/১৯৯৯</t>
  </si>
  <si>
    <t>মোছাঃ মিম আক্তার মৌ</t>
  </si>
  <si>
    <t>মোঃ মাহাবুব আলম</t>
  </si>
  <si>
    <t>০৪/১০/২০০৩</t>
  </si>
  <si>
    <t>মোছাঃ শ্রাবনী খাতুন</t>
  </si>
  <si>
    <t>২২/০৮/২০০০</t>
  </si>
  <si>
    <t>মোঃ আব্দুল্লাহ</t>
  </si>
  <si>
    <t>মোছাঃ আলেয়ারা খাতুন</t>
  </si>
  <si>
    <t>১১/০১/২০০৩</t>
  </si>
  <si>
    <t>মোঃ রাহেদ আলী</t>
  </si>
  <si>
    <t>১৮/১২/১৯৯৫</t>
  </si>
  <si>
    <t>লেক মহাম্মদ</t>
  </si>
  <si>
    <t>১৫/০১/১৯৯৯</t>
  </si>
  <si>
    <t>নাম: শামিম আক্তার লিজা</t>
  </si>
  <si>
    <t>মাতা: ফজিলা খাতুন</t>
  </si>
  <si>
    <t>মোছাঃ লামইয়া সুলতানা</t>
  </si>
  <si>
    <t>২৮/০৩/২০০৩</t>
  </si>
  <si>
    <t>নাম: খুশিয়ারা খাতুন</t>
  </si>
  <si>
    <t>মোঃ দানিয়লে</t>
  </si>
  <si>
    <t>মোছাঃ কছিরা খাতুন</t>
  </si>
  <si>
    <t>২৭/০৬/১৯৯৫</t>
  </si>
  <si>
    <t>মোঃ ছানোয়ার হোসে</t>
  </si>
  <si>
    <t>মোছাঃ দেলোয়ারা বেগম</t>
  </si>
  <si>
    <t>মোছাঃ শাবরিনা খাতুন</t>
  </si>
  <si>
    <t>মোঃ শরিফদ্দিন</t>
  </si>
  <si>
    <t>১৫/০২/২০০১</t>
  </si>
  <si>
    <t>মোঃ আক্তারুল ইসলাম</t>
  </si>
  <si>
    <t>১১/০৫/২০০২</t>
  </si>
  <si>
    <t>নাম: মুক্তা খাতুন</t>
  </si>
  <si>
    <t>মোঃ মজনু সেখ</t>
  </si>
  <si>
    <t>২০/০৭/১৯৯৮</t>
  </si>
  <si>
    <t>মোছাঃ রিজ্ঞা খাতুন</t>
  </si>
  <si>
    <t>মৃত ইয়াকুব আলী</t>
  </si>
  <si>
    <t>১০/০৮/১৯৯২</t>
  </si>
  <si>
    <t>১৪/০৭/১৯৯৫</t>
  </si>
  <si>
    <t>মোঃ আঃ আলিম</t>
  </si>
  <si>
    <t>মোছাঃ রিজিয়া</t>
  </si>
  <si>
    <t>০৬/০৬/১৯৯৫</t>
  </si>
  <si>
    <t>মোছাঃ এ্যানি খাতুন</t>
  </si>
  <si>
    <t>১৪/০৮/২০০২</t>
  </si>
  <si>
    <t>নাম: ছনিয়া</t>
  </si>
  <si>
    <t>পিতা: আকরাম</t>
  </si>
  <si>
    <t>মাতা: সাগরিকা</t>
  </si>
  <si>
    <t>আবু বক্কর</t>
  </si>
  <si>
    <t>মাতা: জলুরা খাতুন</t>
  </si>
  <si>
    <t>০১/০৪/১৯৯১</t>
  </si>
  <si>
    <t>মোছাঃ কেয়া খাতুন</t>
  </si>
  <si>
    <t>২৪/০৪/২০০৩</t>
  </si>
  <si>
    <t>মোছাঃ লাবনী আক্তার</t>
  </si>
  <si>
    <t>মোঃ লাবলু মীর</t>
  </si>
  <si>
    <t>২১/১০/২০০৩</t>
  </si>
  <si>
    <t>মোঃ উজির আলী</t>
  </si>
  <si>
    <t>০২/০৫/২০০০</t>
  </si>
  <si>
    <t>মোছাঃ জানছুরা খাতুন</t>
  </si>
  <si>
    <t>মোঃ হাসান আলী</t>
  </si>
  <si>
    <t>মোছাঃ জাকিরন নেছা</t>
  </si>
  <si>
    <t>১৩/০৬/১৯৯৫</t>
  </si>
  <si>
    <t>০৮/০২/২০০১</t>
  </si>
  <si>
    <t>নাম: নাজমা আক্তার</t>
  </si>
  <si>
    <t>মাতা: সাহেরা খাতুন</t>
  </si>
  <si>
    <t>১০/১০/২০০০</t>
  </si>
  <si>
    <t>১৪/১১/১৯৯৭</t>
  </si>
  <si>
    <t>মোছাঃ উর্মীলা খাতুন</t>
  </si>
  <si>
    <t>মোঃ জিয়া হোসেন</t>
  </si>
  <si>
    <t>মাতা: পপি খাতুন</t>
  </si>
  <si>
    <t>২০/০৬/২০০৩</t>
  </si>
  <si>
    <t>মোছাঃ ফাহমিদা আক্তার</t>
  </si>
  <si>
    <t>মোঃ ফিরোজ আলী</t>
  </si>
  <si>
    <t>মোছাঃ নাজমীননারা</t>
  </si>
  <si>
    <t>২০/০৫/২০০৩</t>
  </si>
  <si>
    <t>০১/০২/২০০০</t>
  </si>
  <si>
    <t>মোছাঃ সাবরিনা আক্তার</t>
  </si>
  <si>
    <t>মোঃ সামাদুল ইসলাম</t>
  </si>
  <si>
    <t>০৪/১২/২০০২</t>
  </si>
  <si>
    <t>মোছাঃ সাথী</t>
  </si>
  <si>
    <t>মোঃ আবু ছিদ্দীক</t>
  </si>
  <si>
    <t>০৫/০৭/১৯৯৯</t>
  </si>
  <si>
    <t>মোছাঃ রুবি খাতুন</t>
  </si>
  <si>
    <t>০৫/০৮/২০০৩</t>
  </si>
  <si>
    <t>মোছাঃ সিনথিয়া খাতুন</t>
  </si>
  <si>
    <t>মোঃ শিরহান খান</t>
  </si>
  <si>
    <t>মাতা: মোছাঃ পপি খাতুন</t>
  </si>
  <si>
    <t>১০/১০/১৯৯৭</t>
  </si>
  <si>
    <t>মাতা: জিন্নাতন</t>
  </si>
  <si>
    <t>১৫/০৬/২০০৩</t>
  </si>
  <si>
    <t>নাম: ফাতেমা তুজ জহুরা</t>
  </si>
  <si>
    <t>মাতা: নাসিমা পারভীন</t>
  </si>
  <si>
    <t>০৩/০৯/১৯৯৩</t>
  </si>
  <si>
    <t>মোঃ জিয়াউর রহমান</t>
  </si>
  <si>
    <t>০২/০১/২০০৩</t>
  </si>
  <si>
    <t>মোঃ জিনারুল</t>
  </si>
  <si>
    <t>মোছাঃ কল্পনা</t>
  </si>
  <si>
    <t>০৫/০১/২০০০</t>
  </si>
  <si>
    <t>২৩/১০/১৯৯৯</t>
  </si>
  <si>
    <t>২০/০৫/২০০১</t>
  </si>
  <si>
    <t>১৮/০৭/২০০১</t>
  </si>
  <si>
    <t>মোছাঃ আকিয়া</t>
  </si>
  <si>
    <t>মোঃ আলমগীর</t>
  </si>
  <si>
    <t>মোছাঃ ফুলবড়ি</t>
  </si>
  <si>
    <t>০৩/১০/২০০১</t>
  </si>
  <si>
    <t>০৫/০৭/১৯৯৮</t>
  </si>
  <si>
    <t>১৫/১০/১৯৯৯</t>
  </si>
  <si>
    <t>নাম: রুজিনা ইয়াছমীন</t>
  </si>
  <si>
    <t>মাতা: ফরিদা পারভীন</t>
  </si>
  <si>
    <t>১২/১২/১৯৮৮</t>
  </si>
  <si>
    <t>নাম: নাসরিন সুলতানা</t>
  </si>
  <si>
    <t>মোঃ কাওছার আলী</t>
  </si>
  <si>
    <t>মোছাঃ পারুল পারভীন</t>
  </si>
  <si>
    <t>৩০/১২/১৯৯২</t>
  </si>
  <si>
    <t>মোঃ আইছুদ্দিন</t>
  </si>
  <si>
    <t>মোছাঃ ছারেজান</t>
  </si>
  <si>
    <t>০৫/০৫/১৯৮২</t>
  </si>
  <si>
    <t>৩১/১২/১৯৮০</t>
  </si>
  <si>
    <t>মোছাঃ মাইতন নেছা</t>
  </si>
  <si>
    <t>পিয়ার মন্ডল</t>
  </si>
  <si>
    <t>মোছাঃ মিলাজন বেগম</t>
  </si>
  <si>
    <t>গাড়াডোব মাঠ পাড়া</t>
  </si>
  <si>
    <t>মোঃ সলেমান শেখ</t>
  </si>
  <si>
    <t>নাম: উম্মো আফিয়া ফারজানা</t>
  </si>
  <si>
    <t>মোঃ আনিসুর রহমান</t>
  </si>
  <si>
    <t>মাতা: নাজমুন নাহার</t>
  </si>
  <si>
    <t>১৬/১২/২০০১</t>
  </si>
  <si>
    <t>মোঃ নাজির উদ্দীন</t>
  </si>
  <si>
    <t>১১/০৫/২০০০</t>
  </si>
  <si>
    <t>মোছাঃ সোনাভানু খাতুন</t>
  </si>
  <si>
    <t>০১/০৩/২০০০</t>
  </si>
  <si>
    <t>১০/০৪/২০০০</t>
  </si>
  <si>
    <t>গাড়াডোব পোড়াপাড়া</t>
  </si>
  <si>
    <t>মোঃ মুছাহক</t>
  </si>
  <si>
    <t>রুল আমিন</t>
  </si>
  <si>
    <t>মাতা: জেসমিন খাতুন</t>
  </si>
  <si>
    <t>০৭/০৩/১৯৯৮</t>
  </si>
  <si>
    <t>মোঃ বাচ্চু মিয়া</t>
  </si>
  <si>
    <t>০৩/০২/২০০০</t>
  </si>
  <si>
    <t>মোঃ মনির উদ্দিন</t>
  </si>
  <si>
    <t>০২/০৩/১৯৯৯</t>
  </si>
  <si>
    <t>২০/০৭/১৯৯৬</t>
  </si>
  <si>
    <t>০১/০৭/১৯৭৭</t>
  </si>
  <si>
    <t>মোঃ মজিদ মোড়ল</t>
  </si>
  <si>
    <t>০৫/০১/১৯৮৮</t>
  </si>
  <si>
    <t>মোছাঃ সারাহ খাতুন</t>
  </si>
  <si>
    <t>০২/০১/১৯৭২</t>
  </si>
  <si>
    <t>নাম: সিমা খাতুন</t>
  </si>
  <si>
    <t>আরশাদ আলী</t>
  </si>
  <si>
    <t>মাতা: নার্গিস খাতুন</t>
  </si>
  <si>
    <t>১৫/০২/১৯৯৯</t>
  </si>
  <si>
    <t>নাম: উম্মো সালমা</t>
  </si>
  <si>
    <t>২৬/০১/২০০১</t>
  </si>
  <si>
    <t>মোছাঃ গোলজান খাতুন</t>
  </si>
  <si>
    <t>১০/০৮/১৯৯১</t>
  </si>
  <si>
    <t>মোছাঃ সামিয়া খাতুন</t>
  </si>
  <si>
    <t>১৭/০১/২০০০</t>
  </si>
  <si>
    <t>মোঃ আকরাম আলী</t>
  </si>
  <si>
    <t>মোছাঃ শাহারার খাতুন</t>
  </si>
  <si>
    <t>মোঃ শাহিদ আলী</t>
  </si>
  <si>
    <t>মোছাঃ শিপন নাহার</t>
  </si>
  <si>
    <t>২২/০৬/১৯৯৭</t>
  </si>
  <si>
    <t>মোছাঃ সারমিন আক্তার সাথী</t>
  </si>
  <si>
    <t>মোঃ মহিদুল ইসলাম</t>
  </si>
  <si>
    <t>০২/০৬/২০০০</t>
  </si>
  <si>
    <t>মোছাঃ তামান্না পারভীন</t>
  </si>
  <si>
    <t>১৭/০৯/২০০০</t>
  </si>
  <si>
    <t>মোছাঃ শান্তনা</t>
  </si>
  <si>
    <t>মোঃ আলীহীম</t>
  </si>
  <si>
    <t>গাঁড়াডোব</t>
  </si>
  <si>
    <t>মোছাঃ রেশমি আক্তার তহমিনা</t>
  </si>
  <si>
    <t>মোছাঃ হাসিয়ারা খাতুন</t>
  </si>
  <si>
    <t>২৫/০৩/১৯৯৮</t>
  </si>
  <si>
    <t>নাম: সুফিয়া আল মামুন</t>
  </si>
  <si>
    <t>মোঃ হকস উদ্দিন</t>
  </si>
  <si>
    <t>মাতা: সুরাতুন</t>
  </si>
  <si>
    <t>০৫/০১/১৯৭৭</t>
  </si>
  <si>
    <t>নাম: মিসেস খালেদা বেগম</t>
  </si>
  <si>
    <t>মোঃ সহির উদ্দিন মুন্সি</t>
  </si>
  <si>
    <t>১২/০৫/১৯৭০</t>
  </si>
  <si>
    <t>মোঃ লালন উদ্দিন</t>
  </si>
  <si>
    <t>মোছাঃ রংগীলা খাতুন</t>
  </si>
  <si>
    <t>১১/০২/১৯৯৪</t>
  </si>
  <si>
    <t>মোঃ নবী ছদ্দীন</t>
  </si>
  <si>
    <t>মোছাঃ আরসাফোন নেছা</t>
  </si>
  <si>
    <t>মোঃ কুদ্দুস আলী</t>
  </si>
  <si>
    <t>০২/০৭/১৯৮৯</t>
  </si>
  <si>
    <t>মোছাঃ কামরুন্নাহার কাকন</t>
  </si>
  <si>
    <t>১৪/১০/২০০৪</t>
  </si>
  <si>
    <t>মোছাঃ তফিজুর রহমান</t>
  </si>
  <si>
    <t>২২/০৩/২০০৬</t>
  </si>
  <si>
    <t>নাম: আফিয়া ফাহমিদা</t>
  </si>
  <si>
    <t>মোঃ আব্দুর রব</t>
  </si>
  <si>
    <t>০৩/১১/২০০৬</t>
  </si>
  <si>
    <t>২৫/০৬/২০০৪</t>
  </si>
  <si>
    <t>০৮/০৪/২০০৪</t>
  </si>
  <si>
    <t>-+</t>
  </si>
  <si>
    <t>মোছাঃ রিয়া খাতুন</t>
  </si>
  <si>
    <t>মোঃ আঃ ছালাম</t>
  </si>
  <si>
    <t>১৭/০৫/২০০৪</t>
  </si>
  <si>
    <t>মোছাঃ পাপিয়ার খাতুন</t>
  </si>
  <si>
    <t>মোঃ দিনাজ আলী</t>
  </si>
  <si>
    <t>০৫/০৬/২০০৪</t>
  </si>
  <si>
    <t>মোছাঃ সুমাইয়া পারভীন</t>
  </si>
  <si>
    <t>মোঃ সেন্টু হোসেন</t>
  </si>
  <si>
    <t>১০/১০/২০০৪</t>
  </si>
  <si>
    <t>মোছাঃ ইয়াসমিন আক্তার</t>
  </si>
  <si>
    <t>১৩/০৭/২০০৪</t>
  </si>
  <si>
    <t>মোঃ মেহেরুল মন্ডল</t>
  </si>
  <si>
    <t>মোছাঃ বিলকিছ বানু</t>
  </si>
  <si>
    <t>১০/০২/২০০৪</t>
  </si>
  <si>
    <t>মৃত আঃ বারেক</t>
  </si>
  <si>
    <t>১৫/০৭/২০০৪</t>
  </si>
  <si>
    <t>মোছাঃ রিতু খাতুন</t>
  </si>
  <si>
    <t>মোঃ আমজাদ</t>
  </si>
  <si>
    <t>মোছাঃ পুরনিমা খাতুন</t>
  </si>
  <si>
    <t>১০/০৯/২০০৪</t>
  </si>
  <si>
    <t>মোছাঃ বৃষ্টিয়ারা খাতুন</t>
  </si>
  <si>
    <t>মোঃ আফজাল হোসেন</t>
  </si>
  <si>
    <t>২৫/১১/২০০৪</t>
  </si>
  <si>
    <t>মোছাঃ মাকসুরা আক্তার ঋতু</t>
  </si>
  <si>
    <t>মোছাঃ মাসুদা আক্তার</t>
  </si>
  <si>
    <t>১২/০৪/২০০৪</t>
  </si>
  <si>
    <t>মোছাঃ রনি আক্তার</t>
  </si>
  <si>
    <t>মোঃ রবিউল ইসলাম</t>
  </si>
  <si>
    <t>মোছাঃ ছামছুন নাহার</t>
  </si>
  <si>
    <t>১৮/০২/২০০৪</t>
  </si>
  <si>
    <t>১৪/০৫/২০০৪</t>
  </si>
  <si>
    <t>মোছাঃ সাবরিনা স্বপ্না</t>
  </si>
  <si>
    <t>১২/০৪/২০০৫</t>
  </si>
  <si>
    <t>রাদিয়া জামান স্বর্ণ</t>
  </si>
  <si>
    <t>মোঃ রোকনুজ্জামান চপল</t>
  </si>
  <si>
    <t>২৮/১২/২০০৫</t>
  </si>
  <si>
    <t>মোছাঃ খুশি</t>
  </si>
  <si>
    <t>০১/০৩/২০০৫</t>
  </si>
  <si>
    <t>মোছাঃ সুমাইয়া আক্তার আশা</t>
  </si>
  <si>
    <t>মোঃ মালেক</t>
  </si>
  <si>
    <t>মোছাঃ টগর বানু</t>
  </si>
  <si>
    <t>১৪/০৮/২০০৫</t>
  </si>
  <si>
    <t>৬৬৩, গাড়াডোব, গাংনী, মেহেরপুর</t>
  </si>
  <si>
    <t>মোঃ মনিরুল</t>
  </si>
  <si>
    <t>০৩/০১/২০০৫</t>
  </si>
  <si>
    <t>মোঃ আবুল বাসার</t>
  </si>
  <si>
    <t>০৫/১২/২০০৫</t>
  </si>
  <si>
    <t>মোছাঃ রুমিয়া আক্তার মীমা</t>
  </si>
  <si>
    <t>১৩/০৮/২০০৫</t>
  </si>
  <si>
    <t>২৬০, গাড়াডোব, গাংনী, মেহেরপুর</t>
  </si>
  <si>
    <t>২৭/১২/২০০৫</t>
  </si>
  <si>
    <t>১০/০৪/২০০৫</t>
  </si>
  <si>
    <t>২১/১০/২০০৫</t>
  </si>
  <si>
    <t>মোছাঃ কাকলি খাতুন</t>
  </si>
  <si>
    <t>মোছাঃ মালী খাতুন</t>
  </si>
  <si>
    <t>০৭/০৬/২০০৫</t>
  </si>
  <si>
    <t>০১/০৮/২০০৫</t>
  </si>
  <si>
    <t>২৯৪, গাড়াডোব, গাংনী, মেহেরপুর</t>
  </si>
  <si>
    <t>মোছাঃ তাফসিরা আক্তার তমা</t>
  </si>
  <si>
    <t>০৩/০৭/২০০৫</t>
  </si>
  <si>
    <t>৩০/০৬/২০০৫</t>
  </si>
  <si>
    <t>জিয়ারুল</t>
  </si>
  <si>
    <t>শরিফা</t>
  </si>
  <si>
    <t>০১/০১/২০০৬</t>
  </si>
  <si>
    <t>মোছাঃ শারমিন সিনহা বিথী</t>
  </si>
  <si>
    <t>মোঃ সাহাবুদ্দীন</t>
  </si>
  <si>
    <t>০৩/০৩/২০০৫</t>
  </si>
  <si>
    <t>৬, গাড়াডোব, গাংনী, মেহেরপুর</t>
  </si>
  <si>
    <t>০৮/১১/২০০৫</t>
  </si>
  <si>
    <t>লামিয়া আক্তার</t>
  </si>
  <si>
    <t>ওয়াজেদ আলী</t>
  </si>
  <si>
    <t>মোছাঃ ছাপিয়ার খাতুন</t>
  </si>
  <si>
    <t>১৮/০১/২০০৫</t>
  </si>
  <si>
    <t>মোছাঃ ঝুমা খাতুন</t>
  </si>
  <si>
    <t>মোছাঃ সারমিন খাতুন</t>
  </si>
  <si>
    <t>মোছাঃ ইয়ারন নেছা</t>
  </si>
  <si>
    <t>১০/০৯/২০০৫</t>
  </si>
  <si>
    <t>নাম: মোছাঃ সুমাইয়া</t>
  </si>
  <si>
    <t>পিতা: শরিফুল ইসলাম</t>
  </si>
  <si>
    <t>২৫/০৬/২০০৬</t>
  </si>
  <si>
    <t>২৫/১২/২০০৬</t>
  </si>
  <si>
    <t>২০/১০/২০০৬</t>
  </si>
  <si>
    <t>নাম: মোছাঃ আয়েশা সিদ্দিকা</t>
  </si>
  <si>
    <t>২৬/০২/২০০৬</t>
  </si>
  <si>
    <t>০৭/১০/২০০৬</t>
  </si>
  <si>
    <t>নাম: মোছাঃ সাইমা আক্তার সুম্মা</t>
  </si>
  <si>
    <t>২৫/০৯/২০০৬</t>
  </si>
  <si>
    <t>২০/১২/২০০৬</t>
  </si>
  <si>
    <t>মোছাঃ অন্তরা খাতুন</t>
  </si>
  <si>
    <t>০৮/০৮/২০০৬</t>
  </si>
  <si>
    <t>নাম: আবিদা সুলতানা জুথি</t>
  </si>
  <si>
    <t>মোঃ জিয়ারুল ইসলাম</t>
  </si>
  <si>
    <t>০৮/০৬/২০০৬</t>
  </si>
  <si>
    <t>নাম: মোছাঃ সামিয়া আক্তার</t>
  </si>
  <si>
    <t>মোঃ শাহোসান কবির</t>
  </si>
  <si>
    <t>২২/০৭/২০০৬</t>
  </si>
  <si>
    <t>মোঃ আকবার হোসেন</t>
  </si>
  <si>
    <t>০৮/০৫/২০০৬</t>
  </si>
  <si>
    <t>০১/০১/২০০৭</t>
  </si>
  <si>
    <t>নাম: রিশিতা খাতুন</t>
  </si>
  <si>
    <t>মোঃ আশরাফুল আলম</t>
  </si>
  <si>
    <t>০৯/১১/২০০৬</t>
  </si>
  <si>
    <t>নাম: লিফা জাবিন আঁচল</t>
  </si>
  <si>
    <t>১১/০৬/২০০৬</t>
  </si>
  <si>
    <t>মোছাঃ শাবনাজ খাতুন</t>
  </si>
  <si>
    <t>০২/০৩/২০০৬</t>
  </si>
  <si>
    <t>মোছাঃ সুমাইয়া পারভিন</t>
  </si>
  <si>
    <t>মোঃ মুলাম হোসেন</t>
  </si>
  <si>
    <t>০১/০৩/২০০৬</t>
  </si>
  <si>
    <t>১০/০৯/২০০৬</t>
  </si>
  <si>
    <t>মোঃ আব্দুর রকিব</t>
  </si>
  <si>
    <t>মোছাঃ লিপিয়ারা বেগম</t>
  </si>
  <si>
    <t>মোহাঃ আবুল বাসার</t>
  </si>
  <si>
    <t>২১/০৭/২০০৬</t>
  </si>
  <si>
    <t>মোছাঃ সুরাইয়া আক্তার শোভা</t>
  </si>
  <si>
    <t>১৫/০৬/২০০৬</t>
  </si>
  <si>
    <t>মোছাঃ জ্যামি আক্তার লতা</t>
  </si>
  <si>
    <t>১৬/০৫/২০০৬</t>
  </si>
  <si>
    <t>৩০/১০/২০০৬</t>
  </si>
  <si>
    <t>মোঃ সাহাবুদ্দীন শেখ</t>
  </si>
  <si>
    <t>০৫/১১/২০০৬</t>
  </si>
  <si>
    <t>মোছাঃ জুবাইদা খাতুন</t>
  </si>
  <si>
    <t>২৮/১১/১৯৯৯</t>
  </si>
  <si>
    <t>মোছাঃ লিমা আক্তার রুমা</t>
  </si>
  <si>
    <t>মোঃ মতিউর রহমান</t>
  </si>
  <si>
    <t>মোছাঃ বুলবুলি বেগম</t>
  </si>
  <si>
    <t>৩১/১২/১৯৯৮</t>
  </si>
  <si>
    <t>মোছাঃ জ্যামি খাতুন</t>
  </si>
  <si>
    <t>মোঃ মখলেছুর রহমান</t>
  </si>
  <si>
    <t>১৪/০৪/২০০১</t>
  </si>
  <si>
    <t>নাম: শিখা আক্তার</t>
  </si>
  <si>
    <t>আব্দুল মান্নান</t>
  </si>
  <si>
    <t>মাতা: উরমীলা</t>
  </si>
  <si>
    <t>২০/০৪/২০০০</t>
  </si>
  <si>
    <t>মোছাঃ মুন্নি আকতার নাজমিন</t>
  </si>
  <si>
    <t>০৯/০৭/২০০৩</t>
  </si>
  <si>
    <t>গাড়াডোড</t>
  </si>
  <si>
    <t>মোঃ খেজুমদ্দিন</t>
  </si>
  <si>
    <t>০৪/০৭/১৯৯৪</t>
  </si>
  <si>
    <t>নাম: আশা আক্তার</t>
  </si>
  <si>
    <t>মাতা: ঝিনুক</t>
  </si>
  <si>
    <t>২৮/১২/১৯৯৮</t>
  </si>
  <si>
    <t>মোছাঃ শারমিনা খাতুন</t>
  </si>
  <si>
    <t>০২/০১/২০০১</t>
  </si>
  <si>
    <t>মোছাঃ নুরনাহার বেগম</t>
  </si>
  <si>
    <t>মোঃ আলামীন</t>
  </si>
  <si>
    <t>১৮/১১/১৯৯১</t>
  </si>
  <si>
    <t>নাম: শিলা খাতুন</t>
  </si>
  <si>
    <t>০৩/১০/২০০০</t>
  </si>
  <si>
    <t>মোছাঃ জোসমিন আক্তার সেতু</t>
  </si>
  <si>
    <t>মোঃ হাববুল</t>
  </si>
  <si>
    <t>১২/১২/১৯৯৬</t>
  </si>
  <si>
    <t>-</t>
  </si>
  <si>
    <t>১৩/০৮/১৯৯৭</t>
  </si>
  <si>
    <t>নাম: ফারজিনা</t>
  </si>
  <si>
    <t>পিতা: ফারুক হোসেন</t>
  </si>
  <si>
    <t>মাতা: রেশমা খাতুন</t>
  </si>
  <si>
    <t>১২/০৮/২০০১</t>
  </si>
  <si>
    <t>মোঃ কালু</t>
  </si>
  <si>
    <t>০৯/০২/২০০২</t>
  </si>
  <si>
    <t>১৫/০৩/২০০৩</t>
  </si>
  <si>
    <t>০৬/০৫/১৯৯৯</t>
  </si>
  <si>
    <t>মোছাঃ আরজিনা বেগম</t>
  </si>
  <si>
    <t>১১/০৪/২০০২</t>
  </si>
  <si>
    <t>মোঃ আব্দুল বারেক</t>
  </si>
  <si>
    <t>গাড়াডোভারা</t>
  </si>
  <si>
    <t>মোঃ গোলজার হোসেন</t>
  </si>
  <si>
    <t>১৪/০৩/১৯৯৭</t>
  </si>
  <si>
    <t>মোছাঃ পিংকি আরা</t>
  </si>
  <si>
    <t>মোঃ বিনারুল ইসলাম</t>
  </si>
  <si>
    <t>০৪/০৭/২০০১</t>
  </si>
  <si>
    <t>নাম: রেশমা খাতুন</t>
  </si>
  <si>
    <t>পিতা: নওসাদ মন্ডল</t>
  </si>
  <si>
    <t>মাতা: মুকিলা বেগম</t>
  </si>
  <si>
    <t>মোছাঃ রেহবিনা খাতুন</t>
  </si>
  <si>
    <t>মোঃ শাহিন আলী</t>
  </si>
  <si>
    <t>০২/০৪/২০০০</t>
  </si>
  <si>
    <t>নাম: নদিয়া খাতুন</t>
  </si>
  <si>
    <t>মোঃ নাসিরুল ইসলাম</t>
  </si>
  <si>
    <t>০১/০১/২০০৪</t>
  </si>
  <si>
    <t>০১/০৩/২০০১</t>
  </si>
  <si>
    <t>নাম: সৈয়দা শর্মিলা আশরাফ শিমু</t>
  </si>
  <si>
    <t>এস. এম শফিউল ইসলাম</t>
  </si>
  <si>
    <t>মাতা: সৈয়দা তহমিনা আশরাফ</t>
  </si>
  <si>
    <t>১০/০১/২০০৩</t>
  </si>
  <si>
    <t>মোছাঃ মানিয়ারা</t>
  </si>
  <si>
    <t>মোঃ কাওছার</t>
  </si>
  <si>
    <t>৩০/০৩/২০০০</t>
  </si>
  <si>
    <t>মোছাঃ ক্যামি খাতুন</t>
  </si>
  <si>
    <t>৩১/১২/১৯৯৭</t>
  </si>
  <si>
    <t>মোছাঃ মিনতি পারভীন</t>
  </si>
  <si>
    <t>২৫/০৪/২০০২</t>
  </si>
  <si>
    <t>মোছাঃ পুনকী খাতুন</t>
  </si>
  <si>
    <t>১৭/১১/২০০০</t>
  </si>
  <si>
    <t>নাম: জেসমিন</t>
  </si>
  <si>
    <t>পিতা: ফজলুল হক</t>
  </si>
  <si>
    <t>মাতা: সুফিয়া খাতুন</t>
  </si>
  <si>
    <t>৩০/০৬/২০০২</t>
  </si>
  <si>
    <t>মোছাঃ রোকসানা খাতুন</t>
  </si>
  <si>
    <t>মোঃ হিরোকুজ্জামান</t>
  </si>
  <si>
    <t>০১/০৩/১৯৯৯</t>
  </si>
  <si>
    <t>১৬/০৮/২০০০</t>
  </si>
  <si>
    <t>মোঃ আকছেদ আলী</t>
  </si>
  <si>
    <t>০১/০১/২০০২</t>
  </si>
  <si>
    <t>২০/০৭/২০০৩</t>
  </si>
  <si>
    <t>১২/০৩/২০০১</t>
  </si>
  <si>
    <t>মোছাঃ পান্না খাতুন</t>
  </si>
  <si>
    <t>২০/০৮/২০০২</t>
  </si>
  <si>
    <t>মোঃ ইছাত আলী</t>
  </si>
  <si>
    <t>১২/০৩/২০০৩</t>
  </si>
  <si>
    <t>মোছাঃ ইসরাত জাহান তন্নী</t>
  </si>
  <si>
    <t>মোঃ আজিজুর রহমান</t>
  </si>
  <si>
    <t>মোছাঃ মকছেদা খাতুন</t>
  </si>
  <si>
    <t>মোছাঃ সাবিনা আক্তার রানি</t>
  </si>
  <si>
    <t>২৯/১২/২০০৪</t>
  </si>
  <si>
    <t>মোছাঃ সেলিনা খাতুন রত্না</t>
  </si>
  <si>
    <t>মোঃ সেলিম রেজা</t>
  </si>
  <si>
    <t>২৬/০২/২০০৪</t>
  </si>
  <si>
    <t>১৮/১২/২০০৪</t>
  </si>
  <si>
    <t>মোছাঃ আফরিন খাতুন</t>
  </si>
  <si>
    <t>২০/০৬/২০০৪</t>
  </si>
  <si>
    <t>২০/০৩/২০০৫</t>
  </si>
  <si>
    <t>মোঃ দুল্লভ হোসেন</t>
  </si>
  <si>
    <t>ইসরাত জাহান</t>
  </si>
  <si>
    <t>০৪/১১/১৯৯৫</t>
  </si>
  <si>
    <t>০৭/১১/১৯৮৪</t>
  </si>
  <si>
    <t>মোছাঃ বন্যা খাতুন</t>
  </si>
  <si>
    <t>৩০/১০/২০০১</t>
  </si>
  <si>
    <t>মোঃ কালু মিয়া</t>
  </si>
  <si>
    <t>০২/০৩/২০০২</t>
  </si>
  <si>
    <t>মোছাঃ মনিকা খাতুন</t>
  </si>
  <si>
    <t>মোঃ মোফাজ্জেল হক</t>
  </si>
  <si>
    <t>মোছাঃ নাছরীন খাতুন</t>
  </si>
  <si>
    <t>১৫/১২/২০০১</t>
  </si>
  <si>
    <t>মোছাঃ রোকাইয়া খাতুন</t>
  </si>
  <si>
    <t>১৭/০২/১৯৯৯</t>
  </si>
  <si>
    <t>মোসামদ সেতু আক্তারী</t>
  </si>
  <si>
    <t>২৪/০৪/১৯৯১</t>
  </si>
  <si>
    <t>মোঃ লাল চাঁদ</t>
  </si>
  <si>
    <t>০৫/০৭/১৯৮৯</t>
  </si>
  <si>
    <t>মোছাঃ শুকতারা খাতুন</t>
  </si>
  <si>
    <t>অজিলা খাতুন</t>
  </si>
  <si>
    <t>২২/০২/১৯৮৮</t>
  </si>
  <si>
    <t>মোঃ শহিদুল হক</t>
  </si>
  <si>
    <t>মোছাঃ জাহিনারা বেগম</t>
  </si>
  <si>
    <t>জানালী ইসলাম</t>
  </si>
  <si>
    <t>মোছাঃ সবুরা খাতুন</t>
  </si>
  <si>
    <t>মোঃ ফজলুল খন্দকার</t>
  </si>
  <si>
    <t>১২/০২/১৯৮৬</t>
  </si>
  <si>
    <t>মোছাঃ জামিরন নেছা</t>
  </si>
  <si>
    <t>০৪/০৩/১৯৭৫</t>
  </si>
  <si>
    <t>উসমান শাহ</t>
  </si>
  <si>
    <t>ফজিলা</t>
  </si>
  <si>
    <t>মোছাঃ লাজিনা খাতুন</t>
  </si>
  <si>
    <t>মোঃ ওহাদ আলী</t>
  </si>
  <si>
    <t>১০/০৬/২০০৪</t>
  </si>
  <si>
    <t>৭৮৮, গাড়াডোব, গাংনী, মেহেরপুর</t>
  </si>
  <si>
    <t>মৃত মোঃ বরকত আলী</t>
  </si>
  <si>
    <t>০৮/১০/২০০১</t>
  </si>
  <si>
    <t>৯৮৮, গাড়াডোব, গাংনী, মেহেরপুর</t>
  </si>
  <si>
    <t>মোঃ আফরোজ আলী</t>
  </si>
  <si>
    <t>মোছাঃ রঙ্গিলা বাহার</t>
  </si>
  <si>
    <t>০৫/০৭/১৯৮৭</t>
  </si>
  <si>
    <t>১০২৫, গাড়াডোব, গাংনী, মেহেরপুর</t>
  </si>
  <si>
    <t>মোছাঃ তাবাসসুম লাবনী</t>
  </si>
  <si>
    <t>মোঃ আঃ মজিদ</t>
  </si>
  <si>
    <t>মোঃ বেল্টু মিয়া</t>
  </si>
  <si>
    <t>২৫/১২/২০০৪</t>
  </si>
  <si>
    <t>১৩০৪, গাড়াডোব, গাংনী, মেহেরপুর</t>
  </si>
  <si>
    <t>১১/০৩/২০০১</t>
  </si>
  <si>
    <t>তাসমিয়া আক্তার সিমি</t>
  </si>
  <si>
    <t>মোঃ ছামছুল হক</t>
  </si>
  <si>
    <t>মোছাঃ ইয়াছমিন সুলতানা</t>
  </si>
  <si>
    <t>২৪/১২/২০০৪</t>
  </si>
  <si>
    <t>মোঃ রাছেদ আলী</t>
  </si>
  <si>
    <t>৩৭৮, গাড়াডোব, গাংনী, মেহেরপুর</t>
  </si>
  <si>
    <t>মোঃ লাল্টু</t>
  </si>
  <si>
    <t>০৫/১২/২০০৩</t>
  </si>
  <si>
    <t>মোঃ জিয়া</t>
  </si>
  <si>
    <t>১০/০৪/২০০২</t>
  </si>
  <si>
    <t>১১৭৩, গাড়াডোব, গাংনী, মেহেরপুর</t>
  </si>
  <si>
    <t>মিম্মা</t>
  </si>
  <si>
    <t>মোছাঃ সরজিনা খাতুন</t>
  </si>
  <si>
    <t>২২/০৫/২০০৪</t>
  </si>
  <si>
    <t>৩৬৫, গাড়াডোব, গাংনী, মেহেরপুর</t>
  </si>
  <si>
    <t>তমা আক্তার</t>
  </si>
  <si>
    <t>মোঃ ছরত মিয়া</t>
  </si>
  <si>
    <t>০৬/০৫/১৯৯৭</t>
  </si>
  <si>
    <t>১৫৩৯, গাড়াডোব, গাংনী, মেহেরপুর</t>
  </si>
  <si>
    <t>হামিদা আক্তার</t>
  </si>
  <si>
    <t>মৃত আব্দুল রাজ্জাক শেখ</t>
  </si>
  <si>
    <t>৭১৫, গাড়াডোব, গাংনী, মেহেরপুর</t>
  </si>
  <si>
    <t>মোছাঃ হেলেনা খাতুন</t>
  </si>
  <si>
    <t>মোঃ নজিম উদ্দীন বিশ্বাস</t>
  </si>
  <si>
    <t>০৮/১০/১৯৮৮</t>
  </si>
  <si>
    <t>মোছাঃ নাইমুন্নাহার খানম</t>
  </si>
  <si>
    <t>০১/১২/১৯৯০</t>
  </si>
  <si>
    <t>মোছাঃ আরশিনা আকতার মালা</t>
  </si>
  <si>
    <t>মোছাঃ জান্নাতুল ফেরদৌসী</t>
  </si>
  <si>
    <t>২৮/০১/১৯৯১</t>
  </si>
  <si>
    <t>মোঃ জহুর খা</t>
  </si>
  <si>
    <t>মোছাঃ আরজিরা বেগম</t>
  </si>
  <si>
    <t>মোছাঃ জোনাকি খাতুন</t>
  </si>
  <si>
    <t>০৫/০৪/২০০৬</t>
  </si>
  <si>
    <t>১৫২৬, গাড়াডোব, গাংনী, মেহেরপুর</t>
  </si>
  <si>
    <t>মোঃ আছবুল আলী</t>
  </si>
  <si>
    <t>০৮/১০/২০০৪</t>
  </si>
  <si>
    <t>১০/০৫/২০০২</t>
  </si>
  <si>
    <t>বাঁশবাড়ীয়া পঃপাঃ, গাড়াডোব, গাংনী, মেহেরপুর</t>
  </si>
  <si>
    <t>মোছাঃ সম্পা খাতুন</t>
  </si>
  <si>
    <t>মোছাঃ আতাফন খাতুন</t>
  </si>
  <si>
    <t>০২/০১/১৯৯৮</t>
  </si>
  <si>
    <t>১৪৪, গাড়াডোব, গাংনী, মেহেরপুর</t>
  </si>
  <si>
    <t>মোঃ মামুনুর রশিদ</t>
  </si>
  <si>
    <t>মোঃ খকন আলী</t>
  </si>
  <si>
    <t>০১/০৫/২০০৩</t>
  </si>
  <si>
    <t>৮৩৮, গাড়াডোব, গাংনী, মেহেরপুর</t>
  </si>
  <si>
    <t>মোঃ মোহন আলী</t>
  </si>
  <si>
    <t>মোঃ হাবিবুর</t>
  </si>
  <si>
    <t>মোছাঃ ফেন্সী খাতুন</t>
  </si>
  <si>
    <t>০৩/১১/২০০২</t>
  </si>
  <si>
    <t>৮৩৫, গাড়াডোব, গাংনী, মেহেরপুর</t>
  </si>
  <si>
    <t>মোছাঃ মিম্মা খাতুন</t>
  </si>
  <si>
    <t>০৫/০৪/২০০৪</t>
  </si>
  <si>
    <t>১৫৫৯, গাড়াডোব, গাংনী, মেহেরপুর</t>
  </si>
  <si>
    <t>মোছাঃ তাইয়েবা খাতুন</t>
  </si>
  <si>
    <t>মোছাঃ মরিয়ম আক্তার</t>
  </si>
  <si>
    <t>০৪/১০/২০০৬</t>
  </si>
  <si>
    <t>মোঃ দিদার বক্স</t>
  </si>
  <si>
    <t>০৫/০৪/১৯৮৬</t>
  </si>
  <si>
    <t>গাড়াডোব পোড়াপাড়া, গাড়াডোব, গাংনী, মেহেরপুর</t>
  </si>
  <si>
    <t>মোছাঃ রেসমা খাতুন</t>
  </si>
  <si>
    <t>মোঃ আঃ ছাত্তার</t>
  </si>
  <si>
    <t>মোছাঃ অফিয়া খাতুন</t>
  </si>
  <si>
    <t>০১/১২/১৯৯৭</t>
  </si>
  <si>
    <t>২৬/১১/২০০৬</t>
  </si>
  <si>
    <t>মোছাঃ জুই খাতুন</t>
  </si>
  <si>
    <t>মোঃ শাহাজান মিয়া</t>
  </si>
  <si>
    <t>০৬/০৮/২০০৪</t>
  </si>
  <si>
    <t>মোঃ আকছাদ আলী</t>
  </si>
  <si>
    <t>মোছাঃ মোহনা রহমান</t>
  </si>
  <si>
    <t>মোঃ আমিনুর রহমান</t>
  </si>
  <si>
    <t>১৮/০৪/২০০৬</t>
  </si>
  <si>
    <t>মোছাঃ সামিয়া জামান</t>
  </si>
  <si>
    <t>মোঃ শহিদুজ্জামান</t>
  </si>
  <si>
    <t>১৯/১১/২০০৬</t>
  </si>
  <si>
    <t>মোঃ কালু শেখ</t>
  </si>
  <si>
    <t>২০/০১/২০০৫</t>
  </si>
  <si>
    <t>লাবনী আক্তার</t>
  </si>
  <si>
    <t>মোঃ লিটন</t>
  </si>
  <si>
    <t>আখিতারা খাতুন</t>
  </si>
  <si>
    <t>মোঃ আলমগীর আলী</t>
  </si>
  <si>
    <t>১৭/১০/২০০৬</t>
  </si>
  <si>
    <t>মোছাঃ নুজরাত জাহান</t>
  </si>
  <si>
    <t>মোছাঃ আগরী খাতুন</t>
  </si>
  <si>
    <t>১৬/১১/২০০৫</t>
  </si>
  <si>
    <t>১০৯৯, গাড়াডোব, গাংনী, মেহেরপুর</t>
  </si>
  <si>
    <t>মোঃ আকুব্বর আলী</t>
  </si>
  <si>
    <t>০১/১১/২০০৪</t>
  </si>
  <si>
    <t>০৪/০৬/২০০১</t>
  </si>
  <si>
    <t>মোছাঃ রুহানা খাতুন</t>
  </si>
  <si>
    <t>মোছাঃ লিলি বেগম</t>
  </si>
  <si>
    <t>মোছাঃ মিম আরা খাতুন</t>
  </si>
  <si>
    <t>মোঃ রাজ্জাক</t>
  </si>
  <si>
    <t>মোছাঃ জেসমিনা আক্তার</t>
  </si>
  <si>
    <t>মোঃ তারিকুল ইসলাম লিটন</t>
  </si>
  <si>
    <t>০৯/১২/২০০৪</t>
  </si>
  <si>
    <t>মোছাঃ মায়া পারভীন</t>
  </si>
  <si>
    <t>মোঃ মানারুল ইসলাম</t>
  </si>
  <si>
    <t>৩০/০৮/২০০৪</t>
  </si>
  <si>
    <t>মোঃ ফয়জদ্দীন আহাম্মেদ</t>
  </si>
  <si>
    <t>০৫/০১/২০০৪</t>
  </si>
  <si>
    <t>যুগিন্দা</t>
  </si>
  <si>
    <t>১৯/১১/১৯৯৫</t>
  </si>
  <si>
    <t>২৪/০১/২০০৬</t>
  </si>
  <si>
    <t>০৬/১২/২০০৫</t>
  </si>
  <si>
    <t>মোঃ রায়হান</t>
  </si>
  <si>
    <t>০৪/০৫/২০০৪</t>
  </si>
  <si>
    <t>মোঃ আজিমুদ্দিন</t>
  </si>
  <si>
    <t>০৯/০৮/২০০৪</t>
  </si>
  <si>
    <t>মোছাঃ সাদিয়া আক্তার</t>
  </si>
  <si>
    <t>মোছাঃ নাজমা বেগম</t>
  </si>
  <si>
    <t>১৭/০২/২০০৪</t>
  </si>
  <si>
    <t>মোছাঃ মেহেরজান বেগম</t>
  </si>
  <si>
    <t>মোঃ ইউনছু আলী</t>
  </si>
  <si>
    <t>মোছাঃ জামিলা বেগম</t>
  </si>
  <si>
    <t>১০/০২/১৯৯৩</t>
  </si>
  <si>
    <t>২১/০৭/২০০৪</t>
  </si>
  <si>
    <t>মোছাঃ শাহিনূর খাতুন</t>
  </si>
  <si>
    <t>১০/০৮/২০০৪</t>
  </si>
  <si>
    <t>৩০/০৫/২০০৬</t>
  </si>
  <si>
    <t>মোছাঃ এসেমতারা খাতুন</t>
  </si>
  <si>
    <t>২৫/১১/২০০৩</t>
  </si>
  <si>
    <t>মোছাঃ রংবানু</t>
  </si>
  <si>
    <t>১০/০১/২০০৫</t>
  </si>
  <si>
    <t>২০/১০/২০০৪</t>
  </si>
  <si>
    <t>সাদিয়া আক্তার বিথি</t>
  </si>
  <si>
    <t>১৬/০৬/২০০৪</t>
  </si>
  <si>
    <t>মোঃ ছয়ারুদ্দীন</t>
  </si>
  <si>
    <t>১০/০৫/২০০৫</t>
  </si>
  <si>
    <t>মোছাঃ সাইমা আক্তার টিসা</t>
  </si>
  <si>
    <t>মোছাঃ ছামাদুল হক</t>
  </si>
  <si>
    <t>১৩/০৫/২০০৬</t>
  </si>
  <si>
    <t>মোছাঃ রনী খাতুন</t>
  </si>
  <si>
    <t>মোঃ ডাবলু</t>
  </si>
  <si>
    <t>১৬/০১/২০০৩</t>
  </si>
  <si>
    <t>মোছাঃ জান্নাতুল খাতুন</t>
  </si>
  <si>
    <t>মোছাঃ আলতাফন খাতুন</t>
  </si>
  <si>
    <t>১০/০২/২০০৫</t>
  </si>
  <si>
    <t>মোঃ নূহনবী</t>
  </si>
  <si>
    <t>২৩/১২/২০০৫</t>
  </si>
  <si>
    <t>মোঃ মাহাব্বাত আলী</t>
  </si>
  <si>
    <t>মোছাঃ সুমাইয়া পারভীন রেখা</t>
  </si>
  <si>
    <t>মোঃ খালিদ মোশারফ</t>
  </si>
  <si>
    <t>মোঃ ফয়জুল</t>
  </si>
  <si>
    <t>১০/০৪/২০০৬</t>
  </si>
  <si>
    <t>খাদিজা বেগম</t>
  </si>
  <si>
    <t>মোঃ আওয়াল মিয়া</t>
  </si>
  <si>
    <t>০৪/১০/২০০৪</t>
  </si>
  <si>
    <t>২৭/০৪/২০০৩</t>
  </si>
  <si>
    <t>মোছাঃ নূর-ই-নওওয়াল পুষ্প</t>
  </si>
  <si>
    <t>মোঃ ইন্তেখাব আলম</t>
  </si>
  <si>
    <t>১৩/০৫/২০০৫</t>
  </si>
  <si>
    <t>মোছাঃ সুমিয়া খাতুন</t>
  </si>
  <si>
    <t>মান্নান</t>
  </si>
  <si>
    <t>মোছাঃ লায়লি খাতুন</t>
  </si>
  <si>
    <t>২০/০৯/২০০৫</t>
  </si>
  <si>
    <t>০৭/০৫/২০০৩</t>
  </si>
  <si>
    <t>মোছাঃ গুলবদন নাহার</t>
  </si>
  <si>
    <t>১৫/০৯/২০০৬</t>
  </si>
  <si>
    <t>সুবর্না খাতুন</t>
  </si>
  <si>
    <t>খুরশিদ আলী</t>
  </si>
  <si>
    <t>০১/০১/২০০৫</t>
  </si>
  <si>
    <t>মোঃ আনারুল</t>
  </si>
  <si>
    <t>মোছাঃ সেলিনা খাতুন চুমকি</t>
  </si>
  <si>
    <t>মোঃ সেলিম আলী</t>
  </si>
  <si>
    <t>মোছাঃ শাহনাজ</t>
  </si>
  <si>
    <t>১৬/০৬/২০০৩</t>
  </si>
  <si>
    <t>মোছাঃ রুশ্মিতা ইসলাম</t>
  </si>
  <si>
    <t>মোছাঃ রুকসানা খাতুন</t>
  </si>
  <si>
    <t>০৭/০৭/২০০৫</t>
  </si>
  <si>
    <t>সুমাইয়া খাতুন</t>
  </si>
  <si>
    <t>মোঃ শামসুল হক</t>
  </si>
  <si>
    <t>ফাতেমা আক্তার মুক্তি</t>
  </si>
  <si>
    <t>০১/১০/২০০১</t>
  </si>
  <si>
    <t>মোছাঃ নয়ন তারা</t>
  </si>
  <si>
    <t>মোছাঃ মনোরা খাতুন</t>
  </si>
  <si>
    <t>২৪/০৯/১৯৯৮</t>
  </si>
  <si>
    <t>মোছাঃ আফসোনা ফেরদৌস</t>
  </si>
  <si>
    <t>মোঃ আরেশ আলী</t>
  </si>
  <si>
    <t>২৪/০৬/২০০৩</t>
  </si>
  <si>
    <t>মোঃ আবু হেলাল সিদ্দিকী</t>
  </si>
  <si>
    <t>মোছাঃ বাছনা খাতুন</t>
  </si>
  <si>
    <t>০১/১০/২০০৪</t>
  </si>
  <si>
    <t>মোছাঃ টুনুয়ারা খাতুন</t>
  </si>
  <si>
    <t>০৭/১০/২০০০</t>
  </si>
  <si>
    <t>মোছাঃ পিংকি</t>
  </si>
  <si>
    <t>মোঃ ওহাব আলী</t>
  </si>
  <si>
    <t>২২/০৪/২০০৫</t>
  </si>
  <si>
    <t>মোছাঃ তামান্না</t>
  </si>
  <si>
    <t>মোঃ বুরহান সিকদার</t>
  </si>
  <si>
    <t>১৫/০৩/২০০৪</t>
  </si>
  <si>
    <t>মোছাঃ নাঈমা আক্তার নূরী</t>
  </si>
  <si>
    <t>মোঃ নূর হোসেন</t>
  </si>
  <si>
    <t>১৩/০২/২০০৩</t>
  </si>
  <si>
    <t>মোছাঃ আখি খাতুন</t>
  </si>
  <si>
    <t>০৭/০৪/২০০৬</t>
  </si>
  <si>
    <t>বৈশাখী আহমেদ ঋতু</t>
  </si>
  <si>
    <t>মোঃ বুলবুল আহমেদ</t>
  </si>
  <si>
    <t>মোছাঃ রেহানা পারভীন</t>
  </si>
  <si>
    <t>১২/০৬/২০০৫</t>
  </si>
  <si>
    <t>০৫/০১/১৯৯৫</t>
  </si>
  <si>
    <t>মোছাঃ পিংকী</t>
  </si>
  <si>
    <t>মোঃ আশাদুল</t>
  </si>
  <si>
    <t>০৪/০৩/২০০৪</t>
  </si>
  <si>
    <t>মোছাঃ হোসনেয়ারা খাতুন</t>
  </si>
  <si>
    <t>ফারজানা আফরোজ তাছকি</t>
  </si>
  <si>
    <t>মোঃ কালাম হোসেন</t>
  </si>
  <si>
    <t>০৯/০৯/২০০৫</t>
  </si>
  <si>
    <t>মোঃ রিয়াজ উদ্দিন</t>
  </si>
  <si>
    <t>০৩/০৯/২০০৫</t>
  </si>
  <si>
    <t>মোছাঃ শামিমা আক্তার শিলা</t>
  </si>
  <si>
    <t>মোছাঃ হিরামতি</t>
  </si>
  <si>
    <t>১৫/১২/২০০৫</t>
  </si>
  <si>
    <t>মোছাঃ রজনী আফরিন</t>
  </si>
  <si>
    <t>মোছাঃ রিনা বেগম</t>
  </si>
  <si>
    <t>০৫/১১/১৯৯৯</t>
  </si>
  <si>
    <t>মোছাঃ আজবিনা খাতুন</t>
  </si>
  <si>
    <t>মোছাঃ উসিলা খাতুন</t>
  </si>
  <si>
    <t>০১/০২/২০০৫</t>
  </si>
  <si>
    <t>০২/০৮/২০০৫</t>
  </si>
  <si>
    <t>মোছাঃ সাবিনা ইয়াছমিন</t>
  </si>
  <si>
    <t>১৭/০২/২০০৫</t>
  </si>
  <si>
    <t>মোছাঃ রাসনা</t>
  </si>
  <si>
    <t>মোঃ মোহর আলী</t>
  </si>
  <si>
    <t>মোছাঃ সেফালী</t>
  </si>
  <si>
    <t>১৩/০৭/২০০৬</t>
  </si>
  <si>
    <t>মোঃ মিলন</t>
  </si>
  <si>
    <t>১০/০৮/২০০৫</t>
  </si>
  <si>
    <t>মোঃ শিপন আলী</t>
  </si>
  <si>
    <t>০৬/০২/২০০৬</t>
  </si>
  <si>
    <t>মোছাঃ বর্ষা খাতুন</t>
  </si>
  <si>
    <t>মোঃ আঃ জব্বার</t>
  </si>
  <si>
    <t>০৫/০৫/২০০৩</t>
  </si>
  <si>
    <t>মোছাঃ সানজিদা আক্তার মিলি</t>
  </si>
  <si>
    <t>২৪/০৪/২০০৫</t>
  </si>
  <si>
    <t>মোছাঃ আইরিন পারভীন</t>
  </si>
  <si>
    <t>০১/০৪/২০০২</t>
  </si>
  <si>
    <t>মোঃ লিটন মন্ডল</t>
  </si>
  <si>
    <t>মোছাঃ আজিরা খাতুন</t>
  </si>
  <si>
    <t>১৩/০৮/২০০৬</t>
  </si>
  <si>
    <t>খন্দকার মহন আলী</t>
  </si>
  <si>
    <t>০৮/১২/২০০৩</t>
  </si>
  <si>
    <t>মোছাঃ মায়াবী খাতুন</t>
  </si>
  <si>
    <t>মোঃ আরফান আলী</t>
  </si>
  <si>
    <t>মোছাঃ স্বর্নাদী খাতুন</t>
  </si>
  <si>
    <t>হামিনা খাতুন</t>
  </si>
  <si>
    <t>রোকন</t>
  </si>
  <si>
    <t>মোছাঃ সাহানা খাতুন</t>
  </si>
  <si>
    <t>১৩/০৭/২০০২</t>
  </si>
  <si>
    <t>মোঃ বকুল হোসেন</t>
  </si>
  <si>
    <t>মোছাঃ নাজমিন নাহার</t>
  </si>
  <si>
    <t>২০/০৪/২০০৩</t>
  </si>
  <si>
    <t>০১/১০/১৯৮১</t>
  </si>
  <si>
    <t>মোঃ শাহাজান</t>
  </si>
  <si>
    <t>১৯/০৮/১৯৮৭</t>
  </si>
  <si>
    <t>বর্না খাতুন</t>
  </si>
  <si>
    <t>আরজিনা খাতুন</t>
  </si>
  <si>
    <t>১০/০২/১৯৮৮</t>
  </si>
  <si>
    <t>মোছাঃ আত্তরা বেগম</t>
  </si>
  <si>
    <t>ইব্রাহিম নামাজ</t>
  </si>
  <si>
    <t>মোছাঃ নির্মলা বেগম</t>
  </si>
  <si>
    <t>০৭/০৮/১৯৬৭</t>
  </si>
  <si>
    <t>মোঃ নামাজ ইসলাম</t>
  </si>
  <si>
    <t>১২/০২/১৯৯৩</t>
  </si>
  <si>
    <t>মোঃ কাদের আলী</t>
  </si>
  <si>
    <t>মোঃ আব্দুল মন্ডল</t>
  </si>
  <si>
    <t>মোছাঃ ফরোজা বেগম</t>
  </si>
  <si>
    <t>১৩৭৫, গাড়াডোব, গাংনী, মেহেরপুর</t>
  </si>
  <si>
    <t>মোছাঃ মনিরা বেগম</t>
  </si>
  <si>
    <t>মোঃ আকুব্বার আলী</t>
  </si>
  <si>
    <t>৩১/০৮/১৯৮৫</t>
  </si>
  <si>
    <t>০০৩৮, গাড়াডোব, গাংনী, মেহেরপুর</t>
  </si>
  <si>
    <t>মোঃ সবুর আলী</t>
  </si>
  <si>
    <t>২৭/০২/১৯৯৫</t>
  </si>
  <si>
    <t>৫৯৮, গাড়াডোব, গাংনী, মেহেরপুর</t>
  </si>
  <si>
    <t>মোছাঃ ইচমোতারা খাতুন</t>
  </si>
  <si>
    <t>মোঃ ইসরাইল হক</t>
  </si>
  <si>
    <t>মোছাঃ মছেদা খাতুন</t>
  </si>
  <si>
    <t>০৪/০৭/১৯৯৩</t>
  </si>
  <si>
    <t>১২/০২/১৯৯৭</t>
  </si>
  <si>
    <t>মোঃ দুলাল হোসেন</t>
  </si>
  <si>
    <t>মোছাঃ পাপিয়া বেগম</t>
  </si>
  <si>
    <t>৫৫৩, গাড়াডোব, গাংনী, মেহেরপুর</t>
  </si>
  <si>
    <t>মোছাঃ লিমা আক্তার</t>
  </si>
  <si>
    <t>মোঃ আবুবক্কর</t>
  </si>
  <si>
    <t>০১/০২/২০০৭</t>
  </si>
  <si>
    <t>৮৮১, গাড়াডোব, গাংনী, মেহেরপুর</t>
  </si>
  <si>
    <t>মোছাঃ বেদেনা আক্তার বিজলি</t>
  </si>
  <si>
    <t>১৮/০২/২০০৭</t>
  </si>
  <si>
    <t>১০/১০/২০০৭</t>
  </si>
  <si>
    <t>মোছাঃ সুরভী খাতুন</t>
  </si>
  <si>
    <t>১০/০৬/২০০৭</t>
  </si>
  <si>
    <t>মোঃ বাবুল হোসেন</t>
  </si>
  <si>
    <t>০৫/১০/২০০৭</t>
  </si>
  <si>
    <t>মোছাঃ বৃমা আক্তার তন্নী</t>
  </si>
  <si>
    <t>২৭/০৬/২০০৭</t>
  </si>
  <si>
    <t>মোছাঃ মিনিয়ারা খাতুন</t>
  </si>
  <si>
    <t>মোঃ মিলন হোসেন</t>
  </si>
  <si>
    <t>মোছাঃ মায়া খাতুন</t>
  </si>
  <si>
    <t>মোঃ মেহেদুল ইসলাম</t>
  </si>
  <si>
    <t>মোছাঃ বেলিয়ার খাতুন</t>
  </si>
  <si>
    <t>আঁখি আক্তার</t>
  </si>
  <si>
    <t>মোছাঃ বিউটি আক্তার</t>
  </si>
  <si>
    <t>১৮/০৫/২০০৭</t>
  </si>
  <si>
    <t>মোছাঃ হাদিসা খাতুন</t>
  </si>
  <si>
    <t>০৭/০৮/২০০৭</t>
  </si>
  <si>
    <t>১৮/১০/২০০৭</t>
  </si>
  <si>
    <t>মোঃ হেলাল উদ্দিন</t>
  </si>
  <si>
    <t>২৫/০৩/২০০৭</t>
  </si>
  <si>
    <t>০২/০২/২০০৭</t>
  </si>
  <si>
    <t>মোঃ বাবুল আক্তার</t>
  </si>
  <si>
    <t>২৮/০৭/২০০৭</t>
  </si>
  <si>
    <t>মোঃ ঝাণ্টু খা</t>
  </si>
  <si>
    <t>১৯/০৮/২০০৭</t>
  </si>
  <si>
    <t>মুসকান জাহান</t>
  </si>
  <si>
    <t>মোঃ মাসদুল হক</t>
  </si>
  <si>
    <t>০৫/০৮/২০০৭</t>
  </si>
  <si>
    <t>মোঃ আবু হুসাইন</t>
  </si>
  <si>
    <t>০৮/০৫/২০০৭</t>
  </si>
  <si>
    <t>মোছাঃ লিজা আক্তার প্রেমা</t>
  </si>
  <si>
    <t>মোঃ লিটন আলী</t>
  </si>
  <si>
    <t>১৭/০২/২০০৭</t>
  </si>
  <si>
    <t>১১৫০, গাড়াডোব, গাংনী, মেহেরপুর</t>
  </si>
  <si>
    <t>মোছাঃ দৃষ্টি</t>
  </si>
  <si>
    <t>খন্দকার মুকুল</t>
  </si>
  <si>
    <t>০২/০৩/২০০৭</t>
  </si>
  <si>
    <t>মোছাঃ কানিজ ফাতেমা বিথী</t>
  </si>
  <si>
    <t>মোঃ আইনাল হক</t>
  </si>
  <si>
    <t>০৩/০৭/২০০৭</t>
  </si>
  <si>
    <t>১১৪৬, গাড়াডোব, গাংনী, মেহেরপুর</t>
  </si>
  <si>
    <t>মোছাঃ ইরানি আক্তার জোনাকি</t>
  </si>
  <si>
    <t>মোঃ এনামুল ইসলাম</t>
  </si>
  <si>
    <t>১৪/০৯/২০০৫</t>
  </si>
  <si>
    <t>৫৩৫, গাড়াডোব, গাংনী, মেহেরপুর</t>
  </si>
  <si>
    <t>ক্রমিক নং,নাম,ভোটার নং,পিতা,মাতা,জন্ম তারিখ,পেশা,ঠিকানা</t>
  </si>
  <si>
    <t>১৩৪৮,মোছাঃ মর্জিনা খাতুন,৫৭০০৩৮৩৫৬১৯০,নস্কর মন্ডল,মোছাঃ নিছারন,০৩/০৪/১৯৬৭,গৃহিনী,গাড়ীডোব, গাংনী, মেহেরপুর</t>
  </si>
  <si>
    <t>১৩৪৯,মোছাঃ জাহানারা খাতুন,৫৭০০৩৮৩৫৬১৯২,মোঃ রহমত উল্লাহ,মোছাঃ ছারভান,০২/০৬/১৯৫৯,গৃহিনী,গাড়ীডোব, গাংনী, মেহেরপুর</t>
  </si>
  <si>
    <t>১৩৫০,মোছাঃ আজমিরা খাতুন,৫৭০০৩৮৩৫৬১৯৩,মোঃ আয়ুব আলী,মোছাঃ মুনজিলা খাতুন,০১/০১/১৯৮৮,গৃহিনী,গাড়ীডোব, গাংনী, মেহেরপুর</t>
  </si>
  <si>
    <t>১৩৫১,মোছাঃ নাজমা খাতুন,৫৭০০৩৮৩৫৬১৯৪,মোঃ জমির উদ্দীন,মোছাঃ জমেলা খাতুন,১০/০২/১৯৭৭,গৃহিনী,গাড়ীডোব, গাংনী, মেহেরপুর</t>
  </si>
  <si>
    <t>১৩৫২,মোছাঃ শাহানারা খাতুন,৫৭০০৩৮৩৫৬১৯৫,আব্দুল বারিক,হালেমা খাতুন,০৬/০২/১৯৬৫,গৃহিনী,গাড়ীডোব, গাংনী, মেহেরপুর</t>
  </si>
  <si>
    <t>১৩৫৩,মোছাঃ বেগম খাতুন,৫৭০০৩৮৩৫৬১৯৭,মোঃ ইউনুস আলী,মোছাঃ নিছারন,০৪/০২/১৯৬৯,গৃহিনী,গাড়ীডোব, গাংনী, মেহেরপুর</t>
  </si>
  <si>
    <t>১৩৫৪,মোছাঃ বানিয়ারা খাতুন,৫৭০০৩৮৩৫৬১৯৯,মোঃ বাবলু,মোছাঃ বেগম খাতুন,০৯/০৫/১৯৮৫,গৃহিনী,গাড়ীডোব, গাংনী, মেহেরপুর</t>
  </si>
  <si>
    <t>১৩৫৫,মোছাঃ রেহেনা খাতুন,৫৭০০৩৮৩৫৬২০১,আব্দুল বারেক,হালিমা খাতুন,০৩/০২/১৯৮২,গৃহিনী,গাড়ীডোব, গাংনী, মেহেরপুর</t>
  </si>
  <si>
    <t>১৩৫৬,মোছাঃ নাছরিন খাতুন,৫৭০০৩৮৩৫৬২১০,মোঃ আজিজুল শেখ,মোছাঃ ছফেলা খাতুন,১০/০৩/১৯৮২,গৃহিনী,গাড়ীডোব, গাংনী, মেহেরপুর</t>
  </si>
  <si>
    <t>১৩৫৭,মোছাঃ ফজিলা খাতুন,৫৭০০৩৮৩৫৬২১১,মোঃ আব্দুল গনি,মোছাঃ রাবেয়া খাতুন,১০/০৮/১৯৮৩,গৃহিনী,গাড়ীডোব, গাংনী, মেহেরপুর</t>
  </si>
  <si>
    <t>১৩৫৮,মোছাঃ মুসলিমা খাতুন,৫৭০০৩৮৩৫৬২১৫,বাহার আলী,মোছাঃ হোয়তন,২০/০৮/১৯৮৭,গৃহিনী,গাড়ীডোব, গাংনী, মেহেরপুর</t>
  </si>
  <si>
    <t>১৩৫৯,মোছাঃ খাদেজা খাতুন,৫৭০০৩৮৩৫৬২১৭,রফাত আলী শেখ,মোছাঃ সবুর নেছা,০২/০৩/১৯৬৯,গৃহিনী,গাড়ীডোব, গাংনী, মেহেরপুর</t>
  </si>
  <si>
    <t>১৩৬০,মোছাঃ আদরী খাতুন,৫৭০০৩৮৩৫৬২১৮,মোঃ আব্দুল কুদ্দুস,মোছাঃ জোসনা খাতুন,২৫/১০/১৯৮১,গৃহিনী,গাড়ীডোব, গাংনী, মেহেরপুর</t>
  </si>
  <si>
    <t>১৩৬১,মোছাঃ নাসিমা খাতুন,৫৭০০৩৮৩৫৬২১৯,মোতালেব,ময়না খাতুন,০২/০১/১৯৭০,গৃহিনী,গাড়ীডোব, গাংনী, মেহেরপুর</t>
  </si>
  <si>
    <t>১৩৬২,মোছাঃ মাজেদা খাতুন,৫৭০০৩৮৩৫৬২২১,রুফাত আলী,মোছাঃ সবুর নেছা,০৬/০২/১৯৬২,গৃহিনী,গাড়ীডোব, গাংনী, মেহেরপুর</t>
  </si>
  <si>
    <t>১৩৬৩,মোছাঃ সবুর নেছা,৫৭০০৩৮৩৫৬২২২,হিরু শেখ,ছেরেজান,০১/০২/১৯৫০,গৃহিনী,গাড়ীডোব, গাংনী, মেহেরপুর</t>
  </si>
  <si>
    <t>১৩৬৪,মোছাঃ রুমিয়া খাতুন,৫৭০০৩৮৩৫৬২২৩,আব্দুল করিম মন্ডল,মোছাঃ রমেলা খাতুন,২১/১০/১৯৮৭,গৃহিনী,গাড়ীডোব, গাংনী, মেহেরপুর</t>
  </si>
  <si>
    <t>১৩৬৫,মোছাঃ নিহারন খাতুন,৫৭০০৩৮৩৫৬২২৪,সদর উদ্দীন,মোছাঃ রানী খাতুন,২৮/০৯/১৯৭৬,গৃহিনী,গাড়ীডোব, গাংনী, মেহেরপুর</t>
  </si>
  <si>
    <t>১৩৬৬,মোছাঃ কনা খাতুন,৫৭০০৩৮৩৫৬২২৭,মোঃ হজরত আলী,মোছাঃ নফুরা খাতুন,০১/০২/১৯৮৩,গৃহিনী,গাড়ীডোব, গাংনী, মেহেরপুর</t>
  </si>
  <si>
    <t>১৩৬৭,মোছাঃ মাহিরন খাতুন,৫৭০০৩৮৩৫৬২২৯,মোঃ মফেজ মোল্লা,মোছাঃ আমেদা খাতুন,০৫/০৩/১৯৬৯,গৃহিনী,গাড়ীডোব, গাংনী, মেহেরপুর</t>
  </si>
  <si>
    <t>১৩৬৮,মোছাঃ আসমা খাতুন,৫৭০০৩৮৩৫৬২৩০,মেয়াল মন্ডল,মোছাঃ মনোয়ারা খাতুন,০২/০১/১৯৬৯,গৃহিনী,গাড়ীডোব, গাংনী, মেহেরপুর</t>
  </si>
  <si>
    <t>১৩৬৯,মোছাঃ রাবেয়া খাতুন,৫৭০০৩৮৩৫৬২৩১,শাহাদত হোসেন,মোছাঃ রহিমা খাতুন,০৩/০১/১৯৪৫,গৃহিনী,গাড়ীডোব, গাংনী, মেহেরপুর</t>
  </si>
  <si>
    <t>১৩৭০,মোছাঃ হামেদা খাতুন,৫৭০০৩৮৩৫৬২৩৩,শাহাদত হোসেন,মোছাঃ রহিমা খাতুন,০৭/০২/১৯৭২,গৃহিনী,গাড়ীডোব, গাংনী, মেহেরপুর</t>
  </si>
  <si>
    <t>১৩৭১,মোছাঃ রহিদা খাতুন,৫৭০০৩৮৩৫৬২৩৪,খোদা বক্স,ঝুঁকি খাতুন,১০/০৫/১৯৭৩,গৃহিনী,গাড়ীডোব, গাংনী, মেহেরপুর</t>
  </si>
  <si>
    <t>১৩৭২,মোছাঃ রওশন আরা,৫৭০০৩৮৩৫৬২৩৫,রমজান মন্ডল,মোছাঃ আছিয়া খাতুন,১৫/১০/১৯৬৫,গৃহিনী,গাড়ীডোব, গাংনী, মেহেরপুর</t>
  </si>
  <si>
    <t>১৩৭৩,মোছাঃ জহুরা খাতুন,৫৭০০৩৮৩৫৬২৩৬,ওলি আহমেদ,মোছাঃ পরিস্কার খাতুন,০৭/০৩/১৯৮২,গৃহিনী,গাড়ীডোব, গাংনী, মেহেরপুর</t>
  </si>
  <si>
    <t>১৩৭৪,মোছাঃ তহমিনা খাতুন,৫৭০০৩৮৩৫৬২৩৭,মোঃ হিসাব মন্ডল,মোছাঃ মরিয়ম খাতুন,০২/০১/১৯৮২,গৃহিনী,গাড়ীডোব, গাংনী, মেহেরপুর</t>
  </si>
  <si>
    <t>১৩৭৫,মোছাঃ তসলিমা খাতুন,৫৭০০৩৮৩৫৬২৩৯,মোঃ খোদা বক্স,মোছাঃ আনোয়ারা খাতুন,০৯/০৩/১৯৬৪,গৃহিনী,গাড়ীডোব, গাংনী, মেহেরপুর</t>
  </si>
  <si>
    <t>১৩৭৬,মোছাঃ ইসরাফন নেছা,৫৭০০৩৮৩৫৬২৪০,একতার আলী,মোছাঃ রহিমা খাতুন,১২/১০/১৯৮২,গৃহিনী,গাড়ীডোব, গাংনী, মেহেরপুর</t>
  </si>
  <si>
    <t>১৩৭৭,মোছাঃ কহিনুর আক্তার,৫৭০০৩৮৩৫৬২৪৪,মোঃ কিতাব আলী,মোছাঃ ইসরাফন নেছা,১০/০৯/১৯৮৪,গৃহিনী,গাড়ীডোব, গাংনী, মেহেরপুর</t>
  </si>
  <si>
    <t>১৩৭৮,মোছাঃ আল্লাহি খাতুন,৫৭০০৩৮৩৫৬২৪৫,তাসের আলী,মোছাঃ মেহেরন,০৫/০২/১৯৬২,গৃহিনী,গাড়ীডোব, গাংনী, মেহেরপুর</t>
  </si>
  <si>
    <t>১৩৭৯,মোছাঃ সাজেদা খাতুন,৫৭০০৩৮৩৫৬২৪৬,মকছেদ আলী,মোছাঃ ফজিলাতুন নেছা,১০/০২/১৯৬৫,গৃহিনী,গাড়ীডোব, গাংনী, মেহেরপুর</t>
  </si>
  <si>
    <t>১৩৮০,মোছাঃ শরিফা খাতুন,৫৭০০৩৮৩৫৬২৫৭,মোঃ শহিদুল ইসলাম,মোছাঃ হামেদা খাতুন,০২/০৩/১৯৮৬,গৃহিনী,গাড়ীডোব, গাংনী, মেহেরপুর</t>
  </si>
  <si>
    <t>১৩৮১,মোছাঃ রহিমা খাতুন,৫৭০০৩৮৩৫৬২৫৯,মোবারক আলী,রমেছা খাতুন,০৭/০১/১৯৫২,গৃহিনী,গাড়ীডোব, গাংনী, মেহেরপুর</t>
  </si>
  <si>
    <t>১৩৮২,মোছাঃ খালেদা খাতুন,৫৭০০৩৮৩৫৬২৬১,মোঃ আয়জুদ্দীন,মোছাঃ হিয়াতন,০৩/০৫/১৯৭৭,গৃহিনী,গাড়ীডোব, গাংনী, মেহেরপুর</t>
  </si>
  <si>
    <t>১৩৮৩,মোছাঃ শিরিনা খাতুন,৫৭০০৩৮৩৫৬২৬২,মোঃ এলাহীম,মোছাঃ সহিদা খাতুন,১০/০২/১৯৮৩,গৃহিনী,গাড়ীডোব, গাংনী, মেহেরপুর</t>
  </si>
  <si>
    <t>১৩৮৪,মোছাঃ রেহেনা খাতুন,৫৭০০৩৮৩৫৬২৬৩,মোঃ আব্দুর রাজ্জাক,মোছাঃ হাওয়া খাতুন,০১/০১/১৯৮৮,গৃহিনী,গাড়ীডোব, গাংনী, মেহেরপুর</t>
  </si>
  <si>
    <t>১৩৮৫,মোছাঃ আয়শা খাতুন,৫৭০০৩৮৩৫৬২৭০,ছলেমান,মোছাঃ সারেজান,০৭/০১/১৯৬৭,গৃহিনী,গাড়ীডোব, গাংনী, মেহেরপুর</t>
  </si>
  <si>
    <t>১৩৮৬,মোছাঃ মুসলিমা খাতুন,৫৭০০৩৮৩৫৬২৭২,আবুল হোসেন,মোছাঃ যমুনা বেগম,০৪/০১/১৯৭১,গৃহিনী,গাড়ীডোব, গাংনী, মেহেরপুর</t>
  </si>
  <si>
    <t>১৩৮৭,মোছাঃ নাসিমা খাতুন,৫৭০০৩৮৩৫৬২৭৩,গোলাম,মোছাঃ কুলছুম খাতুন,১০/০৫/১৯৭৯,গৃহিনী,গাড়ীডোব, গাংনী, মেহেরপুর</t>
  </si>
  <si>
    <t>১৩৮৮,মোছাঃ পারুলা খাতুন,৫৭০০৩৮৩৫৬২৭৪,মোঃ আহাদ আলী,মোছাঃ ছকিনা খাতুন,০৫/০১/১৯৮৪,গৃহিনী,গাড়ীডোব, গাংনী, মেহেরপুর</t>
  </si>
  <si>
    <t>১৩৮৯,মোছাঃ হাচেনা খাতুন,৫৭০০৩৮৩৫৬২৭৬,আরজ শেখ,মোছাঃ হামেদা খাতুন,১৮/০৯/১৯৫৭,গৃহিনী,গাড়ীডোব, গাংনী, মেহেরপুর</t>
  </si>
  <si>
    <t>১৩৯০,মোছাঃ মার্জিয়া খাতুন,৫৭০০৩৮৩৫৬২৭৭,মোঃ মাজেত মল্লিক,মোছাঃ তহুরা খাতুন,০৫/০২/১৯৮৭,গৃহিনী,গাড়ীডোব, গাংনী, মেহেরপুর</t>
  </si>
  <si>
    <t>১৩৯১,মোছাঃ বিলকিস আরা,৫৭০০৩৮৩৫৬২৭৮,ছুফরোদ্দীন,মোছাঃ শহিদা খাতুন,০৬/০১/১৯৮৪,গৃহিনী,গাড়ীডোব, গাংনী, মেহেরপুর</t>
  </si>
  <si>
    <t>১৩৯২,মোছাঃ খোদেজা খাতুন,৫৭০০৩৮৩৫৬২৮০,আব্দুল জলিল,ছকিনা,১২/০২/১৯৬২,গৃহিনী,গাড়ীডোব, গাংনী, মেহেরপুর</t>
  </si>
  <si>
    <t>১৩৯৩,মোছাঃ মেলেজান,৫৭০০৩৮৩৫৬২৯৩,সমুর আলী,শাবানা বেগম,১০/১১/১৯৬২,গৃহিনী,গাড়ীডোব, গাংনী, মেহেরপুর</t>
  </si>
  <si>
    <t>১৩৯৪,মোছাঃ রোকেয়া বেগম,৫৭০০৩৮৩৫৬২৯৫,মোঃ আলি হোসেন,মোছাঃ সোনা ভানু,০৩/০১/১৯৭৭,গৃহিনী,গাড়ীডোব, গাংনী, মেহেরপুর</t>
  </si>
  <si>
    <t>১৩৯৫,মোছাঃ ফেরদোসি বেগম,৫৭০০৩৮৩৫৬২৯৬,লুৎফর রহমান,মোছাঃ রোকেয়া বেগম,০৩/০১/১৯৮২,গৃহিনী,গাড়ীডোব, গাংনী, মেহেরপুর</t>
  </si>
  <si>
    <t>১৩৯৬,মোছাঃ সহিদা খাতুন,৫৭০০৩৮৩৫৬২৯৭,খেদ আলী খন্দকার,মোছাঃ শামেনা বেগম,১০/০২/১৯৬৯,গৃহিনী,গাড়ীডোব, গাংনী, মেহেরপুর</t>
  </si>
  <si>
    <t>১৩৯৭,মোছাঃ মুসলিমা খাতুন,৫৭০০৩৮৩৫৬২৯৮,মোঃ মকলেছুর রহমান মুকুল,মোছাঃ সহিদা খাতুন,০৩/০৪/১৯৮৬,গৃহিনী,গাড়ীডোব, গাংনী, মেহেরপুর</t>
  </si>
  <si>
    <t>১৩৯৮,মোছাঃ সাবিনা খাতুন,৫৭০০৩৮৩৫৬৩০০,ছলেমান,নছিয়া,০৩/০৫/১৯৮৫,গৃহিনী,গাড়ীডোব, গাংনী, মেহেরপুর</t>
  </si>
  <si>
    <t>১৩৯৯,মোছাঃ সহিদা খাতুন,৫৭০০৩৮৩৫৬৩০১,মোঃ বজলুর রহমান,মোছাঃ হেনা খাতুন,১২/০২/১৯৭২,গৃহিনী,গাড়ীডোব, গাংনী, মেহেরপুর</t>
  </si>
  <si>
    <t>১৪০০,মোছাঃ কহিনুর বেগম,৫৭০০৩৮৩৫৬৩০২,আব্দুল শেখ,মোছাঃ জবেদা খাতুন,০৫/০৪/১৯৬২,গৃহিনী,গাড়ীডোব, গাংনী, মেহেরপুর</t>
  </si>
  <si>
    <t>১৪০১,মোছাঃ আরজিয়া খাতুন,৫৭০০৩৮৩৫৬৩০৩,খোদা বক্স,মোছাঃ জাহানারা খাতুন,১০/০৩/১৯৪৭,গৃহিনী,গাড়ীডোব, গাংনী, মেহেরপুর</t>
  </si>
  <si>
    <t>১৪০২,মোছাঃ রাবেয়া খাতুন,৫৭০০৩৮৩৫৬৩০৪,ওয়াজ শেখ,রহিমা বেগম,০৮/০৬/১৯৬৯,গৃহিনী,গাড়ীডোব, গাংনী, মেহেরপুর</t>
  </si>
  <si>
    <t>১৪০৩,মোছাঃ হামেদা খাতুন,৫৭০০৩৮৩৫৬৩০৫,মোঃ আলাউদ্দীন,ছকিনা বেগম,০৬/০৩/১৯৭২,গৃহিনী,গাড়ীডোব, গাংনী, মেহেরপুর</t>
  </si>
  <si>
    <t>১৪০৪,মোছাঃ মাছুরা খাতুন,৫৭০০৩৮৩৫৬৩০৬,মোঃ মহিউদ্দিন খাঁ,মোছাঃ ছকিনা খাতুন,০৬/০২/১৯৭২,গৃহিনী,গাড়ীডোব, গাংনী, মেহেরপুর</t>
  </si>
  <si>
    <t>১৪০৫,মোছাঃ ফরিদা আশরাফ,৫৭০০৩৮৩৫৬৩১২,এস এম আবু তাহের,মোছাঃ রোমানা তাহের,১২/০৯/১৯৭৪,গৃহিনী,গাড়ীডোব, গাংনী, মেহেরপুর</t>
  </si>
  <si>
    <t>১৪০৬,মোছাঃ মানেজা বেগম,৫৭০০৩৮৩৫৬৩১৪,আজিজুল শাহ,নাইবানু,১৫/০৩/১৯৪৫,গৃহিনী,গাড়ীডোব, গাংনী, মেহেরপুর</t>
  </si>
  <si>
    <t>১৪০৭,সৈয়দা তহমিনা আশরাফ,৫৭০০৩৮৩৫৬৩১৬,মোঃ সোলাইমান,মোছাঃ রাহাতন নেছা,৩০/১২/১৯৭৬,গৃহিনী,গাড়ীডোব, গাংনী, মেহেরপুর</t>
  </si>
  <si>
    <t>১৪০৮,মোছাঃ রাশেদা খাতুন,৫৭০০৩৮৩৫৬৩১৮,দাউদ হোসেন,মোছাঃ মানেজা বেগম,২০/০৬/১৯৮৩,গৃহিনী,গাড়ীডোব, গাংনী, মেহেরপুর</t>
  </si>
  <si>
    <t>১৪০৯,মোছাঃ মোমেনা খাতুন,৫৭০০৩৮৩৫৬৩২২,মোঃ গোলাম পঞ্জাতন,মোছাঃ রহিমা খাতুন,০৬/০২/১৯৬৫,গৃহিনী,গাড়ীডোব, গাংনী, মেহেরপুর</t>
  </si>
  <si>
    <t>১৪১০,মোছাঃ জাহানারা বেগম,৫৭০০৩৮৩৫৬৩২৯,হুরমত বিশ্বাস,মোছাঃ জফু বেগম,০৫/০২/১৯৪২,গৃহিনী,গাড়ীডোব, গাংনী, মেহেরপুর</t>
  </si>
  <si>
    <t>১৪১১,মোছাঃ শ্যামলি খাতুন,৫৭০০৩৮৩৫৬৩৩১,মোঃ নাজিম উদ্দীন,মোছাঃ লতিফন নেছা,১০/০২/১৯৮৫,গৃহিনী,গাড়ীডোব, গাংনী, মেহেরপুর</t>
  </si>
  <si>
    <t>১৪১২,মোছাঃ হাফিজা খাতুন,৫৭০০৩৮৩৫৬৩৩২,মোঃ আবুল হাশেম,মোছাঃ মাহমুদা খাতুন,০১/০১/১৯৮১,গৃহিনী,গাড়ীডোব, গাংনী, মেহেরপুর</t>
  </si>
  <si>
    <t>১৪১৩,মোছাঃ নীলিমা আফরোজ,৫৭০০৩৮৩৫৬৩৩৪,মোঃ আবুল হাশেম,মোছাঃ মাহমুদা বেগম,২১/০২/১৯৮২,গৃহিনী,গাড়ীডোব, গাংনী, মেহেরপুর</t>
  </si>
  <si>
    <t>১৪১৪,মোছাঃ চামিলি খাতুন,৫৭০০৩৮৩৫৬৩৩৫,মোঃ আব্দুর রশিদ,মোছাঃ রাফিজা বেগম,০২/০১/১৯৮৯,গৃহিনী,গাড়ীডোব, গাংনী, মেহেরপুর</t>
  </si>
  <si>
    <t>১৪১৫,মোছাঃ সফুরা খাতুন,৫৭০০৩৮৩৫৬৩৩৮,সুন্নত মালিথা,মোছাঃ গোলজান,১০/০৪/১৯৪২,গৃহিনী,গাড়ীডোব, গাংনী, মেহেরপুর</t>
  </si>
  <si>
    <t>১৪১৬,মোছাঃ রাফিয়া খাতুন,৫৭০০৩৮৩৫৬৩৩৯,মোঃ আহাসান আলী,মোছাঃ সফুরা খাতুন,০৩/০৫/১৯৫৭,গৃহিনী,গাড়ীডোব, গাংনী, মেহেরপুর</t>
  </si>
  <si>
    <t>১৪১৭,মোছাঃ বাচেনা খাতুন,৫৭০০৩৮৩৫৬৩৪১,আফছার আলী,মোছাঃ উজিলা খাতুন,০৫/০৪/১৯৮০,গৃহিনী,গাড়ীডোব, গাংনী, মেহেরপুর</t>
  </si>
  <si>
    <t>১৪১৮,মোছাঃ রহিমা খাতুন,৫৭০০৩৮৩৫৬৩৪৫,ফরজ আলী,মারু বেগম,১৫/০৩/১৯৪২,গৃহিনী,গাড়ীডোব, গাংনী, মেহেরপুর</t>
  </si>
  <si>
    <t>১৪১৯,মোছাঃ ছালেমা বেগম,৫৭০০৩৮৩৫৬৩৪৭,ছলেমান শেখ,নছিয়া খাতুন,১০/০৪/১৯৭১,গৃহিনী,গাড়ীডোব, গাংনী, মেহেরপুর</t>
  </si>
  <si>
    <t>১৪২০,মোছাঃ নজেরা বেগম,৫৭০০৩৮৩৫৬৩৫১,মোঃ মনিরুল ইসলাম,মোছাঃ ছামসুন্নাহার,০৩/০২/১৯৮১,গৃহিনী,গাড়ীডোব, গাংনী, মেহেরপুর</t>
  </si>
  <si>
    <t>১৪২১,মোছাঃ ছালমা খাতুন,৫৭০০৩৮৩৫৬৩৫২,মোঃ আক্কাচ আলী,মোছাঃ সোহাগী,১০/০৪/১৯৮৫,গৃহিনী,গাড়ীডোব, গাংনী, মেহেরপুর</t>
  </si>
  <si>
    <t>১৪২২,মোছাঃ শাবেজান,৫৭০০৩৮৩৫৬৩৫৪,নুর বক্স,খাতুন নেছা,০৮/১০/১৯৬৪,গৃহিনী,গাড়ীডোব, গাংনী, মেহেরপুর</t>
  </si>
  <si>
    <t>১৪২৩,মোছাঃ আপ্পনা খাতুন,৫৭০০৩৮৩৫৬৩৫৯,মোঃ ফজল শেখ,মোছাঃ ফজিলা খাতুন,০২/০৩/১৯৮৮,গৃহিনী,গাড়ীডোব, গাংনী, মেহেরপুর</t>
  </si>
  <si>
    <t>১৪২৪,মোছাঃ বেলি খাতুন,৫৭০০৩৮৩৫৬৩৬২,মোঃ তৌহিদুল ইসলাম,মোছাঃ আলতাফন নেছা,০৯/০২/১৯৮৮,গৃহিনী,গাড়ীডোব, গাংনী, মেহেরপুর</t>
  </si>
  <si>
    <t>১৪২৫,মোছাঃ ছইরন খাতুন,৫৭০০৩৮৩৫৬৩৬৩,ভাদু খাঁ,মোছাঃ উলি খাতুন,০৮/০১/১৯৬৭,গৃহিনী,গাড়ীডোব, গাংনী, মেহেরপুর</t>
  </si>
  <si>
    <t>১৪২৬,মোছাঃ রিজ্কা খাতুন,৫৭০০৩৮৩৫৬৩৬৫,খলিল খাঁ,মোছাঃ জহুরা খাতুন,১২/০৩/১৯৮৭,গৃহিনী,গাড়ীডোব, গাংনী, মেহেরপুর</t>
  </si>
  <si>
    <t>১৪২৭,মোছাঃ জেসমিন খাতুন,৫৭০০৩৮৩৫৬৩৬৬,মোঃ আজিজুল হক,মোছাঃ হিফারন,১২/০৪/১৯৮৭,গৃহিনী,গাড়ীডোব, গাংনী, মেহেরপুর</t>
  </si>
  <si>
    <t>১৪২৮,মোছাঃ তানজিলা খাতুন,৫৭০০৩৮৩৫৬৩৬৮,ছামছুদ্দীন,মোছাঃ ছফেরা খাতুন,০৪/০২/১৯৫৭,গৃহিনী,গাড়ীডোব, গাংনী, মেহেরপুর</t>
  </si>
  <si>
    <t>১৪২৯,মোছাঃ রহিমা খাতুন,৫৭০০৩৮৩৫৬৩৬৯,আব্দুর রহমান,মোছাঃ তানজিলা খাতুন,০৮/০৩/১৯৭৩,গৃহিনী,গাড়ীডোব, গাংনী, মেহেরপুর</t>
  </si>
  <si>
    <t>১৪৩০,মোছাঃ হাছিনা আক্তার,৫৭০০৩৮৩৫৬৩৭৯,মোঃ হারুন আর রশীদ,মোছাঃ মলিনা রশিদ,১৮/০৪/১৯৮০,সরকারী চাকুরী,গাড়ীডোব, গাংনী, মেহেরপুর</t>
  </si>
  <si>
    <t>১৪৩১,মোছাঃ কায়মন নেছা,৫৭০০৩৮৩৫৬৩৮৬,কুদুন খাঁ,মোছাঃ গোলেজান,১০/০২/১৯৪২,গৃহিনী,গাড়ীডোব, গাংনী, মেহেরপুর</t>
  </si>
  <si>
    <t>১৪৩২,মোছাঃ নাজমা খাতুন,৫৭০০৩৮৩৫৬৩৯০,মোঃ চাঁদ আলী,মোছাঃ জাহানারা খাতুন,০৮/০৭/১৯৮৭,গৃহিনী,গাড়ীডোব, গাংনী, মেহেরপুর</t>
  </si>
  <si>
    <t>১৪৩৩,মোছাঃ রূপালী খাতুন,৫৭০০৩৮৩৫৬৩৯১,মোঃ বিসারত আলী,মোছাঃ মানিয়ারা খাতুন,১০/০৫/১৯৮৭,গৃহিনী,গাড়ীডোব, গাংনী, মেহেরপুর</t>
  </si>
  <si>
    <t>১৪৩৪,মোছাঃ রেক্সোনা খাতুন,৫৭০০৩৮৩৫৬৩৯২,মোঃ আব্দুল কাদের,মোছাঃ ছাপিয়া খাতুন,০৫/০৭/১৯৮৮,গৃহিনী,গাড়ীডোব, গাংনী, মেহেরপুর</t>
  </si>
  <si>
    <t>১৪৩৫,মোছাঃ আফরোজা খাতুন,৫৭০০৩৮৩৫৬৩৯৩,মোঃ আক্কাচ আলী,মোছাঃ ছকিনা খাতুন,০৫/০২/১৯৮৭,গৃহিনী,গাড়ীডোব, গাংনী, মেহেরপুর</t>
  </si>
  <si>
    <t>১৪৩৬,মোছাঃ ফজিলা খাতুন,৫৭০০৩৮৩৫৬৩৯৬,নিজাম উদ্দীন খা,মোছাঃ জামেনা খাতুন,০৮/০৩/১৯৬০,গৃহিনী,গাড়ীডোব, গাংনী, মেহেরপুর</t>
  </si>
  <si>
    <t>১৪৩৭,মোছাঃ মোমেনা খাতুন,৫৭০০৩৮৩৫৬৪০২,ময়েজদ্দীন,মোছাঃ জাহারন নেছা,২১/০১/১৯৭৩,গৃহিনী,বাঁশবাড়ীয়া, গাড়ীডোব, গাংনী, মেহেরপুর</t>
  </si>
  <si>
    <t>১৪৩৮,মোছাঃ ফাতেমা খাতুন,৫৭০০৩৮৩৫৬৪০৩,সাদেক আলী,মোছাঃ শোকজান,১২/০২/১৯৮০,গৃহিনী,বাঁশবাড়ীয়া, গাড়ীডোব, গাংনী, মেহেরপুর</t>
  </si>
  <si>
    <t>১৪৩৯,মোছাঃ মর্জিনা খাতুন,৫৭০০৩৮৩৫৬৪০৭,মোঃ মমতাজ মালিথা,মোছাঃ ওসরা খাতুন,২১/০২/১৯৫৭,গৃহিনী,বাঁশবাড়ীয়া, গাড়ীডোব, গাংনী, মেহেরপুর</t>
  </si>
  <si>
    <t>১৪৪০,মোছাঃ রক্তিমা খাতুন,৫৭০০৩৮৩৫৬৪০৮,মোঃ আব্দুর রহমান,মোছাঃ আরিফা খাতুন,১২/১০/১৯৮৫,গৃহিনী,গাড়ীডোব, গাংনী, মেহেরপুর</t>
  </si>
  <si>
    <t>১৪৪১,মোছাঃ সোহাগী খাতুন,৫৭০০৩৮৩৫৬৪০৯,মোঃ বদর উদ্দীন,মোছাঃ নপুরা খাতুন,০১/০৬/১৯৭২,গৃহিনী,বাঁশবাড়ীয়া, গাড়ীডোব, গাংনী, মেহেরপুর</t>
  </si>
  <si>
    <t>১৪৪২,মোছাঃ আনোয়ারা খাতুন,৫৭০০৩৮৩৫৬৪১০,গরীব মন্ডল,মোছাঃ আবেদা খাতুন,১০/১২/১৯৪৭,গৃহিনী,গাড়ীডোব, গাংনী, মেহেরপুর</t>
  </si>
  <si>
    <t>১৪৪৩,মোছাঃ রেকসোনা খাতুন,৫৭০০৩৮৩৫৬৪১১,মোঃ খলিলুর রহমান,মোছাঃ হাফিজা খাতুন,১০/১২/১৯৭৭,গৃহিনী,বাঁশবাড়িয়া, গাড়ীডোব, গাংনী, মেহেরপুর</t>
  </si>
  <si>
    <t>১৪৪৪,মোছাঃ নুসরাত জাহান,৫৭০০৩৮৩৫৬৪১২,মোঃ ফেলু মন্ডল,মোছাঃ আনিসা বেগম,০২/০৬/১৯৮৯,গৃহিনী,বাঁশবাড়ীয়া, গাড়ীডোব, গাংনী, মেহেরপুর</t>
  </si>
  <si>
    <t>১৪৪৫,মোছাঃ আসমা খাতুন,৫৭০০৩৮৩৫৬৪১৫,নেয়ামত আলী,ফুলজান বিবি,০১/০৬/১৯৬১,গৃহিনী,গাড়ীডোব, গাংনী, মেহেরপুর</t>
  </si>
  <si>
    <t>১৪৪৬,মোছাঃ তহমিনা খাতুন,৫৭০০৩৮৩৫৬৪১৬,হেলাল উদ্দিন,হুরজান বিবি,০২/০৭/১৯৬৯,গৃহিনী,গাড়ীডোব, গাংনী, মেহেরপুর</t>
  </si>
  <si>
    <t>১৪৪৭,মোছাঃ জেসমিন আরা,৫৭০০৩৮৩৫৬৪১৭,মোঃ আকবর আলী,মোছাঃ আছিয়া খাতুন,১৫/০৬/১৯৮৮,গৃহিনী,বাঁশবাড়িয়া, গাড়ীডোব, গাংনী, মেহেরপুর</t>
  </si>
  <si>
    <t>১৪৪৮,মোছাঃ খালেদা আকতার,৫৭০০৩৮৩৫৬৪১৮,মোঃ সিদ্দিকুর রহমান,মোছাঃ তহমিনা খাতুন,০১/১০/১৯৮৯,গৃহিনী,বাঁশবাড়িয়া, গাড়ীডোব, গাংনী, মেহেরপুর</t>
  </si>
  <si>
    <t>১৪৪৯,মোছাঃ সারা খাতুন,৫৭০০৩৮৩৫৬৪১৯,ফকির মালিথা,মতিয়ারা খাতুন,০২/১০/১৯২৫,গৃহিনী,বাঁশবাড়ীয়া, গাড়ীডোব, গাংনী, মেহেরপুর</t>
  </si>
  <si>
    <t>১৪৫০,মোছাঃ আনজিরা খাতুন,৫৭০০৩৮৩৫৬৪২১,ইছাহাক মোল্লা,মোছাঃ আমেনা খাতুন,১০/১১/১৯৬২,গৃহিনী,বাঁশবাড়ীয়া, গাড়ীডোব, গাংনী, মেহেরপুর</t>
  </si>
  <si>
    <t>১৪৫১,মোছাঃ খাদিজা খাতুন,৫৭০০৩৮৩৫৬৪২৪,মোঃ লুৎফর রহমান,মোছাঃ মর্জিনা খাতুন,০১/০৬/১৯৮৫,গৃহিনী,বাঁশবাড়ীয়া, গাড়ীডোব, গাংনী, মেহেরপুর</t>
  </si>
  <si>
    <t>১৪৫২,মোছাঃ লাকী খাতুন,৫৭০০৩৮৩৫৬৪২৫,মোঃ শুকুর আলী,মোছাঃ তারাফুল,১৫/১০/১৯৮৫,গৃহিনী,বাঁশবাড়ীয়া, গাড়ীডোব, গাংনী, মেহেরপুর</t>
  </si>
  <si>
    <t>১৪৫৩,মোছাঃ মাজেদা খাতুন,৫৭০০৩৮৩৫৬৪২৭,মবজেল হোসেন,মোছাঃ সাহেরা খাতুন,১০/১১/১৯৬৭,গৃহিনী,বাঁশবাড়ীয়া, গাড়ীডোব, গাংনী, মেহেরপুর</t>
  </si>
  <si>
    <t>১৪৫৪,মোছাঃ বিলকিস খাতুন,৫৭০০৩৮৩৫৬৪২৮,কালু মন্ডল,মোছাঃ মিনুয়ারা,১০/১০/১৯৮০,গৃহিনী,বাঁশবাড়ীয়া, গাড়ীডোব, গাংনী, মেহেরপুর</t>
  </si>
  <si>
    <t>১৪৫৫,মোছাঃ তহমিনা খাতুন,৫৭০০৩৮৩৫৬৪৩১,আত্তাব মন্ডল,মোছাঃ সাহারন নেছা,১৫/০৬/১৯৫৭,গৃহিনী,গাড়ীডোব, গাংনী, মেহেরপুর</t>
  </si>
  <si>
    <t>১৪৫৬,মোছাঃ জাম্বাতন নেছা,৫৭০০৩৮৩৫৬৪৩২,মোঃ আক্কাচ আলী,মোছাঃ শকেজান,১৮/০৬/১৯৮২,গৃহিনী,বাঁশবাড়ীয়া, গাড়ীডোব, গাংনী, মেহেরপুর</t>
  </si>
  <si>
    <t>১৪৫৭,মোছাঃ আনজিরা খাতুন,৫৭০০৩৮৩৫৬৪৩৮,সাদেক আলী,মোছাঃ মাহিরন নেছা,১৫/১০/১৯৬৫,গৃহিনী,বাঁশবাড়ীয়া, গাড়ীডোব, গাংনী, মেহেরপুর</t>
  </si>
  <si>
    <t>১৪৫৮,মোছাঃ সোনাভানু,৫৭০০৩৮৩৫৬৪৪০,নেয়ামত আলী,ফুলজান বিবি,১২/০৮/১৯৬২,গৃহিনী,বাঁশবাড়িয়া, গাড়ীডোব, গাংনী, মেহেরপুর</t>
  </si>
  <si>
    <t>১৪৫৯,মোছাঃ রেবেকা খাতুন,৫৭০০৩৮৩৫৬৪৪২,মোঃ গফুর আলী,মোছাঃ মনোয়ারা খাতুন,১০/১১/১৯৮৬,গৃহিনী,বাঁশবাড়িয়া, গাড়ীডোব, গাংনী, মেহেরপুর</t>
  </si>
  <si>
    <t>১৪৬০,মোছাঃ সাবানা খাতুন,৫৭০০৩৮৩৫৬৪৪৪,মোঃ মোফাজ্জেল হোসেন,মোছাঃ হালিমা খাতুন,১৫/০৯/১৯৮৬,গৃহিনী,গাড়ীডোব, গাংনী, মেহেরপুর</t>
  </si>
  <si>
    <t>১৪৬১,মোছাঃ মলেজান,৫৭০০৩৮৩৫৬৪৪৬,ফকিরজান,মোছাঃ সইমেনা খাতুন,১৫/০৭/১৯৬২,গৃহিনী,গাড়ীডোব, গাংনী, মেহেরপুর</t>
  </si>
  <si>
    <t>১৪৬২,মোছাঃ সোহাগী খাতুন,৫৭০০৩৮৩৫৬৪৪৭,ওয়াদ মন্ডল,মোছাঃ জমেলা খাতুন,১৫/১০/১৯৫২,গৃহিনী,বাঁশবাড়ীয়া, গাড়ীডোব, গাংনী, মেহেরপুর</t>
  </si>
  <si>
    <t>১৪৬৩,মোছাঃ সাবিনা খাতুন,৫৭০০৩৮৩৫৬৪৪৮,মোঃ রমজান আলী,মোছাঃ আকলিমা,১৫/০৯/১৯৮২,গৃহিনী,গাড়ীডোব, গাংনী, মেহেরপুর</t>
  </si>
  <si>
    <t>১৪৬৪,মোছাঃ রিনা খাতুন,৫৭০০৩৮৩৫৬৪৪৯,মোছাঃ আজিবার হোসেন,মোছাঃ রাকিয়া খাতুন,১৫/০৮/১৯৮৩,গৃহিনী,বাঁশবাড়ীয়া, গাড়ীডোব, গাংনী, মেহেরপুর</t>
  </si>
  <si>
    <t>১৪৬৫,মোছাঃ ভানুয়ারা,৫৭০০৩৮৩৫৬৪৫০,জারমান আলী,রহিমা খাতুন,১০/০৬/১৯৫৪,গৃহিনী,বাঁশবাড়ীয়া, গাড়ীডোব, গাংনী, মেহেরপুর</t>
  </si>
  <si>
    <t>১৪৬৬,মোছাঃ তসলিমা খাতুন,৫৭০০৩৮৩৫৬৪৫১,মহম্মাদ আলী,মোছাঃ ছুরাতন নেছা,০৫/০৬/১৯৬৩,গৃহিনী,বাঁশবাড়ীয়া, গাড়ীডোব, গাংনী, মেহেরপুর</t>
  </si>
  <si>
    <t>১৪৬৭,মোছাঃ সামসুন্নাহার,৫৭০০৩৮৩৫৬৪৫৩,সলেমান বিশ্বাস,মোছাঃ নেকজান নেছা,১০/১০/১৯৬৪,গৃহিনী,বাঁশবাড়ীয়া, গাড়ীডোব, গাংনী, মেহেরপুর</t>
  </si>
  <si>
    <t>১৪৬৮,মোছাঃ রহিমা খাতুন,৫৭০০৩৮৩৫৬৪৫৪,বাবর আলী,মোছাঃ সকিনা বিবি,০৪/০৭/১৯৬৭,গৃহিনী,বাঁশবাড়ীয়া, গাড়ীডোব, গাংনী, মেহেরপুর</t>
  </si>
  <si>
    <t>১৪৬৯,মোছাঃ হালিম,৫৭০০৩৮৩৫৬৪৫৫,মোঃ জহর মন্ডল,মোছাঃ সালেহার,১০/০৬/১৯৬৫,গৃহিনী,গাড়ীডোব, গাংনী, মেহেরপুর</t>
  </si>
  <si>
    <t>১৪৭০,মোছাঃ তরিফন খাতুন,৫৭০০৩৮৩৫৬৪৫৭,রাসুল মন্ডল,মোছাঃ সায়েরা খাতুন,১২/০৯/১৯৬৭,গৃহিনী,গাড়ীডোব, গাংনী, মেহেরপুর</t>
  </si>
  <si>
    <t>১৪৭১,মোছাঃ ফরিদা বেগম,৫৭০০৩৮৩৫৬৪৬০,মোঃ আলতাব হোসেন,মোছাঃ ফজিলা বেগম,১৬/০৯/১৯৭৪,গৃহিনী,গাড়ীডোব, গাংনী, মেহেরপুর</t>
  </si>
  <si>
    <t>১৪৭২,মোছাঃ নাসিমা খাতুন,৫৭০০৩৮৩৫৬৪৬২,নহিম শেখ,মোছাঃ খাদিজা,১০/১০/১৯৬৮,গৃহিনী,গাড়ীডোব, গাংনী, মেহেরপুর</t>
  </si>
  <si>
    <t>১৪৭৩,মোছাঃ সাজেদা খাতুন,৫৭০০৩৮৩৫৬৪৬৩,মোঃ খেদের আলী,মোছাঃ শহিদা খাতুন,১০/০৬/১৯৮৮,গৃহিনী,গাড়ীডোব, গাংনী, মেহেরপুর</t>
  </si>
  <si>
    <t>১৪৭৪,মোছাঃ শিখা খাতুন,৫৭০০৩৮৩৫৬৪৬৪,মোঃ শওকত আলী,মোছাঃ হাজেরা খাতুন,১৫/১০/১৯৮৮,গৃহিনী,গাড়ীডোব, গাংনী, মেহেরপুর</t>
  </si>
  <si>
    <t>১৪৭৫,মোছাঃ সোনা ভানু,৫৭০০৩৮৩৫৬৪৭০,মোঃ ইকরাম উদ্দীন শেখ,মোছাঃ মজিরন নেছা,১০/১২/১৯৭৭,গৃহিনী,গাড়ীডোব, গাংনী, মেহেরপুর</t>
  </si>
  <si>
    <t>১৪৭৬,মোছাঃ রওশান আরা,৫৭০০৩৮৩৫৬৪৭১,আইন উদ্দীন শেখ,মালজান শেখ,১০/১০/১৯২৫,গৃহিনী,গাড়ীডোব, গাংনী, মেহেরপুর</t>
  </si>
  <si>
    <t>১৪৭৭,মোছাঃ গোলজান,৫৭০০৩৮৩৫৬৪৮০,মোঃ সুলতান হোসেন,মোছাঃ কুলসুম,২১/০৬/১৯৫৯,গৃহিনী,গাড়ীডোব, গাংনী, মেহেরপুর</t>
  </si>
  <si>
    <t>১৪৭৮,মোছাঃ শিউলি খাতুন,৫৭০০৩৮৩৫৬৪৮২,মোঃ আব্দুল সাত্তার,মোছাঃ সায়রা খাতুন,১৫/০৮/১৯৭৫,গৃহিনী,গাড়ীডোব, গাংনী, মেহেরপুর</t>
  </si>
  <si>
    <t>১৪৭৯,মোছাঃ শুকজান নেছা,৫৭০০৩৮৩৫৬৪৮৩,মোঃ শুকুর আলী,মোছাঃ ফজিলা খাতুন,১২/১০/১৯৮৫,গৃহিনী,গাড়ীডোব, গাংনী, মেহেরপুর</t>
  </si>
  <si>
    <t>১৪৮০,মোছাঃ সামেনা খাতুন,৫৭০০৩৮৩৫৬৪৮৪,আব্দুল কাদের,মোছাঃ সাহেরা খাতুন,১০/১১/১৯৬৫,গৃহিনী,গাড়ীডোব, গাংনী, মেহেরপুর</t>
  </si>
  <si>
    <t>১৪৮১,মোছাঃ রিজিয়া খাতুন,৫৭০০৩৮৩৫৬৪৮৬,আব্দুল মজিদ,মোছাঃ সালেহার,২৫/১০/১৯৭৫,গৃহিনী,গাড়ীডোব, গাংনী, মেহেরপুর</t>
  </si>
  <si>
    <t>১৪৮২,মোছাঃ রত্না খাতুন,৫৭০০৩৮৩৫৬৪৮৯,আমির আলী,মোছাঃ জেলেহার,১২/১১/১৯৮৭,গৃহিনী,গাড়ীডোব, গাংনী, মেহেরপুর</t>
  </si>
  <si>
    <t>১৪৮৩,মোছাঃ ফজিলা খাতুন,৫৭০০৩৮৩৫৬৪৯০,মোঃ মোহাব আলী,মোছাঃ খোদেজা,১০/১২/১৯৬০,গৃহিনী,গাড়ীডোব, গাংনী, মেহেরপুর</t>
  </si>
  <si>
    <t>১৪৮৪,মোছাঃ সাহেলা খাতুন,৫৭০০৩৮৩৫৬৪৯৩,মোঃ হেদায়েতউল্লা,মোছাঃ খোদেজান,১২/১০/১৯৭৭,গৃহিনী,গাড়ীডোব, গাংনী, মেহেরপুর</t>
  </si>
  <si>
    <t>১৪৮৫,মোছাঃ নাজমা খাতুন,৫৭০০৩৮৩৫৬৪৯৫,মোঃ শহিদুল ইসলাম,মোছাঃ তাসলিমা,১৫/০৮/১৯৮৭,গৃহিনী,গাড়ীডোব, গাংনী, মেহেরপুর</t>
  </si>
  <si>
    <t>১৪৮৬,মোছাঃ চিন্তা খাতুন,৫৭০০৩৮৩৫৬৪৯৬,লিয়াকত হোসেন,মোছাঃ মনোয়ারা বেগম,২০/১১/১৯৭৫,গৃহিনী,গাড়ীডোব, গাংনী, মেহেরপুর</t>
  </si>
  <si>
    <t>১৪৮৭,মোছাঃ রন্না খাতুন,৫৭০০৩৮৩৫৬৪৯৭,কাজিমদ্দিন,মোছাঃ জাহারন,১২/০৬/১৯৭৪,গৃহিনী,গাড়ীডোব, গাংনী, মেহেরপুর</t>
  </si>
  <si>
    <t>১৪৮৮,মোছাঃ সুফিয়া খাতুন,৫৭০০৩৮৩৫৬৫০০,মোঃ নকিমিদ্দিন,মোছাঃ ফাতেমা খাতুন,১২/১২/১৯৬৭,গৃহিনী,গাড়ীডোব, গাংনী, মেহেরপুর</t>
  </si>
  <si>
    <t>১৪৮৯,মোছাঃ বেলিনা খাতুন,৫৭০০৩৮৩৫৬৫০১,মোঃ কলিম উদ্দীন,মোছাঃ সাহারবানু,১২/০৮/১৯৮৭,গৃহিনী,গাড়ীডোব, গাংনী, মেহেরপুর</t>
  </si>
  <si>
    <t>১৪৯০,মোছাঃ নুরনাহার,৫৭০০৩৮৩৫৬৫০৬,মোঃ ওয়াজেদ শেখ,মোছাঃ আছিয়া খাতুন,১২/১১/১৯৬০,গৃহিনী,গাড়ীডোব, গাংনী, মেহেরপুর</t>
  </si>
  <si>
    <t>১৪৯১,মোছাঃ রহিমা খাতুন,৫৭০০৩৮৩৫৬৫০৮,আবুল হোসেন,মোছাঃ কহিনুর,০১/০৮/১৯৬৭,গৃহিনী,গাড়ীডোব, গাংনী, মেহেরপুর</t>
  </si>
  <si>
    <t>১৪৯২,মোছাঃ জমেলা খাতুন,৫৭০০৩৮৩৫৬৫১২,পাচু শেখ,সায়রা খাতুন,১৯/১১/১৯৬৭,গৃহিনী,গাড়ীডোব, গাংনী, মেহেরপুর</t>
  </si>
  <si>
    <t>১৪৯৩,মোছাঃ আকলিমা খাতুন,৫৭০০৩৮৩৫৬৫২১,মোশারেফ হোসেন,মোছাঃ রিজিয়া খাতুন,১০/১২/১৯৬৫,গৃহিনী,গাড়ীডোব, গাংনী, মেহেরপুর</t>
  </si>
  <si>
    <t>১৪৯৪,মোছাঃ মুসলিমা খাতুন,৫৭০০৩৮৩৫৬৫২২,মোশারেফ হোসেন,মোছাঃ রিজিয়া খাতুন,১৫/০৮/১৯৬৫,গৃহিনী,গাড়ীডোব, গাংনী, মেহেরপুর</t>
  </si>
  <si>
    <t>১৪৯৫,মোছাঃ রেবেকা খাতুন,৫৭০০৩৮৩৫৬৫২৫,মোঃ শাকের আলী,মোছাঃ সানোয়ারা,১২/০৮/১৯৮০,গৃহিনী,গাড়ীডোব, গাংনী, মেহেরপুর</t>
  </si>
  <si>
    <t>১৪৯৬,মোছাঃ বিলকিস খাতুন,৫৭০০৩৮৩৫৬৫২৬,মোঃ ইকরাম হোসেন,মোছাঃ জিজান,১২/১২/১৯৮২,গৃহিনী,গাড়ীডোব, গাংনী, মেহেরপুর</t>
  </si>
  <si>
    <t>১৪৯৭,মোছাঃ উজিলা খাতুন,৫৭০০৩৮৩৫৬৫২৭,মোঃ কাওসার আলী,মোছাঃ রাহেনা খাতুন,১৭/০৭/১৯৮১,গৃহিনী,গাড়ীডোব, গাংনী, মেহেরপুর</t>
  </si>
  <si>
    <t>১৪৯৮,মোছাঃ আছিয়া খাতুন,৫৭০০৩৮৩৫৬৫২৯,মোছাব খাঁ,লুৎফন নেছা,১৫/০৮/১৯৫২,গৃহিনী,গাড়ীডোব, গাংনী, মেহেরপুর</t>
  </si>
  <si>
    <t>১৪৯৯,মোছাঃ আনার কলি,৫৭০০৩৮৩৫৬৫৩২,মোঃ আব্দুর রহমান,মোছাঃ হামিরন নেছা,২৫/০৩/১৯৭৫,গৃহিনী,গাড়ীডোব, গাংনী, মেহেরপুর</t>
  </si>
  <si>
    <t>১৫০০,মোছাঃ হাসিনা খাতুন,৫৭০০৩৮৩৫৬৫৩৩,মোঃ মহসিন শেখ,মোছাঃ জরিনা খাতুন,২৮/০৮/১৯৮০,গৃহিনী,গাড়ীডোব, গাংনী, মেহেরপুর</t>
  </si>
  <si>
    <t>১৫০১,মোছাঃ রহিলা খাতুন,৫৭০০৩৮৩৫৬৫৩৪,মোঃ শরিফুদ্দিন শেখ,মোছাঃ জাহানারা খাতুন,১৭/০৭/১৯৮৪,গৃহিনী,গাড়ীডোব, গাংনী, মেহেরপুর</t>
  </si>
  <si>
    <t>১৫০২,মোছাঃ খোদেজা খাতুন,৫৭০০৩৮৩৫৬৫৩৯,খেদের মাহমুদ,মোছাঃ রহিমা খাতুন,১১/০২/১৯৫২,গৃহিনী,গাড়ীডোব, গাংনী, মেহেরপুর</t>
  </si>
  <si>
    <t>১৫০৩,মোছাঃ শেফালী খাতুন,৫৭০০৩৮৩৫৬৫৪১,মোঃ মজনু হোসেন,মোছাঃ হালিমা খাতুন,১৬/১০/১৯৭৮,গৃহিনী,গাড়ীডোব, গাংনী, মেহেরপুর</t>
  </si>
  <si>
    <t>১৫০৪,মোছাঃ আনজিরা খাতুন,৫৭০০৩৮৩৫৬৫৪৪,জোনাব মন্ডল,মোছাঃ রূপিয়া খাতুন,১৬/০৩/১৯৮২,গৃহিনী,গাড়ীডোব, গাংনী, মেহেরপুর</t>
  </si>
  <si>
    <t>১৫০৫,মোছাঃ দুলু খাতুন,৫৭০০৩৮৩৫৬৫৪৫,ইতবার শেখ,দাসীমন খাতুন,১৬/০৫/১৯৫২,গৃহিনী,গাড়ীডোব, ধানখোলা, গাংনী, মেহেরপুর</t>
  </si>
  <si>
    <t>১৫০৬,মোছাঃ সালেহার খাতুন,৫৭০০৩৮৩৫৬৫৪৭,মোঃ সামসুল ইসলাম,মোছাঃ তাহেরা খাতুন,১৮/০৭/১৯৮৭,গৃহিনী,গাড়ীডোব, গাংনী, মেহেরপুর</t>
  </si>
  <si>
    <t>১৫০৭,মোছাঃ নাছিমা খাতুন,৫৭০০৩৮৩৫৬৫৪৯,রজব আলী,মোছাঃ টুনি খাতুন,১৪/০৪/১৯৭২,গৃহিনী,গাড়ীডোব, গাংনী, মেহেরপুর</t>
  </si>
  <si>
    <t>১৫০৮,মোছাঃ উজিলা খাতুন,৫৭০০৩৮৩৫৬৫৫১,মোঃ মোহার আলী,মোছাঃ খোদেজা খাতুন,১৯/০৯/১৯৭০,গৃহিনী,গাড়ীডোব, গাংনী, মেহেরপুর</t>
  </si>
  <si>
    <t>১৫০৯,মোছাঃ লালভানু,৫৭০০৩৮৩৫৬৫৫২,শুকুর মন্ডল,মোছাঃ নাইমন নেছা,২৫/০৫/১৯৭২,গৃহিনী,গাড়ীডোব, গাংনী, মেহেরপুর</t>
  </si>
  <si>
    <t>১৪৯২,মোছাঃ রোজিনা খাতুন,৫৭০০৩৮৩৫৬৫৫৬,মোঃ কবিরুদ্দিন,মোছাঃ অঞ্জনা খাতুন,১৬/০৮/১৯৮৫,গৃহিনী,গাড়ীডোব, গাংনী, মেহেরপুর</t>
  </si>
  <si>
    <t>১৪৯৩,মোছাঃ জোসনা খাতুন,৫৭০০৩৮৩৫৬৫৫৭,মোঃ আজিজুল হক,মোছাঃ মর্জিনা খাতুন,১২/০৯/১৯৭৬,গৃহিনী,গাড়ীডোব, গাংনী, মেহেরপুর</t>
  </si>
  <si>
    <t>১৪৯৪,মোছাঃ রাশিদা খাতুন,৫৭০০৩৮৩৫৬৫৫৮,মোঃ রজব আলী,মোছাঃ কুরছিয়া খাতুন,১৪/০৪/১৯৮২,গৃহিনী,গাড়ীডোব, গাংনী, মেহেরপুর</t>
  </si>
  <si>
    <t>১৪৯৫,মোছাঃ কুরছিয়া খাতুন,৫৭০০৩৮৩৫৬৫৫৯,নুর মোহাম্মদ,মোছাঃ ছামেনা খাতুন,১০/১২/১৯৮২,গৃহিনী,গাড়ীডোব, গাংনী, মেহেরপুর</t>
  </si>
  <si>
    <t>১৪৯৬,মোছাঃ বেলি খাতুন,৫৭০০৩৮৩৫৬৫৬১,মোঃ তাহাজউদ্দীন,মোছাঃ ফজিলা খাতুন,১৬/০৮/১৯৭৪,গৃহিনী,গাড়ীডোব, গাংনী, মেহেরপুর</t>
  </si>
  <si>
    <t>১৪৯৭,মোছাঃ সুমিতা খাতুন,৫৭০০৩৮৩৫৬৫৬২,মোঃ শুকুর আলী,মোছাঃ দাখিলা খাতুন,১৮/০৯/১৯৭২,গৃহিনী,গাড়ীডোব, গাংনী, মেহেরপুর</t>
  </si>
  <si>
    <t>১৪৯৮,মোছাঃ রমেছা খাতুন,৫৭০০৩৮৩৫৬৫৬৩,মোঃ রহমান মোল্লা,মোছাঃ বানোয়ারা,১৫/০৮/১৯৭২,গৃহিনী,গাড়ীডোব, গাংনী, মেহেরপুর</t>
  </si>
  <si>
    <t>১৪৯৯,মোছাঃ রোকেয়া খাতুন,৫৭০০৩৮৩৫৬৫৬৭,ইসমাইল হোসেন,মোছাঃ হাসিনা খাতুন,১৮/১০/১৯৭৭,গৃহিনী,গাড়ীডোব, গাংনী, মেহেরপুর</t>
  </si>
  <si>
    <t>১৫০০,মোছাঃ বানোয়ারা খাতুন,৫৭০০৩৮৩৫৬৫৬৮,নিজামুদ্দীন খাঁ,মোছাঃ জমিরন,১২/১১/১৯৬৭,গৃহিনী,গাড়ীডোব, গাংনী, মেহেরপুর</t>
  </si>
  <si>
    <t>১৫০১,মোছাঃ জান্নাতুন,৫৭০০৩৮৩৫৬৫৭৩,মোঃ হাম্মাদ খাঁ,মোছাঃ মোর্শেদা খাতুন,১৯/০৯/১৯৭২,গৃহিনী,গাড়ীডোব, গাংনী, মেহেরপুর</t>
  </si>
  <si>
    <t>১৫০২,মোছাঃ আনজুমান আরা,৫৭০০৩৮৩৫৬৫৭৫,আরজেল হক,মোছাঃ শাহেরা খাতুন,২৫/০৫/১৯৮২,গৃহিনী,গাড়ীডোব, গাংনী, মেহেরপুর</t>
  </si>
  <si>
    <t>১৫০৩,মোছাঃ রাশিদা খাতুন,৫৭০০৩৮৩৫৬৫৭৯,মোঃ কাবাতুল্লাহ,মোছাঃ কহিনুর,১৮/০৮/১৯৮১,গৃহিনী,গাড়ীডোব, গাংনী, মেহেরপুর</t>
  </si>
  <si>
    <t>১৫০৪,মোছাঃ আলিয়া খাতুন,৫৭০০৩৮৩৫৬৫৮১,মফিজ উদ্দীন শেখ,ফজিলা খাতুন,২২/১০/১৯৬৭,গৃহিনী,গাড়ীডোব, গাংনী, মেহেরপুর</t>
  </si>
  <si>
    <t>১৫০৫,মোছাঃ রওশন আরা বেগম,৫৭০০৩৮৩৫৬৫৪৩,মীর আব্দুর রউফ,মোছাঃ আছিয়া খাতুন,১৩/০৬/১৯৫৩,গৃহিনী,গাড়ীডোব, গাংনী, মেহেরপুর</t>
  </si>
  <si>
    <t>১৫০৬,মোছাঃ সুরজিয়া খানম,৫৭০০৩৮৩৫৬৫৪৫,মোঃ শামসুল আলম খান,মোছাঃ সুফিয়া খাতুন,২৯/১১/১৯৭৫,গৃহিনী,গাড়ীডোব, গাংনী, মেহেরপুর</t>
  </si>
  <si>
    <t>১৫০৭,মোছাঃ সাহারা বেগম,৫৭০০৩৮৩৫৬৫৪৮,ছফিরুদ্দিন খান,মোছাঃ নুরজাহান,১২/১২/১৯৬১,গৃহিনী,গাড়ীডোব, গাংনী, মেহেরপুর</t>
  </si>
  <si>
    <t>১৫০৮,মোছাঃ মরিয়ম খাতুন,৫৭০০৩৮৩৫৬৫৯০,মোঃ মসলেম উদ্দীন,মোছাঃ নিহারন বিবি,১৪/১১/১৯৭৭,গৃহিনী,গাড়ীডোব, গাংনী, মেহেরপুর</t>
  </si>
  <si>
    <t>১৫০৯,মোছাঃ নাসরিন খাতুন,৫৭০০৩৮৩৫৬৫৯৪,মোঃ আহাম্মাদ আলী,মোছাঃ সোনাভানু,১৯/০৮/১৯৮০,গৃহিনী,গাড়ীডোব, গাংনী, মেহেরপুর</t>
  </si>
  <si>
    <t>১৫২৮,মোছাঃ ফাতেমা খাতুন,৫৭০০৩৮৩৫৬৫৯৫,মোঃ নজরুল ইসলাম,মোছাঃ ফজিলা বেগম,১৮/১০/১৯৭৬,গৃহিনী,গাড়ীডোব, গাংনী, মেহেরপুর</t>
  </si>
  <si>
    <t>১৫২৯,মোছাঃ সারজিনা খাতুন,৫৭০০৩৮৩৫৬৫৯৮,মোঃ শাহজাহান আলী,মোছাঃ আলিয়া খাতুন,১৫/০৮/১৯৮০,গৃহিনী,গাড়ীডোব, গাংনী, মেহেরপুর</t>
  </si>
  <si>
    <t>১৫৩০,মোছাঃ আফরোজা খাতুন,৫৭০০৩৮৩৫৬৫৯৯,মোঃ জয়নাল হোসেন,মোছাঃ হামেদা খাতুন,১০/১১/১৯৮৬,গৃহিনী,গাড়ীডোব, গাংনী, মেহেরপুর</t>
  </si>
  <si>
    <t>১৫৩১,মোছাঃ সাবিরন খাতুন,৫৭০০৩৮৩৫৬৬০০,খয়ের উদ্দীন,মোছাঃ রাবিয়া খাতুন,১১/০৮/১৯৭২,গৃহিনী,গাড়ীডোব, গাংনী, মেহেরপুর</t>
  </si>
  <si>
    <t>১৫৩২,মোছাঃ নাছিমা খাতুন,৫৭০০৩৮৩৫৬৬০১,মোঃ শাবর হক,মোছাঃ সোনাভানু,১০/০৬/১৯৭৭,গৃহিনী,গাড়ীডোব, গাংনী, মেহেরপুর</t>
  </si>
  <si>
    <t>১৫৩৩,আনজুমানয়ারা,৫৭০০৩৮৩৫৬৬০৬,আসমত আলী,মোছাঃ রওশন আরা বেগম,০৬/০৮/১৯৭২,গৃহিনী,গাড়ীডোব, গাংনী, মেহেরপুর</t>
  </si>
  <si>
    <t>১৫৩৪,মোছাঃ সেলিনা খাতুন,৫৭০০৩৮৩৫৬৬১০,গরীব শা,মোছাঃ নিহারন নেছা,১২/১০/১৯৭৭,গৃহিনী,গাড়ীডোব, গাংনী, মেহেরপুর</t>
  </si>
  <si>
    <t>১৫৩৫,মোছাঃ আকলিমা খাতুন,৫৭০০৩৮৩৫৬৬১১,কাসেম খাতুন,নুরজাহান,১৩/০৮/১৯৭২,গৃহিনী,গাড়ীডোব, গাংনী, মেহেরপুর</t>
  </si>
  <si>
    <t>১৫৩৬,মোছাঃ ইসমত আরা,৫৭০০৩৮৩৫৬৬১৩,মোঃ আশরাফুল ইসলাম,মোছাঃ বানোয়ারা,১২/০৫/১৯৮২,গৃহিনী,গাড়ীডোব, গাংনী, মেহেরপুর</t>
  </si>
  <si>
    <t>১৫৩৭,মোছাঃ আমবিয়া খাতুন,৫৭০০৩৮৩৫৬৬১৪,আহম্মদ শেখ,মোছাঃ খাদিজা খাতুন,২১/০৮/১৯৬৭,গৃহিনী,গাড়ীডোব, গাংনী, মেহেরপুর</t>
  </si>
  <si>
    <t>১৫৩৮,মোছাঃ দেলোয়ারা খাতুন,৫৭০০৩৮৩৫৬৬১৫,মোঃ বাবর আলী,মোছাঃ মদিনা খাতুন,২৬/০৮/১৯৮২,গৃহিনী,গাড়ীডোব, গাংনী, মেহেরপুর</t>
  </si>
  <si>
    <t>১৫৩৯,মোছাঃ রাশেদা খাতুন,৫৭০০৩৮৩৫৬৬১৭,আমিরুদ্দিন,মোছাঃ আছিয়া খাতুন,১৫/০৫/১৯৬৭,গৃহিনী,গাড়ীডোব, গাংনী, মেহেরপুর</t>
  </si>
  <si>
    <t>১৫৪০,মোছাঃ রহিলা খাতুন,৫৭০০৩৮৩৫৬৬১৮,মোঃ খেদের আলী,মোছাঃ ছকিনা খাতুন,১৮/০৭/১৯৮১,গৃহিনী,গাড়ীডোব, গাংনী, মেহেরপুর</t>
  </si>
  <si>
    <t>১৫৪১,মোছাঃ নাছরিনা খাতুন,৫৭০০৩৮৩৫৬৬২০,মোঃ নবির উদ্দীন,মোছাঃ শিরিনা আকতার,১২/০৩/১৯৬৫,গৃহিনী,গাড়ীডোব, গাংনী, মেহেরপুর</t>
  </si>
  <si>
    <t>১৫৪২,মোছাঃ রশিদা খাতুন,৫৭০০৩৮৩৫৬৬২১,মোঃ আনোয়ার হোসেন,জামেলা খাতুন,১৯/০৭/১৯৭৪,গৃহিনী,গাড়ীডোব, গাংনী, মেহেরপুর</t>
  </si>
  <si>
    <t>১৫৪৩,মোছাঃ সাহেরা খাতুন,৫৭০০৩৮৩৫৬৬২২,বরকত জোয়ার্দার,মোছাঃ মমতাজ,১৬/০৮/১৯৫৭,গৃহিনী,গাড়ীডোব, গাংনী, মেহেরপুর</t>
  </si>
  <si>
    <t>১৫৪৪,মোছাঃ রেণুকা খাতুন,৫৭০০৩৮৩৫৬৬২৩,মোঃ আতিয়ার রহমান,মোছাঃ জরিনা খাতুন,২৬/০৫/১৯৬৭,গৃহিনী,গাড়ীডোব, গাংনী, মেহেরপুর</t>
  </si>
  <si>
    <t>১৫৪৫,মোছাঃ মর্জিনা খাতুন,৫৭০০৩৮৩৫৬৬৩১,মোকছাদ আলী,মোছাঃ মনোয়ারা খাতুন,২১/০৭/১৯৮৩,গৃহিনী,গাড়ীডোব, গাংনী, মেহেরপুর</t>
  </si>
  <si>
    <t>১৫৪৬,মোছাঃ শামিমা কুদ্দুস,৫৭০০৩৮৩৫৬৬৩৩,মোঃ আবু তাহের,মোছাঃ সালমা খাতুন,২৫/১০/১৯৮২,গৃহিনী,গাড়ীডোব, গাংনী, মেহেরপুর</t>
  </si>
  <si>
    <t>১৫৪৭,মোছাঃ ফেরদোস আরা,৫৭০০৩৮৩৫৬৬৩৫,ইছাহাক আলী,মোছাঃ জহুরা খাতুন,১৯/০৮/১৯৭০,গৃহিনী,গাড়ীডোব, গাংনী, মেহেরপুর</t>
  </si>
  <si>
    <t>১৫৪৮,মোছাঃ জীবননারা,৫৭০০৩৮৩৫৬৬৩৭,মোঃ আব্দুল মজিদ,মোছাঃ রমেলা খাতুন,১৮/১০/১৯৬৭,গৃহিনী,গাড়ীডোব, গাংনী, মেহেরপুর</t>
  </si>
  <si>
    <t>১৫৪৯,মোছাঃ সুলতানা খাতুন,৫৭০০৩৮৩৫৬৬৩৮,মোঃ শাহাবুদ্দীন,মোছাঃ আয়েশা খাতুন,১১/০৫/১৯৭৯,গৃহিনী,গাড়ীডোব, গাংনী, মেহেরপুর</t>
  </si>
  <si>
    <t>১৫৫০,মোছাঃ খায়রুন নেছা,৫৭০০৩৮৩৫৬৬৩৯,মোঃ আবুল হোসেন,মোছাঃ জৈগুন,১৪/০৭/১৯৬৫,গৃহিনী,গাড়ীডোব, গাংনী, মেহেরপুর</t>
  </si>
  <si>
    <t>১৫৫১,মোছাঃ আনেরা খাতুন,৫৭০০৩৮৩৫৬৬৪৩,মোঃ আবুতালেব,মোছাঃ জাহেদা খাতুন,১৪/০৭/১৯৬৯,গৃহিনী,গাড়ীডোব, গাংনী, মেহেরপুর</t>
  </si>
  <si>
    <t>১৫৫২,মোছাঃ আলতাফন,৫৭০০৩৮৩৫৬৬৪৬,আব্দুল লতিফ,মোছাঃ রহিমা খাতুন,১০/০৭/১৯৮২,গৃহিনী,গাড়ীডোব, গাংনী, মেহেরপুর</t>
  </si>
  <si>
    <t>১৫৫৩,মোছাঃ রহিমা খাতুন,৫৭০০৩৮৩৫৬৬৪৮,খেদের আলী,মোছাঃ সুমি খাতুন,১৫/১০/১৯৬৫,গৃহিনী,গাড়ীডোব, গাংনী, মেহেরপুর</t>
  </si>
  <si>
    <t>১৫৫৪,মোছাঃ শরিফন নেছা,৫৭০০৩৮৩৫৬৬৫০,সিফার উদ্দীন শেখ,নহেরুন,১৫/১০/১৯৪৭,গৃহিনী,গাড়ীডোব, গাংনী, মেহেরপুর</t>
  </si>
  <si>
    <t>১৫৫৫,মোছাঃ জবেদা খাতুন,৫৭০০৩৮৩৫৬৬৫১,মোঃ সনাতন,মোছাঃ আশরাফন,১১/০৯/১৯৭০,গৃহিনী,গাড়ীডোব, গাংনী, মেহেরপুর</t>
  </si>
  <si>
    <t>১৫৫৬,মোছাঃ শাবানা খাতুন,৫৭০০৩৮৩৫৬৬৫৩,মোঃ আলতাফ আলী,মোছাঃ পারুলা খাতুন,১৬/০৯/১৯৮৪,গৃহিনী,গাড়ীডোব, গাংনী, মেহেরপুর</t>
  </si>
  <si>
    <t>১৫৫৭,মোছাঃ আলিয়া খাতুন,৫৭০০৩৮৩৫৬৬৫৭,মোঃ আইয়ুব আলী,মোছাঃ আনোয়ারা খাতুন,১৭/০৮/১৯৭৩,গৃহিনী,গাড়ীডোব, গাংনী, মেহেরপুর</t>
  </si>
  <si>
    <t>১৫৫৮,মোছাঃ হাসিনা খাতুন,৫৭০০৩৮৩৫৬৬৫৯,মোঃ পীর বকস,মোছাঃ ফুলবতী,১৩/০৩/১৯৫৭,গৃহিনী,গাড়ীডোব, গাংনী, মেহেরপুর</t>
  </si>
  <si>
    <t>১৫৫৯,মোছাঃ নজেরা খাতুন,৫৭০০৩৮৩৫৬৬৬৪,মোঃ মারফত আলী,মোছাঃ জাহানারা খাতুন,১৪/০৩/১৯৮১,গৃহিনী,গাড়ীডোব, গাংনী, মেহেরপুর</t>
  </si>
  <si>
    <t>১৫৬০,মোছাঃ তানজিরা খাতুন,৫৭০০৩৮৩৫৬৬৬৭,মোঃ ইন্তাদুল হক,মোছাঃ আছিয়া খাতুন,১৮/০৪/১৯৭৭,গৃহিনী,গাড়ীডোব, গাংনী, মেহেরপুর</t>
  </si>
  <si>
    <t>১৫৬১,মোছাঃ রোজিনা খাতুন,৫৭০০৩৮৩৫৬৬৬৮,মোঃ আলী হোসেন,মোছাঃ আজেদা খাতুন,১৯/০৭/১৯৮৮,গৃহিনী,গাড়ীডোব, গাংনী, মেহেরপুর</t>
  </si>
  <si>
    <t>১৫৬২,মোছাঃ শান্তনা খাতুন,৫৭০০৩৮৩৫৬৬৮৪,মোঃ আকবর আলী,মোছাঃ মেহেরুন নেছা,২৩/০৪/১৯৮৪,গৃহিনী,গাড়ীডোব, গাংনী, মেহেরপুর</t>
  </si>
  <si>
    <t>১৫৬৩,মোছাঃ ইসমোতারা,৫৭০০৩৮৩৫৬৬৮৫,কাওছার আলী,মোছাঃ খুশি খাতুন,২৭/০৯/১৯৮৩,গৃহিনী,গাড়ীডোব, গাংনী, মেহেরপুর</t>
  </si>
  <si>
    <t>১৫৬৪,মোছাঃ নিহারন খাতুন,৫৭০০৩৮৩৫৬৬৯১,খয়ের উদ্দীন,মোছাঃ রাবেয়া খাতুন,১৫/০৮/১৯৮১,শ্রমিক,গাড়ীডোব, গাংনী, মেহেরপুর</t>
  </si>
  <si>
    <t>১৫৬৫,মোছাঃ রাজিয়া খাতুন,৫৭০০৩৮৩৫৬৬৯২,মজিবর রহমান,মোছাঃ রাবেয়া খাতুন,১৫/০৯/১৯৬৭,গৃহিনী,গাড়ীডোব, গাংনী, মেহেরপুর</t>
  </si>
  <si>
    <t>১৫৬৬,মোছাঃ হামিদা খাতুন,৫৭০০৩৮৩৫৬৭০১,মোঃ আজিজুল হক,মোছাঃ ছফেলা খাতুন,২৫/০৭/১৯৭১,গৃহিনী,গাড়ীডোব, গাংনী, মেহেরপুর</t>
  </si>
  <si>
    <t>১৫৬৭,মোছাঃ বেদানা খাতুন,৫৭০০৩৮৩৫৬৭০৪,আবু শ্যামা,মোছাঃ রাবেয়া খাতুন,২৩/০৭/১৯৪৫,গৃহিনী,গাড়ীডোব, গাংনী, মেহেরপুর</t>
  </si>
  <si>
    <t>১৫৬৮,মোছাঃ মিনা বেগম,৫৭০০৩৮৩৫৬৭০৭,আব্দুল আজিজ,মোছাঃ মেহেরন নেছা,০২/০৩/১৯৭৯,গৃহিনী,গাড়ীডোব, গাংনী, মেহেরপুর</t>
  </si>
  <si>
    <t>১৫৬৯,মোছাঃ ছয়েলা খাতুন,৫৭০০৩৮৩৫৬৭০৮,ফাকের আলী,জিজান খাতুন,১০/১০/১৯৪৫,গৃহিনী,গাড়ীডোব, গাংনী, মেহেরপুর</t>
  </si>
  <si>
    <t>১৫৭০,মোছাঃ ছেরেজান খাতুন,৫৭০০৩৮৩৫৬৭১০,রমজান আলী,মোছাঃ জাহারন খাতুন,০৬/০৫/১৯৬৭,গৃহিনী,গাড়ীডোব, গাংনী, মেহেরপুর</t>
  </si>
  <si>
    <t>১৫৭১,মোছাঃ নেকজান খাতুন,৫৭০০৩৮৩৫৬৭১১,হিরু শেখ,আমেনা খাতুন,০১/০১/১৯৬২,গৃহিনী,গাড়ীডোব, গাংনী, মেহেরপুর</t>
  </si>
  <si>
    <t>১৫৭২,মোছাঃ চম্পা খাতুন,৫৭০০৩৮৩৫৬৭১৩,মোহাঃ আবু বক্কর,মোছাঃ সাহেদা খাতুন,১০/০৯/১৯৮৮,গৃহিনী,গাড়ীডোব, গাংনী, মেহেরপুর</t>
  </si>
  <si>
    <t>১৫৭৩,মোছাঃ মমতাজ খাতুন,৫৭০০৩৮৩৫৬৭১৪,মোঃ মসলেম উদ্দীন,মোছাঃ তামেসা খাতুন,৩১/১২/১৯৭৭,গৃহিনী,গাড়ীডোব, গাংনী, মেহেরপুর</t>
  </si>
  <si>
    <t>১৫৭৪,মোছাঃ হাসিনা খাতুন,৫৭০০৩৮৩৫৬৭১৫,মোঃ আতিয়ার রহমান,মোছাঃ সামসুন্নাহার,২১/১২/১৯৭৬,গৃহিনী,গাড়ীডোব, গাংনী, মেহেরপুর</t>
  </si>
  <si>
    <t>১৫৭৫,মোছাঃ সাহিদা খাতুন,৫৭০০৩৮৩৫৬৭১৮,দাউদ হোসেন,মোছাঃ রাফিয়া খাতুন,২২/১০/১৯৫১,গৃহিনী,গাড়ীডোব, গাংনী, মেহেরপুর</t>
  </si>
  <si>
    <t>১৫৭৬,মোছাঃ ছকিনা খাতুন,৫৭০০৩৮৩৫৬৭২০,জাকির হোসেন,জোহরা খাতুন,০৩/০৭/১৯৬৮,গৃহিনী,গাড়ীডোব, গাংনী, মেহেরপুর</t>
  </si>
  <si>
    <t>১৫৭৭,মোছাঃ নাজমীন নারা,৫৭০০৩৮৩৫৬৭২২,মোঃ আলিউল ইসলাম,মোছাঃ সমিরন নেছা,২২/০৮/১৯৭৪,গৃহিনী,গাড়ীডোব, গাংনী, মেহেরপুর</t>
  </si>
  <si>
    <t>১৫৭৮,মোছাঃ রাশিরা বেগম,৫৭০০৩৮৩৫৬৭২৩,ইরফান আলী,একাতন বেগম,২০/০৪/১৯৪৮,গৃহিনী,গাড়ীডোব, গাংনী, মেহেরপুর</t>
  </si>
  <si>
    <t>১৫৭৯,মোছাঃ ফরিদা ইয়াসমিন,৫৭০০৩৮৩৫৬৭২৫,সামসুল আলম,মোছাঃ ফিরোজা বেগম,০১/০৩/১৯৭১,গৃহিনী,গাড়ীডোব, গাংনী, মেহেরপুর</t>
  </si>
  <si>
    <t>১৫৮০,মোছাঃ ফিরোজা বেগম,৫৭০০৩৮৩৫৬৭২৬,মোঃ নাজিমদ্দিন,মোছাঃ আসুরা খাতুন,২৬/০৬/১৯৭৫,গৃহিনী,গাড়ীডোব, গাংনী, মেহেরপুর</t>
  </si>
  <si>
    <t>১৫৮১,মোছাঃ জোহরা খাতুন,৫৭০০৩৮৩৫৬৭২৭,বেনি মন্ডল,মোছাঃ সোহাগি,২৯/০৯/১৯৩৩,গৃহিনী,গাড়ীডোব, গাংনী, মেহেরপুর</t>
  </si>
  <si>
    <t>২৩৭৪,মোছাঃ কাঞ্চন পারভীন,৫৭০০৩৮০০১৪৭৮,মোঃ আনারুল ইসলাম,মোছাঃ আম্বিয়া খাতুন,০১/০১/২০০০,ছাত্র/ছাত্রী,গাড়াডোব, গাংনী, মেহেরপুর</t>
  </si>
  <si>
    <t>২৩৭৫,মোছাঃ চানদীনা খাতুন,৫৭০০৩৮০০১৪৮০,মোঃ আঃ ওহাব আলী,মোছাঃ শুকজাহান,১২/০৩/২০০০,গৃহিনী,গাড়াডোব, গাংনী, মেহেরপুর</t>
  </si>
  <si>
    <t>২৩৭৬,মোছাঃ রজনী খাতুন,৫৭০০৩৮০০১৪৮২,মোঃ আতর আলী,মোছাঃ খালেছা খাতুন,০৭/০১/২০০১,গৃহিনী,গাড়াডোব, গাংনী, মেহেরপুর</t>
  </si>
  <si>
    <t>২৩৭৭,মোছাঃ রেবেকা খাতুন,৫৭০০৩৮০০১৪৮৩,মোঃ খায়রুল ইসলাম,মোছাঃ সাজেদা খাতুন,০১/০৫/১৯৮৭,গৃহিনী,গাড়াডোব, গাংনী, মেহেরপুর</t>
  </si>
  <si>
    <t>২৩৭৮,নাম: ছাবরিনা খাতুন,৫৭০০৩৮০০১৪৮৯,মোঃ আঃ রহিম,মাতা: নুরজাহান খাতুন,১৫/০৩/১৯৯২,গৃহিনী,গাড়াডোব, গাংনী, মেহেরপুর</t>
  </si>
  <si>
    <t>২৩৭৯,মোছাঃ বানিয়ারা খাতুন,৫৭০০৩৮০০১৪৯০,মোঃ বাবু মিয়া,মোছাঃ ফিরোজা খাতুন,০৩/০৪/২০০৩,ছাত্র/ছাত্রী,গাড়াডোব, গাংনী, মেহেরপুর</t>
  </si>
  <si>
    <t>২৩৮০,মোছাঃ নিলুফা খাতুন,৫৭০০৩৮০০১৪৯২,মোঃ আব্বাস আলী,মোছাঃ সোনাভানু,০২/০৪/১৯৯৫,গৃহিনী,গাড়াডোব, গাংনী, মেহেরপুর</t>
  </si>
  <si>
    <t>২৩৮১,মোছাঃ টিয়া খাতুন,৫৭০০৩৮০০১৪৯৫,মোঃ জিবন আলী,মোছাঃ আজিড়ন,০১/০১/২০০১,গৃহিনী,গাড়াডোব, গাংনী, মেহেরপুর</t>
  </si>
  <si>
    <t>২৩৮২,মোছাঃ সুমাইয়া আক্তার,৫৭০০৩৮০০১৪৯৬,মোঃ সামছুল আলম,মোছাঃ আনজিরা খাতুন,২৮/০৭/১৯৯৫,গৃহিনী,গাড়াডোব, গাংনী, মেহেরপুর</t>
  </si>
  <si>
    <t>২৩৮৩,মোছাঃ শিলা খাতুন,৫৭০০৩৮০০১৫০২,মোঃ পিয়ার আলী,মোছাঃ নুরজাহান বেগম,১৮/০৬/১৯৯৯,গৃহিনী,গাড়াডোব, গাংনী, মেহেরপুর</t>
  </si>
  <si>
    <t>২৩৮৪,মোছাঃ হিরা,৫৭০০৩৮০০১৫০৩,মোঃ জহির উদ্দিন বাবর,মোছাঃ আইনা খাতুন,০২/০৩/১৯৯৭,গৃহিনী,গাড়াডোব, গাংনী, মেহেরপুর</t>
  </si>
  <si>
    <t>২৩৮৫,মোছাঃ মৌসুমী খাতুন,৫৭০০৩৮০০১৫০৪,মোঃ মোশারেফ,মোছাঃ জায়েদা খাতুন,১৪/০১/১৯৯৭,গৃহিনী,গাড়াডোব, গাংনী, মেহেরপুর</t>
  </si>
  <si>
    <t>২৩৮৬,মোছাঃ রিজিয়া সুলতানা,৫৭০০৩৮০০১৫০৫,মোঃ আবু জাহিদ হিরো,মোছাঃ বেদানা খাতুন,২০/০৯/২০০৩,ছাত্র/ছাত্রী,গাড়াডোব, গাংনী, মেহেরপুর</t>
  </si>
  <si>
    <t>২৩৮৭,মোছাঃ বিথি খাতুন,৫৭০০৩৮০০১৫০৭,মোঃ মনিরুল ইসলাম,মোছাঃ আলেমা খাতুন,১০/০২/২০০০,ছাত্র/ছাত্রী,গাড়াডোব, গাংনী, মেহেরপুর</t>
  </si>
  <si>
    <t>২৩৮৮,মোছাঃ সকিনা খাতুন আঁখি,৫৭০০৩৮০০১৫০৮,মোঃ আসাদুল ইসলাম,মোছাঃ বুলু নেছা,১০/০৫/১৯৯৯,গৃহিনী,গাড়াডোব, গাংনী, মেহেরপুর</t>
  </si>
  <si>
    <t>২৩৮৯,মোছাঃ রিক্তা খাতুন,৫৭০০৩৮০০১৫১৫,মোঃ আঃ রাজ্জাক,মোছাঃ ফাতেমা খাতুন,০২/১২/২০০২,গৃহিনী,গাড়াডোব, গাংনী, মেহেরপুর</t>
  </si>
  <si>
    <t>২৩৯০,মোছাঃ ববিতা খাতুন,৫৭০০৩৮০০১৫১৭,মোঃ বককর আলী,মোছাঃ মমতাজ খাতুন,২৭/০৯/১৯৯৮,গৃহিনী,গাড়াডোব, গাংনী, মেহেরপুর</t>
  </si>
  <si>
    <t>২৩৯১,মোছাঃ পলি খাতুন,৫৭০০৩৮০০১৫২০,মোঃ ডালিম হোসেন,মোছাঃ রাশেদা খাতুন,০২/০৪/২০০২,ছাত্র/ছাত্রী,গাড়াডোব, গাংনী, মেহেরপুর</t>
  </si>
  <si>
    <t>২৩৯২,মোছাঃ মিম খাতুন,৫৭০০৩৮০০১৫৩১,মোঃ জাহারুল ইসলাম,মোছাঃ সেলিনা খাতুন,১৩/০৩/২০০৩,ছাত্র/ছাত্রী,গাড়াডোব, গাংনী, মেহেরপুর</t>
  </si>
  <si>
    <t>২৩৯৩,মোছাঃ হাসি খাতুন,৫৭০০৩৮০০১৫৩২,মোঃ আমজাদ আলী,মোছাঃ আনজিরা খাতুন,০৮/০১/২০০১,ছাত্র/ছাত্রী,গাড়াডোব, গাংনী, মেহেরপুর</t>
  </si>
  <si>
    <t>২৩৯৪,মোছাঃ রানি আক্তার,৫৭০০৩৮০০১৫৩৬,মোঃ আমজাদ হোসেন,মোছাঃ নিলুফা খাতুন,২৫/০২/২০০৩,গৃহিনী,গাড়াডোব, গাংনী, মেহেরপুর</t>
  </si>
  <si>
    <t>২৩৯৫,মোছাঃ নিলুফা খাতুন,৫৭০০৩৮০০১৫৩৭,মোঃ লালু হোসেন,মোছাঃ রিবা খাতুন,২০/০৪/১৯৯৯,গৃহিনী,গাড়াডোব, গাংনী, মেহেরপুর</t>
  </si>
  <si>
    <t>২৩৯৬,মোছাঃ সিনা খাতুন,৫৭০০৩৮০০১৫৩৮,মোঃ সোহরাব,মোছাঃ মলি খাতুন,০৩/০৮/২০০২,গৃহিনী,গাড়াডোব, গাংনী, মেহেরপুর</t>
  </si>
  <si>
    <t>২৩৯৭,মোছাঃ শাহানার সাথী,৫৭০০৩৮০০১৫৩৯,মোঃ শাহিন খাঁ,মোছাঃ ছালেহার,০৫/১১/২০০১,গৃহিনী,গাড়াডোব, গাংনী, মেহেরপুর</t>
  </si>
  <si>
    <t>২৩৯৮,মোছাঃ রাজিয়া খাতুন,৫৭০০৩৮০০১৫৪০,মোঃ আব্দুর রশিদ,মোছাঃ শিরিনা খাতুন,২৫/০৫/২০০০,গৃহিনী,গাড়াডোব, গাংনী, মেহেরপুর</t>
  </si>
  <si>
    <t>২৩৯৯,মোছাঃ জাকিয়া সুলতানা,৫৭০০৩৮০০১৫৪৪,মোঃ জাফর আলী,মোছাঃ মঞ্জুরা খাতুন,২০/০১/২০০২,ছাত্র/ছাত্রী,গাড়াডোব, গাংনী, মেহেরপুর</t>
  </si>
  <si>
    <t>২৪০০,মোছাঃ রিজিয়া খাতুন,৫৭০০৩৮০০১৫৪৬,মোঃ মহিবুল ইসলাম,মোছাঃ সেলিনা খাতুন,০৮/০৭/২০০১,গৃহিনী,গাড়াডোব, গাংনী, মেহেরপুর</t>
  </si>
  <si>
    <t>২৪০১,মোছাঃ মেরিনা সুলতানা,৫৭০০৩৮০০১৫৪৭,মোঃ মজাল হোসেন,মোছাঃ ফুলজান নেছা,২০/০৩/২০০০,গৃহিনী,গাড়াডোব, গাংনী, মেহেরপুর</t>
  </si>
  <si>
    <t>২৪০২,নাম: আখি,৫৭০০৩৮০০১৫৪৮,মোঃ আলম,মোছাঃ এচমিনা খাতুন,০১/০৭/২০০১,গৃহিনী,গাড়াডোব, গাংনী, মেহেরপুর</t>
  </si>
  <si>
    <t>২৪০৩,মোছাঃ সানজিদা শামীম,৫৭০০৩৮০০১৫৪৯,মোঃ শামীম আনোয়ার,মাতা: মৌসুমী সুলতানা,১৩/০৮/১৯৯৯,ছাত্র/ছাত্রী,গাড়াডোব, গাংনী, মেহেরপুর</t>
  </si>
  <si>
    <t>২৪০৪,মোছাঃ বিথী ইয়াসমিন,৫৭০০৩৮০০১৫৫২,মোঃ আনারুল ইসলাম,মোছাঃ পারুলা খাতুন,১৮/০২/২০০২,ছাত্র/ছাত্রী,গাড়াডোব, গাংনী, মেহেরপুর</t>
  </si>
  <si>
    <t>২৪০৫,মোছাঃ রতনা খাতুন,৫৭০০৩৮০০১৫৫৪,মোঃ মুকুল,মোছাঃ রোজিনা,১০/০৫/২০০৩,গৃহিনী,গাড়াডোব, গাংনী, মেহেরপুর</t>
  </si>
  <si>
    <t>২৪০৬,মোছাঃ আছমা নূরী,৫৭০০৩৮০০১৫৫৬,মোঃ আসলাম শেখ,মোছাঃ ছালমা খাতুন,০২/০৯/১৯৯৯,গৃহিনী,গাড়াডোব, গাংনী, মেহেরপুর</t>
  </si>
  <si>
    <t>২৪০৭,মোছাঃ মাহমুদা আক্তার রত্না,৫৭০০৩৮০০১৫৫৭,মোঃ রফিকুল ইসলাম,মোছাঃ লুৎফা খাতুন,০১/০১/২০০৩,ছাত্র/ছাত্রী,গাড়াডোব, গাংনী, মেহেরপুর</t>
  </si>
  <si>
    <t>২৪০৮,মোছাঃ চামেলী খাতুন,৫৭০০৩৮০০১৫৫৮,মোঃ আব্দুর রাজ্জাক,মোছাঃ আছিয়া খাতুন,২৬/০৬/২০০০,গৃহিনী,গাড়াডোব, গাংনী, মেহেরপুর</t>
  </si>
  <si>
    <t>২৪০৯,মোছাঃ শামীমা আক্তার,৫৭০০৩৮০০১৫৫৯,মোঃ শফিকুল ইসলাম,মোছাঃ সোহাগী খাতুন,০৪/০২/১৯৯৬,গৃহিনী,গাড়াডোব, গাংনী, মেহেরপুর</t>
  </si>
  <si>
    <t>২৪১০,মোছাঃ আছরিনা খাতুন,৫৭০০৩৮০০১৫৬০,মোঃ আব্দুর রহমান,মোছাঃ আকলিমা খাতুন,০৬/০৩/২০০০,ছাত্র/ছাত্রী,গাড়াডোব, গাংনী, মেহেরপুর</t>
  </si>
  <si>
    <t>২৪১১,মোছাঃ তানবিন খাতুন,৫৭০০৩৮০০১৫৬২,মোঃ জিয়ারুল ইসলাম,মোছাঃ ফুলনারা খাতুন,১৫/০১/২০০১,গৃহিনী,গাড়াডোব, গাংনী, মেহেরপুর</t>
  </si>
  <si>
    <t>২৪১২,মোছাঃ আয়না খাতুন,৫৭০০৩৮০০১৫৬৩,মোঃ হযরত আলী,মোছাঃ আক্তার বানু,০১/০১/২০০০,গৃহিনী,[], গাড়াডোব, গাংনী, মেহেরপুর</t>
  </si>
  <si>
    <t>২৪১৩,মোছাঃ নুপুর আক্তার,৫৭০০৩৮০০১৫৬৪,মৃত আবুল কাশেম,মোছাঃ রহিমা খাতুন,০১/০৭/১৯৯৭,ছাত্র/ছাত্রী,গাড়াডোব, গাংনী, মেহেরপুর</t>
  </si>
  <si>
    <t>২৪১৪,মোছাঃ মিতা খাতুন,৫৭০০৩৮০০১৫৬৯,মোঃ নাজমুল হক,মাতা: নাজমা খাতুন,০৭/০৩/১৯৯৭,গৃহিনী,গাড়াডোব, গাংনী, মেহেরপুর</t>
  </si>
  <si>
    <t>২৪১৫,মোছাঃ মুক্তি খাতুন,৫৭০০৩৮০০১৫৭০,মোঃ আব্দুল মোতালেব,মোছাঃ বানিয়ারা খাতুন,০৩/০৯/২০০০,ছাত্র/ছাত্রী,গাড়াডোব, গাংনী, মেহেরপুর</t>
  </si>
  <si>
    <t>২৪১৬,মোছাঃ চুমকি খাতুন,৫৭০০৩৮০০১৫৭২,মোঃ ভাদু,মোছাঃ মহিমা,০২/০৩/২০০০,গৃহিনী,গাড়াডোব, গাংনী, মেহেরপুর</t>
  </si>
  <si>
    <t>২৪১৭,মোছাঃ রুপালি খাতুন,৫৭০০৩৮০০১৫৭৩,মৃত সমর আলী,মাতা: গোলেজান,১০/০৮/১৯৯৭,গৃহিনী,গাড়াডোব, গাংনী, মেহেরপুর</t>
  </si>
  <si>
    <t>২৪১৮,মোছাঃ শারমিন আক্তার,৫৭০০৩৮০০১৫৭৪,মোঃ সাজিদুল ইসলাম,মোছাঃ জেসমিন,১০/০১/২০০১,ছাত্র/ছাত্রী,-=, গাড়াডোব, গাংনী, মেহেরপুর</t>
  </si>
  <si>
    <t>২৪১৯,নাম: সুবর্না খাতুন,৫৭০০৩৮০০১৫৭৭,মোঃ নিয়ামত জোয়াদ্দার,মোছাঃ মালা খাতুন,০৭/০১/১৯৯৯,ছাত্র/ছাত্রী,গাড়াডোব, গাংনী, মেহেরপুর</t>
  </si>
  <si>
    <t>২৪২০,মোছাঃ মিম আক্তার মৌ,৫৭০০৩৮০০১৫৮০,মোঃ মাহাবুব আলম,মোছাঃ ফেরদৌসি বেগম,০৪/১০/২০০৩,ছাত্র/ছাত্রী,গাড়াডোব, গাংনী, মেহেরপুর</t>
  </si>
  <si>
    <t>২৪২১,মোছাঃ শ্রাবনী খাতুন,৫৭০০৩৮০০১৫৮৪,মোঃ আব্দুল মাজেদ,মোছাঃ শিরিনা বেগম,২২/০৮/২০০০,ছাত্র/ছাত্রী,গাড়াডোব, গাংনী, মেহেরপুর</t>
  </si>
  <si>
    <t>২৪২২,মোছাঃ আঙ্গুরা খাতুন,৫৭০০৩৮০০১৫৮৬,মোঃ আব্দুল্লাহ,মোছাঃ আলেয়ারা খাতুন,১১/০১/২০০৩,ছাত্র/ছাত্রী,গাড়াডোব, গাংনী, মেহেরপুর</t>
  </si>
  <si>
    <t>২৪২৩,মোছাঃ চায়না খাতুন,৫৭০০৩৮০০১৫৮৭,মোঃ রাহেদ আলী,মোছাঃ কুলছুম বেগম,১৮/১২/১৯৯৫,গৃহিনী,গাড়াডোব, গাংনী, মেহেরপুর</t>
  </si>
  <si>
    <t>২৪২৪,মোছাঃ লিজা খাতুন,৫৭০০৩৮০০১৫৮৮,লেক মহাম্মদ,মোছাঃ মর্জিনা খাতুন,১৫/০১/১৯৯৯,গৃহিনী,গাড়াডোব, গাংনী, মেহেরপুর</t>
  </si>
  <si>
    <t>২৪২৫,নাম: শামিম আক্তার লিজা,৫৭০০৩৮০০১৫৯০,মোঃ জাহিদুল ইসলাম,মাতা: ফজিলা খাতুন,০১/০৩/১৯৯৭,ছাত্র/ছাত্রী,গাড়াডোব, গাংনী, মেহেরপুর</t>
  </si>
  <si>
    <t>২৪২৬,মোছাঃ হালিমা খাতুন,৫৭০০৩৮০০১৫৯৬,মোঃ আব্দুল গফুর,মোছাঃ মমতাজ খাতুন,০২/০৩/১৯৯৩,গৃহিনী,গাড়াডোব, গাংনী, মেহেরপুর</t>
  </si>
  <si>
    <t>২৪২৭,মোছাঃ লামইয়া সুলতানা,৫৭০০৩৮০০১৬০২,মোঃ মজির উদ্দীন,মোছাঃ কুমকুম আরা,২৮/০৩/২০০৩,ছাত্র/ছাত্রী,গাড়াডোব, গাংনী, মেহেরপুর</t>
  </si>
  <si>
    <t>২৪২৮,নাম: খুশিয়ারা খাতুন,৫৭০০৩৮০০১৬০৩,মোঃ আশরাফুল ইসলাম,মোছাঃ মাছুরা খাতুন,১০/১২/২০০০,গৃহিনী,গাড়াডোব, গাংনী, মেহেরপুর</t>
  </si>
  <si>
    <t>২৪২৯,মোছাঃ মলিনা খাতুন,৫৭০০৩৮০০১৬০৪,মোঃ দানিয়লে,মোছাঃ কছিরা খাতুন,২৭/০৬/১৯৯৫,গৃহিনী,গাড়াডোব, গাংনী, মেহেরপুর</t>
  </si>
  <si>
    <t>২৪৩০,মোছাঃ সুমাইয়া খাতুন,৫৭০০৩৮০০১৬০৬,মোঃ ছানোয়ার হোসে,মোছাঃ দেলোয়ারা বেগম,০১/০১/২০০৩,ছাত্র/ছাত্রী,গাড়াডোব, গাংনী, মেহেরপুর</t>
  </si>
  <si>
    <t>২৪৩১,মোছাঃ শাবরিনা খাতুন,৫৭০০৩৮০০১৬০৮,মোঃ শরিফদ্দিন,মোছাঃ রুপিয়া খাতুন,১৫/০২/২০০১,ছাত্র/ছাত্রী,গাড়াডোব, গাংনী, মেহেরপুর</t>
  </si>
  <si>
    <t>২৪৩২,মোছাঃ খাদিজা খাতুন,৫৭০০৩৮০০১৬০৯,মোঃ আক্তারুল ইসলাম,মোছাঃ বিলকিচ খাতুন,১১/০৫/২০০২,গৃহিনী,গাড়াডোব, গাংনী, মেহেরপুর</t>
  </si>
  <si>
    <t>২৪৩৩,নাম: মুক্তা খাতুন,৫৭০০৩৮০০১৬১০,মোঃ মজনু সেখ,মোছাঃ মজেরা খাতুন,২০/০৭/১৯৯৮,গৃহিনী,গাড়াডোব, গাংনী, মেহেরপুর</t>
  </si>
  <si>
    <t>২৪৩৪,মোছাঃ রিজ্ঞা খাতুন,৫৭০০৩৮০০১৬১১,মোঃ আশরাফুল ইসলাম,মোছাঃ বেলী খাতুন,২৩/০৯/১৯৯৯,গৃহিনী,গাড়াডোব, গাংনী, মেহেরপুর</t>
  </si>
  <si>
    <t>২৪৩৫,মোছাঃ বৃষ্টি খাতুন,৫৭০০৩৮০০১৬১২,মৃত ইয়াকুব আলী,মোছাঃ কল্পনা খাতুন,১০/০৮/১৯৯২,গৃহিনী,গাড়াডোব, গাংনী, মেহেরপুর</t>
  </si>
  <si>
    <t>২৪৩৬,মোছাঃ শেফালী খাতুন,৫৭০০৩৮০০১৬১৩,মোঃ আহাদ আলী,মোছাঃ ছকিনা খাতুন,১৪/০৭/১৯৯৫,গৃহিনী,গাড়াডোব, গাংনী, মেহেরপুর</t>
  </si>
  <si>
    <t>২৪৩৭,মোছাঃ শরিফা খাতুন,৫৭০০৩৮০০১৬১৪,মোঃ আঃ আলিম,মোছাঃ রিজিয়া,০৬/০৬/১৯৯৫,গৃহিনী,গাড়াডোব, গাংনী, মেহেরপুর</t>
  </si>
  <si>
    <t>২৪৩৮,মোছাঃ উম্মে হাবিবা,৫৭০০৩৮০০১৬১৫,মোঃ আয়ুব আলী,মোছাঃ এ্যানি খাতুন,১৪/০৮/২০০২,ছাত্র/ছাত্রী,গাড়াডোব, গাংনী, মেহেরপুর</t>
  </si>
  <si>
    <t>২৪৩৯,নাম: ছনিয়া,৫৭০০৩৮০০১৬১৬,পিতা: আকরাম,মাতা: সাগরিকা,১০/০৭/১৯৯৭,গৃহিনী,গাড়াডোব, গাংনী, মেহেরপুর</t>
  </si>
  <si>
    <t>২৪৪০,মোছাঃ রুনা খাতুন,৫৭০০৩৮০০১৬২০,আবু বক্কর,মাতা: জলুরা খাতুন,০১/০৪/১৯৯১,গৃহিনী,গাড়াডোব, গাংনী, মেহেরপুর</t>
  </si>
  <si>
    <t>২৪৪১,মোছাঃ কেয়া খাতুন,৫৭০০৩৮০০১৬২১,মোঃ শওকত আলী,মোছাঃ আমেনা খাতুন,২৪/০৪/২০০৩,ছাত্র/ছাত্রী,গাড়াডোব, গাংনী, মেহেরপুর</t>
  </si>
  <si>
    <t>২৪৪২,মোছাঃ লাবনী আক্তার,৫৭০০৩৮০০১৬২২,মোঃ লাবলু মীর,মোছাঃ নিলুফা ইয়াসমিন,২১/১০/২০০৩,ছাত্র/ছাত্রী,গাড়াডোব, গাংনী, মেহেরপুর</t>
  </si>
  <si>
    <t>২৪৪৩,মোছাঃ নাজমা খাতুন,৫৭০০৩৮০০১৬২৩,মোঃ উজির আলী,মোছাঃ আফরোজা খাতুন,০২/০৫/২০০০,গৃহিনী,গাড়াডোব, গাংনী, মেহেরপুর</t>
  </si>
  <si>
    <t>২৪৪৪,মোছাঃ জানছুরা খাতুন,৫৭০০৩৮০০১৬২৫,মোঃ হাসান আলী,মোছাঃ জাকিরন নেছা,১৩/০৬/১৯৯৫,গৃহিনী,গাড়াডোব, গাংনী, মেহেরপুর</t>
  </si>
  <si>
    <t>২৪৪৫,মোছাঃ শিউলী খাতুন,৫৭০০৩৮০০১৬২৬,মোঃ মোতালেব হোসেন,মোছাঃ আকলিমা খাতুন,০৮/০২/২০০১,ছাত্র/ছাত্রী,গাড়াডোব, গাংনী, মেহেরপুর</t>
  </si>
  <si>
    <t>২৪৪৬,নাম: নাজমা আক্তার,৫৭০০৩৮০০১৬২৯,মোঃ আব্দুস সাত্তার,মাতা: সাহেরা খাতুন,১০/১০/২০০০,ছাত্র/ছাত্রী,গাড়াডোব, গাংনী, মেহেরপুর</t>
  </si>
  <si>
    <t>২৪৪৭,মোছাঃ হিরা খাতুন,৫৭০০৩৮০০১৬৩০,মোঃ জাহাঙ্গীর আলম,মোছাঃ নাছিমা খাতুন,১৪/১১/১৯৯৭,গৃহিনী,গাড়াডোব, গাংনী, মেহেরপুর</t>
  </si>
  <si>
    <t>২৪৪৮,মোছাঃ উর্মীলা খাতুন,৫৭০০৩৮০০১৬৩১,মোঃ জিয়া হোসেন,মাতা: পপি খাতুন,২০/০৬/২০০৩,ছাত্র/ছাত্রী,গাড়াডোব, গাংনী, মেহেরপুর</t>
  </si>
  <si>
    <t>২৪৪৯,মোছাঃ ফাহমিদা আক্তার,৫৭০০৩৮০০১৬৩২,মোঃ ফিরোজ আলী,মোছাঃ নাজমীননারা,২০/০৫/২০০৩,ছাত্র/ছাত্রী,গাড়াডোব, গাংনী, মেহেরপুর</t>
  </si>
  <si>
    <t>২৪৫০,মোছাঃ সাগরী খাতুন,৫৭০০৩৮০০১৬৩৩,আজগর আলী,মোছাঃ বানুয়ারা,০১/০২/২০০০,গৃহিনী,গাড়াডোব, গাংনী, মেহেরপুর</t>
  </si>
  <si>
    <t>২৪৫১,মোছাঃ সাবরিনা আক্তার,৫৭০০৩৮০০১৬৩৭,মোঃ সামাদুল ইসলাম,মোছাঃ সালমা খাতুন,০৪/১২/২০০২,ছাত্র/ছাত্রী,গাড়াডোব, গাংনী, মেহেরপুর</t>
  </si>
  <si>
    <t>২৪৫২,মোছাঃ সাথী,৫৭০০৩৮০০১৬৩৮,মোঃ আবু ছিদ্দীক,মোছাঃ জেসমিন,০৫/০৭/১৯৯৯,গৃহিনী,গাড়াডোব, গাংনী, মেহেরপুর</t>
  </si>
  <si>
    <t>২৪৫৩,মোছাঃ রুবি খাতুন,৫৭০০৩৮০০১৬৪০,মোঃ আলী রহমান,মোছাঃ ফিরোজা খাতুন,০৫/০৮/২০০৩,ছাত্র/ছাত্রী,গাড়াডোব, গাংনী, মেহেরপুর</t>
  </si>
  <si>
    <t>২৪৫৪,মোছাঃ সিনথিয়া খাতুন,৫৭০০৩৮০০১৬৪২,মোঃ শিরহান খান,মাতা: মোছাঃ পপি খাতুন,১০/১০/১৯৯৭,গৃহিনী,গাড়াডোব, গাংনী, মেহেরপুর</t>
  </si>
  <si>
    <t>২৪৫৫,মোছাঃ বিথি খাতুন,৫৭০০৩৮০০১৬৪৩,মোঃ আতিয়ার রহমান,মাতা: জিন্নাতন,১৫/০৬/২০০৩,গৃহিনী,গাড়াডোব, গাংনী, মেহেরপুর</t>
  </si>
  <si>
    <t>২৪৫৬,নাম: ফাতেমা তুজ জহুরা,৫৭০০৩৮০০১৬৪৮,মোঃ আবুল হোসেন,মাতা: নাসিমা পারভীন,০৩/০৯/১৯৯৩,গৃহিনী,গাড়াডোব, গাংনী, মেহেরপুর</t>
  </si>
  <si>
    <t>২৪৫৭,মোছাঃ সারজিনা খাতুন,৫৭০০৩৮০০১৬৪৯,মোঃ জিয়াউর রহমান,মোছাঃ নার্গিস খাতুন,০২/০১/২০০৩,ছাত্র/ছাত্রী,গাড়াডোব, গাংনী, মেহেরপুর</t>
  </si>
  <si>
    <t>২৪৫৮,মোছাঃ ফাতেমা,৫৭০০৩৮০০১৬৫১,মোঃ জিনারুল,মোছাঃ কল্পনা,০৫/০১/২০০০,গৃহিনী,গাড়াডোব, গাংনী, মেহেরপুর</t>
  </si>
  <si>
    <t>২৪৫৯,মোছাঃ কানিজ ফাতেমা,৫৭০০৩৮০০১৬৫৩,মোঃ আনারুল ইসলাম,মোছাঃ আলেয়া বেগম,২৩/১০/১৯৯৯,ছাত্র/ছাত্রী,গাড়াডোব, গাংনী, মেহেরপুর</t>
  </si>
  <si>
    <t>২৪৬০,মোছাঃ জমেলা খাতুন,৫৭০০৩৮০০১৬৫৫,মোঃ জামিরুল ইসলাম,মোছাঃ চাম্পা খাতুন,২০/০৫/২০০১,গৃহিনী,গাড়াডোব, গাংনী, মেহেরপুর</t>
  </si>
  <si>
    <t>২৪৬১,মোছাঃ নাজমা খাতুন,৫৭০০৩৮০০১৬৫৮,মোঃ নজরুল ইসলাম,মোছাঃ জামেনা খাতুন,১৮/০৭/২০০১,ছাত্র/ছাত্রী,গাড়াডোব, গাংনী, মেহেরপুর</t>
  </si>
  <si>
    <t>২৪৬২,মোছাঃ আকিয়া,৫৭০০৩৮০০১৬৫৯,মোঃ আলমগীর,মোছাঃ ফুলবড়ি,০৩/১০/২০০১,গৃহিনী,গাড়াডোব, গাংনী, মেহেরপুর</t>
  </si>
  <si>
    <t>২৪৬৩,মোছাঃ লিপিয়ারা খাতুন,৫৭০০৩৮০০১৬৬০,মোঃ আব্দুল মজিদ,মোছাঃ খালেদা খাতুন,০৫/০৭/১৯৯৮,গৃহিনী,গাড়াডোব, গাংনী, মেহেরপুর</t>
  </si>
  <si>
    <t>২৪৬৪,মোছাঃ শান্তনা খাতুন,৫৭০০৩৮০০০০৪৬৪,মোঃ আজিজুল হক,মোছাঃ বিলকিচ,১৫/১০/১৯৯৯,ছাত্র/ছাত্রী,গাড়াডোব, গাংনী, মেহেরপুর</t>
  </si>
  <si>
    <t>২৪৬৫,নাম: রুজিনা ইয়াছমীন,৫৭০০৩৮০০১১৩৬,আব্দুর রহমান,মাতা: ফরিদা পারভীন,১২/১২/১৯৮৮,ছাত্র/ছাত্রী,গাড়াডোব, গাংনী, মেহেরপুর</t>
  </si>
  <si>
    <t>২৪৬৬,নাম: নাসরিন সুলতানা,৫৭০০৩৮০০১৫২৪,মোঃ কাওছার আলী,মোছাঃ পারুল পারভীন,৩০/১২/১৯৯২,ছাত্র/ছাত্রী,গাড়াডোব, গাংনী, মেহেরপুর</t>
  </si>
  <si>
    <t>২৪৬৭,মোছাঃ নিলুফা খাতুন,৫৭০০৩৮০০১৫২৫,মোঃ আইছুদ্দিন,মোছাঃ ছারেজান,১৩/০২/১৯৮৫,গৃহিনী,গাড়াডোব, গাংনী, মেহেরপুর</t>
  </si>
  <si>
    <t>২৪৬৮,মোছাঃ বিলকিস খাতুন,৫৭০০৩৮০০১৫২৮,মোঃ কাবের আলী,মোছাঃ জাহানারা খাতুন,০৫/০৫/১৯৮২,গৃহিনী,গাড়াডোব, গাংনী, মেহেরপুর</t>
  </si>
  <si>
    <t>২৪৬৯,মোছাঃ জান্নাতুল ফেরদৌস,৫৭০০৩৮০০১৬৬১,মোঃ নজরুল ইসলাম,মোছাঃ তাহেরা বেগম,৩১/১২/১৯৮০,গৃহিনী,গাড়াডোব, গাংনী, মেহেরপুর</t>
  </si>
  <si>
    <t>২৪৭০,মোছাঃ মাইতন নেছা,৫৭০০৩৮০০১৬৬২,পিয়ার মন্ডল,মোছাঃ মিলাজন বেগম,০৫/১০/১৯৮৭,গৃহিনী,গাড়াডোব মাঠ পাড়া, গাড়াডোব, গাংনী, মেহেরপুর</t>
  </si>
  <si>
    <t>২৪৭১,মোছাঃ ছালমা খাতুন,৫৭০০৩৮০০১৬৬৩,মোঃ সলেমান শেখ,মোছাঃ আরজিনা খাতুন,০৫/১০/১৯৮৭,গৃহিনী,গাড়াডোব মাঠ পাড়া, গাড়াডোব, গাংনী, মেহেরপুর</t>
  </si>
  <si>
    <t>২৪৭২,নাম: উম্মো আফিয়া ফারজানা,৫৭০০৩৮৫৪৪৯২৩,মোঃ আনিসুর রহমান,মাতা: নাজমুন নাহার,১৬/১২/২০০১,ছাত্র/ছাত্রী,৪৫৫, গাড়াডোব, গাংনী, মেহেরপুর</t>
  </si>
  <si>
    <t>২৪৭৩,মোছাঃ সুমাইয়া খাতুন,৫৭০০৩৮৫৪৪৯২৭,মোঃ নাজির উদ্দীন,মোছাঃ মর্জিনা খাতুন,২০/০৩/২০০০,গৃহিনী,গাড়াডোব, গাংনী, মেহেরপুর</t>
  </si>
  <si>
    <t>২৪৭৪,মোছাঃ নাসরিন খাতুন,৫৭০০৩৮৫৪৪৯২৮,মোঃ নাসির উদ্দীন,মোছাঃ রেখা খাতুন,১১/০৫/২০০০,গৃহিনী,গাড়াডোব, গাংনী, মেহেরপুর</t>
  </si>
  <si>
    <t>২৪৭৫,মোছাঃ চম্পা খাতুন,৫৭০০৩৮৫৪৪৯২৯,মোঃ হযরত আলী,মোছাঃ সোনাভানু খাতুন,০১/০৩/২০০০,গৃহিনী,৮৪৫, গাড়াডোব, গাংনী, মেহেরপুর</t>
  </si>
  <si>
    <t>২৪৭৬,মোছাঃ রিমা খাতুন,৫৭০০৩৮৫৪৪৯৩০,মোঃ মতিয়ার রহমান,মোছাঃ রঙ্গিলা খাতুন,১০/০৪/২০০০,গৃহিনী,গাড়াডোব পোড়াপাড়া, গাড়াডোব, গাংনী, মেহেরপুর</t>
  </si>
  <si>
    <t>২৪৭৭,মোছাঃ শাপলা খাতুন,৫৭০০৩৮৫৪৪৯৩৩,মোঃ মুছাহক,মোছাঃ সোনাভানু,০১/০১/২০০০,গৃহিনী,গাড়াডোব, গাংনী, মেহেরপুর</t>
  </si>
  <si>
    <t>২৪৭৮,মোছাঃ রাজিয়া সুলতানা,৫৭০০৩৮৫৪৪৯৩৪,রুল আমিন,মাতা: জেসমিন খাতুন,০৭/০৩/১৯৯৮,গৃহিনী,গাড়াডোব, গাড়াডোব, গাংনী, মেহেরপুর</t>
  </si>
  <si>
    <t>২৪৭৯,মোছাঃ বিথি খাতুন,৫৭০০৩৮৫৪৪৯৩৭,মোঃ বাচ্চু মিয়া,মোছাঃ মাছুরা খাতুন,০৩/০২/২০০০,গৃহিনী,৩৪৫, গাড়াডোব, গাংনী, মেহেরপুর</t>
  </si>
  <si>
    <t>২৪৮০,মোছাঃ রজনী খাতুন,৫৭০০৩৮৫৪৪৯৩৮,মোঃ মনির উদ্দিন,মোছাঃ মোমেনা খাতুন,০২/০৩/১৯৯৯,গৃহিনী,৪৪৫, গাড়াডোব, গাংনী, মেহেরপুর</t>
  </si>
  <si>
    <t>২৪৮১,মোছাঃ আরশিদা খাতুন,৫৭০০৩৮৫৪৪৯৩৭,মোঃ আরশেদ আলী,মোছাঃ আকলিমা খাতুন,২০/০৭/১৯৯৬,গৃহিনী,গাড়াডোব, গাংনী, মেহেরপুর</t>
  </si>
  <si>
    <t>২৪৮২,মোছাঃ সাহার বানু,৫৭০০৩৮০০০৪৩১,ফকির মোহাম্মদ,মোছাঃ নবিছন নেছা,০১/০৭/১৯৭৭,গৃহিনী,১২৩৬, গাড়াডোব, গাংনী, মেহেরপুর</t>
  </si>
  <si>
    <t>২৪৮৩,মোছাঃ মর্জিনা খাতুন,৫৭০০৩৮৫৪৪৯৩৬,মোঃ মজিদ মোড়ল,মোছাঃ ফরিদা বেগম,০৫/০১/১৯৮৮,গৃহিনী,গাড়াডোব, গাংনী, মেহেরপুর</t>
  </si>
  <si>
    <t>২৪৮৪,মোছাঃ আরশিদা বেগম,৫৭০০৩৮৫৪৪৯৪০,মোঃ মুরাদ আলী,মোছাঃ সারাহ খাতুন,০২/০১/১৯৭২,গৃহিনী,গাড়াডোব, গাংনী, মেহেরপুর</t>
  </si>
  <si>
    <t>২৪৮৫,নাম: সিমা খাতুন,৫৭০০৩৮৫৪৪৯৪৪,আরশাদ আলী,মাতা: নার্গিস খাতুন,১৫/০২/১৯৯৯,গৃহিনী,গাড়াডোব, গাংনী, মেহেরপুর</t>
  </si>
  <si>
    <t>২৪৮৬,নাম: উম্মো সালমা,৫৭০০৩৮৫৪৪৯৫২,মোঃ মনিরুল ইসলাম,মোছাঃ ছাদেকা খাতুন,২৬/০১/২০০১,গৃহিনী,১৪৪, গাড়াডোব, গাংনী, মেহেরপুর</t>
  </si>
  <si>
    <t>২৪৮৭,মোছাঃ লিলুফা খাতুন,৫৭০০৩৮৫৪৪৯৫৮,মৃত সমর আলী,মোছাঃ গোলজান খাতুন,১০/০৮/১৯৯১,গৃহিনী,১৪২৩, গাড়াডোব, গাংনী, মেহেরপুর</t>
  </si>
  <si>
    <t>২৪৮৮,মোছাঃ সামিয়া খাতুন,৫৭০০৩৮৫৪৪৯৬০,মোঃ কিতাব আলি,মোছাঃ আরিফা খাতুন,১৭/০১/২০০০,গৃহিনী,গাড়াডোব, গাড়াডোব, গাংনী, মেহেরপুর</t>
  </si>
  <si>
    <t>২৪৮৯,মোছাঃ লিমা খাতুন,৫৭০০৩৮৫৪৪৯৬২,মোঃ আকরাম আলী,মোছাঃ শাহারার খাতুন,০১/০১/২০০১,গৃহিনী,গাড়াডোব, গাংনী, মেহেরপুর</t>
  </si>
  <si>
    <t>২৪৯০,মোছাঃ সপ্না খাতুন,৫৭০০৩৮৫৪৪৯৬৪,মোঃ শাহিদ আলী,মোছাঃ শিপন নাহার,২২/০৬/১৯৯৭,গৃহিনী,২০৩, গাড়াডোব, গাংনী, মেহেরপুর</t>
  </si>
  <si>
    <t>২৪৯১,মোছাঃ সারমিন আক্তার সাথী,৫৭০০৩৮৫৪৪৯৬৫,মোঃ মহিদুল ইসলাম,মোছাঃ নুরুন্নাহার খাতুন,০২/০৬/২০০০,ছাত্র/ছাত্রী,৯৬৪, গাড়াডোব, গাংনী, মেহেরপুর</t>
  </si>
  <si>
    <t>২৪৯২,মোছাঃ তামান্না পারভীন,৫৭০০৩৮৫৪৪৯৬৬,মোঃ জালাল উদ্দীন,মোছাঃ মদিনা খাতুন,১৭/০৯/২০০০,ছাত্র/ছাত্রী,গাড়াডোব, গাংনী, মেহেরপুর</t>
  </si>
  <si>
    <t>২৪৯৩,মোছাঃ শামীমা আক্তার,৫৭০০৩৮৫৪৪৯৬৭,মোঃ মতিন,মোছাঃ জমেলা খাতুন,১১/০১/১৯৯৫,গৃহিনী,১৪৯, গাড়াডোব, গাংনী, মেহেরপুর</t>
  </si>
  <si>
    <t>২৪৯৪,মোছাঃ শান্তনা,৫৭০০৩৮৫৪৪৯৬৮,মোঃ আলীহীম,মোছাঃ জাহেরা খাতুন,০৫/০৯/১৯৯৪,গৃহিনী,গাঁড়াডোব, গাড়াডোব, গাংনী, মেহেরপুর</t>
  </si>
  <si>
    <t>২৪৯৫,মোছাঃ রেশমি আক্তার তহমিনা,৫৭০০৩৮৫৪৪৯৬৯,মোঃ জাহাঙ্গীর হোসেন,মোছাঃ হাসিয়ারা খাতুন,২৫/০৩/১৯৯৮,ছাত্র/ছাত্রী,২১৯, গাড়াডোব, গাংনী, মেহেরপুর</t>
  </si>
  <si>
    <t>২৪৯৬,নাম: সুফিয়া আল মামুন,৫৭০০৩৮৫৪৪৯৮,মোঃ হকস উদ্দিন,মাতা: সুরাতুন,০৫/০১/১৯৭৭,গৃহিনী,গাড়াডোব, গাংনী, মেহেরপুর</t>
  </si>
  <si>
    <t>২৪৯৭,নাম: মিসেস খালেদা বেগম,৫৭০০৩৮৫৪৪৯৫০,মোঃ সহির উদ্দিন মুন্সি,মোছাঃ সখিনা বেগম,১২/০৫/১৯৭০,গৃহিনী,গাঁড়াডোব, গাড়াডোব, গাংনী, মেহেরপুর</t>
  </si>
  <si>
    <t>২৪৯৮,মোছাঃ শিউলী খাতুন,৫৭০০৩৮৫৪৪৯৫৩,মোঃ লালন উদ্দিন,মোছাঃ রংগীলা খাতুন,১১/০২/১৯৯৪,গৃহিনী,গাড়াডোব, গাংনী, মেহেরপুর</t>
  </si>
  <si>
    <t>২৪৯৯,মোছাঃ সবেদা খাতুন,৫৭০০৩৮৫৪৪৯৫৫,মোঃ নবী ছদ্দীন,মোছাঃ আরসাফোন নেছা,১০/০৫/১৯৮৮,গৃহিনী,গাড়াডোব, গাংনী, মেহেরপুর</t>
  </si>
  <si>
    <t>২৫০০,মোছাঃ রুমা খাতুন,৫৭০০৩৮৫৪৪৯৫৯,মোঃ শহিদুল ইসলাম,মোছাঃ মর্জিনা খাতুন,০১/০১/১৯৮৮,গৃহিনী,গাড়াডোব, গাংনী, মেহেরপুর</t>
  </si>
  <si>
    <t>২৫০১,মোছাঃ শেফালী খাতুন,৫৭০০৩৮৫৪৪৯৬১,মোঃ কুদ্দুস আলী,মোছাঃ ছাইরা খাতুন,০২/০৭/১৯৮৯,গৃহিনী,গাড়াডোব, গাংনী, মেহেরপুর</t>
  </si>
  <si>
    <t>২৫০২,মোছাঃ কামরুন্নাহার কাকন,৫৭০০৩৮০০০৪৩৭,মোঃ আবুল কাশেম,মোছাঃ রোজিনা খাতুন,১৪/১০/২০০৪,ছাত্র/ছাত্রী,গাড়াডোব, গাংনী, মেহেরপুর</t>
  </si>
  <si>
    <t>২৫০৩,মোছাঃ সাদিয়া খাতুন,৫৭০০৩৮০০০৯০০,মোছাঃ তফিজুর রহমান,মোছাঃ রাফিজা খাতুন,২২/০৩/২০০৬,ছাত্র/ছাত্রী,গাড়াডোব, গাংনী, মেহেরপুর</t>
  </si>
  <si>
    <t>২৫০৪,নাম: আফিয়া ফাহমিদা,৫৭০০৩৮০০১৪০১,মোঃ আব্দুর রব,মোছাঃ আফরোজা খাতুন,০৩/১১/২০০৬,ছাত্র/ছাত্রী,গাড়াডোব, গাংনী, মেহেরপুর</t>
  </si>
  <si>
    <t>২৫০৫,মোছাঃ রত্না খাতুন,৫৭০০৩৮০০১৬২৪,মোঃ রহিদুল ইসলাম,মোছাঃ ফাতেমা খাতুন,২৫/০৬/২০০৪,ছাত্র/ছাত্রী,গাড়াডোব, গাংনী, মেহেরপুর</t>
  </si>
  <si>
    <t>২৫০৬,মোছাঃ আজমিরা খাতুন,৫৭০০৩৮০০১৬৬৯,মোঃ আলমগীর হোসেন,মোছাঃ নুরজাহান খাতুন,০৮/০৪/২০০৪,ছাত্র/ছাত্রী,-+, গাড়াডোব, গাংনী, মেহেরপুর</t>
  </si>
  <si>
    <t>২৫০৭,মোছাঃ রিয়া খাতুন,৫৭০০৩৮০০১৬৮৪,মোঃ আঃ ছালাম,মোছাঃ আছিয়া খাতুন,১৭/০৫/২০০৪,গৃহিনী,গাড়াডোব, গাংনী, মেহেরপুর</t>
  </si>
  <si>
    <t>২৫০৮,মোছাঃ পাপিয়ার খাতুন,৫৭০০৩৮০০১৬৮৫,মোঃ দিনাজ আলী,মোছাঃ হালিমা খাতুন,০৫/০৬/২০০৪,গৃহিনী,গাড়াডোব, গাংনী, মেহেরপুর</t>
  </si>
  <si>
    <t>২৫০৯,মোছাঃ সুমাইয়া পারভীন,৫৭০০৩৮০০১৬৮৬,মোঃ সেন্টু হোসেন,মোছাঃ জেসমিন খাতুন,১০/১০/২০০৪,গৃহিনী,গাড়াডোব, গাংনী, মেহেরপুর</t>
  </si>
  <si>
    <t>২৫১০,মোছাঃ ইয়াসমিন আক্তার,৫৭০০৩৮০০১৬৮৭,মোঃ আওলাদ হোসেন,মোছাঃ নাছিমা খাতুন,১৩/০৭/২০০৪,গৃহিনী,০৬, গাড়াডোব, গাংনী, মেহেরপুর</t>
  </si>
  <si>
    <t>২৫১১,মোছাঃ বৃষ্টি খাতুন,৫৭০০৩৮০০১৬৮৯,মোঃ মেহেরুল মন্ডল,মোছাঃ বিলকিছ বানু,১০/০২/২০০৪,ছাত্র/ছাত্রী,গাড়াডোব, গাংনী, মেহেরপুর</t>
  </si>
  <si>
    <t>২৫১২,মোছাঃ মেরিনা খাতুন,৫৭০০৩৮০০১৬৯২,মৃত আঃ বারেক,মোছাঃ আলেছা খাতুন,১৫/০৭/২০০৪,গৃহিনী,গাড়াডোব, গাংনী, মেহেরপুর</t>
  </si>
  <si>
    <t>২৫১৩,মোছাঃ রিতু খাতুন,৫৭০০৩৮০০১৬৯৬,মোঃ আমজাদ,মোছাঃ পুরনিমা খাতুন,১০/০৯/২০০৪,গৃহিনী,গাড়াডোব, গাংনী, মেহেরপুর</t>
  </si>
  <si>
    <t>২৫১৪,মোছাঃ বৃষ্টিয়ারা খাতুন,৫৭০০৩৮০০১৬৯৯,মোঃ আফজাল হোসেন,মোছাঃ সাগরী খাতুন,২৫/১১/২০০৪,গৃহিনী,গাড়াডোব, গাংনী, মেহেরপুর</t>
  </si>
  <si>
    <t>২৫১৫,মোছাঃ মাকসুরা আক্তার ঋতু,৫৭০০৩৮০০১৭০১,মোঃ আলাউদ্দীন,মোছাঃ মাসুদা আক্তার,১২/০৪/২০০৪,ছাত্র/ছাত্রী,গাড়াডোব, গাংনী, মেহেরপুর</t>
  </si>
  <si>
    <t>২৫১৬,মোছাঃ রনি আক্তার,৫৭০০৩৮০০১৭০৫,মোঃ রবিউল ইসলাম,মোছাঃ ছামছুন নাহার,১৮/০২/২০০৪,গৃহিনী,গাড়াডোব, গাংনী, মেহেরপুর</t>
  </si>
  <si>
    <t>২৫১৭,মোছাঃ শাপলা খাতুন,৫৭০০৩৮০০১৭০৮,মোঃ নাসির উদ্দীন,মোছাঃ বিউটি খাতুন,১৪/০৫/২০০৪,গৃহিনী,গাড়াডোব, গাংনী, মেহেরপুর</t>
  </si>
  <si>
    <t>২৫৩৬,মোছাঃ মুন্নি খাতুন,৫৭০০৩৮০০১৭৬৩,মোঃ মহিবুল ইসলাম,মোছাঃ ঝুমা খাতুন,০৩/০১/২০০৫,গৃহিনী,গাড়াডোব, গাংনী, মেহেরপুর</t>
  </si>
  <si>
    <t>২৫৩৭,মোছাঃ সারমিন খাতুন,৫৭০০৩৮০০১৭৬৫,মোঃ ফারুক হোসেন,মোছাঃ ইয়ারন নেছা,১০/০৯/২০০৫,ছাত্র/ছাত্রী,গাড়াডোব, গাংনী, মেহেরপুর</t>
  </si>
  <si>
    <t>২৫৩৮,মোছাঃ লতা খাতুন,৫৭০০৩৮০০১৭৭০,মোঃ আব্দুল গনি,মোছাঃ শরিফা খাতুন,০১/০১/২০০৬,ছাত্র/ছাত্রী,গাড়াডোব, গাংনী, মেহেরপুর</t>
  </si>
  <si>
    <t>২৫৩৯,নাম: মোছাঃ সুমাইয়া,৫৭০০৩৮০০১৭৭২,পিতা: শরিফুল ইসলাম,মোছাঃ নিলুফা খাতুন,২৫/০৬/২০০৬,গৃহিনী,গাড়াডোব, গাংনী, মেহেরপুর</t>
  </si>
  <si>
    <t>২৫৪০,মোছাঃ রজনী খাতুন,৫৭০০৩৮০০১৭৭৩,মোঃ হাফিজুল ইসলাম,মোছাঃ নিলুফা খাতুন,২৫/১২/২০০৬,গৃহিনী,গাড়াডোব, গাংনী, মেহেরপুর</t>
  </si>
  <si>
    <t>২৫৪১,মোছাঃ রিজিয়া পারভীন,৫৭০০৩৮০০১৭৭৪,মোঃ আদম আলী,মোছাঃ জাহেদা খাতুন,২০/১০/২০০৬,ছাত্র/ছাত্রী,গাড়াডোব, গাংনী, মেহেরপুর</t>
  </si>
  <si>
    <t>২৫৪২,নাম: মোছাঃ আয়েশা সিদ্দিকা,৫৭০০৩৮০০১৭৭৫,মোঃ আশরাফুল ইসলাম,মোছাঃ আরজিনা খাতুন,২৬/০২/২০০৬,ছাত্র/ছাত্রী,গাড়াডোব, গাংনী, মেহেরপুর</t>
  </si>
  <si>
    <t>২৫৪৩,মোছাঃ মুন্নি খাতুন,৫৭০০৩৮০০১৭৭৬,মোঃ রফিকুল ইসলাম,মোছাঃ ফরিদা খাতুন,০৭/১০/২০০৬,গৃহিনী,গাড়াডোব, গাংনী, মেহেরপুর</t>
  </si>
  <si>
    <t>২৫৪৪,নাম: মোছাঃ সাইমা আক্তার সুম্মা,৫৭০০৩৮০০১৭৭৮,মোঃ রহিদুল ইসলাম,মোছাঃ আনার কলি,২৫/০৯/২০০৬,ছাত্র/ছাত্রী,গাড়াডোব, গাংনী, মেহেরপুর</t>
  </si>
  <si>
    <t>২৫৪৫,মোছাঃ সোহাগী খাতুন,৫৭০০৩৮০০১৭৮১,মোঃ আলতাব হোসেন,মোছাঃ মমতাজ খাতুন,২০/১২/২০০৬,ছাত্র/ছাত্রী,গাড়াডোব, গাংনী, মেহেরপুর</t>
  </si>
  <si>
    <t>২৫৪৬,মোছাঃ অন্তরা খাতুন,৫৭০০৩৮০০১৭৮৫,মোঃ আলমগীর হোসেন,মোছাঃ রঙিলা খাতুন,০৮/০৮/২০০৬,ছাত্র/ছাত্রী,গাড়াডোব, গাংনী, মেহেরপুর</t>
  </si>
  <si>
    <t>২৫৪৭,নাম: আবিদা সুলতানা জুথি,৫৭০০৩৮০০১৭৮৭,মোঃ জিয়ারুল ইসলাম,মোছাঃ শান্তনা খাতুন,০৮/০৬/২০০৬,ছাত্র/ছাত্রী,গাড়াডোব, গাংনী, মেহেরপুর</t>
  </si>
  <si>
    <t>২৫৪৮,নাম: মোছাঃ সামিয়া আক্তার,৫৭০০৩৮০০১৭৯০,মোঃ শাহোসান কবির,মোছাঃ রেহেনা খাতুন,২২/০৭/২০০৬,ছাত্র/ছাত্রী,গাড়াডোব, গাংনী, মেহেরপুর</t>
  </si>
  <si>
    <t>২৫৪৯,মোছাঃ ফাতেমা খাতুন,৫৭০০৩৮০০১৭৯১,মোঃ আকবার হোসেন,মোছাঃ মমতাজ পারভীন,০৮/০৫/২০০৬,ছাত্র/ছাত্রী,গাড়াডোব, গাংনী, মেহেরপুর</t>
  </si>
  <si>
    <t>২৫৫০,মোছাঃ সুমাইয়া আক্তার,৫৭০০৩৮০০১৭৯২,মোঃ শরিফুল ইসলাম,মোছাঃ মর্জিনা বেগম,০১/০১/২০০৭,ছাত্র/ছাত্রী,গাড়াডোব, গাংনী, মেহেরপুর</t>
  </si>
  <si>
    <t>২৫৫১,নাম: রিশিতা খাতুন,৫৭০০৩৮০০১৭৯৫,মোঃ আশরাফুল আলম,মোছাঃ ডলিয়ার খাতুন,০৯/১১/২০০৬,গৃহিনী,গাড়াডোব, গাংনী, মেহেরপুর</t>
  </si>
  <si>
    <t>২৫৫২,নাম: লিফা জাবিন আঁচল,৫৭০০৩৮০০১৭৯৮,মোঃ আশরাফুল ইসলাম,মোছাঃ বিলকিচ বেগম,১১/০৬/২০০৬,ছাত্র/ছাত্রী,গাড়াডোব, গাংনী, মেহেরপুর</t>
  </si>
  <si>
    <t>২৫৫৩,মোছাঃ শাবনাজ খাতুন,৫৭০০৩৮০০১৮০০,মোঃ ছানোয়ার হোসেন,মোছাঃ রেখা খাতুন,০২/০৩/২০০৬,ছাত্র/ছাত্রী,গাড়াডোব, গাংনী, মেহেরপুর</t>
  </si>
  <si>
    <t>২৫৫৪,মোছাঃ সুমাইয়া পারভিন,৫৭০০৩৮০০১৮০৫,মোঃ মুলাম হোসেন,মোছাঃ শাহানাজ খাতুন,০১/০৩/২০০৬,গৃহিনী,গাড়াডোব, গাংনী, মেহেরপুর</t>
  </si>
  <si>
    <t>২৫৫৫,মোছাঃ অন্তরা খাতুন,৫৭০০৩৮০০১৮০৬,মোঃ আনছার আলী,মোছাঃ রাশিদা খাতুন,১০/০৯/২০০৬,গৃহিনী,গাড়াডোব, গাংনী, মেহেরপুর</t>
  </si>
  <si>
    <t>২৫৫৬,মোছাঃ ফাতেমা খাতুন,৫৭০০৩৮০০১৮০৭,মোঃ আব্দুর রকিব,মোছাঃ লিপিয়ারা বেগম,০১/০১/২০০৭,ছাত্র/ছাত্রী,গাড়াডোব, গাংনী, মেহেরপুর</t>
  </si>
  <si>
    <t>২৫৫৭,মোছাঃ রিমা খাতুন,৫৭০০৩৮০০১৮১১,মোহাঃ আবুল বাসার,মোছাঃ মর্জিনা খাতুন,২১/০৭/২০০৬,গৃহিনী,গাড়াডোব, গাংনী, মেহেরপুর</t>
  </si>
  <si>
    <t>২৫৫৮,মোছাঃ সুরাইয়া আক্তার শোভা,৫৭০০৩৮০০১৮১৯,মোঃ শফিউল ইসলাম,মোছাঃ নাছরিন খাতুন,১৫/০৬/২০০৬,ছাত্র/ছাত্রী,গাড়াডোব, গাংনী, মেহেরপুর</t>
  </si>
  <si>
    <t>২৫৫৯,মোছাঃ জ্যামি আক্তার লতা,৫৭০০৩৮০০১৮২০,মোঃ জাহাঙ্গীর আলম,মোছাঃ রওশনারা খাতুন,১৬/০৫/২০০৬,ছাত্র/ছাত্রী,গাড়াডোব, গাংনী, মেহেরপুর</t>
  </si>
  <si>
    <t>২৫৬০,মোছাঃ সুমাইয়া খাতুন,৫৭০০৩৮০০১৮২৩,মোঃ শমসের আলী,মোছাঃ আসমা খাতুন,৩০/১০/২০০৬,ছাত্র/ছাত্রী,গাড়াডোব, গাংনী, মেহেরপুর</t>
  </si>
  <si>
    <t>২৫৬১,মোছাঃ হাবিবা খাতুন,৫৭০০৩৮০০১৮২৫,মোঃ সাহাবুদ্দীন শেখ,মোছাঃ মিনা খাতুন,০৫/১১/২০০৬,ছাত্র/ছাত্রী,গাড়াডোব, গাংনী, মেহেরপুর</t>
  </si>
  <si>
    <t>২৫৬২,মোছাঃ জুবাইদা খাতুন,৫৭০০৩৮৫৪৪৯৭৩,মোঃ ফারুক হোসেন,মোছাঃ মরিয়ম নেছা,২৮/১১/১৯৯৯,গৃহিনী,১৩২৬, গাড়াডোব, গাংনী, মেহেরপুর</t>
  </si>
  <si>
    <t>২৫৬৩,মোছাঃ লিমা আক্তার রুমা,৫৭০০৩৮৫৪৪৯৮৩,মোঃ মতিউর রহমান,মোছাঃ বুলবুলি বেগম,৩১/১২/১৯৯৮,ছাত্র/ছাত্রী,৭৪২, গাড়াডোব, গাংনী, মেহেরপুর</t>
  </si>
  <si>
    <t>২৫৬৪,মোছাঃ রানী খাতুন,৫৭০০৩৮৫৪৪৯৮৬,মোঃ আনোয়ার হোসেন,মোছাঃ শিউলি খাতুন,৩০/১২/১৯৯৭,ছাত্র/ছাত্রী,১২৯৮, গাড়াডোব, গাংনী, মেহেরপুর</t>
  </si>
  <si>
    <t>২৫৬৫,মোছাঃ জ্যামি খাতুন,৫৭০০৩৮৫৪৪৯৯২,মোঃ মখলেছুর রহমান,মোছাঃ নাসরিন খাতুন,১৪/০৪/২০০১,গৃহিনী,গাড়াডোব, গাংনী, মেহেরপুর</t>
  </si>
  <si>
    <t>২৫৬৬,নাম: শিখা আক্তার,৫৭০০৩৮৫৪৪৯৯৩,আব্দুল মান্নান,মাতা: উরমীলা,২০/০৪/২০০০,গৃহিনী,গাড়াডোব, গাংনী, মেহেরপুর</t>
  </si>
  <si>
    <t>২৫৬৭,মোছাঃ মুন্নি আকতার নাজমিন,৫৭০০৩৮৫৪৪৯৯৪,মোঃ খাইরুল ইসলাম,মোছাঃ আছিয়া খাতুন,০৯/০৭/২০০৩,গৃহিনী,গাড়াডোড, গাংনী, মেহেরপুর</t>
  </si>
  <si>
    <t>২৫৬৮,মোছাঃ সোহাগী খাতুন,৫৭০০৩৮৫৪৪৯৯৫,মোঃ খেজুমদ্দিন,মোছাঃ সখিনা খাতুন,০৪/০৭/১৯৯৪,গৃহিনী,গাড়াডোব, গাংনী, মেহেরপুর</t>
  </si>
  <si>
    <t>২৫৬৯,নাম: আশা আক্তার,৫৭০০৩৮৫৪৪৯৯৬,মোঃ জামাল উদ্দীন,মাতা: ঝিনুক,২৮/১২/১৯৯৮,ছাত্র/ছাত্রী,গাড়াডোব, গাংনী, মেহেরপুর</t>
  </si>
  <si>
    <t>২৫৭০,মোছাঃ সিমা খাতুন,৫৭০০৩৮৫৪৪৯৯৭,মোঃ আসাদুল ইসলাম,মোছাঃ শারমিনা খাতুন,০২/০১/২০০১,গৃহিনী,গাড়াডোব, গাংনী, মেহেরপুর</t>
  </si>
  <si>
    <t>২৫৭১,মোছাঃ সোহাগী,৫৭০০৩৮৫৪৪৯৯৮,মোঃ আবুল খায়ের,মোছাঃ নুরনাহার বেগম,০৩/০৪/১৯৯৫,গৃহিনী,গাড়াডোব, গাংনী, মেহেরপুর</t>
  </si>
  <si>
    <t>২৬১৮,মোছাঃ সাবরিনা স্বপ্না,৫৭০০৩৮০০১৭১১,মোঃ কিতাব আলি,মোছাঃ জহুরা খাতুন,১২/০৪/২০০৫,ছাত্র/ছাত্রী,গাড়াডোব, গাংনী, মেহেরপুর</t>
  </si>
  <si>
    <t>২৬১৯,নাম: রাদিয়া জামান স্বর্ণ,৫৭০০৩৮০০১৭১৩,মোঃ রোকনুজ্জামান চপল,মোছাঃ নার্গিস খানম,২৮/১২/২০০৫,ছাত্র/ছাত্রী,গাড়াডোব, গাংনী, মেহেরপুর</t>
  </si>
  <si>
    <t>২৬২০,মোছাঃ খুশি,৫৭০০৩৮০০১৭১৯,মোঃ বদরুজ্জামান,মোছাঃ ফিরোজা,০১/০৩/২০০৫,ছাত্র/ছাত্রী,গাড়াডোব, গাংনী, মেহেরপুর</t>
  </si>
  <si>
    <t>২৬২১,মোছাঃ সুমাইয়া আক্তার আশা,৫৭০০৩৮০০১৭২২,মোঃ মালেক,মোছাঃ টগর বানু,১৪/০৮/২০০৫,ছাত্র/ছাত্রী,৬৬০, গাড়াডোব, গাংনী, মেহেরপুর</t>
  </si>
  <si>
    <t>২৬২২,মোছাঃ মুন্নি খাতুন,৫৭০০৩৮০০১৭২৪,মোঃ মনিরুল,মোছাঃ পারভীনা,০৩/০১/২০০৫,গৃহিনী,গাড়াডোব, গাংনী, মেহেরপুর</t>
  </si>
  <si>
    <t>২৬২৩,মোছাঃ সানজিদা খাতুন,৫৭০০৩৮০০১৭২৫,মোঃ আবুল বাসার,মোছাঃ বানেছা খাতুন,০৫/১২/২০০৫,ছাত্র/ছাত্রী,গাড়াডোভারা, গাংনী, মেহেরপুর</t>
  </si>
  <si>
    <t>২৬২৪,মোছাঃ রুমিয়া আক্তার মীমা,৫৭০০৩৮০০১৭২৭,মোঃ মনছুর আলী,মোছাঃ রোকেয়া খাতুন,১৩/০৮/২০০৫,ছাত্র/ছাত্রী,২৬০, গাড়াডোব, গাংনী, মেহেরপুর</t>
  </si>
  <si>
    <t>২৬২৫,মোছাঃ রজনী খাতুন,৫৭০০৩৮০০১৭২৯,মোঃ আব্দুর রাজ্জাক,মোছাঃ শম্পা খাতুন,২৭/১২/২০০৫,গৃহিনী,গাড়াডোব, গাংনী, মেহেরপুর</t>
  </si>
  <si>
    <t>২৬২৬,মোছাঃ বৃষ্টি খাতুন,৫৭০০৩৮০০১৭৩৩,মোঃ আব্দুল মজিদ,মোছাঃ শাহানারা খাতুন,১০/০৪/২০০৫,ছাত্র/ছাত্রী,গাড়াডোব, গাংনী, মেহেরপুর</t>
  </si>
  <si>
    <t>২৬২৭,মোছাঃ ইয়াসমিন খাতুন,৫৭০০৩৮০০১৭৩৭,মোঃ ইয়ারুল ইসলাম,মোছাঃ রহিলা খাতুন,২১/১০/২০০৫,ছাত্র/ছাত্রী,গাড়াডোব, গাংনী, মেহেরপুর</t>
  </si>
  <si>
    <t>২৬২৮,মোছাঃ কাকলি খাতুন,৫৭০০৩৮০০১৭৪৫,মোঃ শফিকুল ইসলাম,মোছাঃ মালী খাতুন,০৭/০৬/২০০৫,ছাত্র/ছাত্রী,গাড়াডোব, গাংনী, মেহেরপুর</t>
  </si>
  <si>
    <t>২৬২৯,মোছাঃ হালিমা খাতুন,৫৭০০৩৮০০১৭৪৬,মোঃ আবু ইউসুফ,মোছাঃ রাশিদা খাতুন,০১/০৮/২০০৫,ছাত্র/ছাত্রী,২৯৪, গাড়াডোব, গাংনী, মেহেরপুর</t>
  </si>
  <si>
    <t>২৬৩০,মোছাঃ তাফসিরা আক্তার তমা,৫৭০০৩৮০০১৭৪৭,মোঃ হাফিজুর রহমান,মোছাঃ শাহানাজ পারভীন,০৩/০৭/২০০৫,ছাত্র/ছাত্রী,গাড়াডোব, গাংনী, মেহেরপুর</t>
  </si>
  <si>
    <t>২৬৩১,মোছাঃ শারমিন সুলতানা,৫৭০০৩৮০০১৭৪৯,মোঃ শহিদুল ইসলাম,মোছাঃ শেফালী খাতুন,৩০/০৬/২০০৫,ছাত্র/ছাত্রী,গাড়াডোব, গাংনী, মেহেরপুর</t>
  </si>
  <si>
    <t>২৬৩২,নাম: জেসমিন আরা,৫৭০০৩৮০০১৭৫৪,পিতা: জিয়ারুল,মাতা: শরিফা,০১/০১/২০০৬,গৃহিনী,গাড়াডোব, গাংনী, মেহেরপুর</t>
  </si>
  <si>
    <t>২৬৩৩,মোছাঃ শারমিন সিনহা বিথী,৫৭০০৩৮০০১৭৫৫,মোঃ সাহাবুদ্দীন,মোছাঃ সামসুন্নাহার,০৩/০৩/২০০৫,ছাত্র/ছাত্রী,৬, গাড়াডোব, গাংনী, মেহেরপুর</t>
  </si>
  <si>
    <t>২৬৩৪,মোছাঃ আলিয়া খাতুন,৫৭০০৩৮০০১৭৫৭,মোঃ রাজব আলী,মোছাঃ টগর বেগম,০৮/১১/২০০৫,ছাত্র/ছাত্রী,গাড়াডোব, গাংনী, মেহেরপুর</t>
  </si>
  <si>
    <t>২৬৩৫,নাম: লামিয়া আক্তার,৫৭০০৩৮০০১৭৫৮,পিতা: ওয়াজেদ আলী,মোছাঃ ছাপিয়ার খাতুন,১৮/০১/২০০৫,গৃহিনী,গাড়াডোব, গাংনী, মেহেরপুর</t>
  </si>
  <si>
    <t>২৫৭২,মোছাঃ শেফালী খাতুন,৫৭০০৩৮৫৪৪৯৯৯,মোঃ আলামীন,মোছাঃ মর্জিনা খাতুন,১৮/১১/১৯৯১,গৃহিনী,গাড়াডোব, গাংনী, মেহেরপুর</t>
  </si>
  <si>
    <t>২৫৭৩,নাম: শিলা খাতুন,৫৭০০৩৮৫৪৫০০০,মোঃ আমিরুল ইসলাম,মোছাঃ জবেদা খাতুন,০৩/১০/২০০০,গৃহিনী,গাড়াডোব, গাংনী, মেহেরপুর</t>
  </si>
  <si>
    <t>২৫৭৪,মোছাঃ জোসমিন আক্তার সেতু,৫৭০০৩৮৫৪৫০০১,মোঃ হাববুল,মোছাঃ আম্বিয়া খাতুন,১২/১২/১৯৯৬,গৃহিনী,-, গাড়াডোব, গাংনী, মেহেরপুর</t>
  </si>
  <si>
    <t>২৫৭৫,মোছাঃ রিনা খাতুন,৫৭০০৩৮৫৪৫০০৪,মোঃ ইয়াদ আলী,মোছাঃ কলিমন নেছা,১৩/০৮/১৯৯৭,গৃহিনী,গাড়াডোব, গাংনী, মেহেরপুর</t>
  </si>
  <si>
    <t>২৫৭৬,নাম: ফারজিনা,৫৭০০৩৮৫৪৫০০৬,পিতা: ফারুক হোসেন,মাতা: রেশমা খাতুন,১২/০৮/২০০১,গৃহিনী,গাড়াডোব, গাংনী, মেহেরপুর</t>
  </si>
  <si>
    <t>২৫৭৭,মোছাঃ জেসমিন,৫৭০০৩৮৫৪৫০০৮,মোঃ কালু,মোছাঃ রজিফা খাতুন,০৯/০২/২০০২,গৃহিনী,গাড়াডোব, গাংনী, মেহেরপুর</t>
  </si>
  <si>
    <t>২৫৭৮,মোছাঃ রিয়া খাতুন,৫৭০০৩৮৫৪৫০১০,মোঃ আব্দুর রাজ্জাক,মোছাঃ তহুরা খাতুন,১৫/০৩/২০০৩,ছাত্র/ছাত্রী,গাড়াডোব, গাংনী, মেহেরপুর</t>
  </si>
  <si>
    <t>২৫৭৯,মোছাঃ জুলিয়া খাতুন,৫৭০০৩৮৫৪৫০১১,মোঃ জবেদ আলী,মোছাঃ রাজিয়া খাতুন,০৫/০৩/১৯৯৪,গৃহিনী,গাড়াডোব, গাংনী, মেহেরপুর</t>
  </si>
  <si>
    <t>২৫৮০,মোছাঃ রুপালী খাতুন,৫৭০০৩৮৫৪৫০১২,মোঃ আব্দুর রশিদ,মোছাঃ পারভীনা খাতুন,০৬/০৫/১৯৯৯,গৃহিনী,গাড়াডোব, গাংনী, মেহেরপুর</t>
  </si>
  <si>
    <t>২৫৮১,মোছাঃ লাবনী খাতুন,৫৭০০৩৮৫৪৫০১৩,মোঃ খেদের আলী,মোছাঃ আরজিনা বেগম,১১/০৪/২০০২,গৃহিনী,৫৭১, গাড়াডোব, গাংনী, মেহেরপুর</t>
  </si>
  <si>
    <t>২৫৮২,মোছাঃ এরিনা খাতুন,৫৭০০৩৮৫৪৫০১৪,মোঃ আব্দুল বারেক,মোছাঃ আলেছা খাতুন,২৫/০৫/২০০০,গৃহিনী,গাড়াডোভারা, গাংনী, মেহেরপুর</t>
  </si>
  <si>
    <t>২৫৮৩,মোছাঃ রিক্তা খাতুন,৫৭০০৩৮৫৪৫০১৬,মোঃ গোলজার হোসেন,মোছাঃ দেলোয়ারা খাতুন,১৪/০৩/১৯৯৭,গৃহিনী,গাড়াডোব, গাংনী, মেহেরপুর</t>
  </si>
  <si>
    <t>২৫৮৪,মোছাঃ পিংকি আরা,৫৭০০৩৮৫৪৫০১৮,মোঃ বিনারুল ইসলাম,মোছাঃ বিলকিস খাতুন,১৩/০৪/২০০৩,ছাত্র/ছাত্রী,গাড়াডোব, গাংনী, মেহেরপুর</t>
  </si>
  <si>
    <t>২৫৮৫,মোছাঃ খাদিজা খাতুন,৫৭০০৩৮৫৪৫০২১,মোঃ হামিদুল ইসলাম,মোছাঃ নাজেরা খাতুন,০৪/০৭/২০০১,গৃহিনী,গাড়াডোব, গাংনী, মেহেরপুর</t>
  </si>
  <si>
    <t>২৫৮৬,নাম: রেশমা খাতুন,৫৭০০৩৮৫৪৫০২২,পিতা: নওসাদ মন্ডল,মাতা: মুকিলা বেগম,০১/০২/২০০২,গৃহিনী,গাড়াডোব, গাংনী, মেহেরপুর</t>
  </si>
  <si>
    <t>২৫৮৭,মোছাঃ রেহবিনা খাতুন,৫৭০০৩৮৫৪৫০২৩,মোঃ শাহিন আলী,মোছাঃ শিরিনা খাতুন,০২/০৪/২০০০,গৃহিনী,গাড়াডোব, গাংনী, মেহেরপুর</t>
  </si>
  <si>
    <t>২৫৮৮,নাম: নদিয়া খাতুন,৫৭০০৩৮৫৪৫০২৫,মোঃ নাসিরুল ইসলাম,মাতা: জেসমিন খাতুন,০১/০১/২০০৪,ছাত্র/ছাত্রী,গাড়াডোভারা, গাংনী, মেহেরপুর</t>
  </si>
  <si>
    <t>২৫৮৯,মোছাঃ রুনা খাতুন,৫৭০০৩৮৫৪৫০২৬,মোঃ মিয়ারুল ইসলাম,মোছাঃ বিলকিচ,০২/০৪/১৯৯৪,গৃহিনী,গাড়াডোব, গাংনী, মেহেরপুর</t>
  </si>
  <si>
    <t>২৫৯০,মোছাঃ সুমাইয়া খাতুন,৫৭০০৩৮৫৪৫০২৮,মোঃ আশরাফুল,মোছাঃ শেফালী খাতুন,০১/০৩/২০০১,গৃহিনী,গাড়াডোব, গাংনী, মেহেরপুর</t>
  </si>
  <si>
    <t>২৫৯১,নাম: সৈয়দা শর্মিলা আশরাফ শিমু,৫৭০০৩৮৫৪৫০২৯,এস. এম শফিউল ইসলাম,মাতা: সৈয়দা তহমিনা আশরাফ,১০/০১/২০০৩,ছাত্র/ছাত্রী,গাড়াডোব, গাংনী, মেহেরপুর</t>
  </si>
  <si>
    <t>২৫৯২,মোছাঃ মানিয়ারা,৫৭০০৩৮৫৪৫০৩০,মোঃ কাওছার,মোছাঃ আছিয়া,৩০/০৩/২০০০,গৃহিনী,গাড়াডোব, গাংনী, মেহেরপুর</t>
  </si>
  <si>
    <t>২৫৯৩,মোছাঃ ক্যামি খাতুন,৫৭০০৩৮৫৪৫০৩১,মোঃ মখলেছুর রহমান,মোছাঃ নাসরিন খাতুন,৩১/১২/১৯৯৭,গৃহিনী,গাড়াডোব, গাংনী, মেহেরপুর</t>
  </si>
  <si>
    <t>২৫৯৪,মোছাঃ মিনতি পারভীন,৫৭০০৩৮৫৪৫০৩৩,মোঃ মিনারুল ইসলাম,মোছাঃ কাজল রেখা,২৫/০৪/২০০২,গৃহিনী,গাড়াডোব, গাংনী, মেহেরপুর</t>
  </si>
  <si>
    <t>২৫৯৫,মোছাঃ তামান্না খাতুন,৫৭০০৩৮৫৪৫০৩৬,মোঃ ইমদাদুল হক,মোছাঃ পুনকী খাতুন,১৭/১১/২০০০,গৃহিনী,গাড়াডোব, গাংনী, মেহেরপুর</t>
  </si>
  <si>
    <t>২৫৯৬,মোছাঃ ঝর্না খাতুন,৫৭০০৩৮৫৪৫০৩৭,মোঃ খেজমত আলী,মোছাঃ জহুরা খাতুন,০১/০২/২০০৩,গৃহিনী,গাড়াডোব, গাংনী, মেহেরপুর</t>
  </si>
  <si>
    <t>২৫৯৭,নাম: জেসমিন,৫৭০০৩৮৫৪৫০৩৯,পিতা: ফজলুল হক,মাতা: সুফিয়া খাতুন,০৪/০৫/২০০০,গৃহিনী,গাড়াডোব, গাংনী, মেহেরপুর</t>
  </si>
  <si>
    <t>২৫৯৮,মোছাঃ তামান্না খাতুন,৫৭০০৩৮৫৪৫০৪১,মোঃ শওকত আলী,মোছাঃ পুনকা খাতুন,৩০/০৬/২০০২,গৃহিনী,গাড়াডোব, গাংনী, মেহেরপুর</t>
  </si>
  <si>
    <t>২৫৯৯,মোছাঃ রোকসানা খাতুন,৫৭০০৩৮৫৪৫০৪৩,মোঃ হিরোকুজ্জামান,মোছাঃ রাহেলা খাতুন,১৫/০৬/২০০৩,গৃহিনী,গাড়াডোব, গাংনী, মেহেরপুর</t>
  </si>
  <si>
    <t>২৬০০,মোছাঃ হাসিনা খাতুন,৫৭০০৩৮৫৪৫০৪৫,মোঃ কুদ্দুস আলী,মোছাঃ মাছুরা খাতুন,০১/০২/২০০০,গৃহিনী,গাড়াডোব, গাংনী, মেহেরপুর</t>
  </si>
  <si>
    <t>২৬০১,মোছাঃ হাফছা খাতুন,৫৭০০৩৮৫৪৫০৪৬,মোঃ শরিফুল ইসলাম,মোছাঃ শরিফা খাতুন,০১/০৩/১৯৯৯,গৃহিনী,গাড়াডোব, গাংনী, মেহেরপুর</t>
  </si>
  <si>
    <t>২৬০২,মোছাঃ আছমা খাতুন,৫৭০০৩৮৫৪৫০৪৮,মোঃ আজমত আলী,মোছাঃ হাসিনা খাতুন,১৬/০৮/২০০০,গৃহিনী,গাড়াডোব, গাংনী, মেহেরপুর</t>
  </si>
  <si>
    <t>২৬০৩,মোছাঃ সিমা খাতুন,৫৭০০৩৮৫৪৫০৫০,মোঃ আকছেদ আলী,মোছাঃ মর্জিনা খাতুন,০১/০১/২০০২,গৃহিনী,৬৪৬, গাড়াডোব, গাংনী, মেহেরপুর</t>
  </si>
  <si>
    <t>২৬০৪,মোছাঃ ক্যামি খাতুন,৫৭০০৩৮৫৪৫০৫১,মোঃ আমজাদ হোসেন,মোছাঃ ইসমতারা,২০/০৭/২০০৩,ছাত্র/ছাত্রী,গাড়াডোব, গাংনী, মেহেরপুর</t>
  </si>
  <si>
    <t>২৬০৫,মোছাঃ রজনী খাতুন,৫৭০০৩৮৫৪৫০৫২,মোঃ জহুরুল ইসলাম,মোছাঃ সোহাগী খাতুন,১২/০৩/২০০১,গৃহিনী,গাড়াডোব, গাংনী, মেহেরপুর</t>
  </si>
  <si>
    <t>২৬০৬,মোছাঃ শারমিন আক্তার,৫৭০০৩৮৫৪৫০৫৪,মোঃ ওমর আলী,মোছাঃ পান্না খাতুন,২০/০৮/২০০২,গৃহিনী,২৬০, গাড়াডোব, গাংনী, মেহেরপুর</t>
  </si>
  <si>
    <t>২৬০৭,মোছাঃ হাসিয়ারা খাতুন,৫৭০০৩৮৫৪৫০৫৭,মোঃ ইছাত আলী,মোছাঃ রাশিদা খাতুন,০১/০২/২০০৩,ছাত্র/ছাত্রী,গাড়াডোব, গাংনী, মেহেরপুর</t>
  </si>
  <si>
    <t>মোছাঃ সুমাইয়া আক্তার লিমা</t>
  </si>
  <si>
    <t>ফারিয়া আফসানা তমা</t>
  </si>
  <si>
    <t>মোঃ মোশারফ হোসেন</t>
  </si>
  <si>
    <t>মোঃ আব্দুর রউফ</t>
  </si>
  <si>
    <t>মোঃ আলমাছ হোসেন</t>
  </si>
  <si>
    <t>মোঃ মসলেম মালিথা</t>
  </si>
  <si>
    <t>মোঃ হইরুদ্দিন</t>
  </si>
  <si>
    <t>মোছাঃ উম্মে জাবিয়াত</t>
  </si>
  <si>
    <t>মোঃ আব্দুল হামিদ</t>
  </si>
  <si>
    <t>মাতাঃ আছমা খাতুন</t>
  </si>
  <si>
    <t>মোঃ সিদ্দীকুর রহমান</t>
  </si>
  <si>
    <t>মোঃ জব্বার আলী</t>
  </si>
  <si>
    <t>মোছাঃ রোকছোনা খাতুন</t>
  </si>
  <si>
    <t>মোছাঃ ইসমোতারা খাতুন</t>
  </si>
  <si>
    <t>মোঃ মোতালেব সেখ</t>
  </si>
  <si>
    <t>নাজেরা বেগম</t>
  </si>
  <si>
    <t>পিতাঃ কামাল আলী</t>
  </si>
  <si>
    <t>মাতাঃ মোছাঃ তসলিমা</t>
  </si>
  <si>
    <t>মোঃ ইউসুফ আলী মোল্যা</t>
  </si>
  <si>
    <t>হ্যাপি আক্তার</t>
  </si>
  <si>
    <t>গাড়াবোড় মালপাড়া, গাড়াবোড়, গাংনী, মেহেরপুর</t>
  </si>
  <si>
    <t>আংগুরা খাতুন</t>
  </si>
  <si>
    <t>মোছাঃ হুসনেয়ারা খাতুন</t>
  </si>
  <si>
    <t>গাড়াবোড় পুকুরপাড়া, গাড়াবোড়, গাংনী, মেহেরপুর</t>
  </si>
  <si>
    <t>মোঃ এরশাদ আলী</t>
  </si>
  <si>
    <t>পুকুর পাড়া, গাড়াবোড়, গাংনী, মেহেরপুর</t>
  </si>
  <si>
    <t>পুকুরপাড়া, গাড়াবোড়, গাংনী, মেহেরপুর</t>
  </si>
  <si>
    <t>মোঃ মারুফ খান</t>
  </si>
  <si>
    <t>জলিবিল পাড়া, গাড়াবোড়, গাংনী, মেহেরপুর</t>
  </si>
  <si>
    <t>মোছাঃ সুম্মারা খাতুন</t>
  </si>
  <si>
    <t>মোঃ মকরর উদ্দীন</t>
  </si>
  <si>
    <t>গাড়াবোড় জলিবিল পাড়া, গাড়াবোড়, গাংনী, মেহেরপুর</t>
  </si>
  <si>
    <t>মোঃ বকুল আলী</t>
  </si>
  <si>
    <t>মোছাঃ পানলি খাতুন</t>
  </si>
  <si>
    <t>গাড়াবোড়, পুকুর পাড়া, গাড়াবোড়, গাংনী, মেহেরপুর</t>
  </si>
  <si>
    <t>মোঃ সেন্টু মিয়া</t>
  </si>
  <si>
    <t>মোঃ কাশেম শেখ</t>
  </si>
  <si>
    <t>মোঃ মুনচুর আলী</t>
  </si>
  <si>
    <t>মোঃ গোলাম মর্তূজা</t>
  </si>
  <si>
    <t>মোছাঃ যুখরুফা</t>
  </si>
  <si>
    <t>মৃত মোং মহি উদ্দীন</t>
  </si>
  <si>
    <t>মোঃ কাপ্তান আলী</t>
  </si>
  <si>
    <t>মোঃ রফিকুল</t>
  </si>
  <si>
    <t>গাড়াবোড় পুকুর পাড়া, গাড়াবোড়, গাংনী, মেহেরপুর</t>
  </si>
  <si>
    <t>মোছাঃ রাহিমা আক্তার</t>
  </si>
  <si>
    <t>ইসলামপুর পাড়া, গাড়াবোড়, গাংনী, মেহেরপুর</t>
  </si>
  <si>
    <t>ইসলামপাড়া, গাড়াবোড়, গাংনী, মেহেরপুর</t>
  </si>
  <si>
    <t>মোঃ ইছাহক</t>
  </si>
  <si>
    <t>মোঃ জামাত আলী মন্ডল</t>
  </si>
  <si>
    <t>মোছাঃ হফুরা খাতুন</t>
  </si>
  <si>
    <t>মোঃ হারেজ</t>
  </si>
  <si>
    <t>০৫/০১/১৯৮৬</t>
  </si>
  <si>
    <t>মোঃ দাউদ নবী</t>
  </si>
  <si>
    <t>মোঃ ইয়াজউদ্দিন</t>
  </si>
  <si>
    <t>মোঃ নাজির আলী</t>
  </si>
  <si>
    <t>মোছাঃ সারবানু</t>
  </si>
  <si>
    <t>মাঠপাড়া, গাড়াবোড়, গাংনী, মেহেরপুর</t>
  </si>
  <si>
    <t>মোশাররফ হোসেন</t>
  </si>
  <si>
    <t>ছিদ্দিকুল</t>
  </si>
  <si>
    <t>ফিরোজা</t>
  </si>
  <si>
    <t>জলিবিলপাড়া, গাড়াবোড়, গাংনী, মেহেরপুর</t>
  </si>
  <si>
    <t>মোঃ আলহিম মন্ডল</t>
  </si>
  <si>
    <t>মোছাঃ হোসনেয়ারা হোসেন</t>
  </si>
  <si>
    <t>মোঃ মহিরুল হক</t>
  </si>
  <si>
    <t>কুঠি পাড়া, গাড়াবোড়, গাংনী, মেহেরপুর</t>
  </si>
  <si>
    <t>মৃত মোছাঃ ইসমোতারা খাতুন</t>
  </si>
  <si>
    <t>মোঃ মুক্তার বিশ্বাস</t>
  </si>
  <si>
    <t>মোছাঃ নাজরা খাতুন</t>
  </si>
  <si>
    <t>মোঃ আব্দুল আলিম</t>
  </si>
  <si>
    <t>মোঃ আয়েজ উদ্দিন</t>
  </si>
  <si>
    <t>মোছাঃ মেঘলী খাতুন</t>
  </si>
  <si>
    <t>১২৭৬,মোছাঃ আয়েশা খাতুন,৫৭০০৩৮৩৫৬০৩২,মোঃ ছায়েন বকস,মোছাঃ আমেনা খাতুন,১৩/১২/১৯৫২,গৃহিণী,"গাড়াবোব, গাংনী, মেহেরপুর"</t>
  </si>
  <si>
    <t>১২৭৭,মোছাঃ রেহানা খাতুন,৫৭০০৩৮৩৫৬০৩৪,মোঃ আকমল হোসেন,মোছাঃ কহিনুর বেগম,১২/১২/১৯৭৯,গৃহিণী,"গাড়াবোব, গাংনী, মেহেরপুর"</t>
  </si>
  <si>
    <t>১২৭৮,মোছাঃ ফজিলা খাতুন,৫৭০০৩৮৩৫৬০৩৬,মোঃ রুহুল আমিন,মোছাঃ মনোয়ারা খাতুন,১৭/০১/১৯৮৯,গৃহিণী,"গাড়াবোব, গাংনী, মেহেরপুর"</t>
  </si>
  <si>
    <t>১২৭৯,মোছাঃ রেজিয়া খাতুন,৫৭০০৩৮৩৫৬০৩৯,মোঃ দিদার মল্লিক,আজিরন নেছা,১০/১২/১৯৭৩,গৃহিণী,"গাড়াবোব, গাংনী, মেহেরপুর"</t>
  </si>
  <si>
    <t>১২৮০,মোছাঃ সুফিয়া খাতুন,৫৭০০৩৮৩৫৬০৪১,মোঃ খবির উদ্দিন,মোছাঃ হালিমা খাতুন,৩০/১২/১৯৭৭,গৃহিণী,"গাড়াবোব, গাংনী, মেহেরপুর"</t>
  </si>
  <si>
    <t>১২৮১,মোছাঃ রেবেকা খাতুন,৫৭০০৩৮৩৫৬০৪৩,মোঃ দছির উদ্দীন,মোছাঃ কশুরা খাতুন,২৮/১০/১৯৮৮,গৃহিণী,"গাড়াবোব, গাংনী, মেহেরপুর"</t>
  </si>
  <si>
    <t>১২৮২,মোছাঃ নাছিমা খাতুন,৫৭০০৩৮৩৫৬০৪৪,মোঃ আব্দুল কুদ্দুস,মোছাঃ রেজিয়া খাতুন,৩০/১২/১৯৮৮,গৃহিণী,"গাড়াবোব, গাংনী, মেহেরপুর"</t>
  </si>
  <si>
    <t>১২৮৩,মোছাঃ শাহিদা খাতুন,৫৭০০৩৮৩৫৬০৪৮,মোঃ ইউনুস আলী,মোছাঃ ছারা খাতুন,২০/১২/১৯৮৩,গৃহিণী,"গাড়াবোব, গাংনী, মেহেরপুর"</t>
  </si>
  <si>
    <t>১২৮৪,মোছাঃ আকলিমা খাতুন,৫৭০০৩৮৩৫৬০৫০,রমব বখস,নিহারন নেছা,১১/০২/১৯৭০,গৃহিণী,"গাড়াবোব, গাংনী, মেহেরপুর"</t>
  </si>
  <si>
    <t>১২৮৫,মোছাঃ আনোয়ারা খাতুন,৫৭০০৩৮৩৫৬০৫১,জেহের আলী,মোলাজান খাতুন,২০/১১/১৯৬৭,গৃহিণী,"গাড়াবোব, গাংনী, মেহেরপুর"</t>
  </si>
  <si>
    <t>১২৮৬,মোছাঃ জরিনা খাতুন,৫৭০০৩৮৩৫৬০৫৩,আবুজর আলী,মোছাঃ হাজেরা খাতুন,২০/১২/১৯৬৫,গৃহিণী,"গাড়াবোব, গাংনী, মেহেরপুর"</t>
  </si>
  <si>
    <t>১২৮৭,মোছাঃ রাহিমা খাতুন,৫৭০০৩৮৩৫৬০৫৫,মোঃ আইয়ুব আলি,মোছাঃ মাছুরা খাতুন,১১/১০/১৯৮৮,গৃহিণী,"গাড়াবোব, গাংনী, মেহেরপুর"</t>
  </si>
  <si>
    <t>১২৮৮,মোছাঃ মুসলিমা খাতুন,৫৭০০৩৮৩৫৬০৫৭,মোঃ রুহুল আমিন,মোছাঃ জাহানারা খাতুন,২০/০২/১৯৮৯,গৃহিণী,"গাড়াবোব, গাংনী, মেহেরপুর"</t>
  </si>
  <si>
    <t>১২৮৯,মোছাঃ কবিতা খাতুন,৫৭০০৩৮৩৫৬০৬০,মওলা বখস,মোছাঃ আকিমন খাতুন,০৫/১০/১৯৭৫,গৃহিণী,"গাড়াবোব, গাংনী, মেহেরপুর"</t>
  </si>
  <si>
    <t>১২৯০,মোছাঃ আমিরন নেছা,৫৭০০৩৮৩৫৬০৬২,আফেল উদ্দিন,রমেলা খাতুন,১০/০৭/১৯৫২,গৃহিণী,"গাড়াবোব, গাংনী, মেহেরপুর"</t>
  </si>
  <si>
    <t>১২৯১,মোছাঃ বানেরা খাতুন,৫৭০০৩৮৩৫৬০৬৪,মোঃ রিকাব আলী,মোছাঃ কান্দালী খাতুন,২১/০৬/১৯৭৫,গৃহিণী,"গাড়াবোব, গাংনী, মেহেরপুর"</t>
  </si>
  <si>
    <t>১২৯২,মোছাঃ ফেরদৌসি খাতুন,৫৭০০৩৮৩৫৬০৬৬,মোঃ ফজলুল হক,মোছাঃ জরিনা খাতুন,২৩/১২/১৯৮৪,গৃহিণী,"গাড়াবোব, গাংনী, মেহেরপুর"</t>
  </si>
  <si>
    <t>১২৯৩,মোছাঃ হাফিজা খাতুন,৫৭০০৩৮৩৫৬০৬৮,কেরামত আলী,মোছাঃ আমেনা খাতুন,০৪/০৬/১৯৭৭,গৃহিণী,"গাড়াবোব, গাংনী, মেহেরপুর"</t>
  </si>
  <si>
    <t>১২৯৪,মোছাঃ ছাবিনা ইয়াসমিন বিথি,৫৭০০৩৮৩৫৬০৭০,মোঃ মকবুল হোসেন,মোছাঃ সাইনাজ পারভীন,১০/১১/১৯৮৯,গৃহিণী,"গাড়াবোব, গাংনী, মেহেরপুর"</t>
  </si>
  <si>
    <t>১২৯৫,মোছাঃ হাজেরা খাতুন,৫৭০০৩৮৩৫৬০৭১,বদিরদ্দিন আলী,মোছাঃ রমেলা খাতুন,১২/০৬/১৯৫০,গৃহিণী,"গাড়াবোব, গাংনী, মেহেরপুর"</t>
  </si>
  <si>
    <t>১২৯৬,মোছাঃ মুর্শিদা খাতুন,৫৭০০৩৮৩৫৬০৭৩,হচেন আলী,মোছাঃ রেজিয়া খাতুন,০৫/১১/১৯৮২,গৃহিণী,"গাড়াবোব, গাংনী, মেহেরপুর"</t>
  </si>
  <si>
    <t>১২৯৭,মোছাঃ বুলু খাতুন,৫৭০০৩৮৩৫৬০৮০,বছের আলী,মোছাঃ নেরোদা খাতুন,১৩/০৫/১৯৭৮,গৃহিণী,"গাড়াবোব, গাংনী, মেহেরপুর"</t>
  </si>
  <si>
    <t>১২৯৮,মোছাঃ ওলে খাতুন,৫৭০০৩৮৩৫৬০৮২,মোঃ গফুর আলী,মোছাঃ মনোয়ারা খাতুন,০৫/০৮/১৯৮২,গৃহিণী,"গাড়াবোব, গাংনী, মেহেরপুর"</t>
  </si>
  <si>
    <t>১২৯৯,মোছাঃ নাজিরা বেগম,৫৭০০৩৮৩৫৬০৮৪,মফেল উদ্দিন বিঃ,মোছাঃ মরিয়ম খাতুন,২০/০৭/১৯৭১,গৃহিণী,"গাড়াবোব, গাংনী, মেহেরপুর"</t>
  </si>
  <si>
    <t>১৩০০,মোছাঃ মাসুদা খাতুন,৫৭০০৩৮৩৫৬০৮৫,মোঃ আব্দুল মালেক,মোছাঃ বুলবুলি খাতুন,১২/১১/১৯৮৯,গৃহিণী,"গাড়াবোব, গাংনী, মেহেরপুর"</t>
  </si>
  <si>
    <t>১৩০১,মোছাঃ তানজিলা খাতুন,৫৭০০৩৮৩৫৬০৮৭,মোঃ নবীছুদ্দীন,মোছাঃ আমেনা খাতুন,১০/০৩/১৯৮২,গৃহিণী,"গাড়াবোব, গাংনী, মেহেরপুর"</t>
  </si>
  <si>
    <t>১৩০২,মোছাঃ মাহিরন নেছা,৫৭০০৩৮৩৫৬০৮৯,মোঃ আবু বাক্কার,মোছাঃ রুকিয়া খাতুন,১৮/০৫/১৯৭৩,গৃহিণী,"গাড়াবোব, গাংনী, মেহেরপুর"</t>
  </si>
  <si>
    <t>১৩০৩,মোছাঃ মরিয়ম খাতুন,৫৭০০৩৮৩৫৬০৯১,আজিজুল হক,মনোয়ারা খাতুন,১০/০৬/১৯৭৩,গৃহিণী,"গাড়াবোব, গাংনী, মেহেরপুর"</t>
  </si>
  <si>
    <t>১৩০৪,মোছাঃ আয়েশা খাতুন,৫৭০০৩৮৩৫৬০৯২,আজিমুদ্দিন,মোছাঃ জহুরা খাতুন,১২/০৪/১৯৭৭,গৃহিণী,"গাড়াবোব, গাংনী, মেহেরপুর"</t>
  </si>
  <si>
    <t>১৩০৫,মোছাঃ রসেনা খাতুন,৫৭০০৩৮৩৫৬০৯৫,জাহের আলী,মোছাঃ জবেদা খাতুন,০৫/১১/১৯৭২,গৃহিণী,"গাড়াবোব, গাংনী, মেহেরপুর"</t>
  </si>
  <si>
    <t>১৩০৬,মোছাঃ মহিমা খাতুন,৫৭০০৩৮৩৫৬০৯৭,মোঃ আব্দুর রহমান,মোছাঃ জাহানারা খাতুন,২১/১০/১৯৮৭,গৃহিণী,"গাড়াবোব, গাংনী, মেহেরপুর"</t>
  </si>
  <si>
    <t>১৩০৭,মোছাঃ নিলুফা খাতুন,৫৭০০৩৮৩৫৬১০৫,মোঃ আবুল হোসেন,মোছাঃ তহুরা খাতুন,১২/০৮/১৯৮৫,গৃহিণী,"গাড়াবোব, গাংনী, মেহেরপুর"</t>
  </si>
  <si>
    <t>১৩০৮,মোছাঃ নাহিমা খাতুন,৫৭০০৩৮৩৫৬১০৬,মোঃ সিরাজুল ইসলাম,মোছাঃ নাজিয়া বেগম,০৮/০২/১৯৮২,গৃহিণী,"গাড়াবোব, গাংনী, মেহেরপুর"</t>
  </si>
  <si>
    <t>১৩০৯,মোছাঃ নুরুন্নাহার খাতুন,৫৭০০৩৮৩৫৬১০৭,মোঃ নুরুল হক,মোছাঃ মাহমুদা খাতুন,১২/০৫/১৯৭৫,গৃহিণী,"গাড়াবোব, গাংনী, মেহেরপুর"</t>
  </si>
  <si>
    <t>১৩১০,মোছাঃ চায়না খাতুন,৫৭০০৩৮৩৫৬১০৯,মোঃ রমজান আলী,মোছাঃ আলেয়া বেগম,০৪/০৩/১৯৭৯,গৃহিণী,"গাড়াবোব, গাংনী, মেহেরপুর"</t>
  </si>
  <si>
    <t>১৩১১,মোছাঃ মোমেনা বেগম,৫৭০০৩৮৩৫৬১১০,খোদা বক্স,মোছাঃ ইমামন নেছা,১৫/০৮/১৯৭৪,গৃহিণী,"গাড়াবোব, গাংনী, মেহেরপুর"</t>
  </si>
  <si>
    <t>১৩১২,মোছাঃ রেহেনা পারভীন,৫৭০০৩৮৩৫৬১১২,আবুল কাসেম,মোছাঃ শাহার বানু,১০/০৫/১৯৭৯,গৃহিণী,"গাড়াবোব, গাংনী, মেহেরপুর"</t>
  </si>
  <si>
    <t>১৩১৩,মোছাঃ ফেরদৌসী আরা,৫৭০০৩৮৩৫৬১১৪,মোঃ গোলাম কবির,মোছাঃ হাজেরা বেগম,১২/০৫/১৯৬৯,গৃহিণী,"গাড়াবোব, গাংনী, মেহেরপুর"</t>
  </si>
  <si>
    <t>১৩১৪,মোছাঃ ছালেহা খাতুন,৫৭০০৩৮৩৫৬১১৬,মোহাঃ আনছার আলী,মোছাঃ কহিনুর বেগম,৩০/০৯/১৯৭১,গৃহিণী,"গাড়াবোব, গাংনী, মেহেরপুর"</t>
  </si>
  <si>
    <t>১৩১৫,মোছাঃ নার্গিস খানম,৫৭০০৩৮৩৫৬১১৯,মোঃ আবু ইউসুফ,মোছাঃ ছালমা বেগম,১৩/০৪/১৯৮২,গৃহিণী,"গাড়াবোব, গাংনী, মেহেরপুর"</t>
  </si>
  <si>
    <t>১৩১৬,মোছাঃ লতিফা হেলালী,৫৭০০৩৮৩৫৬১২১,ছামসুল আলম,মোছাঃ ফিরোজা বেগম,১০/০৩/১৯৬৭,গৃহিণী,"গাড়াবোব, গাংনী, মেহেরপুর"</t>
  </si>
  <si>
    <t>১৩১৭,মোছাঃ তোহুরা খাতুন,৫৭০০৩৮৩৫৬১২৪,খোদা বক্স,মোছাঃ ইমামন নেছা,১০/০৩/১৯৬২,গৃহিণী,"গাড়াবোব, গাংনী, মেহেরপুর"</t>
  </si>
  <si>
    <t>১৩১৮,মোছাঃ ইয়াসমিন খাতুন,৫৭০০৩৮৩৫৬১২৫,মোঃ আকবর আলী,মোছাঃ আরজিয়া বেগম,০২/০১/১৯৮৫,গৃহিণী,"গাড়াবোব, গাংনী, মেহেরপুর"</t>
  </si>
  <si>
    <t>১৩১৯,মোছাঃ গুলশনারা বেগম,৫৭০০৩৮৩৫৬১২৭,মোঃ মকবুল হোসেন,মোছাঃ জাহানারা বেগম,০৭/০১/১৯৬৫,গৃহিণী,"গাড়াবোব, গাংনী, মেহেরপুর"</t>
  </si>
  <si>
    <t>১৩২০,মোছাঃ হোসেনয়ারা খাতুন,৫৭০০৩৮৩৫৬১২৮,আব্দুল হান্নান,মোছাঃ তহিদা খাতুন,০৫/০২/১৯৭২,গৃহিণী,"গাড়াবোব, গাংনী, মেহেরপুর"</t>
  </si>
  <si>
    <t>১৩২১,মোছাঃ উজিলা খাতুন,৫৭০০৩৮৩৫৬১২৯,খোদা বক্স,মাতু বিবি,১০/০৬/১৯৪৭,গৃহিণী,"গাড়াবোব, গাংনী, মেহেরপুর"</t>
  </si>
  <si>
    <t>১৩২২,মোছাঃ তসলিমা খাতুন,৫৭০০৩৮৩৫৬১৩০,মোঃ ইয়াসিন আলী,মোছাঃ ভাজালি খাতুন,১২/০৫/১৯৮১,গৃহিণী,"গাড়াবোব, গাংনী, মেহেরপুর"</t>
  </si>
  <si>
    <t>১৩২৩,মোছাঃ ফিরোজা খাতুন,৫৭০০৩৮৩৫৬১৩৬,মোঃ আব্দুস সাত্তার,মোছাঃ সাজেদা খাতুন,০৬/০১/১৯৮৪,গৃহিণী,"গাড়াবোব, গাংনী, মেহেরপুর"</t>
  </si>
  <si>
    <t>১৩২৪,মোছাঃ নুরজাহান খাতুন,৫৭০০৩৮৩৫৬১৩৭,মোঃ নজরুল হোসেন,মোছাঃ ছামেনা খাতুন,১০/০৩/১৯৮২,গৃহিণী,"গাড়াবোব, গাংনী, মেহেরপুর"</t>
  </si>
  <si>
    <t>১৩২৫,মোছাঃ আজিরন নেছা,৫৭০০৩৮৩৫৬১৩৯,কাংগালী শেখ,ফলেজান খাতুন,০৮/০৩/১৯৫০,গৃহিণী,"গাড়াবোব, গাংনী, মেহেরপুর"</t>
  </si>
  <si>
    <t>১৩২৬,মোছাঃ রেখা পারভীন,৫৭০০৩৮৩৫৬১৪০,ছাদের আলী,মোছাঃ আজিরন নেছা,১২/০৬/১৯৮৩,গৃহিণী,"গাড়াবোব, গাংনী, মেহেরপুর"</t>
  </si>
  <si>
    <t>১৩২৭,মোছাঃ বিলকিস খাতুন,৫৭০০৩৮৩৫৬১৪১,মোঃ আব্দুল মজিদ,মোছাঃ জহুরা খাতুন,০২/০১/১৯৮৬,গৃহিণী,"গাড়াবোব, গাংনী, মেহেরপুর"</t>
  </si>
  <si>
    <t>১৩২৮,মোছাঃ তানজিলা খাতুন,৫৭০০৩৮৩৫৬১৪২,ইয়াকুব মন্ডল,মোছাঃ খোদেজান,০৬/০৮/১৯৭৯,গৃহিণী,"গাড়াবোব, গাংনী, মেহেরপুর"</t>
  </si>
  <si>
    <t>১৩২৯,মোছাঃ নুরজাহান খাতুন,৫৭০০৩৮৩৫৬১৪৭,মোঃ হুবদেল শেখ,মোছাঃ আম্বিয়া খাতুন,০৩/০২/১৯৮৪,গৃহিণী,"গাড়াবোব, গাংনী, মেহেরপুর"</t>
  </si>
  <si>
    <t>১৩৩০,মোছাঃ মনোয়ারা খাতুন,৫৭০০৩৮৩৫৬১৪৯,মহরদ্দীন শেখ,মোছাঃ তোতা খাতুন,০৫/০৩/১৯৫৭,গৃহিণী,"গাড়াবোব, গাংনী, মেহেরপুর"</t>
  </si>
  <si>
    <t>১৩৩১,মোছাঃ নাছেরা খাতুন,৫৭০০৩৮৩৫৬১৫২,কিয়ামদ্দিন,মোছাঃ আনোয়ারা খাতুন, ০৯/০৬/১৯৬৯,গৃহিণী,"গাড়াবোব, গাংনী, মেহেরপুর"</t>
  </si>
  <si>
    <t>১৩৩২,মোছাঃ রহিমা খাতুন,৫৭০০৩৮৩৫৬১৫৩,মোঃ আব্দুর রহমান,মোছাঃ রাফিয়া খাতুন,১০/০৪/১৯৭৭,গৃহিণী,"গাড়াবোব, গাংনী, মেহেরপুর"</t>
  </si>
  <si>
    <t>১৩৩৩,মোছাঃ হাজেরা খাতুন,৫৭০০৩৮৩৫৬১৫৫,আব্দুল হামিদ,রহিমা খাতুন,০২/০৬/১৯৭২,গৃহিণী,"গাড়াবোব, গাংনী, মেহেরপুর"</t>
  </si>
  <si>
    <t>১৩৩৪,মোছাঃ মমতাজ খাতুন,৫৭০০৩৮৩৫৬১৫৬,আসাদ আলী,মোছাঃ আয়জান বেগম,০৫/০৩/১৯৬৯,গৃহিণী,"গাড়াবোব, গাংনী, মেহেরপুর"</t>
  </si>
  <si>
    <t>১৩৩৫,মোছাঃ তোতাজান,৫৭০০৩৮৩৫৬১৫৭,নিয়াজ শেখ,পরিষ্কার বেগম,০৮/০৬/১৯৩২,গৃহিণী,"গাড়াবোব, গাংনী, মেহেরপুর"</t>
  </si>
  <si>
    <t>১৩৩৬,মোছাঃ হামেদা খাতুন,৫৭০০৩৮৩৫৬১৫৮,মোঃ জামাত আলী,মোছাঃ আশুরা খাতুন,১২/০৫/১৯৭৭,গৃহিণী,"গাড়াবোব, গাংনী, মেহেরপুর"</t>
  </si>
  <si>
    <t>১৩৩৭,মোছাঃ ফজিলা খাতুন,৫৭০০৩৮৩৫৬১৫৯,মোঃ বাহার মালিথা,মোছাঃ হাজেরা খাতুন,১৩/১০/১৯৬৫,গৃহিণী,"গাড়াবোব, গাংনী, মেহেরপুর"</t>
  </si>
  <si>
    <t>১৩৩৮,মোছাঃ তামেসা খাতুন,৫৭০০৩৮৩৫৬১৬০,গরি খাঁ,একিনি বেগম,১৩/০২/১৯৫৭,গৃহিণী,"গাড়াবোব, গাংনী, মেহেরপুর"</t>
  </si>
  <si>
    <t>১৩৩৯,মোছাঃ তিব্বত আরা খাতুন,৫৭০০৩৮৩৫৬১৬২,মোঃ ইয়াছিন বিশ্বাস,মোছাঃ নুরজাহান বেগম,১০/০৩/১৯৭৯,গৃহিণী,"গাড়াবোব, গাংনী, মেহেরপুর"</t>
  </si>
  <si>
    <t>১৩৪০,মোছাঃ জানিয়ারা খাতুন,৫৭০০৩৮৩৫৬১৬৩,মোঃ দাউদ শেখ,মাছুরা,১৫/০৫/১৯৭৭,গৃহিণী,"গাড়াবোব, গাংনী, মেহেরপুর"</t>
  </si>
  <si>
    <t>১৩৪১,মোছাঃ আনোয়ারা খাতুন,৫৭০০৩৮৩৫৬১৬৭,ফরিদ্ শেখ,জায়রন নেছা,০৬/০৮/১৯৬৫,গৃহিণী,"গাড়াবোব, গাংনী, মেহেরপুর"</t>
  </si>
  <si>
    <t>১৩৪২,মোছাঃ তানজিলা খাতুন,৫৭০০৩৮৩৫৬১৭৬,আজাদ আলী বিশ্বাস,মোছাঃ সখিনা খাতুন,১৪/১২/১৯৩৯,গৃহিণী,"গাড়াবোব, গাংনী, মেহেরপুর"</t>
  </si>
  <si>
    <t>১৩৪৩,নাসিমা পারভীন,৫৭০০৩৮৩৫৬১৭৮,আশরাফ উদ্দিন,মোছাঃ নিরা রেজিনা নাহার,১৬/১১/১৯৭৬,গৃহিণী,"গাড়াবোব, গাংনী, মেহেরপুর"</t>
  </si>
  <si>
    <t>১৩৪৪,মোছাঃ জুলিযা নাসরিন,৫৭০০৩৮৩৫৬১৭৯,মোঃ আব্দুল লতিফ,মোছাঃ ছিতারা বেগম,০১/০১/১৯৮১,গৃহিণী,"গাড়াবোব, গাংনী, মেহেরপুর"</t>
  </si>
  <si>
    <t>১৩৪৫,মোছাঃ হালেমা খাতুন,৫৭০০৩৮৩৫৬১৮৭,ওসমান মীর,মলিদা খাতুন,০২/০১/১৯৬২,অন্যান্য,"গাড়াবোব, গাংনী, মেহেরপুর"</t>
  </si>
  <si>
    <t>১৩৪৬,মোছাঃ রেকছোনা খাতুন,৫৭০০৩৮৩৫৬১৮৮,মোঃ পাঞ্জাব মেম্বার,মোছাঃ কহিনুর খাতুন,০৩/০২/১৯৮২,গৃহিণী,"গাড়াবোব, গাংনী, মেহেরপুর"</t>
  </si>
  <si>
    <t>১৩৪৭,মোছাঃ আনজিরা খাতুন,৫৭০০৩৮৩৫৬১৮৯,মোঃ আয়ুব আলী,মোছাঃ আনোয়ারা খাতুন,১০/০২/১৯৭৯,গৃহিণী,"গাড়াবোব, গাংনী, মেহেরপুর"</t>
  </si>
  <si>
    <t>১৩৪৮,মোছাঃ মর্জিনা খাতুন,৫৭০০৩৮৩৫৬১৯০,নচ্ছর মন্ডল,মোছাঃ নিহারন নেছা,০৩/০৪/১৯৬৭,গৃহিণী,"গাড়াবোব, গাংনী, মেহেরপুর"</t>
  </si>
  <si>
    <t>১৩৪৯,মোছাঃ জাহানারা খাতুন,৫৭০০৩৮৩৫৬১৯২,মোঃ রহমত উল্লাহ,মোছাঃ ছারভান,০২/০৬/১৯৫৯,গৃহিণী,"গাড়াবোব, গাংনী, মেহেরপুর"</t>
  </si>
  <si>
    <t>১৩৫০,মোছাঃ আজমিরা খাতুন,৫৭০০৩৮৩৫৬১৯৩,মোঃ আয়ুব আলী,মোছাঃ মুনজিলা খাতুন,০১/০১/১৯৮৮,গৃহিণী,"গাড়াবোব, গাংনী, মেহেরপুর"</t>
  </si>
  <si>
    <t>১৩৫১,মোছাঃ নাজমা খাতুন,৫৭০০৩৮৩৫৬১৯৪,মোঃ জমির উদ্দীন,মোছাঃ জমেলা খাতুন,১০/০২/১৯৭৭,গৃহিণী,"গাড়াবোব, গাংনী, মেহেরপুর"</t>
  </si>
  <si>
    <t>১৩৫২,মোছাঃ শাহানারা খাতুন,৫৭০০৩৮৩৫৬১৯৫,আব্দুল বারি,হালিমা খাতুন,০৬/০২/১৯৬৫,গৃহিণী,"গাড়াবোব, গাংনী, মেহেরপুর"</t>
  </si>
  <si>
    <t>১৩৫৩,মোছাঃ বেগম খাতুন,৫৭০০৩৮৩৫৬১৯৭,মোঃ ইউনুস আলী,মোছাঃ নিহারন,০৪/০২/১৯৬৯,গৃহিণী,"গাড়াবোব, গাংনী, মেহেরপুর"</t>
  </si>
  <si>
    <t>১৩৫৪,মোছাঃ বানিয়ারা খাতুন,৫৭০০৩৮৩৫৬১৯৯,মোঃ বাবলু,মোছাঃ বেগম খাতুন, ০৯/০৫/১৯৮৫,গৃহিণী,"গাড়াবোব, গাংনী, মেহেরপুর"</t>
  </si>
  <si>
    <t>১৩৫৫,মোছাঃ রেহেনা খাতুন,৫৭০০৩৮৩৫৬২০১,আব্দুল বারেক,মোছাঃ হালিমা খাতুন,০৩/০২/১৯৮২,গৃহিণী,"গাড়াবোব, গাংনী, মেহেরপুর"</t>
  </si>
  <si>
    <t>১৩৫৬,মোছাঃ নাছরিন খাতুন,৫৭০০৩৮৩৫৬২১০,মোঃ আজিজুল শেখ,মোছাঃ ছফেলা খাতুন,১০/০৩/১৯৮২,গৃহিণী,"গাড়াবোব, গাংনী, মেহেরপুর"</t>
  </si>
  <si>
    <t>১৩৫৭,মোছাঃ ফজিলা খাতুন,৫৭০০৩৮৩৫৬২১১,মোঃ আব্দুল গনি,মোছাঃ রাবেয়া খাতুন,১০/০৮/১৯৮৩,গৃহিণী,"গাড়াবোব, গাংনী, মেহেরপুর"</t>
  </si>
  <si>
    <t>১৩৫৮,মোছাঃ মুসলিমা খাতুন,৫৭০০৩৮৩৫৬২১৩,বাহার আলী,মোছাঃ ছৈয়তন,২০/০৮/১৯৮৭,গৃহিণী,"গাড়াবোব, গাংনী, মেহেরপুর"</t>
  </si>
  <si>
    <t>১৩৫৯,মোছাঃ হাদেছা খাতুন,৫৭০০৩৮৩৫৬২১৭,রফাত আলী শেখ,মোছাঃ সবুর নেছা,০২/০৩/১৯৬৯,গৃহিণী,"গাড়াবোব, গাংনী, মেহেরপুর"</t>
  </si>
  <si>
    <t>১৩৬০,মোছাঃ আদরী খাতুন,৫৭০০৩৮৩৫৬২১৮,মোঃ আব্দুল কুদ্দুস,মোছাঃ জোসনা খাতুন,২৫/১০/১৯৮১,গৃহিণী,"গাড়াবোব, গাংনী, মেহেরপুর"</t>
  </si>
  <si>
    <t>১৩৬১,মোছাঃ নাসিমা খাতুন,৫৭০০৩৮৩৫৬২১৯,মোতালেব,ময়না খাতুন,০২/০১/১৯৭০,গৃহিণী,"গাড়াবোব, গাংনী, মেহেরপুর"</t>
  </si>
  <si>
    <t>১৩৬২,মোছাঃ মাজেদা খাতুন,৫৭০০৩৮৩৫৬২২১,রুফাত আলী,মোছাঃ সবুর নেছা,০৬/০২/১৯৬২,গৃহিণী,"গাড়াবোব, গাংনী, মেহেরপুর"</t>
  </si>
  <si>
    <t>১৩৬৩,মোছাঃ সবুর নেছা,৫৭০০৩৮৩৫৬২২২,হিরু শেখ,ছেরেজান,০১/০২/১৯৫০,গৃহিণী,"গাড়াবোব, গাংনী, মেহেরপুর"</t>
  </si>
  <si>
    <t>১৩৬৪,মোছাঃ রুমিয়া খাতুন,৫৭০০৩৮৩৫৬২২৩,আব্দুল করিম মন্ডল,মোছাঃ রমেলা খাতুন,২১/১০/১৯৮৭,গৃহিণী,"গাড়াবোব, গাংনী, মেহেরপুর"</t>
  </si>
  <si>
    <t>১৩৬৫,মোছাঃ নিহারন খাতুন,৫৭০০৩৮৩৫৬২২৪,সদর উদ্দিন,মোছাঃ রানী খাতুন,২৮/০৯/১৯৭৬,গৃহিণী,"গাড়াবোব, গাংনী, মেহেরপুর"</t>
  </si>
  <si>
    <t>১৩৬৬,মোছাঃ কনা খাতুন,৫৭০০৩৮৩৫৬২২৭,মোঃ মজফজ আলী,মোছাঃ নফুরা খাতুন,০১/০২/১৯৮৩,গৃহিণী,"গাড়াবোব, গাংনী, মেহেরপুর"</t>
  </si>
  <si>
    <t>১৩৬৭,মোছাঃ মাহিরন খাতুন,৫৭০০৩৮৩৫৬২২৯,মফেজ মোল্লা,মোছাঃ আমেদা খাতুন,০৫/০৩/১৯৬৯,গৃহিণী,"গাড়াবোব, গাংনী, মেহেরপুর"</t>
  </si>
  <si>
    <t>১৩৬৮,মোছাঃ আসমা খাতুন,৫৭০০৩৮৩৫৬২৩০,মেয়াল মন্ডল,মোছাঃ মনোয়ারা খাতুন,০২/০১/১৯৬৯,গৃহিণী,"গাড়াবোব, গাংনী, মেহেরপুর"</t>
  </si>
  <si>
    <t>১৩৬৯,মোছাঃ রাবেয়া খাতুন,৫৭০০৩৮৩৫৬২৩১,শাহাদত হোসেন,মোছাঃ রহিমা খাতুন,০৩/০১/১৯৪৫,গৃহিণী,"গাড়াবোব, গাংনী, মেহেরপুর"</t>
  </si>
  <si>
    <t>১৩৭০,মোছাঃ হামেদা খাতুন,৫৭০০৩৮৩৫৬২৩৩,শাহাদত হোসেন,মোছাঃ রহিমা খাতুন,০৭/০২/১৯৭২,গৃহিণী,"গাড়াবোব, গাংনী, মেহেরপুর"</t>
  </si>
  <si>
    <t>১৩৭১,মোছাঃ রহিদা খাতুন,৫৭০০৩৮৩৫৬২৩৪,খোদা বক্স,খুকি খাতুন,১০/০৫/১৯৭৩,গৃহিণী,"গাড়াবোব, গাংনী, মেহেরপুর"</t>
  </si>
  <si>
    <t>১৩৭২,মোছাঃ রওশন আরা,৫৭০০৩৮৩৫৬২৩৫,রমজান মন্ডল,আছিয়া খাতুন,১৫/১০/১৯৬৫,গৃহিণী,"গাড়াবোব, গাংনী, মেহেরপুর"</t>
  </si>
  <si>
    <t>১৩৭৩,মোছাঃ জহুরা খাতুন,৫৭০০৩৮৩৫৬২৩৬,ওলি আহমেদ,মোছাঃ পরিষ্কার খাতুন,০৭/০৩/১৯৬২,গৃহিণী,"গাড়াবোব, গাংনী, মেহেরপুর"</t>
  </si>
  <si>
    <t>১৩৭৪,মোছাঃ তহমিনা খাতুন,৫৭০০৩৮৩৫৬২৩৭,মোঃ হিসাব মন্ডল,মোছাঃ মরিয়ম খাতুন,০২/০১/১৯৮২,গৃহিণী,"গাড়াবোব, গাংনী, মেহেরপুর"</t>
  </si>
  <si>
    <t>১৩৭৫,মোছাঃ তসলিমা খাতুন,৫৭০০৩৮৩৫৬২৩৯,মোঃ খোদা বক্স,মোছাঃ আনোয়ারা খাতুন, ০৯/০৩/১৯৬৪,গৃহিণী,"গাড়াবোব, গাংনী, মেহেরপুর"</t>
  </si>
  <si>
    <t>১৩৭৬,মোছাঃ ইসরাফন নেছা,৫৭০০৩৮৩৫৬২৪০,একতার আলী,মোছাঃ রহিমা খাতুন,১২/১০/১৯৬২,গৃহিণী,"গাড়াবোব, গাংনী, মেহেরপুর"</t>
  </si>
  <si>
    <t>১৩৭৭,মোছাঃ কহিনুর আক্তার,৫৭০০৩৮৩৫৬২৪৪,মোঃ কিতাব আলী,মোছাঃ ইসরাফন নেছা,১০/০৯/১৯৮৪,গৃহিণী,"গাড়াবোব, গাংনী, মেহেরপুর"</t>
  </si>
  <si>
    <t>১৩৭৮,মোছাঃ আল্লাদি খাতুন,৫৭০০৩৮৩৫৬২৪৫,তাসের আলী,মোছাঃ মেহেরন,০৫/০২/১৯৬২,গৃহিণী,"গাড়াবোব, গাংনী, মেহেরপুর"</t>
  </si>
  <si>
    <t>১৩৭৯,মোছাঃ সাজেদা খাতুন,৫৭০০৩৮৩৫৬২৪৬,মকছেদ আলী,মোছাঃ ফজিলাতুন নেছা,১০/০২/১৯৬৫,গৃহিণী,"গাড়াবোব, গাংনী, মেহেরপুর"</t>
  </si>
  <si>
    <t>১৩৮০,মোছাঃ শরিফা খাতুন,৫৭০০৩৮৩৫৬২৫৭,মোঃ শহিদুল ইসলাম,মোছাঃ হামেদা খাতুন,০২/০৩/১৯৮৬,গৃহিণী,"গাড়াবোব, গাংনী, মেহেরপুর"</t>
  </si>
  <si>
    <t>১৩৮১,মোছাঃ রহিমা খাতুন,৫৭০০৩৮৩৫৬২৫৯,মোবারক আলী,রমেছা খাতুন,০৭/০১/১৯৫২,গৃহিণী,"গাড়াবোব, গাংনী, মেহেরপুর"</t>
  </si>
  <si>
    <t>১৩৮২,মোছাঃ খালেদা খাতুন,৫৭০০৩৮৩৫৬২৬১,মোঃ আয়জুদ্দীন,মোছাঃ ছিয়াতন,০৩/০৫/১৯৭৭,গৃহিণী,"গাড়াবোব, গাংনী, মেহেরপুর"</t>
  </si>
  <si>
    <t>১৩৮৩,মোছাঃ শিরিনা খাতুন,৫৭০০৩৮৩৫৬২৬২,মোঃ এলাহাদ,মোছাঃ সহিদা খাতুন,১০/০২/১৯৮৩,গৃহিণী,"গাড়াবোব, গাংনী, মেহেরপুর"</t>
  </si>
  <si>
    <t>১৩৮৪,মোছাঃ রেহেনা খাতুন,৫৭০০৩৮৩৫৬২৬৩,আব্দুর রাজ্জাক,মোছাঃ হাওয়া খাতুন,০১/০১/১৯৮৮,গৃহিণী,"গাড়াবোব, গাংনী, মেহেরপুর"</t>
  </si>
  <si>
    <t>১৩৮৫,মোছাঃ আয়শা খাতুন,৫৭০০৩৮৩৫৬২৭০,ছলেমান,মোছাঃ সারেজান,০৭/০১/১৯৬৭,গৃহিণী,"গাড়াবোব, গাংনী, মেহেরপুর"</t>
  </si>
  <si>
    <t>১৩৮৬,মোছাঃ মুসলিমা খাতুন,৫৭০০৩৮৩৫৬২৭২,আবুল হোসেন,মোছাঃ যমুনা বেগম,০৪/০১/১৯৭১,গৃহিণী,"গাড়াবোব, গাংনী, মেহেরপুর"</t>
  </si>
  <si>
    <t>১৩৮৭,মোছাঃ নাসিমা খাতুন,৫৭০০৩৮৩৫৬২৭৩,গোলাম,মোছাঃ কুলছুম খাতুন,১০/০৫/১৯৭৯,গৃহিণী,"গাড়াবোব, গাংনী, মেহেরপুর"</t>
  </si>
  <si>
    <t>১৩৮৮,মোছাঃ পারুলা খাতুন,৫৭০০৩৮৩৫৬২৭৪,মোঃ আহাদ আলী,মোছাঃ ছকিনা খাতুন,০৫/০১/১৯৮৪,গৃহিণী,"গাড়াবোব, গাংনী, মেহেরপুর"</t>
  </si>
  <si>
    <t>১৩৮৯,মোছাঃ হাচেনা খাতুন,৫৭০০৩৮৩৫৬২৭৬,আরজ শেখ,হামেদা খাতুন,১৮/০৯/১৯৫৭,গৃহিণী,"গাড়াবোব, গাংনী, মেহেরপুর"</t>
  </si>
  <si>
    <t>১৩৯০,মোছাঃ মার্জিয়া খাতুন,৫৭০০৩৮৩৫৬২৭৭,মোঃ মাজেত মল্লিক,মোছাঃ তোহুরা খাতুন,০৫/০২/১৯৮৭,গৃহিণী,"গাড়াবোব, গাংনী, মেহেরপুর"</t>
  </si>
  <si>
    <t>১৩৯১,মোছাঃ বিলকিস আরা,৫৭০০৩৮৩৫৬২৭৮,ছফরুদ্দিন,শহিদা খাতুন,০৬/০১/১৯৮৪,গৃহিণী,"গাড়াবোব, গাংনী, মেহেরপুর"</t>
  </si>
  <si>
    <t>১৩৯২,মোছাঃ খোদেজা খাতুন,৫৭০০৩৮৩৫৬২৮০,আব্দুল জলিল,ছকিনা,১২/০২/১৯৬২,গৃহিণী,"গাড়াবোব, গাংনী, মেহেরপুর"</t>
  </si>
  <si>
    <t>১৩৯৩,মোছাঃ মেলেজান,৫৭০০৩৮৩৫৬২৯৩,সদর আলী,শাবানা বেগম,১০/১১/১৯৬২,গৃহিণী,"গাড়াবোব, গাংনী, মেহেরপুর"</t>
  </si>
  <si>
    <t>১৩৯৪,মোছাঃ রোকেয়া বেগম,৫৭০০৩৮৩৫৬২৯৫,মোঃ আলি হোসেন,মোছাঃ সোনা ভানু,০৩/০১/১৯৭৭,গৃহিণী,"গাড়াবোব, গাংনী, মেহেরপুর"</t>
  </si>
  <si>
    <t>১৩৯৫,মোছাঃ ফেরদৌসি বেগম,৫৭০০৩৮৩৫৬২৯৬,লুৎফর রহমান,মোছাঃ রোকেয়া বেগম,০৩/০১/১৯৮২,গৃহিণী,"গাড়াবোব, গাংনী, মেহেরপুর"</t>
  </si>
  <si>
    <t>১৩৯৬,মোছাঃ সহিদা খাতুন,৫৭০০৩৮৩৫৬২৯৭,খেদ আলী খন্দকার,মোছাঃ শামেনা বেগম,১০/০২/১৯৬৯,গৃহিণী,"গাড়াবোব, গাংনী, মেহেরপুর"</t>
  </si>
  <si>
    <t>১৩৯৭,মোছাঃ মুসলিমা খাতুন,৫৭০০৩৮৩৫৬২৯৮,মোঃ মকলেছুর রহমান মুকুল,মোছাঃ সহিদা খাতুন,০৩/০৪/১৯৮৬,গৃহিণী,"গাড়াবোব, গাংনী, মেহেরপুর"</t>
  </si>
  <si>
    <t>১৩৯৮,মোছাঃ সাবিনা খাতুন,৫৭০০৩৮৩৫৬৩০০,ছলেমান,নছিয়া,০৩/০৫/১৯৮৫,গৃহিণী,"গাড়াবোব, গাংনী, মেহেরপুর"</t>
  </si>
  <si>
    <t>১৩৯৯,মোছাঃ সহিদা খাতুন,৫৭০০৩৮৩৫৬৩০১,মোঃ বজলুর রহমান,মোছাঃ হেনা খাতুন,১২/০২/১৯৭২,গৃহিণী,"গাড়াবোব, গাংনী, মেহেরপুর"</t>
  </si>
  <si>
    <t>১৪০০,মোছাঃ কহিনুর বেগম,৫৭০০৩৮৩৫৬৩০২,আব্দুল শেখ,মোছাঃ জবেদা খাতুন,০৫/০৪/১৯৬২,গৃহিণী,"গাড়াবোব, গাংনী, মেহেরপুর"</t>
  </si>
  <si>
    <t>১৪০১,মোছাঃ আরজিয়া খাতুন,৫৭০০৩৮৩৫৬৩০৩,খোদা বক্স,মোছাঃ জাহানারা খাতুন,১০/০৩/১৯৪৭,গৃহিণী,"গাড়াবোব, গাংনী, মেহেরপুর"</t>
  </si>
  <si>
    <t>১৪০২,মোছাঃ রাবেয়া খাতুন,৫৭০০৩৮৩৫৬৩০৪,ওয়াজ শেখ,রহিমা বেগম,০৮/০৬/১৯৬৯,গৃহিণী,"গাড়াবোব, গাংনী, মেহেরপুর"</t>
  </si>
  <si>
    <t>১৪০৩,মোছাঃ হামেদা খাতুন,৫৭০০৩৮৩৫৬৩০৫,মোঃ আলাউদ্দীন,ছকিনা বেগম,০৬/০৩/১৯৭২,গৃহিণী,"গাড়াবোব, গাংনী, মেহেরপুর"</t>
  </si>
  <si>
    <t>১৪০৪,মোছাঃ মাছুরা খাতুন,৫৭০০৩৮৩৫৬৩০৬,মোঃ মহিউদ্দিন খাঁ,মোছাঃ ছকিনা খাতুন,০৬/০২/১৯৭২,গৃহিণী,"গাড়াবোব, গাংনী, মেহেরপুর"</t>
  </si>
  <si>
    <t>১৪০৫,মোছাঃ ফরিদা আশরাফ,৫৭০০৩৮৩৫৬৩১২,এস এম আবু তাহের,মোছাঃ রোমানা তাহের,১২/০৯/১৯৭৪,গৃহিণী,"গাড়াবোব, গাংনী, মেহেরপুর"</t>
  </si>
  <si>
    <t>১৪০৬,মোছাঃ মানেজা বেগম,৫৭০০৩৮৩৫৬৩১৪,আজিজুল শাহ,নাইবানু,১৫/০৩/১৯৪৫,গৃহিণী,"গাড়াবোব, গাংনী, মেহেরপুর"</t>
  </si>
  <si>
    <t>১৪০৭,সৈয়দা তহমিনা আশরাফ,৫৭০০৩৮৩৫৬৩১৬,মোঃ সোলাইমান,মোছাঃ রাহাতন নেছা,৩০/১২/১৯৭৬,গৃহিণী,"গাড়াবোব, গাংনী, মেহেরপুর"</t>
  </si>
  <si>
    <t>১৪০৮,মোছাঃ রাশেদা খাতুন,৫৭০০৩৮৩৫৬৩১৮,দাউদ হোসেন,মোছাঃ মানেজা বেগম,২০/০৬/১৯৮৩,গৃহিণী,"গাড়াবোব, গাংনী, মেহেরপুর"</t>
  </si>
  <si>
    <t>১৪০৯,মোছাঃ মোমেনা খাতুন,৫৭০০৩৮৩৫৬৩২২,মোঃ গোলাম পজ্ঞাতন,মোছাঃ রহিমা খাতুন,০৬/০২/১৯৬৫,গৃহিণী,"গাড়াবোব, গাংনী, মেহেরপুর"</t>
  </si>
  <si>
    <t>১৪১০,মোছাঃ জাহানারা বেগম,৫৭০০৩৮৩৫৬৩২৯,হুরমত বিশ্বাস,মোছাঃ জাফু বেগম,০৫/০২/১৯৪২,গৃহিণী,"গাড়াবোব, গাংনী, মেহেরপুর"</t>
  </si>
  <si>
    <t>১৪১১,মোছাঃ শ্যামলি খাতুন,৫৭০০৩৮৩৫৬৩৩১,মোঃ নাজিম উদ্দীন,মোছাঃ লতিফন নেছা,১০/০২/১৯৮৫,গৃহিণী,"গাড়াবোব, গাংনী, মেহেরপুর"</t>
  </si>
  <si>
    <t>১৪১২,মোছাঃ হাফিজা খাতুন,৫৭০০৩৮৩৫৬৩৩২,মোঃ আবুল হাশেম,মোছাঃ মাহমুদা খাতুন,০১/০১/১৯৮১,গৃহিণী,"গাড়াবোব, গাংনী, মেহেরপুর"</t>
  </si>
  <si>
    <t>১৪১৩,মোছাঃ নীলিমা আফরোজ,৫৭০০৩৮৩৫৬৩৩৪,মোঃ আবুল হাশেম,মোছাঃ মাহমুদা বেগম,২১/০২/১৯৮২,গৃহিণী,"গাড়াবোব, গাংনী, মেহেরপুর"</t>
  </si>
  <si>
    <t>১৪১৪,মোছাঃ চামিলি খাতুন,৫৭০০৩৮৩৫৬৩৩৫,মোঃ আব্দুর রশিদ,মোছাঃ রাফিজা বেগম,০২/০১/১৯৮৯,গৃহিণী,"গাড়াবোব, গাংনী, মেহেরপুর"</t>
  </si>
  <si>
    <t>১৪১৫,মোছাঃ সফুরা খাতুন,৫৭০০৩৮৩৫৬৩৩৮,সুম্মত মালিথা,গোলজান,১০/০৪/১৯৪২,গৃহিণী,"গাড়াবোব, গাংনী, মেহেরপুর"</t>
  </si>
  <si>
    <t>১৪১৬,মোছাঃ রাফিয়া খাতুন,৫৭০০৩৮৩৫৬৩৩৯,মোঃ আহসান আলী,মোছাঃ সফুরা খাতুন,০৩/০৫/১৯৫৭,গৃহিণী,"গাড়াবোব, গাংনী, মেহেরপুর"</t>
  </si>
  <si>
    <t>১৪১৭,মোছাঃ বাচেনা খাতুন,৫৭০০৩৮৩৫৬৩৪১,আফছার আলী,মোছাঃ উজিলা খাতুন,০৫/০৪/১৯৮০,গৃহিণী,"গাড়াবোব, গাংনী, মেহেরপুর"</t>
  </si>
  <si>
    <t>১৪১৮,মোছাঃ রহিমা খাতুন,৫৭০০৩৮৩৫৬৩৪৫,ফরজ কাজী,মরু বেগম,১৫/০৩/১৯৪২,গৃহিণী,"গাড়াবোব, গাংনী, মেহেরপুর"</t>
  </si>
  <si>
    <t>১৪১৯,মোছাঃ ছালেমা বেগম,৫৭০০৩৮৩৫৬৩৪৭,ছলেমান শেখ,নছিয়া খাতুন,১০/০৪/১৯৭১,গৃহিণী,"গাড়াবোব, গাংনী, মেহেরপুর"</t>
  </si>
  <si>
    <t>১২২২,মোছাঃ মাবিয়া খাতুন,৫৭০০৩৮৩৫৫৯০৫,মোঃ রেজাউল হক,মোছাঃ হাজেরা খাতুন,১৪/০৬/১৯৮১,গৃহিণী,"গাড়াবোব, গাংনী, মেহেরপুর"</t>
  </si>
  <si>
    <t>১২২৩,মোছাঃ রেহেনা খাতুন,৫৭০০৩৮৩৫৫৯০৭,আজিমদ্দিন,মোছাঃ জহুরা খাতুন,১৪/০৯/১৯৬৯,গৃহিণী,"গাড়াবোব, গাংনী, মেহেরপুর"</t>
  </si>
  <si>
    <t>১২২৪,মোছাঃ স্বপ্না খাতুন,৫৭০০৩৮৩৫৫৯০৯,জান মোহাম্মদ,মোছাঃ হাসনা বানু,২০/০৫/১৯৮৬,গৃহিণী,"গাড়াবোব, গাংনী, মেহেরপুর"</t>
  </si>
  <si>
    <t>১২২৫,মোছাঃ জাহানারা খাতুন,৫৭০০৩৮৩৫৫৯১০,মতলেব মন্ডল,মোছাঃ সুফিয়া খাতুন,১৯/০৮/১৯৬৫,গৃহিণী,"গাড়াবোব, গাংনী, মেহেরপুর"</t>
  </si>
  <si>
    <t>১২২৬,মোছাঃ নার্গিস খাতুন,৫৭০০৩৮৩৫৫৯১১,মোঃ সুলতান শেখ,মোছাঃ কামেন,২০/১০/১৯৮৭,গৃহিণী,"গাড়াবোব, গাংনী, মেহেরপুর"</t>
  </si>
  <si>
    <t>১২২৭,মোছাঃ ফজিলা খাতুন,৫৭০০৩৮৩৫৫৯১২,কাদের বকস,মোছাঃ খাতুন,২৬/০৮/১৯৬৯,গৃহিণী,"গাড়াবোব, গাংনী, মেহেরপুর"</t>
  </si>
  <si>
    <t>১২২৮,মোছাঃ রুমানা খাতুন,৫৭০০৩৮৩৫৫৯১৩,মোঃ আব্দুল লতিফ,মোছাঃ রেহেনা খাতুন,১৮/০৭/১৯৮৮,গৃহিণী,"গাড়াবোব, গাংনী, মেহেরপুর"</t>
  </si>
  <si>
    <t>১২২৯,মোছাঃ আজিরন খাতুন,৫৭০০৩৮৩৫৫৯১৪,মোঃ মোজাহার আলী,মোছাঃ নেছার বেগম,২০/১০/১৯৮৭,গৃহিণী,"গাড়াবোব, গাংনী, মেহেরপুর"</t>
  </si>
  <si>
    <t>১২৩০,মোছাঃ শাহানারা খাতুন,৫৭০০৩৮৩৫৫৯১৮,রবেচ্ছুদ্দীন মালিথা,মোছাঃ নুরজাহান,২৫/০৮/১৯৬৭,গৃহিণী,"গাড়াবোব, গাংনী, মেহেরপুর"</t>
  </si>
  <si>
    <t>১২৩১,মোছাঃ ছাবিনা খাতুন,৫৭০০৩৮৩৫৫৯১৯,মোঃ ইবাদত আলী,মোছাঃ মনোয়ারা খাতুন,১১/০৭/১৯৮৮,গৃহিণী,"গাড়াবোব, গাংনী, মেহেরপুর"</t>
  </si>
  <si>
    <t>১২৩২,মোছাঃ রেবেকা খাতুন,৫৭০০৩৮৩৫৫৯২০,মোঃ ইমাদুল ইসলাম,মোছাঃ শাহানারা খাতুন,২০/০৬/১৯৮৪,গৃহিণী,"গাড়াবোব, গাংনী, মেহেরপুর"</t>
  </si>
  <si>
    <t>১২৩৩,মোছাঃ মাজেদা খাতুন,৫৭০০৩৮৩৫৫৯২২,আজগর আলী,মোছাঃ রাশিরা খাতুন,১৬/০৮/১৯৬৫,গৃহিণী,"গাড়াবোব, গাংনী, মেহেরপুর"</t>
  </si>
  <si>
    <t>১২৩৪,মোছাঃ সাহিদা খাতুন,৫৭০০৩৮৩৫৫৯২৪,মোঃ ফরজ আলী,মোছাঃ ছায়েরা খাতুন,২০/০৬/১৯৭৩,গৃহিণী,"গাড়াবোব, গাংনী, মেহেরপুর"</t>
  </si>
  <si>
    <t>১২৩৫,মোছাঃ মুছলিমা খাতুন,৫৭০০৩৮৩৫৫৯২৫,হাফিজ উদ্দিন,ছকিনা খাতুন,১৮/০৯/১৯৭৭,গৃহিণী,"গাড়াবোব, গাংনী, মেহেরপুর"</t>
  </si>
  <si>
    <t>১২৩৬,মোছাঃ রুপিয়া খাতুন,৫৭০০৩৮৩৫৫৯৩১,আলীমদ্দিন,মোছাঃ হালিমা খাতুন,২৫/০৮/১৯৭২,গৃহিণী,"গাড়াবোব, গাংনী, মেহেরপুর"</t>
  </si>
  <si>
    <t>১২৩৭,মোছাঃ হাজেরা খাতুন,৫৭০০৩৮৩৫৫৯৪১,মোহাম্মদ আলী,মোছাঃ জাহেরা খাতুন,১০/১০/১৯৭৭,গৃহিণী,"গাড়াবোব, গাংনী, মেহেরপুর"</t>
  </si>
  <si>
    <t>১২৩৮,মোছাঃ নেকছার খাতুন,৫৭০০৩৮৩৫৫৯৪৩,খোদা বকস,মোছাঃ আজিরন,২১/০৪/১৯৪৭,গৃহিণী,"গাড়াবোব, গাংনী, মেহেরপুর"</t>
  </si>
  <si>
    <t>১২৩৯,মোছাঃ হামিদা খাতুন,৫৭০০৩৮৩৫৫৯৪৫,আমোদ আলী,মোছাঃ মুলাম জান,১৮/০৪/১৯৬২,গৃহিণী,"গাড়াবোব, গাংনী, মেহেরপুর"</t>
  </si>
  <si>
    <t>১২৪০,মোছাঃ খালেছা বেগম,৫৭০০৩৮৩৫৫৯৫৪,খোদা বকস,রজ্ বালা,১৮/০৭/১৯৩৭,গৃহিণী,"গাড়াবোব, গাংনী, মেহেরপুর"</t>
  </si>
  <si>
    <t>১২৪১,মোছাঃ মরিয়ম খাতুন,৫৭০০৩৮৩৫৫৯৫৬,মোঃ আবের আলী,মোছাঃ আকিমন নেছা,১৬/০৭/১৯৮২,গৃহিণী,"গাড়াবোব, গাংনী, মেহেরপুর"</t>
  </si>
  <si>
    <t>১২৪২,মোছাঃ নাজমা খাতুন,৫৭০০৩৮৩৫৫৯৬৩,মোঃ নাজিম উদ্দীন খান,মোছাঃ আছলিমা খাতুন,১২/১২/১৯৮৩,গৃহিণী,"গাড়াবোব, গাংনী, মেহেরপুর"</t>
  </si>
  <si>
    <t>১২৪৩,মোছাঃ রাহেলা খাতুন,৫৭০০৩৮৩৫৫৯৬৬,মোঃ মধু শেখ,আলেজান,১৬/০৮/১৯৫৭,গৃহিণী,"গাড়াবোব, গাংনী, মেহেরপুর"</t>
  </si>
  <si>
    <t>১২৪৪,মোছাঃ নুরুন্নাহার,৫৭০০৩৮৩৫৫৯৬৮,শামসুদ্দীন মন্ডল,মোছাঃ আতাফন নেছা,১৭/০৭/১৯৬৯,গৃহিণী,"গাড়াবোব, গাংনী, মেহেরপুর"</t>
  </si>
  <si>
    <t>১২৪৫,মোছাঃ নার্গিস খাতুন,৫৭০০৩৮৩৫৫৯৬৯,মোঃ আব্দুল গনি,মোছাঃ মাবিয়া খাতুন,২১/০৭/১৯৮৭,গৃহিণী,"গাড়াবোব, গাংনী, মেহেরপুর"</t>
  </si>
  <si>
    <t>১২৪৬,মোছাঃ রেকছুনা খাতুন,৫৭০০৩৮৩৫৫৯৭১,মোঃ নবীছুদ্দীন,মোছাঃ তপছিয়া খাতুন,১৭/০৫/১৯৮৭,গৃহিণী,"গাড়াবোব, গাংনী, মেহেরপুর"</t>
  </si>
  <si>
    <t>১২৪৭,মোছাঃ তাছলিমা খাতুন,৫৭০০৩৮৩৫৫৯৭২,আব্দুল কাদের,মোছাঃ আজিরন নেছা,২৪/০৬/১৯৮৭,গৃহিণী,"গাড়াবোব, গাংনী, মেহেরপুর"</t>
  </si>
  <si>
    <t>১২৪৮,মোছাঃ কহিনুর বেগম,৫৭০০৩৮৩৫৫৯৭৩,চাঁদ হালসনা,মোছাঃ খদেজান,১৭/০৫/১৯৬২,গৃহিণী,"গাড়াবোব, গাংনী, মেহেরপুর"</t>
  </si>
  <si>
    <t>১২৪৯,মোছাঃ ফুলছুরা বেগম,৫৭০০৩৮৩৫৫৯৭৫,মোঃ জমসের আলী,ধুলি বেগম,১৮/০৭/১৯৭০,গৃহিণী,"গাড়াবোব, গাংনী, মেহেরপুর"</t>
  </si>
  <si>
    <t>১২৫০,মোছাঃ মাবিয়া খাতুন,৫৭০০৩৮৩৫৫৯৭৭,মোঃ আব্দুল কাদের,মোছাঃ আছিয়া বেগম,২০/০৭/১৯৬৫,গৃহিণী,"গাড়াবোব, গাংনী, মেহেরপুর"</t>
  </si>
  <si>
    <t>১২৫১,মোছাঃ মুর্শিদা খাতুন,৫৭০০৩৮৩৫৫৯৭৮,হযরত আলী,মোছাঃ পাখিজান,০৮/০৭/১৯৮৪,গৃহিণী,"গাড়াবোব, গাংনী, মেহেরপুর"</t>
  </si>
  <si>
    <t>১২৫২,মোছাঃ রোজিফা খাতুন,৫৭০০৩৮৩৫৫৯৮১,মোঃ ছয়রুদ্দীন,মোছাঃ নুরজাহান বেগম,১৮/০৬/১৯৮৫,গৃহিণী,"গাড়াবোব, গাংনী, মেহেরপুর"</t>
  </si>
  <si>
    <t>১২৫৩,মোছাঃ রাশিদা খাতুন,৫৭০০৩৮৩৫৫৯৮২,তাজের আলী,মোছাঃ সবুজান,১৯/০৭/১৯৮২,গৃহিণী,"গাড়াবোব, গাংনী, মেহেরপুর"</t>
  </si>
  <si>
    <t>১২৫৪,মোছাঃ ছিপারন নেছা,৫৭০০৩৮৩৫৫৯৮৬,নুর হোসেন,মোছাঃ মাবিয়া বেগম,১০/০৮/১৯৮১,গৃহিণী,"গাড়াবোব, গাংনী, মেহেরপুর"</t>
  </si>
  <si>
    <t>১২৫৫,মোছাঃ নিলুফা খাতুন,৫৭০০৩৮৩৫৫৯৮৯,মোঃ লালু,মোছাঃ কুরসিয়া বেগম,১২/০৮/১৯৮৬,গৃহিণী,"গাড়াবোব, গাংনী, মেহেরপুর"</t>
  </si>
  <si>
    <t>১২৫৬,মোছাঃ হাচেনা খাতুন,৫৭০০৩৮৩৫৫৯৯০,আমিরুদ্দীন,মোছাঃ জাহানারা,১৭/০৭/১৯৬১,গৃহিণী,"গাড়াবোব, গাংনী, মেহেরপুর"</t>
  </si>
  <si>
    <t>১২৫৭,মোছাঃ কুলছুম খাতুন,৫৭০০৩৮৩৫৫৯৯৩,মোঃ হানা,মোছাঃ রশিদা খাতুন,১১/০৮/১৯৮৮,গৃহিণী,"গাড়াবোব, গাংনী, মেহেরপুর"</t>
  </si>
  <si>
    <t>১২৫৮,মোছাঃ সহিদা খাতুন,৫৭০০৩৮৩৫৫৯৯৫,লাল মোহাম্মদ,মোছাঃ কুলছুম বেগম,১৩/০৬/১৯৬৭,গৃহিণী,"গাড়াবোব, গাংনী, মেহেরপুর"</t>
  </si>
  <si>
    <t>১২৫৯,মোছাঃ শরিফা খাতুন,৫৭০০৩৮৩৫৫৯৯৬,মোঃ তহিদুল ইসলাম,মোছাঃ শহিদা খাতুন,১৫/০৮/১৯৮৭,গৃহিণী,"গাড়াবোব, গাংনী, মেহেরপুর"</t>
  </si>
  <si>
    <t>১২৬০,মোছাঃ লতা খাতুন,৫৭০০৩৮৩৫৫৯৯৯,মোঃ আব্দুর রাজ্জাক,মোছাঃ হানিফা খাতুন,১৯/০৫/১৯৮৮,গৃহিণী,"গাড়াবোব, গাংনী, মেহেরপুর"</t>
  </si>
  <si>
    <t>১২৬১,মোছাঃ সুফিয়া বেগম,৫৭০০৩৮৩৫৬০০০,শাহাদত মন্ডল,হিমা জান,১০/০৮/১৯৪২,গৃহিণী,"গাড়াবোব, গাংনী, মেহেরপুর"</t>
  </si>
  <si>
    <t>১২৬২,মোছাঃ আছিয়া খাতুন,৫৭০০৩৮৩৫৬০০৪,মোঃ বাহার আলী,মোছাঃ আয়েশা খাতুন,০৫/০৫/১৯৭৫,গৃহিণী,"গাড়াবোব, গাংনী, মেহেরপুর"</t>
  </si>
  <si>
    <t>১২৬৩,মোছাঃ তহমিনা খাতুন,৫৭০০৩৮৩৫৬০০৬,মোঃ নুর বকস,মোছাঃ হাজেরা খাতুন,১০/১২/১৯৮০,গৃহিণী,"গাড়াবোব, গাংনী, মেহেরপুর"</t>
  </si>
  <si>
    <t>১২৬৪,মোছাঃ হাসিনা খাতুন,৫৭০০৩৮৩৫৬০০৯,শাহাদৎ আলী,মোছাঃ নিহারন খাতুন,১২/০৬/১৯৮৮,গৃহিণী,"গাড়াবোব, গাংনী, মেহেরপুর"</t>
  </si>
  <si>
    <t>১২৬৫,মোছাঃ সালেহার খাতুন,৫৭০০৩৮৩৫৬০১১,মোঃ ফাকের আলী,মোছাঃ জমিরন নেছা,১৫/০৬/১৯৮৮,গৃহিণী,"গাড়াবোব, গাংনী, মেহেরপুর"</t>
  </si>
  <si>
    <t>১২৬৬,মোছাঃ রাজমিনা খাতুন,৫৭০০৩৮৩৫৬০১৩,মোঃ জারাফত বিশ্বাস,মোছাঃ আয়েশা খাতুন,২২/১১/১৯৮৯,গৃহিণী,"গাড়াবোব, গাংনী, মেহেরপুর"</t>
  </si>
  <si>
    <t>১২৬৭,মোছাঃ শাহাদানা খাতুন,৫৭০০৩৮৩৫৬০১৫,মোঃ নিয়ামত আলী,মোছাঃ মাহিরন নেছা,১০/১২/১৯৮৩,গৃহিণী,"গাড়াবোব, গাংনী, মেহেরপুর"</t>
  </si>
  <si>
    <t>১২৬৮,মোছাঃ পারভীনা খাতুন,৫৭০০৩৮৩৫৬০১৭,মোঃ আজিজুল হক,মোছাঃ জাহানারা খাতুন,২০/১১/১৯৮৫,গৃহিণী,"গাড়াবোব, গাংনী, মেহেরপুর"</t>
  </si>
  <si>
    <t>১২৬৯,মোছাঃ হোসেনয়ারা,৫৭০০৩৮৩৫৬০১৯,হাশেম আলী,মোছাঃ হাসিনা খাতুন,১৫/১২/১৯৮৫,গৃহিণী,"গাড়াবোব, গাংনী, মেহেরপুর"</t>
  </si>
  <si>
    <t>১২৭০,মোছাঃ হোসেনয়ারা,৫৭০০৩৮৩৫৬০২১,মোঃ দাউদ আলী,মোছাঃ মরিয়ম খাতুন,১০/০৬/১৯৮৮,গৃহিণী,"গাড়াবোব, গাংনী, মেহেরপুর"</t>
  </si>
  <si>
    <t>১২৭১,মোছাঃ মুর্শিদা খাতুন,৫৭০০৩৮৩৫৬০২৩,মোঃ আইয়ুব আলী,মোছাঃ নুরজাহান,২৫/১০/১৯৮৮,গৃহিণী,"গাড়াবোব, গাংনী, মেহেরপুর"</t>
  </si>
  <si>
    <t>১২৭২,মোছাঃ আরজিনা খাতুন,৫৭০০৩৮৩৫৬০২৪,ছারু মন্ডল,মোছাঃ নিহারন,১৩/১২/১৯৫৮,গৃহিণী,"গাড়াবোব, গাংনী, মেহেরপুর"</t>
  </si>
  <si>
    <t>১২৭৩,মোছাঃ আশরাফন নেছা,৫৭০০৩৮৩৫৬০২৫,মওলা বক্‌স,মোছাঃ আরজিনা খাতুন,১০/০৫/১৯৮১,গৃহিণী,"গাড়াবোব, গাংনী, মেহেরপুর"</t>
  </si>
  <si>
    <t>১২৭৪,মোছাঃ তারজিনা খাতুন,৫৭০০৩৮৩৫৬০২৭,মোঃ তাহাজউদ্দীন,মোছাঃ ছকিনা খাতুন,১৫/১০/১৯৮২,গৃহিণী,"গাড়াবোব, গাংনী, মেহেরপুর"</t>
  </si>
  <si>
    <t>১২৭৫,মোছাঃ মমতাজ বেগম,৫৭০০৩৮৩৫৬০২৯,মোঃ জানালী মন্ডল,মোছাঃ আনোয়ারা খাতুন,১২/০৪/১৯৮৪,গৃহিণী,"গাড়াবোব, গাংনী, মেহেরপুর"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</si>
</sst>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2.88"/>
    <col customWidth="1" min="3" max="3" width="19.75"/>
    <col customWidth="1" min="4" max="4" width="21.13"/>
    <col customWidth="1" min="5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5.70038353001E11</v>
      </c>
      <c r="F2" s="1" t="s">
        <v>11</v>
      </c>
      <c r="G2" s="1" t="s">
        <v>12</v>
      </c>
      <c r="H2" s="3" t="s">
        <v>13</v>
      </c>
      <c r="I2" s="1"/>
    </row>
    <row r="3" ht="15.75" customHeight="1">
      <c r="A3" s="2">
        <v>2.0</v>
      </c>
      <c r="B3" s="1" t="s">
        <v>14</v>
      </c>
      <c r="C3" s="1" t="s">
        <v>15</v>
      </c>
      <c r="D3" s="1" t="s">
        <v>16</v>
      </c>
      <c r="E3" s="2">
        <v>5.70038353002E11</v>
      </c>
      <c r="F3" s="1" t="s">
        <v>17</v>
      </c>
      <c r="G3" s="1" t="s">
        <v>12</v>
      </c>
      <c r="H3" s="3" t="s">
        <v>13</v>
      </c>
      <c r="I3" s="1"/>
    </row>
    <row r="4" ht="15.75" customHeight="1">
      <c r="A4" s="2">
        <v>3.0</v>
      </c>
      <c r="B4" s="1" t="s">
        <v>18</v>
      </c>
      <c r="C4" s="1" t="s">
        <v>19</v>
      </c>
      <c r="D4" s="1" t="s">
        <v>20</v>
      </c>
      <c r="E4" s="2">
        <v>5.70038353003E11</v>
      </c>
      <c r="F4" s="1" t="s">
        <v>21</v>
      </c>
      <c r="G4" s="1" t="s">
        <v>12</v>
      </c>
      <c r="H4" s="3" t="s">
        <v>13</v>
      </c>
      <c r="I4" s="1"/>
    </row>
    <row r="5" ht="15.75" customHeight="1">
      <c r="A5" s="2">
        <v>4.0</v>
      </c>
      <c r="B5" s="1" t="s">
        <v>22</v>
      </c>
      <c r="C5" s="1" t="s">
        <v>23</v>
      </c>
      <c r="D5" s="1" t="s">
        <v>24</v>
      </c>
      <c r="E5" s="2">
        <v>5.70038353005E11</v>
      </c>
      <c r="F5" s="1" t="s">
        <v>25</v>
      </c>
      <c r="G5" s="1" t="s">
        <v>12</v>
      </c>
      <c r="H5" s="3" t="s">
        <v>13</v>
      </c>
      <c r="I5" s="1"/>
    </row>
    <row r="6" ht="15.75" customHeight="1">
      <c r="A6" s="2">
        <v>5.0</v>
      </c>
      <c r="B6" s="1" t="s">
        <v>26</v>
      </c>
      <c r="C6" s="1" t="s">
        <v>27</v>
      </c>
      <c r="D6" s="1" t="s">
        <v>28</v>
      </c>
      <c r="E6" s="2">
        <v>5.70038353009E11</v>
      </c>
      <c r="F6" s="1" t="s">
        <v>29</v>
      </c>
      <c r="G6" s="1" t="s">
        <v>12</v>
      </c>
      <c r="H6" s="3" t="s">
        <v>13</v>
      </c>
      <c r="I6" s="1"/>
    </row>
    <row r="7" ht="15.75" customHeight="1">
      <c r="A7" s="2">
        <v>6.0</v>
      </c>
      <c r="B7" s="1" t="s">
        <v>30</v>
      </c>
      <c r="C7" s="1" t="s">
        <v>31</v>
      </c>
      <c r="D7" s="1" t="s">
        <v>32</v>
      </c>
      <c r="E7" s="2">
        <v>5.7003835301E11</v>
      </c>
      <c r="F7" s="1" t="s">
        <v>33</v>
      </c>
      <c r="G7" s="1" t="s">
        <v>12</v>
      </c>
      <c r="H7" s="3" t="s">
        <v>13</v>
      </c>
      <c r="I7" s="1"/>
    </row>
    <row r="8" ht="15.75" customHeight="1">
      <c r="A8" s="2">
        <v>7.0</v>
      </c>
      <c r="B8" s="1" t="s">
        <v>34</v>
      </c>
      <c r="C8" s="1" t="s">
        <v>35</v>
      </c>
      <c r="D8" s="1" t="s">
        <v>36</v>
      </c>
      <c r="E8" s="2">
        <v>5.70038353011E11</v>
      </c>
      <c r="F8" s="1" t="s">
        <v>37</v>
      </c>
      <c r="G8" s="1" t="s">
        <v>12</v>
      </c>
      <c r="H8" s="3" t="s">
        <v>13</v>
      </c>
      <c r="I8" s="1"/>
    </row>
    <row r="9" ht="15.75" customHeight="1">
      <c r="A9" s="2">
        <v>8.0</v>
      </c>
      <c r="B9" s="1" t="s">
        <v>38</v>
      </c>
      <c r="C9" s="1" t="s">
        <v>39</v>
      </c>
      <c r="D9" s="1" t="s">
        <v>40</v>
      </c>
      <c r="E9" s="2">
        <v>5.70038353012E11</v>
      </c>
      <c r="F9" s="1" t="s">
        <v>41</v>
      </c>
      <c r="G9" s="1" t="s">
        <v>12</v>
      </c>
      <c r="H9" s="3" t="s">
        <v>13</v>
      </c>
      <c r="I9" s="1"/>
    </row>
    <row r="10" ht="15.75" customHeight="1">
      <c r="A10" s="2">
        <v>9.0</v>
      </c>
      <c r="B10" s="1" t="s">
        <v>42</v>
      </c>
      <c r="C10" s="1" t="s">
        <v>43</v>
      </c>
      <c r="D10" s="1" t="s">
        <v>44</v>
      </c>
      <c r="E10" s="2">
        <v>5.70038353014E11</v>
      </c>
      <c r="F10" s="1" t="s">
        <v>45</v>
      </c>
      <c r="G10" s="1" t="s">
        <v>12</v>
      </c>
      <c r="H10" s="3" t="s">
        <v>13</v>
      </c>
      <c r="I10" s="1"/>
    </row>
    <row r="11" ht="15.75" customHeight="1">
      <c r="A11" s="2">
        <v>10.0</v>
      </c>
      <c r="B11" s="1" t="s">
        <v>46</v>
      </c>
      <c r="C11" s="1" t="s">
        <v>47</v>
      </c>
      <c r="D11" s="1" t="s">
        <v>48</v>
      </c>
      <c r="E11" s="2">
        <v>5.70038353015E11</v>
      </c>
      <c r="F11" s="1" t="s">
        <v>49</v>
      </c>
      <c r="G11" s="1" t="s">
        <v>12</v>
      </c>
      <c r="H11" s="3" t="s">
        <v>13</v>
      </c>
      <c r="I11" s="1"/>
    </row>
    <row r="12" ht="15.75" customHeight="1">
      <c r="A12" s="2">
        <v>11.0</v>
      </c>
      <c r="B12" s="1" t="s">
        <v>50</v>
      </c>
      <c r="C12" s="1" t="s">
        <v>51</v>
      </c>
      <c r="D12" s="1" t="s">
        <v>52</v>
      </c>
      <c r="E12" s="2">
        <v>5.70038353016E11</v>
      </c>
      <c r="F12" s="1" t="s">
        <v>53</v>
      </c>
      <c r="G12" s="1" t="s">
        <v>12</v>
      </c>
      <c r="H12" s="3" t="s">
        <v>13</v>
      </c>
      <c r="I12" s="1"/>
    </row>
    <row r="13" ht="15.75" customHeight="1">
      <c r="A13" s="2">
        <v>12.0</v>
      </c>
      <c r="B13" s="1" t="s">
        <v>54</v>
      </c>
      <c r="C13" s="1" t="s">
        <v>55</v>
      </c>
      <c r="D13" s="1" t="s">
        <v>56</v>
      </c>
      <c r="E13" s="2">
        <v>5.70038353021E11</v>
      </c>
      <c r="F13" s="1" t="s">
        <v>57</v>
      </c>
      <c r="G13" s="1" t="s">
        <v>12</v>
      </c>
      <c r="H13" s="3" t="s">
        <v>13</v>
      </c>
      <c r="I13" s="1"/>
    </row>
    <row r="14" ht="15.75" customHeight="1">
      <c r="A14" s="2">
        <v>13.0</v>
      </c>
      <c r="B14" s="1" t="s">
        <v>58</v>
      </c>
      <c r="C14" s="1" t="s">
        <v>59</v>
      </c>
      <c r="D14" s="1" t="s">
        <v>60</v>
      </c>
      <c r="E14" s="2">
        <v>5.70038353023E11</v>
      </c>
      <c r="F14" s="1" t="s">
        <v>61</v>
      </c>
      <c r="G14" s="1" t="s">
        <v>12</v>
      </c>
      <c r="H14" s="3" t="s">
        <v>13</v>
      </c>
      <c r="I14" s="1"/>
    </row>
    <row r="15" ht="15.75" customHeight="1">
      <c r="A15" s="2">
        <v>14.0</v>
      </c>
      <c r="B15" s="1" t="s">
        <v>62</v>
      </c>
      <c r="C15" s="1" t="s">
        <v>63</v>
      </c>
      <c r="D15" s="1" t="s">
        <v>64</v>
      </c>
      <c r="E15" s="2">
        <v>5.70038353025E11</v>
      </c>
      <c r="F15" s="1" t="s">
        <v>65</v>
      </c>
      <c r="G15" s="1" t="s">
        <v>12</v>
      </c>
      <c r="H15" s="3" t="s">
        <v>13</v>
      </c>
      <c r="I15" s="1"/>
    </row>
    <row r="16" ht="15.75" customHeight="1">
      <c r="A16" s="2">
        <v>15.0</v>
      </c>
      <c r="B16" s="1" t="s">
        <v>66</v>
      </c>
      <c r="C16" s="1" t="s">
        <v>67</v>
      </c>
      <c r="D16" s="1" t="s">
        <v>68</v>
      </c>
      <c r="E16" s="2">
        <v>5.70038353031E11</v>
      </c>
      <c r="F16" s="1" t="s">
        <v>69</v>
      </c>
      <c r="G16" s="1" t="s">
        <v>12</v>
      </c>
      <c r="H16" s="3" t="s">
        <v>13</v>
      </c>
      <c r="I16" s="1"/>
    </row>
    <row r="17" ht="15.75" customHeight="1">
      <c r="A17" s="2">
        <v>16.0</v>
      </c>
      <c r="B17" s="1" t="s">
        <v>70</v>
      </c>
      <c r="C17" s="1" t="s">
        <v>71</v>
      </c>
      <c r="D17" s="1" t="s">
        <v>72</v>
      </c>
      <c r="E17" s="2">
        <v>5.70038353032E11</v>
      </c>
      <c r="F17" s="1" t="s">
        <v>73</v>
      </c>
      <c r="G17" s="1" t="s">
        <v>12</v>
      </c>
      <c r="H17" s="3" t="s">
        <v>13</v>
      </c>
      <c r="I17" s="1"/>
    </row>
    <row r="18" ht="15.75" customHeight="1">
      <c r="A18" s="2">
        <v>17.0</v>
      </c>
      <c r="B18" s="1" t="s">
        <v>40</v>
      </c>
      <c r="C18" s="1" t="s">
        <v>74</v>
      </c>
      <c r="D18" s="1" t="s">
        <v>75</v>
      </c>
      <c r="E18" s="2">
        <v>5.70038353033E11</v>
      </c>
      <c r="F18" s="1" t="s">
        <v>76</v>
      </c>
      <c r="G18" s="1" t="s">
        <v>12</v>
      </c>
      <c r="H18" s="3" t="s">
        <v>13</v>
      </c>
      <c r="I18" s="1"/>
    </row>
    <row r="19" ht="15.75" customHeight="1">
      <c r="A19" s="2">
        <v>18.0</v>
      </c>
      <c r="B19" s="1" t="s">
        <v>77</v>
      </c>
      <c r="C19" s="1" t="s">
        <v>78</v>
      </c>
      <c r="D19" s="1" t="s">
        <v>79</v>
      </c>
      <c r="E19" s="2">
        <v>5.70038353038E11</v>
      </c>
      <c r="F19" s="1" t="s">
        <v>80</v>
      </c>
      <c r="G19" s="1" t="s">
        <v>12</v>
      </c>
      <c r="H19" s="3" t="s">
        <v>13</v>
      </c>
      <c r="I19" s="1"/>
    </row>
    <row r="20" ht="15.75" customHeight="1">
      <c r="A20" s="2">
        <v>19.0</v>
      </c>
      <c r="B20" s="1" t="s">
        <v>81</v>
      </c>
      <c r="C20" s="1" t="s">
        <v>82</v>
      </c>
      <c r="D20" s="1" t="s">
        <v>83</v>
      </c>
      <c r="E20" s="2">
        <v>5.70038353039E11</v>
      </c>
      <c r="F20" s="1" t="s">
        <v>84</v>
      </c>
      <c r="G20" s="1" t="s">
        <v>12</v>
      </c>
      <c r="H20" s="3" t="s">
        <v>13</v>
      </c>
      <c r="I20" s="1"/>
    </row>
    <row r="21" ht="15.75" customHeight="1">
      <c r="A21" s="2">
        <v>20.0</v>
      </c>
      <c r="B21" s="1" t="s">
        <v>85</v>
      </c>
      <c r="C21" s="1" t="s">
        <v>86</v>
      </c>
      <c r="D21" s="1" t="s">
        <v>87</v>
      </c>
      <c r="E21" s="2">
        <v>5.7003835304E11</v>
      </c>
      <c r="F21" s="1" t="s">
        <v>88</v>
      </c>
      <c r="G21" s="1" t="s">
        <v>12</v>
      </c>
      <c r="H21" s="3" t="s">
        <v>13</v>
      </c>
      <c r="I21" s="1"/>
    </row>
    <row r="22" ht="15.75" customHeight="1">
      <c r="A22" s="2">
        <v>21.0</v>
      </c>
      <c r="B22" s="1" t="s">
        <v>89</v>
      </c>
      <c r="C22" s="1" t="s">
        <v>90</v>
      </c>
      <c r="D22" s="1" t="s">
        <v>91</v>
      </c>
      <c r="E22" s="2">
        <v>5.70038353041E11</v>
      </c>
      <c r="F22" s="1" t="s">
        <v>92</v>
      </c>
      <c r="G22" s="1" t="s">
        <v>12</v>
      </c>
      <c r="H22" s="3" t="s">
        <v>13</v>
      </c>
      <c r="I22" s="1"/>
    </row>
    <row r="23" ht="15.75" customHeight="1">
      <c r="A23" s="2">
        <v>22.0</v>
      </c>
      <c r="B23" s="1" t="s">
        <v>93</v>
      </c>
      <c r="C23" s="1" t="s">
        <v>94</v>
      </c>
      <c r="D23" s="1" t="s">
        <v>95</v>
      </c>
      <c r="E23" s="2">
        <v>5.70038353042E11</v>
      </c>
      <c r="F23" s="1" t="s">
        <v>96</v>
      </c>
      <c r="G23" s="1" t="s">
        <v>12</v>
      </c>
      <c r="H23" s="3" t="s">
        <v>13</v>
      </c>
      <c r="I23" s="1"/>
    </row>
    <row r="24" ht="15.75" customHeight="1">
      <c r="A24" s="2">
        <v>23.0</v>
      </c>
      <c r="B24" s="1" t="s">
        <v>97</v>
      </c>
      <c r="C24" s="1" t="s">
        <v>98</v>
      </c>
      <c r="D24" s="1" t="s">
        <v>99</v>
      </c>
      <c r="E24" s="2">
        <v>5.70038353044E11</v>
      </c>
      <c r="F24" s="1" t="s">
        <v>100</v>
      </c>
      <c r="G24" s="1" t="s">
        <v>12</v>
      </c>
      <c r="H24" s="3" t="s">
        <v>13</v>
      </c>
      <c r="I24" s="1"/>
    </row>
    <row r="25" ht="15.75" customHeight="1">
      <c r="A25" s="2">
        <v>24.0</v>
      </c>
      <c r="B25" s="1" t="s">
        <v>101</v>
      </c>
      <c r="C25" s="1" t="s">
        <v>102</v>
      </c>
      <c r="D25" s="1" t="s">
        <v>103</v>
      </c>
      <c r="E25" s="2">
        <v>5.70038353045E11</v>
      </c>
      <c r="F25" s="1" t="s">
        <v>104</v>
      </c>
      <c r="G25" s="1" t="s">
        <v>12</v>
      </c>
      <c r="H25" s="3" t="s">
        <v>13</v>
      </c>
      <c r="I25" s="1"/>
    </row>
    <row r="26" ht="15.75" customHeight="1">
      <c r="A26" s="2">
        <v>25.0</v>
      </c>
      <c r="B26" s="1" t="s">
        <v>105</v>
      </c>
      <c r="C26" s="1" t="s">
        <v>106</v>
      </c>
      <c r="D26" s="1" t="s">
        <v>107</v>
      </c>
      <c r="E26" s="2">
        <v>5.70038353048E11</v>
      </c>
      <c r="F26" s="1" t="s">
        <v>108</v>
      </c>
      <c r="G26" s="1" t="s">
        <v>12</v>
      </c>
      <c r="H26" s="3" t="s">
        <v>13</v>
      </c>
      <c r="I26" s="1"/>
    </row>
    <row r="27" ht="15.75" customHeight="1">
      <c r="A27" s="2">
        <v>26.0</v>
      </c>
      <c r="B27" s="1" t="s">
        <v>109</v>
      </c>
      <c r="C27" s="1" t="s">
        <v>110</v>
      </c>
      <c r="D27" s="1" t="s">
        <v>111</v>
      </c>
      <c r="E27" s="2">
        <v>5.70038353049E11</v>
      </c>
      <c r="F27" s="1" t="s">
        <v>112</v>
      </c>
      <c r="G27" s="1" t="s">
        <v>12</v>
      </c>
      <c r="H27" s="3" t="s">
        <v>13</v>
      </c>
      <c r="I27" s="1"/>
    </row>
    <row r="28" ht="15.75" customHeight="1">
      <c r="A28" s="2">
        <v>27.0</v>
      </c>
      <c r="B28" s="1" t="s">
        <v>113</v>
      </c>
      <c r="C28" s="1" t="s">
        <v>114</v>
      </c>
      <c r="D28" s="1" t="s">
        <v>91</v>
      </c>
      <c r="E28" s="2">
        <v>5.70038353051E11</v>
      </c>
      <c r="F28" s="1" t="s">
        <v>115</v>
      </c>
      <c r="G28" s="1" t="s">
        <v>12</v>
      </c>
      <c r="H28" s="3" t="s">
        <v>13</v>
      </c>
      <c r="I28" s="1"/>
    </row>
    <row r="29" ht="15.75" customHeight="1">
      <c r="A29" s="2">
        <v>28.0</v>
      </c>
      <c r="B29" s="1" t="s">
        <v>116</v>
      </c>
      <c r="C29" s="1" t="s">
        <v>117</v>
      </c>
      <c r="D29" s="1" t="s">
        <v>118</v>
      </c>
      <c r="E29" s="2">
        <v>5.70038353053E11</v>
      </c>
      <c r="F29" s="1" t="s">
        <v>119</v>
      </c>
      <c r="G29" s="1" t="s">
        <v>12</v>
      </c>
      <c r="H29" s="3" t="s">
        <v>13</v>
      </c>
      <c r="I29" s="1"/>
    </row>
    <row r="30" ht="15.75" customHeight="1">
      <c r="A30" s="2">
        <v>29.0</v>
      </c>
      <c r="B30" s="1" t="s">
        <v>120</v>
      </c>
      <c r="C30" s="1" t="s">
        <v>121</v>
      </c>
      <c r="D30" s="1" t="s">
        <v>122</v>
      </c>
      <c r="E30" s="2">
        <v>5.70038353054E11</v>
      </c>
      <c r="F30" s="1" t="s">
        <v>123</v>
      </c>
      <c r="G30" s="1" t="s">
        <v>12</v>
      </c>
      <c r="H30" s="3" t="s">
        <v>13</v>
      </c>
      <c r="I30" s="1"/>
    </row>
    <row r="31" ht="15.75" customHeight="1">
      <c r="A31" s="2">
        <v>30.0</v>
      </c>
      <c r="B31" s="1" t="s">
        <v>124</v>
      </c>
      <c r="C31" s="1" t="s">
        <v>67</v>
      </c>
      <c r="D31" s="1" t="s">
        <v>125</v>
      </c>
      <c r="E31" s="2">
        <v>5.70038353057E11</v>
      </c>
      <c r="F31" s="1" t="s">
        <v>126</v>
      </c>
      <c r="G31" s="1" t="s">
        <v>12</v>
      </c>
      <c r="H31" s="3" t="s">
        <v>13</v>
      </c>
      <c r="I31" s="1"/>
    </row>
    <row r="32" ht="15.75" customHeight="1">
      <c r="A32" s="2">
        <v>31.0</v>
      </c>
      <c r="B32" s="1" t="s">
        <v>127</v>
      </c>
      <c r="C32" s="1" t="s">
        <v>128</v>
      </c>
      <c r="D32" s="1" t="s">
        <v>129</v>
      </c>
      <c r="E32" s="2">
        <v>5.70038353058E11</v>
      </c>
      <c r="F32" s="1" t="s">
        <v>130</v>
      </c>
      <c r="G32" s="1" t="s">
        <v>12</v>
      </c>
      <c r="H32" s="3" t="s">
        <v>13</v>
      </c>
      <c r="I32" s="1"/>
    </row>
    <row r="33" ht="15.75" customHeight="1">
      <c r="A33" s="2">
        <v>32.0</v>
      </c>
      <c r="B33" s="1" t="s">
        <v>131</v>
      </c>
      <c r="C33" s="1" t="s">
        <v>132</v>
      </c>
      <c r="D33" s="1" t="s">
        <v>133</v>
      </c>
      <c r="E33" s="2">
        <v>5.70038353059E11</v>
      </c>
      <c r="F33" s="1" t="s">
        <v>134</v>
      </c>
      <c r="G33" s="1" t="s">
        <v>135</v>
      </c>
      <c r="H33" s="3" t="s">
        <v>13</v>
      </c>
      <c r="I33" s="1"/>
    </row>
    <row r="34" ht="15.75" customHeight="1">
      <c r="A34" s="2">
        <v>33.0</v>
      </c>
      <c r="B34" s="1" t="s">
        <v>136</v>
      </c>
      <c r="C34" s="1" t="s">
        <v>137</v>
      </c>
      <c r="D34" s="1" t="s">
        <v>58</v>
      </c>
      <c r="E34" s="2">
        <v>5.7003835306E11</v>
      </c>
      <c r="F34" s="1" t="s">
        <v>138</v>
      </c>
      <c r="G34" s="1" t="s">
        <v>12</v>
      </c>
      <c r="H34" s="3" t="s">
        <v>13</v>
      </c>
      <c r="I34" s="1"/>
    </row>
    <row r="35" ht="15.75" customHeight="1">
      <c r="A35" s="2">
        <v>34.0</v>
      </c>
      <c r="B35" s="1" t="s">
        <v>139</v>
      </c>
      <c r="C35" s="1" t="s">
        <v>140</v>
      </c>
      <c r="D35" s="1" t="s">
        <v>141</v>
      </c>
      <c r="E35" s="2">
        <v>5.70038353062E11</v>
      </c>
      <c r="F35" s="1" t="s">
        <v>142</v>
      </c>
      <c r="G35" s="1" t="s">
        <v>12</v>
      </c>
      <c r="H35" s="3" t="s">
        <v>13</v>
      </c>
      <c r="I35" s="1"/>
    </row>
    <row r="36" ht="15.75" customHeight="1">
      <c r="A36" s="2">
        <v>35.0</v>
      </c>
      <c r="B36" s="1" t="s">
        <v>60</v>
      </c>
      <c r="C36" s="1" t="s">
        <v>143</v>
      </c>
      <c r="D36" s="1" t="s">
        <v>144</v>
      </c>
      <c r="E36" s="2">
        <v>5.70038353063E11</v>
      </c>
      <c r="F36" s="1" t="s">
        <v>145</v>
      </c>
      <c r="G36" s="1" t="s">
        <v>12</v>
      </c>
      <c r="H36" s="3" t="s">
        <v>13</v>
      </c>
      <c r="I36" s="1"/>
    </row>
    <row r="37" ht="15.75" customHeight="1">
      <c r="A37" s="2">
        <v>36.0</v>
      </c>
      <c r="B37" s="1" t="s">
        <v>146</v>
      </c>
      <c r="C37" s="1" t="s">
        <v>74</v>
      </c>
      <c r="D37" s="1" t="s">
        <v>147</v>
      </c>
      <c r="E37" s="2">
        <v>5.70038353064E11</v>
      </c>
      <c r="F37" s="1" t="s">
        <v>148</v>
      </c>
      <c r="G37" s="1" t="s">
        <v>12</v>
      </c>
      <c r="H37" s="3" t="s">
        <v>13</v>
      </c>
      <c r="I37" s="1"/>
    </row>
    <row r="38" ht="15.75" customHeight="1">
      <c r="A38" s="2">
        <v>37.0</v>
      </c>
      <c r="B38" s="1" t="s">
        <v>149</v>
      </c>
      <c r="C38" s="1" t="s">
        <v>150</v>
      </c>
      <c r="D38" s="1" t="s">
        <v>151</v>
      </c>
      <c r="E38" s="2">
        <v>5.70038353065E11</v>
      </c>
      <c r="F38" s="1" t="s">
        <v>152</v>
      </c>
      <c r="G38" s="1" t="s">
        <v>12</v>
      </c>
      <c r="H38" s="3" t="s">
        <v>13</v>
      </c>
      <c r="I38" s="1"/>
    </row>
    <row r="39" ht="15.75" customHeight="1">
      <c r="A39" s="2">
        <v>38.0</v>
      </c>
      <c r="B39" s="1" t="s">
        <v>153</v>
      </c>
      <c r="C39" s="1" t="s">
        <v>154</v>
      </c>
      <c r="D39" s="1" t="s">
        <v>155</v>
      </c>
      <c r="E39" s="2">
        <v>5.70038353069E11</v>
      </c>
      <c r="F39" s="1" t="s">
        <v>156</v>
      </c>
      <c r="G39" s="1" t="s">
        <v>12</v>
      </c>
      <c r="H39" s="3" t="s">
        <v>13</v>
      </c>
      <c r="I39" s="1"/>
    </row>
    <row r="40" ht="15.75" customHeight="1">
      <c r="A40" s="2">
        <v>39.0</v>
      </c>
      <c r="B40" s="1" t="s">
        <v>157</v>
      </c>
      <c r="C40" s="1" t="s">
        <v>158</v>
      </c>
      <c r="D40" s="1" t="s">
        <v>159</v>
      </c>
      <c r="E40" s="2">
        <v>5.70038353071E11</v>
      </c>
      <c r="F40" s="1" t="s">
        <v>160</v>
      </c>
      <c r="G40" s="1" t="s">
        <v>12</v>
      </c>
      <c r="H40" s="3" t="s">
        <v>13</v>
      </c>
      <c r="I40" s="1"/>
    </row>
    <row r="41" ht="15.75" customHeight="1">
      <c r="A41" s="2">
        <v>40.0</v>
      </c>
      <c r="B41" s="1" t="s">
        <v>161</v>
      </c>
      <c r="C41" s="1" t="s">
        <v>162</v>
      </c>
      <c r="D41" s="1" t="s">
        <v>60</v>
      </c>
      <c r="E41" s="2">
        <v>5.70038353072E11</v>
      </c>
      <c r="F41" s="1" t="s">
        <v>163</v>
      </c>
      <c r="G41" s="1" t="s">
        <v>12</v>
      </c>
      <c r="H41" s="3" t="s">
        <v>13</v>
      </c>
      <c r="I41" s="1"/>
    </row>
    <row r="42" ht="15.75" customHeight="1">
      <c r="A42" s="2">
        <v>41.0</v>
      </c>
      <c r="B42" s="1" t="s">
        <v>164</v>
      </c>
      <c r="C42" s="1" t="s">
        <v>165</v>
      </c>
      <c r="D42" s="1" t="s">
        <v>166</v>
      </c>
      <c r="E42" s="2">
        <v>5.70038353074E11</v>
      </c>
      <c r="F42" s="1" t="s">
        <v>167</v>
      </c>
      <c r="G42" s="1" t="s">
        <v>12</v>
      </c>
      <c r="H42" s="3" t="s">
        <v>13</v>
      </c>
      <c r="I42" s="1"/>
    </row>
    <row r="43" ht="15.75" customHeight="1">
      <c r="A43" s="2">
        <v>42.0</v>
      </c>
      <c r="B43" s="1" t="s">
        <v>168</v>
      </c>
      <c r="C43" s="1" t="s">
        <v>169</v>
      </c>
      <c r="D43" s="1" t="s">
        <v>170</v>
      </c>
      <c r="E43" s="2">
        <v>5.70038353078E11</v>
      </c>
      <c r="F43" s="1" t="s">
        <v>171</v>
      </c>
      <c r="G43" s="1" t="s">
        <v>12</v>
      </c>
      <c r="H43" s="3" t="s">
        <v>13</v>
      </c>
      <c r="I43" s="1"/>
    </row>
    <row r="44" ht="15.75" customHeight="1">
      <c r="A44" s="2">
        <v>43.0</v>
      </c>
      <c r="B44" s="1" t="s">
        <v>172</v>
      </c>
      <c r="C44" s="1" t="s">
        <v>173</v>
      </c>
      <c r="D44" s="1" t="s">
        <v>174</v>
      </c>
      <c r="E44" s="2">
        <v>5.7003835308E11</v>
      </c>
      <c r="F44" s="1" t="s">
        <v>175</v>
      </c>
      <c r="G44" s="1" t="s">
        <v>12</v>
      </c>
      <c r="H44" s="3" t="s">
        <v>13</v>
      </c>
      <c r="I44" s="1"/>
    </row>
    <row r="45" ht="15.75" customHeight="1">
      <c r="A45" s="2">
        <v>44.0</v>
      </c>
      <c r="B45" s="1" t="s">
        <v>62</v>
      </c>
      <c r="C45" s="1" t="s">
        <v>176</v>
      </c>
      <c r="D45" s="1" t="s">
        <v>177</v>
      </c>
      <c r="E45" s="2">
        <v>5.70038353083E11</v>
      </c>
      <c r="F45" s="1" t="s">
        <v>178</v>
      </c>
      <c r="G45" s="1" t="s">
        <v>12</v>
      </c>
      <c r="H45" s="3" t="s">
        <v>13</v>
      </c>
      <c r="I45" s="1"/>
    </row>
    <row r="46" ht="15.75" customHeight="1">
      <c r="A46" s="2">
        <v>45.0</v>
      </c>
      <c r="B46" s="1" t="s">
        <v>179</v>
      </c>
      <c r="C46" s="1" t="s">
        <v>180</v>
      </c>
      <c r="D46" s="1" t="s">
        <v>181</v>
      </c>
      <c r="E46" s="2">
        <v>5.70038353084E11</v>
      </c>
      <c r="F46" s="1" t="s">
        <v>182</v>
      </c>
      <c r="G46" s="1" t="s">
        <v>12</v>
      </c>
      <c r="H46" s="3" t="s">
        <v>13</v>
      </c>
      <c r="I46" s="1"/>
    </row>
    <row r="47" ht="15.75" customHeight="1">
      <c r="A47" s="2">
        <v>46.0</v>
      </c>
      <c r="B47" s="1" t="s">
        <v>183</v>
      </c>
      <c r="C47" s="1" t="s">
        <v>184</v>
      </c>
      <c r="D47" s="1" t="s">
        <v>185</v>
      </c>
      <c r="E47" s="2">
        <v>5.70038353085E11</v>
      </c>
      <c r="F47" s="1" t="s">
        <v>186</v>
      </c>
      <c r="G47" s="1" t="s">
        <v>12</v>
      </c>
      <c r="H47" s="3" t="s">
        <v>13</v>
      </c>
      <c r="I47" s="1"/>
    </row>
    <row r="48" ht="15.75" customHeight="1">
      <c r="A48" s="2">
        <v>47.0</v>
      </c>
      <c r="B48" s="1" t="s">
        <v>187</v>
      </c>
      <c r="C48" s="1" t="s">
        <v>188</v>
      </c>
      <c r="D48" s="1" t="s">
        <v>189</v>
      </c>
      <c r="E48" s="2">
        <v>5.70038353086E11</v>
      </c>
      <c r="F48" s="1" t="s">
        <v>190</v>
      </c>
      <c r="G48" s="1" t="s">
        <v>12</v>
      </c>
      <c r="H48" s="3" t="s">
        <v>13</v>
      </c>
      <c r="I48" s="1"/>
    </row>
    <row r="49" ht="15.75" customHeight="1">
      <c r="A49" s="2">
        <v>48.0</v>
      </c>
      <c r="B49" s="1" t="s">
        <v>191</v>
      </c>
      <c r="C49" s="1" t="s">
        <v>192</v>
      </c>
      <c r="D49" s="1" t="s">
        <v>193</v>
      </c>
      <c r="E49" s="2">
        <v>5.70038353088E11</v>
      </c>
      <c r="F49" s="1" t="s">
        <v>194</v>
      </c>
      <c r="G49" s="1" t="s">
        <v>12</v>
      </c>
      <c r="H49" s="3" t="s">
        <v>13</v>
      </c>
      <c r="I49" s="1"/>
    </row>
    <row r="50" ht="15.75" customHeight="1">
      <c r="A50" s="2">
        <v>49.0</v>
      </c>
      <c r="B50" s="1" t="s">
        <v>195</v>
      </c>
      <c r="C50" s="1" t="s">
        <v>196</v>
      </c>
      <c r="D50" s="1" t="s">
        <v>197</v>
      </c>
      <c r="E50" s="2">
        <v>5.70038353089E11</v>
      </c>
      <c r="F50" s="1" t="s">
        <v>198</v>
      </c>
      <c r="G50" s="1" t="s">
        <v>12</v>
      </c>
      <c r="H50" s="3" t="s">
        <v>13</v>
      </c>
      <c r="I50" s="1"/>
    </row>
    <row r="51" ht="15.75" customHeight="1">
      <c r="A51" s="2">
        <v>50.0</v>
      </c>
      <c r="B51" s="1" t="s">
        <v>199</v>
      </c>
      <c r="C51" s="1" t="s">
        <v>200</v>
      </c>
      <c r="D51" s="1" t="s">
        <v>201</v>
      </c>
      <c r="E51" s="2">
        <v>5.7003835309E11</v>
      </c>
      <c r="F51" s="1" t="s">
        <v>202</v>
      </c>
      <c r="G51" s="1" t="s">
        <v>12</v>
      </c>
      <c r="H51" s="3" t="s">
        <v>13</v>
      </c>
      <c r="I51" s="1"/>
    </row>
    <row r="52" ht="15.75" customHeight="1">
      <c r="A52" s="2">
        <v>51.0</v>
      </c>
      <c r="B52" s="1" t="s">
        <v>203</v>
      </c>
      <c r="C52" s="1" t="s">
        <v>204</v>
      </c>
      <c r="D52" s="1" t="s">
        <v>205</v>
      </c>
      <c r="E52" s="2">
        <v>5.70038353093E11</v>
      </c>
      <c r="F52" s="1" t="s">
        <v>206</v>
      </c>
      <c r="G52" s="1" t="s">
        <v>12</v>
      </c>
      <c r="H52" s="3" t="s">
        <v>13</v>
      </c>
      <c r="I52" s="1"/>
    </row>
    <row r="53" ht="15.75" customHeight="1">
      <c r="A53" s="2">
        <v>52.0</v>
      </c>
      <c r="B53" s="1" t="s">
        <v>133</v>
      </c>
      <c r="C53" s="1" t="s">
        <v>207</v>
      </c>
      <c r="D53" s="1" t="s">
        <v>208</v>
      </c>
      <c r="E53" s="2">
        <v>5.70038353094E11</v>
      </c>
      <c r="F53" s="1" t="s">
        <v>209</v>
      </c>
      <c r="G53" s="1" t="s">
        <v>12</v>
      </c>
      <c r="H53" s="3" t="s">
        <v>13</v>
      </c>
      <c r="I53" s="1"/>
    </row>
    <row r="54" ht="15.75" customHeight="1">
      <c r="A54" s="2">
        <v>53.0</v>
      </c>
      <c r="B54" s="1" t="s">
        <v>210</v>
      </c>
      <c r="C54" s="1" t="s">
        <v>211</v>
      </c>
      <c r="D54" s="1" t="s">
        <v>212</v>
      </c>
      <c r="E54" s="2">
        <v>5.70038353095E11</v>
      </c>
      <c r="F54" s="1" t="s">
        <v>213</v>
      </c>
      <c r="G54" s="1" t="s">
        <v>12</v>
      </c>
      <c r="H54" s="3" t="s">
        <v>13</v>
      </c>
      <c r="I54" s="1"/>
    </row>
    <row r="55" ht="15.75" customHeight="1">
      <c r="A55" s="2">
        <v>54.0</v>
      </c>
      <c r="B55" s="1" t="s">
        <v>214</v>
      </c>
      <c r="C55" s="1" t="s">
        <v>215</v>
      </c>
      <c r="D55" s="1" t="s">
        <v>216</v>
      </c>
      <c r="E55" s="2">
        <v>5.70038353098E11</v>
      </c>
      <c r="F55" s="1" t="s">
        <v>217</v>
      </c>
      <c r="G55" s="1" t="s">
        <v>12</v>
      </c>
      <c r="H55" s="3" t="s">
        <v>13</v>
      </c>
      <c r="I55" s="1"/>
    </row>
    <row r="56" ht="15.75" customHeight="1">
      <c r="A56" s="2">
        <v>55.0</v>
      </c>
      <c r="B56" s="1" t="s">
        <v>111</v>
      </c>
      <c r="C56" s="1" t="s">
        <v>218</v>
      </c>
      <c r="D56" s="1" t="s">
        <v>219</v>
      </c>
      <c r="E56" s="2">
        <v>5.70038353099E11</v>
      </c>
      <c r="F56" s="1" t="s">
        <v>220</v>
      </c>
      <c r="G56" s="1" t="s">
        <v>12</v>
      </c>
      <c r="H56" s="3" t="s">
        <v>13</v>
      </c>
      <c r="I56" s="1"/>
    </row>
    <row r="57" ht="15.75" customHeight="1">
      <c r="A57" s="2">
        <v>56.0</v>
      </c>
      <c r="B57" s="1" t="s">
        <v>62</v>
      </c>
      <c r="C57" s="1" t="s">
        <v>221</v>
      </c>
      <c r="D57" s="1" t="s">
        <v>222</v>
      </c>
      <c r="E57" s="2">
        <v>5.70038353101E11</v>
      </c>
      <c r="F57" s="1" t="s">
        <v>223</v>
      </c>
      <c r="G57" s="1" t="s">
        <v>12</v>
      </c>
      <c r="H57" s="3" t="s">
        <v>13</v>
      </c>
      <c r="I57" s="1"/>
    </row>
    <row r="58" ht="15.75" customHeight="1">
      <c r="A58" s="2">
        <v>57.0</v>
      </c>
      <c r="B58" s="1" t="s">
        <v>224</v>
      </c>
      <c r="C58" s="1" t="s">
        <v>225</v>
      </c>
      <c r="D58" s="1" t="s">
        <v>226</v>
      </c>
      <c r="E58" s="2">
        <v>5.70038353102E11</v>
      </c>
      <c r="F58" s="1" t="s">
        <v>227</v>
      </c>
      <c r="G58" s="1" t="s">
        <v>12</v>
      </c>
      <c r="H58" s="3" t="s">
        <v>13</v>
      </c>
      <c r="I58" s="1"/>
    </row>
    <row r="59" ht="15.75" customHeight="1">
      <c r="A59" s="2">
        <v>58.0</v>
      </c>
      <c r="B59" s="1" t="s">
        <v>228</v>
      </c>
      <c r="C59" s="1" t="s">
        <v>229</v>
      </c>
      <c r="D59" s="1" t="s">
        <v>230</v>
      </c>
      <c r="E59" s="2">
        <v>5.70038353103E11</v>
      </c>
      <c r="F59" s="1" t="s">
        <v>231</v>
      </c>
      <c r="G59" s="1" t="s">
        <v>12</v>
      </c>
      <c r="H59" s="3" t="s">
        <v>13</v>
      </c>
      <c r="I59" s="1"/>
    </row>
    <row r="60" ht="15.75" customHeight="1">
      <c r="A60" s="2">
        <v>59.0</v>
      </c>
      <c r="B60" s="1" t="s">
        <v>172</v>
      </c>
      <c r="C60" s="1" t="s">
        <v>232</v>
      </c>
      <c r="D60" s="1" t="s">
        <v>233</v>
      </c>
      <c r="E60" s="2">
        <v>5.70038353105E11</v>
      </c>
      <c r="F60" s="1" t="s">
        <v>234</v>
      </c>
      <c r="G60" s="1" t="s">
        <v>12</v>
      </c>
      <c r="H60" s="3" t="s">
        <v>13</v>
      </c>
      <c r="I60" s="1"/>
    </row>
    <row r="61" ht="15.75" customHeight="1">
      <c r="A61" s="2">
        <v>60.0</v>
      </c>
      <c r="B61" s="1" t="s">
        <v>183</v>
      </c>
      <c r="C61" s="1" t="s">
        <v>235</v>
      </c>
      <c r="D61" s="1" t="s">
        <v>60</v>
      </c>
      <c r="E61" s="2">
        <v>5.70038353106E11</v>
      </c>
      <c r="F61" s="1" t="s">
        <v>236</v>
      </c>
      <c r="G61" s="1" t="s">
        <v>12</v>
      </c>
      <c r="H61" s="3" t="s">
        <v>13</v>
      </c>
      <c r="I61" s="1"/>
    </row>
    <row r="62" ht="15.75" customHeight="1">
      <c r="A62" s="2">
        <v>61.0</v>
      </c>
      <c r="B62" s="1" t="s">
        <v>237</v>
      </c>
      <c r="C62" s="1" t="s">
        <v>238</v>
      </c>
      <c r="D62" s="1" t="s">
        <v>239</v>
      </c>
      <c r="E62" s="2">
        <v>5.70038353107E11</v>
      </c>
      <c r="F62" s="1" t="s">
        <v>240</v>
      </c>
      <c r="G62" s="1" t="s">
        <v>12</v>
      </c>
      <c r="H62" s="3" t="s">
        <v>13</v>
      </c>
      <c r="I62" s="1"/>
    </row>
    <row r="63" ht="15.75" customHeight="1">
      <c r="A63" s="2">
        <v>62.0</v>
      </c>
      <c r="B63" s="1" t="s">
        <v>241</v>
      </c>
      <c r="C63" s="1" t="s">
        <v>9</v>
      </c>
      <c r="D63" s="1" t="s">
        <v>242</v>
      </c>
      <c r="E63" s="2">
        <v>5.70038353111E11</v>
      </c>
      <c r="F63" s="1" t="s">
        <v>69</v>
      </c>
      <c r="G63" s="1" t="s">
        <v>12</v>
      </c>
      <c r="H63" s="3" t="s">
        <v>13</v>
      </c>
      <c r="I63" s="1"/>
    </row>
    <row r="64" ht="15.75" customHeight="1">
      <c r="A64" s="2">
        <v>63.0</v>
      </c>
      <c r="B64" s="1" t="s">
        <v>243</v>
      </c>
      <c r="C64" s="1" t="s">
        <v>244</v>
      </c>
      <c r="D64" s="1" t="s">
        <v>245</v>
      </c>
      <c r="E64" s="2">
        <v>5.70038353123E11</v>
      </c>
      <c r="F64" s="1" t="s">
        <v>246</v>
      </c>
      <c r="G64" s="1" t="s">
        <v>12</v>
      </c>
      <c r="H64" s="3" t="s">
        <v>13</v>
      </c>
      <c r="I64" s="1"/>
    </row>
    <row r="65" ht="15.75" customHeight="1">
      <c r="A65" s="2">
        <v>64.0</v>
      </c>
      <c r="B65" s="1" t="s">
        <v>247</v>
      </c>
      <c r="C65" s="1" t="s">
        <v>248</v>
      </c>
      <c r="D65" s="1" t="s">
        <v>249</v>
      </c>
      <c r="E65" s="2">
        <v>5.70038353125E11</v>
      </c>
      <c r="F65" s="1" t="s">
        <v>250</v>
      </c>
      <c r="G65" s="1" t="s">
        <v>12</v>
      </c>
      <c r="H65" s="3" t="s">
        <v>13</v>
      </c>
      <c r="I65" s="1"/>
    </row>
    <row r="66" ht="15.75" customHeight="1">
      <c r="A66" s="2">
        <v>65.0</v>
      </c>
      <c r="B66" s="1" t="s">
        <v>251</v>
      </c>
      <c r="C66" s="1" t="s">
        <v>252</v>
      </c>
      <c r="D66" s="1" t="s">
        <v>253</v>
      </c>
      <c r="E66" s="2">
        <v>5.70038353126E11</v>
      </c>
      <c r="F66" s="1" t="s">
        <v>254</v>
      </c>
      <c r="G66" s="1" t="s">
        <v>12</v>
      </c>
      <c r="H66" s="3" t="s">
        <v>13</v>
      </c>
      <c r="I66" s="1"/>
    </row>
    <row r="67" ht="15.75" customHeight="1">
      <c r="A67" s="2">
        <v>66.0</v>
      </c>
      <c r="B67" s="1" t="s">
        <v>255</v>
      </c>
      <c r="C67" s="1" t="s">
        <v>256</v>
      </c>
      <c r="D67" s="1" t="s">
        <v>257</v>
      </c>
      <c r="E67" s="2">
        <v>5.70038353127E11</v>
      </c>
      <c r="F67" s="1" t="s">
        <v>53</v>
      </c>
      <c r="G67" s="1" t="s">
        <v>12</v>
      </c>
      <c r="H67" s="3" t="s">
        <v>13</v>
      </c>
      <c r="I67" s="1"/>
    </row>
    <row r="68" ht="15.75" customHeight="1">
      <c r="A68" s="2">
        <v>67.0</v>
      </c>
      <c r="B68" s="1" t="s">
        <v>258</v>
      </c>
      <c r="C68" s="1" t="s">
        <v>259</v>
      </c>
      <c r="D68" s="1" t="s">
        <v>247</v>
      </c>
      <c r="E68" s="2">
        <v>5.70038353128E11</v>
      </c>
      <c r="F68" s="1" t="s">
        <v>260</v>
      </c>
      <c r="G68" s="1" t="s">
        <v>261</v>
      </c>
      <c r="H68" s="3" t="s">
        <v>13</v>
      </c>
      <c r="I68" s="1"/>
    </row>
    <row r="69" ht="15.75" customHeight="1">
      <c r="A69" s="2">
        <v>68.0</v>
      </c>
      <c r="B69" s="1" t="s">
        <v>210</v>
      </c>
      <c r="C69" s="1" t="s">
        <v>262</v>
      </c>
      <c r="D69" s="1" t="s">
        <v>263</v>
      </c>
      <c r="E69" s="2">
        <v>5.70038353133E11</v>
      </c>
      <c r="F69" s="1" t="s">
        <v>264</v>
      </c>
      <c r="G69" s="1" t="s">
        <v>12</v>
      </c>
      <c r="H69" s="3" t="s">
        <v>13</v>
      </c>
      <c r="I69" s="1"/>
    </row>
    <row r="70" ht="15.75" customHeight="1">
      <c r="A70" s="2">
        <v>69.0</v>
      </c>
      <c r="B70" s="1" t="s">
        <v>52</v>
      </c>
      <c r="C70" s="1" t="s">
        <v>265</v>
      </c>
      <c r="D70" s="1" t="s">
        <v>266</v>
      </c>
      <c r="E70" s="2">
        <v>5.70038353135E11</v>
      </c>
      <c r="F70" s="1" t="s">
        <v>49</v>
      </c>
      <c r="G70" s="1" t="s">
        <v>12</v>
      </c>
      <c r="H70" s="3" t="s">
        <v>13</v>
      </c>
      <c r="I70" s="1"/>
    </row>
    <row r="71" ht="15.75" customHeight="1">
      <c r="A71" s="2">
        <v>70.0</v>
      </c>
      <c r="B71" s="1" t="s">
        <v>267</v>
      </c>
      <c r="C71" s="1" t="s">
        <v>268</v>
      </c>
      <c r="D71" s="1" t="s">
        <v>52</v>
      </c>
      <c r="E71" s="2">
        <v>5.70038353136E11</v>
      </c>
      <c r="F71" s="1" t="s">
        <v>138</v>
      </c>
      <c r="G71" s="1" t="s">
        <v>12</v>
      </c>
      <c r="H71" s="3" t="s">
        <v>13</v>
      </c>
      <c r="I71" s="1"/>
    </row>
    <row r="72" ht="15.75" customHeight="1">
      <c r="A72" s="2">
        <v>71.0</v>
      </c>
      <c r="B72" s="1" t="s">
        <v>269</v>
      </c>
      <c r="C72" s="1" t="s">
        <v>270</v>
      </c>
      <c r="D72" s="1" t="s">
        <v>271</v>
      </c>
      <c r="E72" s="2">
        <v>5.70038353137E11</v>
      </c>
      <c r="F72" s="1" t="s">
        <v>272</v>
      </c>
      <c r="G72" s="1" t="s">
        <v>12</v>
      </c>
      <c r="H72" s="3" t="s">
        <v>13</v>
      </c>
      <c r="I72" s="1"/>
    </row>
    <row r="73" ht="15.75" customHeight="1">
      <c r="A73" s="2">
        <v>72.0</v>
      </c>
      <c r="B73" s="1" t="s">
        <v>273</v>
      </c>
      <c r="C73" s="1" t="s">
        <v>192</v>
      </c>
      <c r="D73" s="1" t="s">
        <v>42</v>
      </c>
      <c r="E73" s="2">
        <v>5.70038353138E11</v>
      </c>
      <c r="F73" s="1" t="s">
        <v>274</v>
      </c>
      <c r="G73" s="1" t="s">
        <v>12</v>
      </c>
      <c r="H73" s="3" t="s">
        <v>13</v>
      </c>
      <c r="I73" s="1"/>
    </row>
    <row r="74" ht="15.75" customHeight="1">
      <c r="A74" s="2">
        <v>73.0</v>
      </c>
      <c r="B74" s="1" t="s">
        <v>275</v>
      </c>
      <c r="C74" s="1" t="s">
        <v>276</v>
      </c>
      <c r="D74" s="1" t="s">
        <v>277</v>
      </c>
      <c r="E74" s="2">
        <v>5.70038353139E11</v>
      </c>
      <c r="F74" s="1" t="s">
        <v>278</v>
      </c>
      <c r="G74" s="1" t="s">
        <v>12</v>
      </c>
      <c r="H74" s="3" t="s">
        <v>13</v>
      </c>
      <c r="I74" s="1"/>
    </row>
    <row r="75" ht="15.75" customHeight="1">
      <c r="A75" s="2">
        <v>74.0</v>
      </c>
      <c r="B75" s="1" t="s">
        <v>279</v>
      </c>
      <c r="C75" s="1" t="s">
        <v>280</v>
      </c>
      <c r="D75" s="1" t="s">
        <v>281</v>
      </c>
      <c r="E75" s="2">
        <v>5.70038353141E11</v>
      </c>
      <c r="F75" s="1" t="s">
        <v>282</v>
      </c>
      <c r="G75" s="1" t="s">
        <v>12</v>
      </c>
      <c r="H75" s="3" t="s">
        <v>13</v>
      </c>
      <c r="I75" s="1"/>
    </row>
    <row r="76" ht="15.75" customHeight="1">
      <c r="A76" s="2">
        <v>75.0</v>
      </c>
      <c r="B76" s="1" t="s">
        <v>283</v>
      </c>
      <c r="C76" s="1" t="s">
        <v>284</v>
      </c>
      <c r="D76" s="1" t="s">
        <v>285</v>
      </c>
      <c r="E76" s="2">
        <v>5.70038353142E11</v>
      </c>
      <c r="F76" s="1" t="s">
        <v>286</v>
      </c>
      <c r="G76" s="1" t="s">
        <v>12</v>
      </c>
      <c r="H76" s="3" t="s">
        <v>13</v>
      </c>
      <c r="I76" s="1"/>
    </row>
    <row r="77" ht="15.75" customHeight="1">
      <c r="A77" s="2">
        <v>76.0</v>
      </c>
      <c r="B77" s="1" t="s">
        <v>287</v>
      </c>
      <c r="C77" s="1" t="s">
        <v>288</v>
      </c>
      <c r="D77" s="1" t="s">
        <v>85</v>
      </c>
      <c r="E77" s="2">
        <v>5.70038353143E11</v>
      </c>
      <c r="F77" s="1" t="s">
        <v>289</v>
      </c>
      <c r="G77" s="1" t="s">
        <v>12</v>
      </c>
      <c r="H77" s="3" t="s">
        <v>13</v>
      </c>
      <c r="I77" s="1"/>
    </row>
    <row r="78" ht="15.75" customHeight="1">
      <c r="A78" s="2">
        <v>77.0</v>
      </c>
      <c r="B78" s="1" t="s">
        <v>290</v>
      </c>
      <c r="C78" s="1" t="s">
        <v>291</v>
      </c>
      <c r="D78" s="1" t="s">
        <v>292</v>
      </c>
      <c r="E78" s="2">
        <v>5.70038353145E11</v>
      </c>
      <c r="F78" s="1" t="s">
        <v>293</v>
      </c>
      <c r="G78" s="1" t="s">
        <v>12</v>
      </c>
      <c r="H78" s="3" t="s">
        <v>13</v>
      </c>
      <c r="I78" s="1"/>
    </row>
    <row r="79" ht="15.75" customHeight="1">
      <c r="A79" s="2">
        <v>78.0</v>
      </c>
      <c r="B79" s="1" t="s">
        <v>48</v>
      </c>
      <c r="C79" s="1" t="s">
        <v>294</v>
      </c>
      <c r="D79" s="1" t="s">
        <v>295</v>
      </c>
      <c r="E79" s="2">
        <v>5.70038353147E11</v>
      </c>
      <c r="F79" s="1" t="s">
        <v>296</v>
      </c>
      <c r="G79" s="1" t="s">
        <v>12</v>
      </c>
      <c r="H79" s="3" t="s">
        <v>13</v>
      </c>
      <c r="I79" s="1"/>
    </row>
    <row r="80" ht="15.75" customHeight="1">
      <c r="A80" s="2">
        <v>79.0</v>
      </c>
      <c r="B80" s="1" t="s">
        <v>297</v>
      </c>
      <c r="C80" s="1" t="s">
        <v>298</v>
      </c>
      <c r="D80" s="1" t="s">
        <v>299</v>
      </c>
      <c r="E80" s="2">
        <v>5.70038353148E11</v>
      </c>
      <c r="F80" s="1" t="s">
        <v>300</v>
      </c>
      <c r="G80" s="1" t="s">
        <v>12</v>
      </c>
      <c r="H80" s="3" t="s">
        <v>13</v>
      </c>
      <c r="I80" s="1"/>
    </row>
    <row r="81" ht="15.75" customHeight="1">
      <c r="A81" s="2">
        <v>80.0</v>
      </c>
      <c r="B81" s="1" t="s">
        <v>42</v>
      </c>
      <c r="C81" s="1" t="s">
        <v>301</v>
      </c>
      <c r="D81" s="1" t="s">
        <v>302</v>
      </c>
      <c r="E81" s="2">
        <v>5.70038353151E11</v>
      </c>
      <c r="F81" s="1" t="s">
        <v>53</v>
      </c>
      <c r="G81" s="1" t="s">
        <v>12</v>
      </c>
      <c r="H81" s="3" t="s">
        <v>13</v>
      </c>
      <c r="I81" s="1"/>
    </row>
    <row r="82" ht="15.75" customHeight="1">
      <c r="A82" s="2">
        <v>81.0</v>
      </c>
      <c r="B82" s="1" t="s">
        <v>303</v>
      </c>
      <c r="C82" s="1" t="s">
        <v>304</v>
      </c>
      <c r="D82" s="1" t="s">
        <v>305</v>
      </c>
      <c r="E82" s="2">
        <v>5.70038353152E11</v>
      </c>
      <c r="F82" s="1" t="s">
        <v>306</v>
      </c>
      <c r="G82" s="1" t="s">
        <v>12</v>
      </c>
      <c r="H82" s="3" t="s">
        <v>13</v>
      </c>
      <c r="I82" s="1"/>
    </row>
    <row r="83" ht="15.75" customHeight="1">
      <c r="A83" s="2">
        <v>82.0</v>
      </c>
      <c r="B83" s="1" t="s">
        <v>307</v>
      </c>
      <c r="C83" s="1" t="s">
        <v>308</v>
      </c>
      <c r="D83" s="1" t="s">
        <v>212</v>
      </c>
      <c r="E83" s="2">
        <v>5.70038353158E11</v>
      </c>
      <c r="F83" s="1" t="s">
        <v>309</v>
      </c>
      <c r="G83" s="1" t="s">
        <v>12</v>
      </c>
      <c r="H83" s="3" t="s">
        <v>13</v>
      </c>
      <c r="I83" s="1"/>
    </row>
    <row r="84" ht="15.75" customHeight="1">
      <c r="A84" s="2">
        <v>83.0</v>
      </c>
      <c r="B84" s="1" t="s">
        <v>310</v>
      </c>
      <c r="C84" s="1" t="s">
        <v>311</v>
      </c>
      <c r="D84" s="1" t="s">
        <v>312</v>
      </c>
      <c r="E84" s="2">
        <v>5.70038353163E11</v>
      </c>
      <c r="F84" s="1" t="s">
        <v>293</v>
      </c>
      <c r="G84" s="1" t="s">
        <v>12</v>
      </c>
      <c r="H84" s="3" t="s">
        <v>13</v>
      </c>
      <c r="I84" s="1"/>
    </row>
    <row r="85" ht="15.75" customHeight="1">
      <c r="A85" s="2">
        <v>84.0</v>
      </c>
      <c r="B85" s="1" t="s">
        <v>313</v>
      </c>
      <c r="C85" s="1" t="s">
        <v>314</v>
      </c>
      <c r="D85" s="1" t="s">
        <v>315</v>
      </c>
      <c r="E85" s="2">
        <v>5.70038353166E11</v>
      </c>
      <c r="F85" s="1" t="s">
        <v>316</v>
      </c>
      <c r="G85" s="1" t="s">
        <v>12</v>
      </c>
      <c r="H85" s="3" t="s">
        <v>13</v>
      </c>
      <c r="I85" s="1"/>
    </row>
    <row r="86" ht="15.75" customHeight="1">
      <c r="A86" s="2">
        <v>85.0</v>
      </c>
      <c r="B86" s="1" t="s">
        <v>8</v>
      </c>
      <c r="C86" s="1" t="s">
        <v>317</v>
      </c>
      <c r="D86" s="1" t="s">
        <v>297</v>
      </c>
      <c r="E86" s="2">
        <v>5.70038353176E11</v>
      </c>
      <c r="F86" s="1" t="s">
        <v>318</v>
      </c>
      <c r="G86" s="1" t="s">
        <v>12</v>
      </c>
      <c r="H86" s="3" t="s">
        <v>13</v>
      </c>
      <c r="I86" s="1"/>
    </row>
    <row r="87" ht="15.75" customHeight="1">
      <c r="A87" s="2">
        <v>86.0</v>
      </c>
      <c r="B87" s="1" t="s">
        <v>319</v>
      </c>
      <c r="C87" s="1" t="s">
        <v>320</v>
      </c>
      <c r="D87" s="1" t="s">
        <v>321</v>
      </c>
      <c r="E87" s="2">
        <v>5.70038353188E11</v>
      </c>
      <c r="F87" s="1" t="s">
        <v>322</v>
      </c>
      <c r="G87" s="1" t="s">
        <v>12</v>
      </c>
      <c r="H87" s="3" t="s">
        <v>13</v>
      </c>
      <c r="I87" s="1"/>
    </row>
    <row r="88" ht="15.75" customHeight="1">
      <c r="A88" s="2">
        <v>87.0</v>
      </c>
      <c r="B88" s="1" t="s">
        <v>263</v>
      </c>
      <c r="C88" s="1" t="s">
        <v>323</v>
      </c>
      <c r="D88" s="1" t="s">
        <v>324</v>
      </c>
      <c r="E88" s="2">
        <v>5.70038353199E11</v>
      </c>
      <c r="F88" s="1" t="s">
        <v>325</v>
      </c>
      <c r="G88" s="1" t="s">
        <v>12</v>
      </c>
      <c r="H88" s="3" t="s">
        <v>13</v>
      </c>
      <c r="I88" s="1"/>
    </row>
    <row r="89" ht="15.75" customHeight="1">
      <c r="A89" s="2">
        <v>88.0</v>
      </c>
      <c r="B89" s="1" t="s">
        <v>326</v>
      </c>
      <c r="C89" s="1" t="s">
        <v>327</v>
      </c>
      <c r="D89" s="1" t="s">
        <v>328</v>
      </c>
      <c r="E89" s="2">
        <v>5.700383532E11</v>
      </c>
      <c r="F89" s="1" t="s">
        <v>329</v>
      </c>
      <c r="G89" s="1" t="s">
        <v>12</v>
      </c>
      <c r="H89" s="3" t="s">
        <v>13</v>
      </c>
      <c r="I89" s="1"/>
    </row>
    <row r="90" ht="15.75" customHeight="1">
      <c r="A90" s="2">
        <v>89.0</v>
      </c>
      <c r="B90" s="1" t="s">
        <v>267</v>
      </c>
      <c r="C90" s="1" t="s">
        <v>330</v>
      </c>
      <c r="D90" s="1" t="s">
        <v>331</v>
      </c>
      <c r="E90" s="2">
        <v>5.70038353201E11</v>
      </c>
      <c r="F90" s="1" t="s">
        <v>332</v>
      </c>
      <c r="G90" s="1" t="s">
        <v>12</v>
      </c>
      <c r="H90" s="3" t="s">
        <v>13</v>
      </c>
      <c r="I90" s="1"/>
    </row>
    <row r="91" ht="15.75" customHeight="1">
      <c r="A91" s="2">
        <v>90.0</v>
      </c>
      <c r="B91" s="1" t="s">
        <v>333</v>
      </c>
      <c r="C91" s="1" t="s">
        <v>334</v>
      </c>
      <c r="D91" s="1" t="s">
        <v>335</v>
      </c>
      <c r="E91" s="2">
        <v>5.70038353207E11</v>
      </c>
      <c r="F91" s="1" t="s">
        <v>336</v>
      </c>
      <c r="G91" s="1" t="s">
        <v>12</v>
      </c>
      <c r="H91" s="3" t="s">
        <v>13</v>
      </c>
      <c r="I91" s="1"/>
    </row>
    <row r="92" ht="15.75" customHeight="1">
      <c r="A92" s="2">
        <v>91.0</v>
      </c>
      <c r="B92" s="1" t="s">
        <v>337</v>
      </c>
      <c r="C92" s="1" t="s">
        <v>338</v>
      </c>
      <c r="D92" s="1" t="s">
        <v>339</v>
      </c>
      <c r="E92" s="2">
        <v>5.70038353209E11</v>
      </c>
      <c r="F92" s="1" t="s">
        <v>340</v>
      </c>
      <c r="G92" s="1" t="s">
        <v>12</v>
      </c>
      <c r="H92" s="3" t="s">
        <v>13</v>
      </c>
      <c r="I92" s="1"/>
    </row>
    <row r="93" ht="15.75" customHeight="1">
      <c r="A93" s="2">
        <v>92.0</v>
      </c>
      <c r="B93" s="1" t="s">
        <v>341</v>
      </c>
      <c r="C93" s="1" t="s">
        <v>342</v>
      </c>
      <c r="D93" s="1" t="s">
        <v>343</v>
      </c>
      <c r="E93" s="2">
        <v>5.70038353218E11</v>
      </c>
      <c r="F93" s="1" t="s">
        <v>112</v>
      </c>
      <c r="G93" s="1" t="s">
        <v>12</v>
      </c>
      <c r="H93" s="3" t="s">
        <v>13</v>
      </c>
      <c r="I93" s="1"/>
    </row>
    <row r="94" ht="15.75" customHeight="1">
      <c r="A94" s="2">
        <v>93.0</v>
      </c>
      <c r="B94" s="1" t="s">
        <v>344</v>
      </c>
      <c r="C94" s="1" t="s">
        <v>345</v>
      </c>
      <c r="D94" s="1" t="s">
        <v>346</v>
      </c>
      <c r="E94" s="2">
        <v>5.70038353222E11</v>
      </c>
      <c r="F94" s="1" t="s">
        <v>142</v>
      </c>
      <c r="G94" s="1" t="s">
        <v>12</v>
      </c>
      <c r="H94" s="3" t="s">
        <v>13</v>
      </c>
      <c r="I94" s="1"/>
    </row>
    <row r="95" ht="15.75" customHeight="1">
      <c r="A95" s="2">
        <v>94.0</v>
      </c>
      <c r="B95" s="1" t="s">
        <v>347</v>
      </c>
      <c r="C95" s="1" t="s">
        <v>348</v>
      </c>
      <c r="D95" s="1" t="s">
        <v>346</v>
      </c>
      <c r="E95" s="2">
        <v>5.70038353224E11</v>
      </c>
      <c r="F95" s="1" t="s">
        <v>349</v>
      </c>
      <c r="G95" s="1" t="s">
        <v>12</v>
      </c>
      <c r="H95" s="3" t="s">
        <v>13</v>
      </c>
      <c r="I95" s="1"/>
    </row>
    <row r="96" ht="15.75" customHeight="1">
      <c r="A96" s="2">
        <v>95.0</v>
      </c>
      <c r="B96" s="1" t="s">
        <v>350</v>
      </c>
      <c r="C96" s="1" t="s">
        <v>351</v>
      </c>
      <c r="D96" s="1" t="s">
        <v>10</v>
      </c>
      <c r="E96" s="2">
        <v>5.70038353225E11</v>
      </c>
      <c r="F96" s="1" t="s">
        <v>352</v>
      </c>
      <c r="G96" s="1" t="s">
        <v>12</v>
      </c>
      <c r="H96" s="3" t="s">
        <v>13</v>
      </c>
      <c r="I96" s="1"/>
    </row>
    <row r="97" ht="15.75" customHeight="1">
      <c r="A97" s="2">
        <v>96.0</v>
      </c>
      <c r="B97" s="1" t="s">
        <v>353</v>
      </c>
      <c r="C97" s="1" t="s">
        <v>345</v>
      </c>
      <c r="D97" s="1" t="s">
        <v>354</v>
      </c>
      <c r="E97" s="2">
        <v>5.70038353227E11</v>
      </c>
      <c r="F97" s="1" t="s">
        <v>148</v>
      </c>
      <c r="G97" s="1" t="s">
        <v>12</v>
      </c>
      <c r="H97" s="3" t="s">
        <v>13</v>
      </c>
      <c r="I97" s="1"/>
    </row>
    <row r="98" ht="15.75" customHeight="1">
      <c r="A98" s="2">
        <v>97.0</v>
      </c>
      <c r="B98" s="1" t="s">
        <v>355</v>
      </c>
      <c r="C98" s="1" t="s">
        <v>356</v>
      </c>
      <c r="D98" s="1" t="s">
        <v>263</v>
      </c>
      <c r="E98" s="2">
        <v>5.70038353229E11</v>
      </c>
      <c r="F98" s="1" t="s">
        <v>357</v>
      </c>
      <c r="G98" s="1" t="s">
        <v>12</v>
      </c>
      <c r="H98" s="3" t="s">
        <v>13</v>
      </c>
      <c r="I98" s="1"/>
    </row>
    <row r="99" ht="15.75" customHeight="1">
      <c r="A99" s="2">
        <v>98.0</v>
      </c>
      <c r="B99" s="1" t="s">
        <v>358</v>
      </c>
      <c r="C99" s="1" t="s">
        <v>359</v>
      </c>
      <c r="D99" s="1" t="s">
        <v>360</v>
      </c>
      <c r="E99" s="2">
        <v>5.70038353232E11</v>
      </c>
      <c r="F99" s="1" t="s">
        <v>361</v>
      </c>
      <c r="G99" s="1" t="s">
        <v>12</v>
      </c>
      <c r="H99" s="3" t="s">
        <v>13</v>
      </c>
      <c r="I99" s="1"/>
    </row>
    <row r="100" ht="15.75" customHeight="1">
      <c r="A100" s="2">
        <v>99.0</v>
      </c>
      <c r="B100" s="1" t="s">
        <v>362</v>
      </c>
      <c r="C100" s="1" t="s">
        <v>363</v>
      </c>
      <c r="D100" s="1" t="s">
        <v>364</v>
      </c>
      <c r="E100" s="2">
        <v>5.70038353233E11</v>
      </c>
      <c r="F100" s="1" t="s">
        <v>11</v>
      </c>
      <c r="G100" s="1" t="s">
        <v>12</v>
      </c>
      <c r="H100" s="3" t="s">
        <v>13</v>
      </c>
      <c r="I100" s="1"/>
    </row>
    <row r="101" ht="15.75" customHeight="1">
      <c r="A101" s="2">
        <v>100.0</v>
      </c>
      <c r="B101" s="1" t="s">
        <v>365</v>
      </c>
      <c r="C101" s="1" t="s">
        <v>366</v>
      </c>
      <c r="D101" s="1" t="s">
        <v>48</v>
      </c>
      <c r="E101" s="2">
        <v>5.70038353234E11</v>
      </c>
      <c r="F101" s="1" t="s">
        <v>367</v>
      </c>
      <c r="G101" s="1" t="s">
        <v>12</v>
      </c>
      <c r="H101" s="3" t="s">
        <v>13</v>
      </c>
      <c r="I101" s="1"/>
    </row>
    <row r="102" ht="15.75" customHeight="1">
      <c r="A102" s="2">
        <v>101.0</v>
      </c>
      <c r="B102" s="1" t="s">
        <v>368</v>
      </c>
      <c r="C102" s="1" t="s">
        <v>369</v>
      </c>
      <c r="D102" s="1" t="s">
        <v>370</v>
      </c>
      <c r="E102" s="2">
        <v>5.70038353236E11</v>
      </c>
      <c r="F102" s="1" t="s">
        <v>371</v>
      </c>
      <c r="G102" s="1" t="s">
        <v>12</v>
      </c>
      <c r="H102" s="3" t="s">
        <v>13</v>
      </c>
      <c r="I102" s="1"/>
    </row>
    <row r="103" ht="15.75" customHeight="1">
      <c r="A103" s="2">
        <v>102.0</v>
      </c>
      <c r="B103" s="1" t="s">
        <v>372</v>
      </c>
      <c r="C103" s="1" t="s">
        <v>373</v>
      </c>
      <c r="D103" s="1" t="s">
        <v>60</v>
      </c>
      <c r="E103" s="2">
        <v>5.7003835324E11</v>
      </c>
      <c r="F103" s="1" t="s">
        <v>374</v>
      </c>
      <c r="G103" s="1" t="s">
        <v>12</v>
      </c>
      <c r="H103" s="3" t="s">
        <v>13</v>
      </c>
      <c r="I103" s="1"/>
    </row>
    <row r="104" ht="15.75" customHeight="1">
      <c r="A104" s="2">
        <v>103.0</v>
      </c>
      <c r="B104" s="1" t="s">
        <v>375</v>
      </c>
      <c r="C104" s="1" t="s">
        <v>376</v>
      </c>
      <c r="D104" s="1" t="s">
        <v>377</v>
      </c>
      <c r="E104" s="2">
        <v>5.70038353241E11</v>
      </c>
      <c r="F104" s="1" t="s">
        <v>378</v>
      </c>
      <c r="G104" s="1" t="s">
        <v>12</v>
      </c>
      <c r="H104" s="3" t="s">
        <v>13</v>
      </c>
      <c r="I104" s="1"/>
    </row>
    <row r="105" ht="15.75" customHeight="1">
      <c r="A105" s="2">
        <v>104.0</v>
      </c>
      <c r="B105" s="1" t="s">
        <v>379</v>
      </c>
      <c r="C105" s="1" t="s">
        <v>380</v>
      </c>
      <c r="D105" s="1" t="s">
        <v>381</v>
      </c>
      <c r="E105" s="2">
        <v>5.70038353245E11</v>
      </c>
      <c r="F105" s="1" t="s">
        <v>382</v>
      </c>
      <c r="G105" s="1" t="s">
        <v>12</v>
      </c>
      <c r="H105" s="3" t="s">
        <v>13</v>
      </c>
      <c r="I105" s="1"/>
    </row>
    <row r="106" ht="15.75" customHeight="1">
      <c r="A106" s="2">
        <v>105.0</v>
      </c>
      <c r="B106" s="1" t="s">
        <v>333</v>
      </c>
      <c r="C106" s="1" t="s">
        <v>383</v>
      </c>
      <c r="D106" s="1" t="s">
        <v>384</v>
      </c>
      <c r="E106" s="2">
        <v>5.70038353246E11</v>
      </c>
      <c r="F106" s="1" t="s">
        <v>385</v>
      </c>
      <c r="G106" s="1" t="s">
        <v>12</v>
      </c>
      <c r="H106" s="3" t="s">
        <v>13</v>
      </c>
      <c r="I106" s="1"/>
    </row>
    <row r="107" ht="15.75" customHeight="1">
      <c r="A107" s="2">
        <v>106.0</v>
      </c>
      <c r="B107" s="1" t="s">
        <v>273</v>
      </c>
      <c r="C107" s="1" t="s">
        <v>386</v>
      </c>
      <c r="D107" s="1" t="s">
        <v>387</v>
      </c>
      <c r="E107" s="2">
        <v>5.70038353248E11</v>
      </c>
      <c r="F107" s="1" t="s">
        <v>388</v>
      </c>
      <c r="G107" s="1" t="s">
        <v>12</v>
      </c>
      <c r="H107" s="3" t="s">
        <v>13</v>
      </c>
      <c r="I107" s="1"/>
    </row>
    <row r="108" ht="15.75" customHeight="1">
      <c r="A108" s="2">
        <v>107.0</v>
      </c>
      <c r="B108" s="1" t="s">
        <v>52</v>
      </c>
      <c r="C108" s="1" t="s">
        <v>389</v>
      </c>
      <c r="D108" s="1" t="s">
        <v>390</v>
      </c>
      <c r="E108" s="2">
        <v>5.7003835325E11</v>
      </c>
      <c r="F108" s="1" t="s">
        <v>112</v>
      </c>
      <c r="G108" s="1" t="s">
        <v>12</v>
      </c>
      <c r="H108" s="3" t="s">
        <v>13</v>
      </c>
      <c r="I108" s="1"/>
    </row>
    <row r="109" ht="15.75" customHeight="1">
      <c r="A109" s="2">
        <v>108.0</v>
      </c>
      <c r="B109" s="1" t="s">
        <v>391</v>
      </c>
      <c r="C109" s="1" t="s">
        <v>392</v>
      </c>
      <c r="D109" s="1" t="s">
        <v>393</v>
      </c>
      <c r="E109" s="2">
        <v>5.70038353254E11</v>
      </c>
      <c r="F109" s="1" t="s">
        <v>394</v>
      </c>
      <c r="G109" s="1" t="s">
        <v>12</v>
      </c>
      <c r="H109" s="3" t="s">
        <v>13</v>
      </c>
      <c r="I109" s="1"/>
    </row>
    <row r="110" ht="15.75" customHeight="1">
      <c r="A110" s="2">
        <v>109.0</v>
      </c>
      <c r="B110" s="1" t="s">
        <v>40</v>
      </c>
      <c r="C110" s="1" t="s">
        <v>395</v>
      </c>
      <c r="D110" s="1" t="s">
        <v>396</v>
      </c>
      <c r="E110" s="2">
        <v>5.70038353266E11</v>
      </c>
      <c r="F110" s="1" t="s">
        <v>309</v>
      </c>
      <c r="G110" s="1" t="s">
        <v>12</v>
      </c>
      <c r="H110" s="3" t="s">
        <v>13</v>
      </c>
      <c r="I110" s="1"/>
    </row>
    <row r="111" ht="15.75" customHeight="1">
      <c r="A111" s="2">
        <v>110.0</v>
      </c>
      <c r="B111" s="1" t="s">
        <v>397</v>
      </c>
      <c r="C111" s="1" t="s">
        <v>398</v>
      </c>
      <c r="D111" s="1" t="s">
        <v>136</v>
      </c>
      <c r="E111" s="2">
        <v>5.70038353269E11</v>
      </c>
      <c r="F111" s="1" t="s">
        <v>41</v>
      </c>
      <c r="G111" s="1" t="s">
        <v>12</v>
      </c>
      <c r="H111" s="3" t="s">
        <v>13</v>
      </c>
      <c r="I111" s="1"/>
    </row>
    <row r="112" ht="15.75" customHeight="1">
      <c r="A112" s="2">
        <v>111.0</v>
      </c>
      <c r="B112" s="1" t="s">
        <v>399</v>
      </c>
      <c r="C112" s="1" t="s">
        <v>400</v>
      </c>
      <c r="D112" s="1" t="s">
        <v>401</v>
      </c>
      <c r="E112" s="2">
        <v>5.70038353276E11</v>
      </c>
      <c r="F112" s="1" t="s">
        <v>402</v>
      </c>
      <c r="G112" s="1" t="s">
        <v>12</v>
      </c>
      <c r="H112" s="3" t="s">
        <v>13</v>
      </c>
      <c r="I112" s="1"/>
    </row>
    <row r="113" ht="15.75" customHeight="1">
      <c r="A113" s="2">
        <v>112.0</v>
      </c>
      <c r="B113" s="1" t="s">
        <v>403</v>
      </c>
      <c r="C113" s="1" t="s">
        <v>404</v>
      </c>
      <c r="D113" s="1" t="s">
        <v>295</v>
      </c>
      <c r="E113" s="2">
        <v>5.70038353277E11</v>
      </c>
      <c r="F113" s="1" t="s">
        <v>53</v>
      </c>
      <c r="G113" s="1" t="s">
        <v>12</v>
      </c>
      <c r="H113" s="3" t="s">
        <v>13</v>
      </c>
      <c r="I113" s="1"/>
    </row>
    <row r="114" ht="15.75" customHeight="1">
      <c r="A114" s="2">
        <v>113.0</v>
      </c>
      <c r="B114" s="1" t="s">
        <v>405</v>
      </c>
      <c r="C114" s="1" t="s">
        <v>406</v>
      </c>
      <c r="D114" s="1" t="s">
        <v>133</v>
      </c>
      <c r="E114" s="2">
        <v>5.70038353279E11</v>
      </c>
      <c r="F114" s="1" t="s">
        <v>407</v>
      </c>
      <c r="G114" s="1" t="s">
        <v>12</v>
      </c>
      <c r="H114" s="3" t="s">
        <v>13</v>
      </c>
      <c r="I114" s="1"/>
    </row>
    <row r="115" ht="15.75" customHeight="1">
      <c r="A115" s="2">
        <v>114.0</v>
      </c>
      <c r="B115" s="1" t="s">
        <v>408</v>
      </c>
      <c r="C115" s="1" t="s">
        <v>409</v>
      </c>
      <c r="D115" s="1" t="s">
        <v>335</v>
      </c>
      <c r="E115" s="2">
        <v>5.7003835328E11</v>
      </c>
      <c r="F115" s="1" t="s">
        <v>410</v>
      </c>
      <c r="G115" s="1" t="s">
        <v>12</v>
      </c>
      <c r="H115" s="3" t="s">
        <v>13</v>
      </c>
      <c r="I115" s="1"/>
    </row>
    <row r="116" ht="15.75" customHeight="1">
      <c r="A116" s="2">
        <v>115.0</v>
      </c>
      <c r="B116" s="1" t="s">
        <v>324</v>
      </c>
      <c r="C116" s="1" t="s">
        <v>411</v>
      </c>
      <c r="D116" s="1" t="s">
        <v>133</v>
      </c>
      <c r="E116" s="2">
        <v>5.70038353283E11</v>
      </c>
      <c r="F116" s="1" t="s">
        <v>412</v>
      </c>
      <c r="G116" s="1" t="s">
        <v>12</v>
      </c>
      <c r="H116" s="3" t="s">
        <v>13</v>
      </c>
      <c r="I116" s="1"/>
    </row>
    <row r="117" ht="15.75" customHeight="1">
      <c r="A117" s="2">
        <v>116.0</v>
      </c>
      <c r="B117" s="1" t="s">
        <v>413</v>
      </c>
      <c r="C117" s="1" t="s">
        <v>414</v>
      </c>
      <c r="D117" s="1" t="s">
        <v>415</v>
      </c>
      <c r="E117" s="2">
        <v>5.70038353291E11</v>
      </c>
      <c r="F117" s="1" t="s">
        <v>416</v>
      </c>
      <c r="G117" s="1" t="s">
        <v>417</v>
      </c>
      <c r="H117" s="3" t="s">
        <v>13</v>
      </c>
      <c r="I117" s="1"/>
    </row>
    <row r="118" ht="15.75" customHeight="1">
      <c r="A118" s="2">
        <v>117.0</v>
      </c>
      <c r="B118" s="1" t="s">
        <v>418</v>
      </c>
      <c r="C118" s="1" t="s">
        <v>204</v>
      </c>
      <c r="D118" s="1" t="s">
        <v>419</v>
      </c>
      <c r="E118" s="2">
        <v>5.70038353295E11</v>
      </c>
      <c r="F118" s="1" t="s">
        <v>420</v>
      </c>
      <c r="G118" s="1" t="s">
        <v>135</v>
      </c>
      <c r="H118" s="3" t="s">
        <v>13</v>
      </c>
      <c r="I118" s="1"/>
    </row>
    <row r="119" ht="15.75" customHeight="1">
      <c r="A119" s="2">
        <v>118.0</v>
      </c>
      <c r="B119" s="1" t="s">
        <v>421</v>
      </c>
      <c r="C119" s="1" t="s">
        <v>422</v>
      </c>
      <c r="D119" s="1" t="s">
        <v>10</v>
      </c>
      <c r="E119" s="2">
        <v>5.70038353298E11</v>
      </c>
      <c r="F119" s="1" t="s">
        <v>423</v>
      </c>
      <c r="G119" s="1" t="s">
        <v>417</v>
      </c>
      <c r="H119" s="3" t="s">
        <v>13</v>
      </c>
      <c r="I119" s="1"/>
    </row>
    <row r="120" ht="15.75" customHeight="1">
      <c r="A120" s="2">
        <v>119.0</v>
      </c>
      <c r="B120" s="1" t="s">
        <v>424</v>
      </c>
      <c r="C120" s="1" t="s">
        <v>425</v>
      </c>
      <c r="D120" s="1" t="s">
        <v>60</v>
      </c>
      <c r="E120" s="2">
        <v>5.70038353299E11</v>
      </c>
      <c r="F120" s="1" t="s">
        <v>426</v>
      </c>
      <c r="G120" s="1" t="s">
        <v>12</v>
      </c>
      <c r="H120" s="3" t="s">
        <v>13</v>
      </c>
      <c r="I120" s="1"/>
    </row>
    <row r="121" ht="15.75" customHeight="1">
      <c r="A121" s="2">
        <v>120.0</v>
      </c>
      <c r="B121" s="1" t="s">
        <v>427</v>
      </c>
      <c r="C121" s="2">
        <v>2.0</v>
      </c>
      <c r="D121" s="1" t="s">
        <v>428</v>
      </c>
      <c r="E121" s="2">
        <v>5.700383533E9</v>
      </c>
      <c r="F121" s="1" t="s">
        <v>429</v>
      </c>
      <c r="G121" s="1" t="s">
        <v>430</v>
      </c>
      <c r="H121" s="1" t="s">
        <v>12</v>
      </c>
      <c r="I121" s="3" t="s">
        <v>13</v>
      </c>
    </row>
    <row r="122" ht="15.75" customHeight="1">
      <c r="A122" s="2">
        <v>121.0</v>
      </c>
      <c r="B122" s="1" t="s">
        <v>431</v>
      </c>
      <c r="C122" s="1" t="s">
        <v>432</v>
      </c>
      <c r="D122" s="1" t="s">
        <v>433</v>
      </c>
      <c r="E122" s="2">
        <v>5.70038353306E11</v>
      </c>
      <c r="F122" s="1" t="s">
        <v>434</v>
      </c>
      <c r="G122" s="1" t="s">
        <v>12</v>
      </c>
      <c r="H122" s="3" t="s">
        <v>13</v>
      </c>
      <c r="I122" s="1"/>
    </row>
    <row r="123" ht="15.75" customHeight="1">
      <c r="A123" s="2">
        <v>122.0</v>
      </c>
      <c r="B123" s="1" t="s">
        <v>40</v>
      </c>
      <c r="C123" s="1" t="s">
        <v>435</v>
      </c>
      <c r="D123" s="1" t="s">
        <v>436</v>
      </c>
      <c r="E123" s="2">
        <v>5.70038353309E11</v>
      </c>
      <c r="F123" s="1" t="s">
        <v>437</v>
      </c>
      <c r="G123" s="1" t="s">
        <v>12</v>
      </c>
      <c r="H123" s="3" t="s">
        <v>13</v>
      </c>
      <c r="I123" s="1"/>
    </row>
    <row r="124" ht="15.75" customHeight="1">
      <c r="A124" s="2">
        <v>123.0</v>
      </c>
      <c r="B124" s="1" t="s">
        <v>161</v>
      </c>
      <c r="C124" s="1" t="s">
        <v>438</v>
      </c>
      <c r="D124" s="1" t="s">
        <v>439</v>
      </c>
      <c r="E124" s="2">
        <v>5.70038353313E11</v>
      </c>
      <c r="F124" s="1" t="s">
        <v>440</v>
      </c>
      <c r="G124" s="1" t="s">
        <v>12</v>
      </c>
      <c r="H124" s="3" t="s">
        <v>13</v>
      </c>
      <c r="I124" s="1"/>
    </row>
    <row r="125" ht="15.75" customHeight="1">
      <c r="A125" s="2">
        <v>124.0</v>
      </c>
      <c r="B125" s="1" t="s">
        <v>441</v>
      </c>
      <c r="C125" s="1" t="s">
        <v>442</v>
      </c>
      <c r="D125" s="1" t="s">
        <v>443</v>
      </c>
      <c r="E125" s="2">
        <v>5.70038353314E11</v>
      </c>
      <c r="F125" s="1" t="s">
        <v>444</v>
      </c>
      <c r="G125" s="1" t="s">
        <v>12</v>
      </c>
      <c r="H125" s="3" t="s">
        <v>13</v>
      </c>
      <c r="I125" s="1"/>
    </row>
    <row r="126" ht="15.75" customHeight="1">
      <c r="A126" s="2">
        <v>125.0</v>
      </c>
      <c r="B126" s="1" t="s">
        <v>445</v>
      </c>
      <c r="C126" s="1" t="s">
        <v>446</v>
      </c>
      <c r="D126" s="1" t="s">
        <v>447</v>
      </c>
      <c r="E126" s="2">
        <v>5.70038353316E11</v>
      </c>
      <c r="F126" s="1" t="s">
        <v>448</v>
      </c>
      <c r="G126" s="1" t="s">
        <v>135</v>
      </c>
      <c r="H126" s="3" t="s">
        <v>13</v>
      </c>
      <c r="I126" s="1"/>
    </row>
    <row r="127" ht="15.75" customHeight="1">
      <c r="A127" s="2">
        <v>126.0</v>
      </c>
      <c r="B127" s="1" t="s">
        <v>447</v>
      </c>
      <c r="C127" s="1" t="s">
        <v>449</v>
      </c>
      <c r="D127" s="1" t="s">
        <v>77</v>
      </c>
      <c r="E127" s="2">
        <v>5.700383533171E12</v>
      </c>
      <c r="F127" s="1" t="s">
        <v>450</v>
      </c>
      <c r="G127" s="1" t="s">
        <v>12</v>
      </c>
      <c r="H127" s="3" t="s">
        <v>13</v>
      </c>
      <c r="I127" s="1"/>
    </row>
    <row r="128" ht="15.75" customHeight="1">
      <c r="A128" s="2">
        <v>127.0</v>
      </c>
      <c r="B128" s="1" t="s">
        <v>451</v>
      </c>
      <c r="C128" s="1" t="s">
        <v>452</v>
      </c>
      <c r="D128" s="1" t="s">
        <v>453</v>
      </c>
      <c r="E128" s="2">
        <v>5.700383533119E12</v>
      </c>
      <c r="F128" s="1" t="s">
        <v>454</v>
      </c>
      <c r="G128" s="1" t="s">
        <v>12</v>
      </c>
      <c r="H128" s="3" t="s">
        <v>13</v>
      </c>
      <c r="I128" s="1"/>
    </row>
    <row r="129" ht="15.75" customHeight="1">
      <c r="A129" s="2">
        <v>128.0</v>
      </c>
      <c r="B129" s="1" t="s">
        <v>455</v>
      </c>
      <c r="C129" s="1" t="s">
        <v>456</v>
      </c>
      <c r="D129" s="1" t="s">
        <v>457</v>
      </c>
      <c r="E129" s="2">
        <v>5.70038353321E11</v>
      </c>
      <c r="F129" s="1" t="s">
        <v>458</v>
      </c>
      <c r="G129" s="1" t="s">
        <v>12</v>
      </c>
      <c r="H129" s="3" t="s">
        <v>13</v>
      </c>
      <c r="I129" s="1"/>
    </row>
    <row r="130" ht="15.75" customHeight="1">
      <c r="A130" s="2">
        <v>129.0</v>
      </c>
      <c r="B130" s="1" t="s">
        <v>157</v>
      </c>
      <c r="C130" s="1" t="s">
        <v>459</v>
      </c>
      <c r="D130" s="1" t="s">
        <v>460</v>
      </c>
      <c r="E130" s="2">
        <v>5.70038353323E11</v>
      </c>
      <c r="F130" s="1" t="s">
        <v>461</v>
      </c>
      <c r="G130" s="1" t="s">
        <v>12</v>
      </c>
      <c r="H130" s="3" t="s">
        <v>13</v>
      </c>
      <c r="I130" s="1"/>
    </row>
    <row r="131" ht="15.75" customHeight="1">
      <c r="A131" s="2">
        <v>130.0</v>
      </c>
      <c r="B131" s="1" t="s">
        <v>462</v>
      </c>
      <c r="C131" s="1" t="s">
        <v>463</v>
      </c>
      <c r="D131" s="1" t="s">
        <v>85</v>
      </c>
      <c r="E131" s="2">
        <v>5.70038353325E11</v>
      </c>
      <c r="F131" s="1" t="s">
        <v>464</v>
      </c>
      <c r="G131" s="1" t="s">
        <v>12</v>
      </c>
      <c r="H131" s="3" t="s">
        <v>13</v>
      </c>
      <c r="I131" s="1"/>
    </row>
    <row r="132" ht="15.75" customHeight="1">
      <c r="A132" s="2">
        <v>131.0</v>
      </c>
      <c r="B132" s="1" t="s">
        <v>230</v>
      </c>
      <c r="C132" s="1" t="s">
        <v>465</v>
      </c>
      <c r="D132" s="1" t="s">
        <v>466</v>
      </c>
      <c r="E132" s="2">
        <v>5.70038353326E11</v>
      </c>
      <c r="F132" s="1" t="s">
        <v>467</v>
      </c>
      <c r="G132" s="1" t="s">
        <v>12</v>
      </c>
      <c r="H132" s="3" t="s">
        <v>13</v>
      </c>
      <c r="I132" s="1"/>
    </row>
    <row r="133" ht="15.75" customHeight="1">
      <c r="A133" s="2">
        <v>132.0</v>
      </c>
      <c r="B133" s="1" t="s">
        <v>421</v>
      </c>
      <c r="C133" s="1" t="s">
        <v>468</v>
      </c>
      <c r="D133" s="1" t="s">
        <v>469</v>
      </c>
      <c r="E133" s="2">
        <v>5.70038353328E11</v>
      </c>
      <c r="F133" s="1" t="s">
        <v>470</v>
      </c>
      <c r="G133" s="1" t="s">
        <v>12</v>
      </c>
      <c r="H133" s="3" t="s">
        <v>13</v>
      </c>
      <c r="I133" s="1"/>
    </row>
    <row r="134" ht="15.75" customHeight="1">
      <c r="A134" s="2">
        <v>133.0</v>
      </c>
      <c r="B134" s="1" t="s">
        <v>471</v>
      </c>
      <c r="C134" s="1" t="s">
        <v>472</v>
      </c>
      <c r="D134" s="1" t="s">
        <v>473</v>
      </c>
      <c r="E134" s="2">
        <v>5.7003835333E11</v>
      </c>
      <c r="F134" s="1" t="s">
        <v>474</v>
      </c>
      <c r="G134" s="1" t="s">
        <v>12</v>
      </c>
      <c r="H134" s="3" t="s">
        <v>13</v>
      </c>
      <c r="I134" s="1"/>
    </row>
    <row r="135" ht="15.75" customHeight="1">
      <c r="A135" s="2">
        <v>134.0</v>
      </c>
      <c r="B135" s="1" t="s">
        <v>475</v>
      </c>
      <c r="C135" s="1" t="s">
        <v>476</v>
      </c>
      <c r="D135" s="1" t="s">
        <v>477</v>
      </c>
      <c r="E135" s="2">
        <v>5.70038353331E11</v>
      </c>
      <c r="F135" s="1" t="s">
        <v>478</v>
      </c>
      <c r="G135" s="1" t="s">
        <v>12</v>
      </c>
      <c r="H135" s="3" t="s">
        <v>13</v>
      </c>
      <c r="I135" s="1"/>
    </row>
    <row r="136" ht="15.75" customHeight="1">
      <c r="A136" s="2">
        <v>135.0</v>
      </c>
      <c r="B136" s="1" t="s">
        <v>479</v>
      </c>
      <c r="C136" s="1" t="s">
        <v>480</v>
      </c>
      <c r="D136" s="1" t="s">
        <v>297</v>
      </c>
      <c r="E136" s="2">
        <v>5.70038353334E11</v>
      </c>
      <c r="F136" s="1" t="s">
        <v>481</v>
      </c>
      <c r="G136" s="1" t="s">
        <v>12</v>
      </c>
      <c r="H136" s="3" t="s">
        <v>13</v>
      </c>
      <c r="I136" s="1"/>
    </row>
    <row r="137" ht="15.75" customHeight="1">
      <c r="A137" s="2">
        <v>136.0</v>
      </c>
      <c r="B137" s="1" t="s">
        <v>482</v>
      </c>
      <c r="C137" s="1" t="s">
        <v>483</v>
      </c>
      <c r="D137" s="1" t="s">
        <v>484</v>
      </c>
      <c r="E137" s="2">
        <v>5.70038353355E11</v>
      </c>
      <c r="F137" s="1" t="s">
        <v>485</v>
      </c>
      <c r="G137" s="1" t="s">
        <v>12</v>
      </c>
      <c r="H137" s="3" t="s">
        <v>13</v>
      </c>
      <c r="I137" s="1"/>
    </row>
    <row r="138" ht="15.75" customHeight="1">
      <c r="A138" s="2">
        <v>137.0</v>
      </c>
      <c r="B138" s="1" t="s">
        <v>486</v>
      </c>
      <c r="C138" s="1" t="s">
        <v>487</v>
      </c>
      <c r="D138" s="1" t="s">
        <v>488</v>
      </c>
      <c r="E138" s="2">
        <v>5.70038353357E11</v>
      </c>
      <c r="F138" s="1" t="s">
        <v>489</v>
      </c>
      <c r="G138" s="1" t="s">
        <v>12</v>
      </c>
      <c r="H138" s="3" t="s">
        <v>13</v>
      </c>
      <c r="I138" s="1"/>
    </row>
    <row r="139" ht="15.75" customHeight="1">
      <c r="A139" s="2">
        <v>138.0</v>
      </c>
      <c r="B139" s="1" t="s">
        <v>490</v>
      </c>
      <c r="C139" s="1" t="s">
        <v>491</v>
      </c>
      <c r="D139" s="1" t="s">
        <v>492</v>
      </c>
      <c r="E139" s="2">
        <v>5.7003835338E11</v>
      </c>
      <c r="F139" s="1" t="s">
        <v>493</v>
      </c>
      <c r="G139" s="1" t="s">
        <v>12</v>
      </c>
      <c r="H139" s="3" t="s">
        <v>13</v>
      </c>
      <c r="I139" s="1"/>
    </row>
    <row r="140" ht="15.75" customHeight="1">
      <c r="A140" s="2">
        <v>139.0</v>
      </c>
      <c r="B140" s="1" t="s">
        <v>494</v>
      </c>
      <c r="C140" s="1" t="s">
        <v>495</v>
      </c>
      <c r="D140" s="1" t="s">
        <v>496</v>
      </c>
      <c r="E140" s="2">
        <v>5.70038353342E11</v>
      </c>
      <c r="F140" s="1" t="s">
        <v>497</v>
      </c>
      <c r="G140" s="1" t="s">
        <v>12</v>
      </c>
      <c r="H140" s="3" t="s">
        <v>13</v>
      </c>
      <c r="I140" s="1"/>
    </row>
    <row r="141" ht="15.75" customHeight="1">
      <c r="A141" s="2">
        <v>140.0</v>
      </c>
      <c r="B141" s="1" t="s">
        <v>498</v>
      </c>
      <c r="C141" s="1" t="s">
        <v>499</v>
      </c>
      <c r="D141" s="1" t="s">
        <v>500</v>
      </c>
      <c r="E141" s="2">
        <v>5.70038353345E11</v>
      </c>
      <c r="F141" s="1" t="s">
        <v>501</v>
      </c>
      <c r="G141" s="1" t="s">
        <v>502</v>
      </c>
      <c r="H141" s="3" t="s">
        <v>13</v>
      </c>
      <c r="I141" s="1"/>
    </row>
    <row r="142" ht="15.75" customHeight="1">
      <c r="A142" s="2">
        <v>141.0</v>
      </c>
      <c r="B142" s="1" t="s">
        <v>503</v>
      </c>
      <c r="C142" s="1" t="s">
        <v>504</v>
      </c>
      <c r="D142" s="1" t="s">
        <v>14</v>
      </c>
      <c r="E142" s="2">
        <v>5.70038353346E11</v>
      </c>
      <c r="F142" s="1" t="s">
        <v>505</v>
      </c>
      <c r="G142" s="1" t="s">
        <v>12</v>
      </c>
      <c r="H142" s="3" t="s">
        <v>13</v>
      </c>
      <c r="I142" s="1"/>
    </row>
    <row r="143" ht="15.75" customHeight="1">
      <c r="A143" s="2">
        <v>142.0</v>
      </c>
      <c r="B143" s="1" t="s">
        <v>168</v>
      </c>
      <c r="C143" s="1" t="s">
        <v>506</v>
      </c>
      <c r="D143" s="1" t="s">
        <v>267</v>
      </c>
      <c r="E143" s="2">
        <v>5.70038353353E11</v>
      </c>
      <c r="F143" s="1" t="s">
        <v>507</v>
      </c>
      <c r="G143" s="1" t="s">
        <v>12</v>
      </c>
      <c r="H143" s="3" t="s">
        <v>13</v>
      </c>
      <c r="I143" s="1"/>
    </row>
    <row r="144" ht="15.75" customHeight="1">
      <c r="A144" s="2">
        <v>143.0</v>
      </c>
      <c r="B144" s="1" t="s">
        <v>508</v>
      </c>
      <c r="C144" s="1" t="s">
        <v>509</v>
      </c>
      <c r="D144" s="1" t="s">
        <v>510</v>
      </c>
      <c r="E144" s="2">
        <v>5.70038353355E11</v>
      </c>
      <c r="F144" s="1" t="s">
        <v>511</v>
      </c>
      <c r="G144" s="1" t="s">
        <v>12</v>
      </c>
      <c r="H144" s="3" t="s">
        <v>13</v>
      </c>
      <c r="I144" s="1"/>
    </row>
    <row r="145" ht="15.75" customHeight="1">
      <c r="A145" s="2">
        <v>144.0</v>
      </c>
      <c r="B145" s="1" t="s">
        <v>384</v>
      </c>
      <c r="C145" s="1" t="s">
        <v>512</v>
      </c>
      <c r="D145" s="1" t="s">
        <v>513</v>
      </c>
      <c r="E145" s="2">
        <v>5.70038353357E11</v>
      </c>
      <c r="F145" s="1" t="s">
        <v>514</v>
      </c>
      <c r="G145" s="1" t="s">
        <v>12</v>
      </c>
      <c r="H145" s="3" t="s">
        <v>13</v>
      </c>
      <c r="I145" s="1"/>
    </row>
    <row r="146" ht="15.75" customHeight="1">
      <c r="A146" s="2">
        <v>145.0</v>
      </c>
      <c r="B146" s="1" t="s">
        <v>515</v>
      </c>
      <c r="C146" s="1" t="s">
        <v>516</v>
      </c>
      <c r="D146" s="1" t="s">
        <v>486</v>
      </c>
      <c r="E146" s="2">
        <v>5.70038353358E11</v>
      </c>
      <c r="F146" s="1" t="s">
        <v>517</v>
      </c>
      <c r="G146" s="1" t="s">
        <v>12</v>
      </c>
      <c r="H146" s="3" t="s">
        <v>13</v>
      </c>
      <c r="I146" s="1"/>
    </row>
    <row r="147" ht="15.75" customHeight="1">
      <c r="A147" s="2">
        <v>146.0</v>
      </c>
      <c r="B147" s="1" t="s">
        <v>52</v>
      </c>
      <c r="C147" s="1" t="s">
        <v>518</v>
      </c>
      <c r="D147" s="1" t="s">
        <v>519</v>
      </c>
      <c r="E147" s="2">
        <v>5.70038353361E11</v>
      </c>
      <c r="F147" s="1" t="s">
        <v>520</v>
      </c>
      <c r="G147" s="1" t="s">
        <v>12</v>
      </c>
      <c r="H147" s="3" t="s">
        <v>13</v>
      </c>
      <c r="I147" s="1"/>
    </row>
    <row r="148" ht="15.75" customHeight="1">
      <c r="A148" s="2">
        <v>147.0</v>
      </c>
      <c r="B148" s="1" t="s">
        <v>521</v>
      </c>
      <c r="C148" s="1" t="s">
        <v>522</v>
      </c>
      <c r="D148" s="1" t="s">
        <v>523</v>
      </c>
      <c r="E148" s="2">
        <v>5.70038353363E11</v>
      </c>
      <c r="F148" s="1" t="s">
        <v>524</v>
      </c>
      <c r="G148" s="1" t="s">
        <v>12</v>
      </c>
      <c r="H148" s="3" t="s">
        <v>13</v>
      </c>
      <c r="I148" s="1"/>
    </row>
    <row r="149" ht="15.75" customHeight="1">
      <c r="A149" s="2">
        <v>148.0</v>
      </c>
      <c r="B149" s="1" t="s">
        <v>85</v>
      </c>
      <c r="C149" s="1" t="s">
        <v>525</v>
      </c>
      <c r="D149" s="1" t="s">
        <v>526</v>
      </c>
      <c r="E149" s="2">
        <v>5.70038353365E11</v>
      </c>
      <c r="F149" s="1" t="s">
        <v>527</v>
      </c>
      <c r="G149" s="1" t="s">
        <v>12</v>
      </c>
      <c r="H149" s="3" t="s">
        <v>13</v>
      </c>
      <c r="I149" s="1"/>
    </row>
    <row r="150" ht="15.75" customHeight="1">
      <c r="A150" s="2">
        <v>149.0</v>
      </c>
      <c r="B150" s="1" t="s">
        <v>161</v>
      </c>
      <c r="C150" s="1" t="s">
        <v>528</v>
      </c>
      <c r="D150" s="1" t="s">
        <v>168</v>
      </c>
      <c r="E150" s="2">
        <v>5.70038353368E11</v>
      </c>
      <c r="F150" s="1" t="s">
        <v>529</v>
      </c>
      <c r="G150" s="1" t="s">
        <v>12</v>
      </c>
      <c r="H150" s="3" t="s">
        <v>13</v>
      </c>
      <c r="I150" s="1"/>
    </row>
    <row r="151" ht="15.75" customHeight="1">
      <c r="A151" s="2">
        <v>150.0</v>
      </c>
      <c r="B151" s="1" t="s">
        <v>168</v>
      </c>
      <c r="C151" s="1" t="s">
        <v>530</v>
      </c>
      <c r="D151" s="1" t="s">
        <v>230</v>
      </c>
      <c r="E151" s="2">
        <v>5.7003835337E11</v>
      </c>
      <c r="F151" s="1" t="s">
        <v>531</v>
      </c>
      <c r="G151" s="1" t="s">
        <v>12</v>
      </c>
      <c r="H151" s="3" t="s">
        <v>13</v>
      </c>
      <c r="I151" s="1"/>
    </row>
    <row r="152" ht="15.75" customHeight="1">
      <c r="A152" s="2">
        <v>151.0</v>
      </c>
      <c r="B152" s="1" t="s">
        <v>532</v>
      </c>
      <c r="C152" s="1" t="s">
        <v>533</v>
      </c>
      <c r="D152" s="1" t="s">
        <v>534</v>
      </c>
      <c r="E152" s="2">
        <v>5.70038353372E11</v>
      </c>
      <c r="F152" s="1" t="s">
        <v>535</v>
      </c>
      <c r="G152" s="1" t="s">
        <v>12</v>
      </c>
      <c r="H152" s="3" t="s">
        <v>13</v>
      </c>
      <c r="I152" s="1"/>
    </row>
    <row r="153" ht="15.75" customHeight="1">
      <c r="A153" s="2">
        <v>152.0</v>
      </c>
      <c r="B153" s="1" t="s">
        <v>297</v>
      </c>
      <c r="C153" s="1" t="s">
        <v>536</v>
      </c>
      <c r="D153" s="1" t="s">
        <v>77</v>
      </c>
      <c r="E153" s="2">
        <v>5.70038353374E11</v>
      </c>
      <c r="F153" s="1" t="s">
        <v>537</v>
      </c>
      <c r="G153" s="1" t="s">
        <v>12</v>
      </c>
      <c r="H153" s="3" t="s">
        <v>13</v>
      </c>
      <c r="I153" s="1"/>
    </row>
    <row r="154" ht="15.75" customHeight="1">
      <c r="A154" s="2">
        <v>153.0</v>
      </c>
      <c r="B154" s="1" t="s">
        <v>42</v>
      </c>
      <c r="C154" s="1" t="s">
        <v>538</v>
      </c>
      <c r="D154" s="1" t="s">
        <v>48</v>
      </c>
      <c r="E154" s="2">
        <v>5.70038353376E11</v>
      </c>
      <c r="F154" s="1" t="s">
        <v>539</v>
      </c>
      <c r="G154" s="1" t="s">
        <v>12</v>
      </c>
      <c r="H154" s="3" t="s">
        <v>13</v>
      </c>
      <c r="I154" s="1"/>
    </row>
    <row r="155" ht="15.75" customHeight="1">
      <c r="A155" s="2">
        <v>154.0</v>
      </c>
      <c r="B155" s="1" t="s">
        <v>540</v>
      </c>
      <c r="C155" s="1" t="s">
        <v>404</v>
      </c>
      <c r="D155" s="1" t="s">
        <v>297</v>
      </c>
      <c r="E155" s="2">
        <v>5.70038353377E11</v>
      </c>
      <c r="F155" s="1" t="s">
        <v>541</v>
      </c>
      <c r="G155" s="1" t="s">
        <v>12</v>
      </c>
      <c r="H155" s="3" t="s">
        <v>13</v>
      </c>
      <c r="I155" s="1"/>
    </row>
    <row r="156" ht="15.75" customHeight="1">
      <c r="A156" s="2">
        <v>155.0</v>
      </c>
      <c r="B156" s="1" t="s">
        <v>40</v>
      </c>
      <c r="C156" s="1" t="s">
        <v>542</v>
      </c>
      <c r="D156" s="1" t="s">
        <v>543</v>
      </c>
      <c r="E156" s="2">
        <v>5.7003835338E11</v>
      </c>
      <c r="F156" s="1" t="s">
        <v>544</v>
      </c>
      <c r="G156" s="1" t="s">
        <v>12</v>
      </c>
      <c r="H156" s="3" t="s">
        <v>13</v>
      </c>
      <c r="I156" s="1"/>
    </row>
    <row r="157" ht="15.75" customHeight="1">
      <c r="A157" s="2">
        <v>156.0</v>
      </c>
      <c r="B157" s="1" t="s">
        <v>545</v>
      </c>
      <c r="C157" s="1" t="s">
        <v>546</v>
      </c>
      <c r="D157" s="1" t="s">
        <v>547</v>
      </c>
      <c r="E157" s="2">
        <v>5.70038353382E11</v>
      </c>
      <c r="F157" s="1" t="s">
        <v>374</v>
      </c>
      <c r="G157" s="1" t="s">
        <v>12</v>
      </c>
      <c r="H157" s="3" t="s">
        <v>13</v>
      </c>
      <c r="I157" s="1"/>
    </row>
    <row r="158" ht="15.75" customHeight="1">
      <c r="A158" s="2">
        <v>157.0</v>
      </c>
      <c r="B158" s="1" t="s">
        <v>548</v>
      </c>
      <c r="C158" s="1" t="s">
        <v>369</v>
      </c>
      <c r="D158" s="1" t="s">
        <v>545</v>
      </c>
      <c r="E158" s="2">
        <v>5.70038353383E11</v>
      </c>
      <c r="F158" s="1" t="s">
        <v>549</v>
      </c>
      <c r="G158" s="1" t="s">
        <v>12</v>
      </c>
      <c r="H158" s="3" t="s">
        <v>13</v>
      </c>
      <c r="I158" s="1"/>
    </row>
    <row r="159" ht="15.75" customHeight="1">
      <c r="A159" s="2">
        <v>158.0</v>
      </c>
      <c r="B159" s="1" t="s">
        <v>550</v>
      </c>
      <c r="C159" s="1" t="s">
        <v>551</v>
      </c>
      <c r="D159" s="1" t="s">
        <v>552</v>
      </c>
      <c r="E159" s="2">
        <v>5.70038353385E11</v>
      </c>
      <c r="F159" s="1" t="s">
        <v>553</v>
      </c>
      <c r="G159" s="1" t="s">
        <v>12</v>
      </c>
      <c r="H159" s="3" t="s">
        <v>13</v>
      </c>
      <c r="I159" s="1"/>
    </row>
    <row r="160" ht="15.75" customHeight="1">
      <c r="A160" s="2">
        <v>159.0</v>
      </c>
      <c r="B160" s="1" t="s">
        <v>324</v>
      </c>
      <c r="C160" s="1" t="s">
        <v>554</v>
      </c>
      <c r="D160" s="1" t="s">
        <v>555</v>
      </c>
      <c r="E160" s="2">
        <v>5.70038353392E11</v>
      </c>
      <c r="F160" s="1" t="s">
        <v>556</v>
      </c>
      <c r="G160" s="1" t="s">
        <v>12</v>
      </c>
      <c r="H160" s="3" t="s">
        <v>13</v>
      </c>
      <c r="I160" s="1"/>
    </row>
    <row r="161" ht="15.75" customHeight="1">
      <c r="A161" s="2">
        <v>160.0</v>
      </c>
      <c r="B161" s="1" t="s">
        <v>557</v>
      </c>
      <c r="C161" s="1" t="s">
        <v>558</v>
      </c>
      <c r="D161" s="1" t="s">
        <v>559</v>
      </c>
      <c r="E161" s="2">
        <v>5.70038353393E11</v>
      </c>
      <c r="F161" s="1" t="s">
        <v>560</v>
      </c>
      <c r="G161" s="1" t="s">
        <v>12</v>
      </c>
      <c r="H161" s="3" t="s">
        <v>13</v>
      </c>
      <c r="I161" s="1"/>
    </row>
    <row r="162" ht="15.75" customHeight="1">
      <c r="A162" s="2">
        <v>161.0</v>
      </c>
      <c r="B162" s="1" t="s">
        <v>362</v>
      </c>
      <c r="C162" s="1" t="s">
        <v>229</v>
      </c>
      <c r="D162" s="1" t="s">
        <v>513</v>
      </c>
      <c r="E162" s="2">
        <v>5.70038353394E11</v>
      </c>
      <c r="F162" s="1" t="s">
        <v>561</v>
      </c>
      <c r="G162" s="1" t="s">
        <v>12</v>
      </c>
      <c r="H162" s="3" t="s">
        <v>13</v>
      </c>
      <c r="I162" s="1"/>
    </row>
    <row r="163" ht="15.75" customHeight="1">
      <c r="A163" s="2">
        <v>162.0</v>
      </c>
      <c r="B163" s="1" t="s">
        <v>562</v>
      </c>
      <c r="C163" s="1" t="s">
        <v>563</v>
      </c>
      <c r="D163" s="1" t="s">
        <v>564</v>
      </c>
      <c r="E163" s="2">
        <v>5.70038353395E11</v>
      </c>
      <c r="F163" s="1" t="s">
        <v>565</v>
      </c>
      <c r="G163" s="1" t="s">
        <v>12</v>
      </c>
      <c r="H163" s="3" t="s">
        <v>13</v>
      </c>
      <c r="I163" s="1"/>
    </row>
    <row r="164" ht="15.75" customHeight="1">
      <c r="A164" s="2">
        <v>163.0</v>
      </c>
      <c r="B164" s="1" t="s">
        <v>566</v>
      </c>
      <c r="C164" s="1" t="s">
        <v>438</v>
      </c>
      <c r="D164" s="1" t="s">
        <v>26</v>
      </c>
      <c r="E164" s="2">
        <v>5.70038353397E11</v>
      </c>
      <c r="F164" s="1" t="s">
        <v>567</v>
      </c>
      <c r="G164" s="1" t="s">
        <v>12</v>
      </c>
      <c r="H164" s="3" t="s">
        <v>13</v>
      </c>
      <c r="I164" s="1"/>
    </row>
    <row r="165" ht="15.75" customHeight="1">
      <c r="A165" s="2">
        <v>164.0</v>
      </c>
      <c r="B165" s="1" t="s">
        <v>60</v>
      </c>
      <c r="C165" s="1" t="s">
        <v>568</v>
      </c>
      <c r="D165" s="1" t="s">
        <v>569</v>
      </c>
      <c r="E165" s="2">
        <v>5.70038353398E11</v>
      </c>
      <c r="F165" s="1" t="s">
        <v>570</v>
      </c>
      <c r="G165" s="1" t="s">
        <v>12</v>
      </c>
      <c r="H165" s="3" t="s">
        <v>13</v>
      </c>
      <c r="I165" s="1"/>
    </row>
    <row r="166" ht="15.75" customHeight="1">
      <c r="A166" s="2">
        <v>165.0</v>
      </c>
      <c r="B166" s="1" t="s">
        <v>571</v>
      </c>
      <c r="C166" s="1" t="s">
        <v>140</v>
      </c>
      <c r="D166" s="1" t="s">
        <v>362</v>
      </c>
      <c r="E166" s="2">
        <v>5.70038353399E11</v>
      </c>
      <c r="F166" s="1" t="s">
        <v>572</v>
      </c>
      <c r="G166" s="1" t="s">
        <v>12</v>
      </c>
      <c r="H166" s="3" t="s">
        <v>13</v>
      </c>
      <c r="I166" s="1"/>
    </row>
    <row r="167" ht="15.75" customHeight="1">
      <c r="A167" s="2">
        <v>166.0</v>
      </c>
      <c r="B167" s="1" t="s">
        <v>573</v>
      </c>
      <c r="C167" s="1" t="s">
        <v>574</v>
      </c>
      <c r="D167" s="1" t="s">
        <v>346</v>
      </c>
      <c r="E167" s="2">
        <v>5.70038353401E11</v>
      </c>
      <c r="F167" s="1" t="s">
        <v>575</v>
      </c>
      <c r="G167" s="1" t="s">
        <v>12</v>
      </c>
      <c r="H167" s="3" t="s">
        <v>13</v>
      </c>
      <c r="I167" s="1"/>
    </row>
    <row r="168" ht="15.75" customHeight="1">
      <c r="A168" s="2">
        <v>167.0</v>
      </c>
      <c r="B168" s="1" t="s">
        <v>510</v>
      </c>
      <c r="C168" s="1" t="s">
        <v>576</v>
      </c>
      <c r="D168" s="1" t="s">
        <v>577</v>
      </c>
      <c r="E168" s="2">
        <v>5.70038353404E11</v>
      </c>
      <c r="F168" s="1" t="s">
        <v>578</v>
      </c>
      <c r="G168" s="1" t="s">
        <v>12</v>
      </c>
      <c r="H168" s="3" t="s">
        <v>13</v>
      </c>
      <c r="I168" s="1"/>
    </row>
    <row r="169" ht="15.75" customHeight="1">
      <c r="A169" s="2">
        <v>168.0</v>
      </c>
      <c r="B169" s="1" t="s">
        <v>579</v>
      </c>
      <c r="C169" s="1" t="s">
        <v>580</v>
      </c>
      <c r="D169" s="1" t="s">
        <v>421</v>
      </c>
      <c r="E169" s="2">
        <v>5.70038353406E11</v>
      </c>
      <c r="F169" s="1" t="s">
        <v>581</v>
      </c>
      <c r="G169" s="1" t="s">
        <v>12</v>
      </c>
      <c r="H169" s="3" t="s">
        <v>13</v>
      </c>
      <c r="I169" s="1"/>
    </row>
    <row r="170" ht="15.75" customHeight="1">
      <c r="A170" s="2">
        <v>169.0</v>
      </c>
      <c r="B170" s="1" t="s">
        <v>582</v>
      </c>
      <c r="C170" s="1" t="s">
        <v>204</v>
      </c>
      <c r="D170" s="1" t="s">
        <v>583</v>
      </c>
      <c r="E170" s="2">
        <v>5.70038353409E11</v>
      </c>
      <c r="F170" s="1" t="s">
        <v>584</v>
      </c>
      <c r="G170" s="1" t="s">
        <v>12</v>
      </c>
      <c r="H170" s="3" t="s">
        <v>13</v>
      </c>
      <c r="I170" s="1"/>
    </row>
    <row r="171" ht="15.75" customHeight="1">
      <c r="A171" s="2">
        <v>170.0</v>
      </c>
      <c r="B171" s="1" t="s">
        <v>585</v>
      </c>
      <c r="C171" s="1" t="s">
        <v>586</v>
      </c>
      <c r="D171" s="1" t="s">
        <v>58</v>
      </c>
      <c r="E171" s="2">
        <v>5.70038353411E11</v>
      </c>
      <c r="F171" s="1" t="s">
        <v>587</v>
      </c>
      <c r="G171" s="1" t="s">
        <v>12</v>
      </c>
      <c r="H171" s="3" t="s">
        <v>13</v>
      </c>
      <c r="I171" s="1"/>
    </row>
    <row r="172" ht="15.75" customHeight="1">
      <c r="A172" s="2">
        <v>171.0</v>
      </c>
      <c r="B172" s="1" t="s">
        <v>588</v>
      </c>
      <c r="C172" s="1" t="s">
        <v>589</v>
      </c>
      <c r="D172" s="1" t="s">
        <v>590</v>
      </c>
      <c r="E172" s="2">
        <v>5.7003835343E10</v>
      </c>
      <c r="F172" s="1" t="s">
        <v>591</v>
      </c>
      <c r="G172" s="1" t="s">
        <v>12</v>
      </c>
      <c r="H172" s="3" t="s">
        <v>13</v>
      </c>
      <c r="I172" s="1"/>
    </row>
    <row r="173" ht="15.75" customHeight="1">
      <c r="A173" s="2">
        <v>172.0</v>
      </c>
      <c r="B173" s="1" t="s">
        <v>592</v>
      </c>
      <c r="C173" s="1" t="s">
        <v>593</v>
      </c>
      <c r="D173" s="1" t="s">
        <v>594</v>
      </c>
      <c r="E173" s="2">
        <v>5.70038353415E11</v>
      </c>
      <c r="F173" s="1" t="s">
        <v>595</v>
      </c>
      <c r="G173" s="1" t="s">
        <v>12</v>
      </c>
      <c r="H173" s="3" t="s">
        <v>13</v>
      </c>
      <c r="I173" s="1"/>
    </row>
    <row r="174" ht="15.75" customHeight="1">
      <c r="A174" s="2">
        <v>173.0</v>
      </c>
      <c r="B174" s="1" t="s">
        <v>596</v>
      </c>
      <c r="C174" s="1" t="s">
        <v>597</v>
      </c>
      <c r="D174" s="1" t="s">
        <v>58</v>
      </c>
      <c r="E174" s="2">
        <v>5.70038353417E11</v>
      </c>
      <c r="F174" s="1" t="s">
        <v>598</v>
      </c>
      <c r="G174" s="1" t="s">
        <v>12</v>
      </c>
      <c r="H174" s="3" t="s">
        <v>13</v>
      </c>
      <c r="I174" s="1"/>
    </row>
    <row r="175" ht="15.75" customHeight="1">
      <c r="A175" s="2">
        <v>174.0</v>
      </c>
      <c r="B175" s="1" t="s">
        <v>421</v>
      </c>
      <c r="C175" s="1" t="s">
        <v>599</v>
      </c>
      <c r="D175" s="1" t="s">
        <v>600</v>
      </c>
      <c r="E175" s="2">
        <v>5.70038353421E11</v>
      </c>
      <c r="F175" s="1" t="s">
        <v>601</v>
      </c>
      <c r="G175" s="1" t="s">
        <v>12</v>
      </c>
      <c r="H175" s="3" t="s">
        <v>13</v>
      </c>
      <c r="I175" s="1"/>
    </row>
    <row r="176" ht="15.75" customHeight="1">
      <c r="A176" s="2">
        <v>175.0</v>
      </c>
      <c r="B176" s="1" t="s">
        <v>513</v>
      </c>
      <c r="C176" s="1" t="s">
        <v>602</v>
      </c>
      <c r="D176" s="1" t="s">
        <v>603</v>
      </c>
      <c r="E176" s="2">
        <v>5.70038353422E11</v>
      </c>
      <c r="F176" s="1" t="s">
        <v>604</v>
      </c>
      <c r="G176" s="1" t="s">
        <v>12</v>
      </c>
      <c r="H176" s="3" t="s">
        <v>13</v>
      </c>
      <c r="I176" s="1"/>
    </row>
    <row r="177" ht="15.75" customHeight="1">
      <c r="A177" s="2">
        <v>176.0</v>
      </c>
      <c r="B177" s="1" t="s">
        <v>605</v>
      </c>
      <c r="C177" s="1" t="s">
        <v>606</v>
      </c>
      <c r="D177" s="1" t="s">
        <v>607</v>
      </c>
      <c r="E177" s="2">
        <v>5.70038353424E11</v>
      </c>
      <c r="F177" s="1" t="s">
        <v>514</v>
      </c>
      <c r="G177" s="1" t="s">
        <v>12</v>
      </c>
      <c r="H177" s="3" t="s">
        <v>13</v>
      </c>
      <c r="I177" s="1"/>
    </row>
    <row r="178" ht="15.75" customHeight="1">
      <c r="A178" s="2">
        <v>177.0</v>
      </c>
      <c r="B178" s="1" t="s">
        <v>608</v>
      </c>
      <c r="C178" s="1" t="s">
        <v>602</v>
      </c>
      <c r="D178" s="1" t="s">
        <v>609</v>
      </c>
      <c r="E178" s="2">
        <v>5.70038353425E11</v>
      </c>
      <c r="F178" s="1" t="s">
        <v>610</v>
      </c>
      <c r="G178" s="1" t="s">
        <v>12</v>
      </c>
      <c r="H178" s="3" t="s">
        <v>13</v>
      </c>
      <c r="I178" s="1"/>
    </row>
    <row r="179" ht="15.75" customHeight="1">
      <c r="A179" s="2">
        <v>178.0</v>
      </c>
      <c r="B179" s="1" t="s">
        <v>611</v>
      </c>
      <c r="C179" s="1" t="s">
        <v>612</v>
      </c>
      <c r="D179" s="1" t="s">
        <v>85</v>
      </c>
      <c r="E179" s="2">
        <v>5.70038353427E11</v>
      </c>
      <c r="F179" s="1" t="s">
        <v>613</v>
      </c>
      <c r="G179" s="1" t="s">
        <v>12</v>
      </c>
      <c r="H179" s="3" t="s">
        <v>13</v>
      </c>
      <c r="I179" s="1"/>
    </row>
    <row r="180" ht="15.75" customHeight="1">
      <c r="A180" s="2">
        <v>179.0</v>
      </c>
      <c r="B180" s="1" t="s">
        <v>455</v>
      </c>
      <c r="C180" s="1" t="s">
        <v>614</v>
      </c>
      <c r="D180" s="1" t="s">
        <v>615</v>
      </c>
      <c r="E180" s="2">
        <v>5.70038353429E11</v>
      </c>
      <c r="F180" s="1" t="s">
        <v>616</v>
      </c>
      <c r="G180" s="1" t="s">
        <v>12</v>
      </c>
      <c r="H180" s="3" t="s">
        <v>13</v>
      </c>
      <c r="I180" s="1"/>
    </row>
    <row r="181" ht="15.75" customHeight="1">
      <c r="A181" s="2">
        <v>180.0</v>
      </c>
      <c r="B181" s="1" t="s">
        <v>513</v>
      </c>
      <c r="C181" s="1" t="s">
        <v>617</v>
      </c>
      <c r="D181" s="1" t="s">
        <v>618</v>
      </c>
      <c r="E181" s="2">
        <v>5.70038353432E11</v>
      </c>
      <c r="F181" s="1" t="s">
        <v>619</v>
      </c>
      <c r="G181" s="1" t="s">
        <v>12</v>
      </c>
      <c r="H181" s="3" t="s">
        <v>13</v>
      </c>
      <c r="I181" s="1"/>
    </row>
    <row r="182" ht="15.75" customHeight="1">
      <c r="A182" s="2">
        <v>181.0</v>
      </c>
      <c r="B182" s="1" t="s">
        <v>335</v>
      </c>
      <c r="C182" s="1" t="s">
        <v>620</v>
      </c>
      <c r="D182" s="1" t="s">
        <v>621</v>
      </c>
      <c r="E182" s="2">
        <v>5.70038353434E11</v>
      </c>
      <c r="F182" s="1" t="s">
        <v>622</v>
      </c>
      <c r="G182" s="1" t="s">
        <v>12</v>
      </c>
      <c r="H182" s="3" t="s">
        <v>13</v>
      </c>
      <c r="I182" s="1"/>
    </row>
    <row r="183" ht="15.75" customHeight="1">
      <c r="A183" s="2">
        <v>182.0</v>
      </c>
      <c r="B183" s="1" t="s">
        <v>623</v>
      </c>
      <c r="C183" s="1" t="s">
        <v>624</v>
      </c>
      <c r="D183" s="1" t="s">
        <v>625</v>
      </c>
      <c r="E183" s="2">
        <v>5.70038353436E11</v>
      </c>
      <c r="F183" s="1" t="s">
        <v>626</v>
      </c>
      <c r="G183" s="1" t="s">
        <v>12</v>
      </c>
      <c r="H183" s="3" t="s">
        <v>13</v>
      </c>
      <c r="I183" s="1"/>
    </row>
    <row r="184" ht="15.75" customHeight="1">
      <c r="A184" s="2">
        <v>183.0</v>
      </c>
      <c r="B184" s="1" t="s">
        <v>627</v>
      </c>
      <c r="C184" s="1" t="s">
        <v>628</v>
      </c>
      <c r="D184" s="1" t="s">
        <v>629</v>
      </c>
      <c r="E184" s="2">
        <v>5.70038353442E11</v>
      </c>
      <c r="F184" s="1" t="s">
        <v>630</v>
      </c>
      <c r="G184" s="1" t="s">
        <v>12</v>
      </c>
      <c r="H184" s="3" t="s">
        <v>13</v>
      </c>
      <c r="I184" s="1"/>
    </row>
    <row r="185" ht="15.75" customHeight="1">
      <c r="A185" s="2">
        <v>184.0</v>
      </c>
      <c r="B185" s="1" t="s">
        <v>161</v>
      </c>
      <c r="C185" s="1" t="s">
        <v>631</v>
      </c>
      <c r="D185" s="1" t="s">
        <v>77</v>
      </c>
      <c r="E185" s="2">
        <v>5.70038353449E11</v>
      </c>
      <c r="F185" s="1" t="s">
        <v>632</v>
      </c>
      <c r="G185" s="1" t="s">
        <v>12</v>
      </c>
      <c r="H185" s="3" t="s">
        <v>13</v>
      </c>
      <c r="I185" s="1"/>
    </row>
    <row r="186" ht="15.75" customHeight="1">
      <c r="A186" s="2">
        <v>185.0</v>
      </c>
      <c r="B186" s="1" t="s">
        <v>172</v>
      </c>
      <c r="C186" s="1" t="s">
        <v>633</v>
      </c>
      <c r="D186" s="1" t="s">
        <v>634</v>
      </c>
      <c r="E186" s="2">
        <v>5.7003835345E11</v>
      </c>
      <c r="F186" s="1" t="s">
        <v>635</v>
      </c>
      <c r="G186" s="1" t="s">
        <v>12</v>
      </c>
      <c r="H186" s="3" t="s">
        <v>13</v>
      </c>
      <c r="I186" s="1"/>
    </row>
    <row r="187" ht="15.75" customHeight="1">
      <c r="A187" s="2">
        <v>186.0</v>
      </c>
      <c r="B187" s="1" t="s">
        <v>636</v>
      </c>
      <c r="C187" s="1" t="s">
        <v>637</v>
      </c>
      <c r="D187" s="1" t="s">
        <v>58</v>
      </c>
      <c r="E187" s="2">
        <v>5.70038353452E11</v>
      </c>
      <c r="F187" s="1" t="s">
        <v>638</v>
      </c>
      <c r="G187" s="1" t="s">
        <v>12</v>
      </c>
      <c r="H187" s="3" t="s">
        <v>13</v>
      </c>
      <c r="I187" s="1"/>
    </row>
    <row r="188" ht="15.75" customHeight="1">
      <c r="A188" s="2">
        <v>187.0</v>
      </c>
      <c r="B188" s="1" t="s">
        <v>10</v>
      </c>
      <c r="C188" s="1" t="s">
        <v>639</v>
      </c>
      <c r="D188" s="1" t="s">
        <v>77</v>
      </c>
      <c r="E188" s="2">
        <v>5.70038353455E11</v>
      </c>
      <c r="F188" s="1" t="s">
        <v>640</v>
      </c>
      <c r="G188" s="1" t="s">
        <v>12</v>
      </c>
      <c r="H188" s="3" t="s">
        <v>13</v>
      </c>
      <c r="I188" s="1"/>
    </row>
    <row r="189" ht="15.75" customHeight="1">
      <c r="A189" s="2">
        <v>188.0</v>
      </c>
      <c r="B189" s="1" t="s">
        <v>641</v>
      </c>
      <c r="C189" s="1" t="s">
        <v>642</v>
      </c>
      <c r="D189" s="1" t="s">
        <v>643</v>
      </c>
      <c r="E189" s="2">
        <v>5.70038353456E11</v>
      </c>
      <c r="F189" s="1" t="s">
        <v>644</v>
      </c>
      <c r="G189" s="1" t="s">
        <v>12</v>
      </c>
      <c r="H189" s="3" t="s">
        <v>13</v>
      </c>
      <c r="I189" s="1"/>
    </row>
    <row r="190" ht="15.75" customHeight="1">
      <c r="A190" s="2">
        <v>189.0</v>
      </c>
      <c r="B190" s="1" t="s">
        <v>477</v>
      </c>
      <c r="C190" s="1" t="s">
        <v>645</v>
      </c>
      <c r="D190" s="1" t="s">
        <v>181</v>
      </c>
      <c r="E190" s="2">
        <v>5.70038353464E11</v>
      </c>
      <c r="F190" s="1" t="s">
        <v>646</v>
      </c>
      <c r="G190" s="1" t="s">
        <v>12</v>
      </c>
      <c r="H190" s="3" t="s">
        <v>13</v>
      </c>
      <c r="I190" s="1"/>
    </row>
    <row r="191" ht="15.75" customHeight="1">
      <c r="A191" s="2">
        <v>190.0</v>
      </c>
      <c r="B191" s="1" t="s">
        <v>451</v>
      </c>
      <c r="C191" s="1" t="s">
        <v>647</v>
      </c>
      <c r="D191" s="1" t="s">
        <v>594</v>
      </c>
      <c r="E191" s="2">
        <v>5.70038353465E11</v>
      </c>
      <c r="F191" s="1" t="s">
        <v>648</v>
      </c>
      <c r="G191" s="1" t="s">
        <v>12</v>
      </c>
      <c r="H191" s="3" t="s">
        <v>13</v>
      </c>
      <c r="I191" s="1"/>
    </row>
    <row r="192" ht="15.75" customHeight="1">
      <c r="A192" s="2">
        <v>191.0</v>
      </c>
      <c r="B192" s="1" t="s">
        <v>629</v>
      </c>
      <c r="C192" s="1" t="s">
        <v>649</v>
      </c>
      <c r="D192" s="1" t="s">
        <v>384</v>
      </c>
      <c r="E192" s="2">
        <v>5.70038353466E11</v>
      </c>
      <c r="F192" s="1" t="s">
        <v>650</v>
      </c>
      <c r="G192" s="1" t="s">
        <v>12</v>
      </c>
      <c r="H192" s="3" t="s">
        <v>13</v>
      </c>
      <c r="I192" s="1"/>
    </row>
    <row r="193" ht="15.75" customHeight="1">
      <c r="A193" s="2">
        <v>192.0</v>
      </c>
      <c r="B193" s="1" t="s">
        <v>651</v>
      </c>
      <c r="C193" s="1" t="s">
        <v>652</v>
      </c>
      <c r="D193" s="1" t="s">
        <v>159</v>
      </c>
      <c r="E193" s="2">
        <v>5.7003835347E11</v>
      </c>
      <c r="F193" s="1" t="s">
        <v>653</v>
      </c>
      <c r="G193" s="1" t="s">
        <v>12</v>
      </c>
      <c r="H193" s="3" t="s">
        <v>13</v>
      </c>
      <c r="I193" s="1"/>
    </row>
    <row r="194" ht="15.75" customHeight="1">
      <c r="A194" s="2">
        <v>193.0</v>
      </c>
      <c r="B194" s="1" t="s">
        <v>654</v>
      </c>
      <c r="C194" s="1" t="s">
        <v>655</v>
      </c>
      <c r="D194" s="1" t="s">
        <v>656</v>
      </c>
      <c r="E194" s="2">
        <v>5.70038353472E11</v>
      </c>
      <c r="F194" s="1" t="s">
        <v>657</v>
      </c>
      <c r="G194" s="1" t="s">
        <v>12</v>
      </c>
      <c r="H194" s="3" t="s">
        <v>13</v>
      </c>
      <c r="I194" s="1"/>
    </row>
    <row r="195" ht="15.75" customHeight="1">
      <c r="A195" s="2">
        <v>194.0</v>
      </c>
      <c r="B195" s="1" t="s">
        <v>658</v>
      </c>
      <c r="C195" s="1" t="s">
        <v>659</v>
      </c>
      <c r="D195" s="1" t="s">
        <v>660</v>
      </c>
      <c r="E195" s="2">
        <v>5.70038353474E11</v>
      </c>
      <c r="F195" s="1" t="s">
        <v>661</v>
      </c>
      <c r="G195" s="1" t="s">
        <v>12</v>
      </c>
      <c r="H195" s="3" t="s">
        <v>13</v>
      </c>
      <c r="I195" s="1"/>
    </row>
    <row r="196" ht="15.75" customHeight="1">
      <c r="A196" s="2">
        <v>195.0</v>
      </c>
      <c r="B196" s="1" t="s">
        <v>60</v>
      </c>
      <c r="C196" s="1" t="s">
        <v>662</v>
      </c>
      <c r="D196" s="1" t="s">
        <v>663</v>
      </c>
      <c r="E196" s="2">
        <v>5.70038353479E11</v>
      </c>
      <c r="F196" s="1" t="s">
        <v>664</v>
      </c>
      <c r="G196" s="1" t="s">
        <v>12</v>
      </c>
      <c r="H196" s="3" t="s">
        <v>13</v>
      </c>
      <c r="I196" s="1"/>
    </row>
    <row r="197" ht="15.75" customHeight="1">
      <c r="A197" s="2">
        <v>196.0</v>
      </c>
      <c r="B197" s="1" t="s">
        <v>665</v>
      </c>
      <c r="C197" s="1" t="s">
        <v>666</v>
      </c>
      <c r="D197" s="1" t="s">
        <v>58</v>
      </c>
      <c r="E197" s="2">
        <v>5.7003835348E11</v>
      </c>
      <c r="F197" s="1" t="s">
        <v>667</v>
      </c>
      <c r="G197" s="1" t="s">
        <v>12</v>
      </c>
      <c r="H197" s="3" t="s">
        <v>13</v>
      </c>
      <c r="I197" s="1"/>
    </row>
    <row r="198" ht="15.75" customHeight="1">
      <c r="A198" s="2">
        <v>197.0</v>
      </c>
      <c r="B198" s="1" t="s">
        <v>540</v>
      </c>
      <c r="C198" s="1" t="s">
        <v>668</v>
      </c>
      <c r="D198" s="1" t="s">
        <v>669</v>
      </c>
      <c r="E198" s="2">
        <v>5.70038353481E11</v>
      </c>
      <c r="F198" s="1" t="s">
        <v>670</v>
      </c>
      <c r="G198" s="1" t="s">
        <v>12</v>
      </c>
      <c r="H198" s="3" t="s">
        <v>13</v>
      </c>
      <c r="I198" s="1"/>
    </row>
    <row r="199" ht="15.75" customHeight="1">
      <c r="A199" s="2">
        <v>198.0</v>
      </c>
      <c r="B199" s="1" t="s">
        <v>671</v>
      </c>
      <c r="C199" s="1" t="s">
        <v>659</v>
      </c>
      <c r="D199" s="1" t="s">
        <v>62</v>
      </c>
      <c r="E199" s="2">
        <v>5.70038353482E11</v>
      </c>
      <c r="F199" s="1" t="s">
        <v>672</v>
      </c>
      <c r="G199" s="1" t="s">
        <v>12</v>
      </c>
      <c r="H199" s="3" t="s">
        <v>13</v>
      </c>
      <c r="I199" s="1"/>
    </row>
    <row r="200" ht="15.75" customHeight="1">
      <c r="A200" s="2">
        <v>199.0</v>
      </c>
      <c r="B200" s="1" t="s">
        <v>673</v>
      </c>
      <c r="C200" s="1" t="s">
        <v>674</v>
      </c>
      <c r="D200" s="1" t="s">
        <v>34</v>
      </c>
      <c r="E200" s="2">
        <v>5.70038353483E11</v>
      </c>
      <c r="F200" s="1" t="s">
        <v>675</v>
      </c>
      <c r="G200" s="1" t="s">
        <v>12</v>
      </c>
      <c r="H200" s="3" t="s">
        <v>13</v>
      </c>
      <c r="I200" s="1"/>
    </row>
    <row r="201" ht="15.75" customHeight="1">
      <c r="A201" s="2">
        <v>200.0</v>
      </c>
      <c r="B201" s="1" t="s">
        <v>676</v>
      </c>
      <c r="C201" s="1" t="s">
        <v>677</v>
      </c>
      <c r="D201" s="1" t="s">
        <v>540</v>
      </c>
      <c r="E201" s="2">
        <v>5.70038353484E11</v>
      </c>
      <c r="F201" s="1" t="s">
        <v>678</v>
      </c>
      <c r="G201" s="1" t="s">
        <v>12</v>
      </c>
      <c r="H201" s="3" t="s">
        <v>13</v>
      </c>
      <c r="I201" s="1"/>
    </row>
    <row r="202" ht="15.75" customHeight="1">
      <c r="A202" s="2">
        <v>201.0</v>
      </c>
      <c r="B202" s="1" t="s">
        <v>679</v>
      </c>
      <c r="C202" s="1" t="s">
        <v>680</v>
      </c>
      <c r="D202" s="1" t="s">
        <v>10</v>
      </c>
      <c r="E202" s="2">
        <v>5.70038353488E11</v>
      </c>
      <c r="F202" s="1" t="s">
        <v>681</v>
      </c>
      <c r="G202" s="1" t="s">
        <v>12</v>
      </c>
      <c r="H202" s="3" t="s">
        <v>13</v>
      </c>
      <c r="I202" s="1"/>
    </row>
    <row r="203" ht="15.75" customHeight="1">
      <c r="A203" s="2">
        <v>202.0</v>
      </c>
      <c r="B203" s="1" t="s">
        <v>157</v>
      </c>
      <c r="C203" s="1" t="s">
        <v>682</v>
      </c>
      <c r="D203" s="1" t="s">
        <v>36</v>
      </c>
      <c r="E203" s="2">
        <v>5.7003835349E11</v>
      </c>
      <c r="F203" s="1" t="s">
        <v>683</v>
      </c>
      <c r="G203" s="1" t="s">
        <v>12</v>
      </c>
      <c r="H203" s="3" t="s">
        <v>13</v>
      </c>
      <c r="I203" s="1"/>
    </row>
    <row r="204" ht="15.75" customHeight="1">
      <c r="A204" s="2">
        <v>203.0</v>
      </c>
      <c r="B204" s="1" t="s">
        <v>684</v>
      </c>
      <c r="C204" s="1" t="s">
        <v>685</v>
      </c>
      <c r="D204" s="1" t="s">
        <v>168</v>
      </c>
      <c r="E204" s="2">
        <v>5.70038353491E11</v>
      </c>
      <c r="F204" s="1" t="s">
        <v>686</v>
      </c>
      <c r="G204" s="1" t="s">
        <v>12</v>
      </c>
      <c r="H204" s="3" t="s">
        <v>13</v>
      </c>
      <c r="I204" s="1"/>
    </row>
    <row r="205" ht="15.75" customHeight="1">
      <c r="A205" s="2">
        <v>204.0</v>
      </c>
      <c r="B205" s="1" t="s">
        <v>687</v>
      </c>
      <c r="C205" s="1" t="s">
        <v>688</v>
      </c>
      <c r="D205" s="1" t="s">
        <v>62</v>
      </c>
      <c r="E205" s="2">
        <v>5.70038353495E11</v>
      </c>
      <c r="F205" s="1" t="s">
        <v>689</v>
      </c>
      <c r="G205" s="1" t="s">
        <v>12</v>
      </c>
      <c r="H205" s="3" t="s">
        <v>13</v>
      </c>
      <c r="I205" s="1"/>
    </row>
    <row r="206" ht="15.75" customHeight="1">
      <c r="A206" s="2">
        <v>205.0</v>
      </c>
      <c r="B206" s="1" t="s">
        <v>690</v>
      </c>
      <c r="C206" s="1" t="s">
        <v>691</v>
      </c>
      <c r="D206" s="1" t="s">
        <v>157</v>
      </c>
      <c r="E206" s="2">
        <v>5.70038353499E11</v>
      </c>
      <c r="F206" s="1" t="s">
        <v>692</v>
      </c>
      <c r="G206" s="1" t="s">
        <v>135</v>
      </c>
      <c r="H206" s="3" t="s">
        <v>13</v>
      </c>
      <c r="I206" s="1"/>
    </row>
    <row r="207" ht="15.75" customHeight="1">
      <c r="A207" s="2">
        <v>206.0</v>
      </c>
      <c r="B207" s="1" t="s">
        <v>693</v>
      </c>
      <c r="C207" s="1" t="s">
        <v>694</v>
      </c>
      <c r="D207" s="1" t="s">
        <v>267</v>
      </c>
      <c r="E207" s="2">
        <v>5.700383535E11</v>
      </c>
      <c r="F207" s="1" t="s">
        <v>695</v>
      </c>
      <c r="G207" s="1" t="s">
        <v>135</v>
      </c>
      <c r="H207" s="3" t="s">
        <v>13</v>
      </c>
      <c r="I207" s="1"/>
    </row>
    <row r="208" ht="15.75" customHeight="1">
      <c r="A208" s="2">
        <v>207.0</v>
      </c>
      <c r="B208" s="1" t="s">
        <v>696</v>
      </c>
      <c r="C208" s="1" t="s">
        <v>697</v>
      </c>
      <c r="D208" s="1" t="s">
        <v>698</v>
      </c>
      <c r="E208" s="2">
        <v>5.70038353505E11</v>
      </c>
      <c r="F208" s="1" t="s">
        <v>699</v>
      </c>
      <c r="G208" s="1" t="s">
        <v>12</v>
      </c>
      <c r="H208" s="3" t="s">
        <v>13</v>
      </c>
      <c r="I208" s="1"/>
    </row>
    <row r="209" ht="15.75" customHeight="1">
      <c r="A209" s="2">
        <v>208.0</v>
      </c>
      <c r="B209" s="1" t="s">
        <v>700</v>
      </c>
      <c r="C209" s="1" t="s">
        <v>701</v>
      </c>
      <c r="D209" s="1" t="s">
        <v>702</v>
      </c>
      <c r="E209" s="2">
        <v>5.70038353507E11</v>
      </c>
      <c r="F209" s="1" t="s">
        <v>703</v>
      </c>
      <c r="G209" s="1" t="s">
        <v>12</v>
      </c>
      <c r="H209" s="3" t="s">
        <v>13</v>
      </c>
      <c r="I209" s="1"/>
    </row>
    <row r="210" ht="15.75" customHeight="1">
      <c r="A210" s="2">
        <v>209.0</v>
      </c>
      <c r="B210" s="1" t="s">
        <v>704</v>
      </c>
      <c r="C210" s="1" t="s">
        <v>705</v>
      </c>
      <c r="D210" s="1" t="s">
        <v>706</v>
      </c>
      <c r="E210" s="2">
        <v>5.7003835351E11</v>
      </c>
      <c r="F210" s="1" t="s">
        <v>707</v>
      </c>
      <c r="G210" s="1" t="s">
        <v>12</v>
      </c>
      <c r="H210" s="3" t="s">
        <v>13</v>
      </c>
      <c r="I210" s="1"/>
    </row>
    <row r="211" ht="15.75" customHeight="1">
      <c r="A211" s="2">
        <v>210.0</v>
      </c>
      <c r="B211" s="1" t="s">
        <v>269</v>
      </c>
      <c r="C211" s="1" t="s">
        <v>708</v>
      </c>
      <c r="D211" s="1" t="s">
        <v>704</v>
      </c>
      <c r="E211" s="2">
        <v>5.70038353511E11</v>
      </c>
      <c r="F211" s="1" t="s">
        <v>709</v>
      </c>
      <c r="G211" s="1" t="s">
        <v>417</v>
      </c>
      <c r="H211" s="3" t="s">
        <v>13</v>
      </c>
      <c r="I211" s="1"/>
    </row>
    <row r="212" ht="15.75" customHeight="1">
      <c r="A212" s="2">
        <v>211.0</v>
      </c>
      <c r="B212" s="1" t="s">
        <v>710</v>
      </c>
      <c r="C212" s="1" t="s">
        <v>711</v>
      </c>
      <c r="D212" s="1" t="s">
        <v>712</v>
      </c>
      <c r="E212" s="2">
        <v>5.70038353514E11</v>
      </c>
      <c r="F212" s="1" t="s">
        <v>713</v>
      </c>
      <c r="G212" s="1" t="s">
        <v>12</v>
      </c>
      <c r="H212" s="3" t="s">
        <v>13</v>
      </c>
      <c r="I212" s="1"/>
    </row>
    <row r="213" ht="15.75" customHeight="1">
      <c r="A213" s="2">
        <v>212.0</v>
      </c>
      <c r="B213" s="1" t="s">
        <v>183</v>
      </c>
      <c r="C213" s="1" t="s">
        <v>714</v>
      </c>
      <c r="D213" s="1" t="s">
        <v>700</v>
      </c>
      <c r="E213" s="2">
        <v>5.70038353516E11</v>
      </c>
      <c r="F213" s="1" t="s">
        <v>715</v>
      </c>
      <c r="G213" s="1" t="s">
        <v>12</v>
      </c>
      <c r="H213" s="3" t="s">
        <v>13</v>
      </c>
      <c r="I213" s="1"/>
    </row>
    <row r="214" ht="15.75" customHeight="1">
      <c r="A214" s="2">
        <v>213.0</v>
      </c>
      <c r="B214" s="1" t="s">
        <v>716</v>
      </c>
      <c r="C214" s="1" t="s">
        <v>717</v>
      </c>
      <c r="D214" s="1" t="s">
        <v>718</v>
      </c>
      <c r="E214" s="2">
        <v>5.7003835353E11</v>
      </c>
      <c r="F214" s="1" t="s">
        <v>719</v>
      </c>
      <c r="G214" s="1" t="s">
        <v>12</v>
      </c>
      <c r="H214" s="3" t="s">
        <v>13</v>
      </c>
      <c r="I214" s="1"/>
    </row>
    <row r="215" ht="15.75" customHeight="1">
      <c r="A215" s="2">
        <v>214.0</v>
      </c>
      <c r="B215" s="1" t="s">
        <v>552</v>
      </c>
      <c r="C215" s="1" t="s">
        <v>720</v>
      </c>
      <c r="D215" s="1" t="s">
        <v>721</v>
      </c>
      <c r="E215" s="2">
        <v>5.70038353531E11</v>
      </c>
      <c r="F215" s="1" t="s">
        <v>722</v>
      </c>
      <c r="G215" s="1" t="s">
        <v>12</v>
      </c>
      <c r="H215" s="3" t="s">
        <v>13</v>
      </c>
      <c r="I215" s="1"/>
    </row>
    <row r="216" ht="15.75" customHeight="1">
      <c r="A216" s="2">
        <v>215.0</v>
      </c>
      <c r="B216" s="1" t="s">
        <v>723</v>
      </c>
      <c r="C216" s="1" t="s">
        <v>694</v>
      </c>
      <c r="D216" s="1" t="s">
        <v>267</v>
      </c>
      <c r="E216" s="2">
        <v>5.70038353544E11</v>
      </c>
      <c r="F216" s="1" t="s">
        <v>724</v>
      </c>
      <c r="G216" s="1" t="s">
        <v>135</v>
      </c>
      <c r="H216" s="3" t="s">
        <v>13</v>
      </c>
      <c r="I216" s="1"/>
    </row>
    <row r="217" ht="15.75" customHeight="1">
      <c r="A217" s="2">
        <v>216.0</v>
      </c>
      <c r="B217" s="1" t="s">
        <v>725</v>
      </c>
      <c r="C217" s="1" t="s">
        <v>694</v>
      </c>
      <c r="D217" s="1" t="s">
        <v>267</v>
      </c>
      <c r="E217" s="2">
        <v>5.70038353545E11</v>
      </c>
      <c r="F217" s="1" t="s">
        <v>726</v>
      </c>
      <c r="G217" s="1" t="s">
        <v>417</v>
      </c>
      <c r="H217" s="3" t="s">
        <v>13</v>
      </c>
      <c r="I217" s="1"/>
    </row>
    <row r="218" ht="15.75" customHeight="1">
      <c r="A218" s="2">
        <v>217.0</v>
      </c>
      <c r="B218" s="1" t="s">
        <v>375</v>
      </c>
      <c r="C218" s="1" t="s">
        <v>727</v>
      </c>
      <c r="D218" s="1" t="s">
        <v>728</v>
      </c>
      <c r="E218" s="2">
        <v>5.70038353546E11</v>
      </c>
      <c r="F218" s="1" t="s">
        <v>622</v>
      </c>
      <c r="G218" s="1" t="s">
        <v>12</v>
      </c>
      <c r="H218" s="3" t="s">
        <v>13</v>
      </c>
      <c r="I218" s="1"/>
    </row>
    <row r="219" ht="15.75" customHeight="1">
      <c r="A219" s="2">
        <v>218.0</v>
      </c>
      <c r="B219" s="1" t="s">
        <v>679</v>
      </c>
      <c r="C219" s="1" t="s">
        <v>729</v>
      </c>
      <c r="D219" s="1" t="s">
        <v>290</v>
      </c>
      <c r="E219" s="2">
        <v>5.70038353563E11</v>
      </c>
      <c r="F219" s="1" t="s">
        <v>730</v>
      </c>
      <c r="G219" s="1" t="s">
        <v>12</v>
      </c>
      <c r="H219" s="3" t="s">
        <v>13</v>
      </c>
      <c r="I219" s="1"/>
    </row>
    <row r="220" ht="15.75" customHeight="1">
      <c r="A220" s="2">
        <v>219.0</v>
      </c>
      <c r="B220" s="1" t="s">
        <v>399</v>
      </c>
      <c r="C220" s="1" t="s">
        <v>731</v>
      </c>
      <c r="D220" s="1" t="s">
        <v>732</v>
      </c>
      <c r="E220" s="2">
        <v>5.70038353566E11</v>
      </c>
      <c r="F220" s="1" t="s">
        <v>733</v>
      </c>
      <c r="G220" s="1" t="s">
        <v>12</v>
      </c>
      <c r="H220" s="3" t="s">
        <v>13</v>
      </c>
      <c r="I220" s="1"/>
    </row>
    <row r="221" ht="15.75" customHeight="1">
      <c r="A221" s="2">
        <v>220.0</v>
      </c>
      <c r="B221" s="1" t="s">
        <v>734</v>
      </c>
      <c r="C221" s="1" t="s">
        <v>735</v>
      </c>
      <c r="D221" s="1" t="s">
        <v>279</v>
      </c>
      <c r="E221" s="2">
        <v>5.70038353568E11</v>
      </c>
      <c r="F221" s="1" t="s">
        <v>736</v>
      </c>
      <c r="G221" s="1" t="s">
        <v>12</v>
      </c>
      <c r="H221" s="3" t="s">
        <v>13</v>
      </c>
      <c r="I221" s="1"/>
    </row>
    <row r="222" ht="15.75" customHeight="1">
      <c r="A222" s="2">
        <v>221.0</v>
      </c>
      <c r="B222" s="1" t="s">
        <v>365</v>
      </c>
      <c r="C222" s="1" t="s">
        <v>737</v>
      </c>
      <c r="D222" s="1" t="s">
        <v>172</v>
      </c>
      <c r="E222" s="2">
        <v>5.70038353571E11</v>
      </c>
      <c r="F222" s="1" t="s">
        <v>672</v>
      </c>
      <c r="G222" s="1" t="s">
        <v>12</v>
      </c>
      <c r="H222" s="3" t="s">
        <v>13</v>
      </c>
      <c r="I222" s="1"/>
    </row>
    <row r="223" ht="15.75" customHeight="1">
      <c r="A223" s="2">
        <v>222.0</v>
      </c>
      <c r="B223" s="1" t="s">
        <v>738</v>
      </c>
      <c r="C223" s="1" t="s">
        <v>642</v>
      </c>
      <c r="D223" s="1" t="s">
        <v>739</v>
      </c>
      <c r="E223" s="2">
        <v>5.70038353573E11</v>
      </c>
      <c r="F223" s="1" t="s">
        <v>740</v>
      </c>
      <c r="G223" s="1" t="s">
        <v>12</v>
      </c>
      <c r="H223" s="3" t="s">
        <v>13</v>
      </c>
      <c r="I223" s="1"/>
    </row>
    <row r="224" ht="15.75" customHeight="1">
      <c r="A224" s="2">
        <v>223.0</v>
      </c>
      <c r="B224" s="1" t="s">
        <v>427</v>
      </c>
      <c r="C224" s="1" t="s">
        <v>741</v>
      </c>
      <c r="D224" s="1" t="s">
        <v>133</v>
      </c>
      <c r="E224" s="2">
        <v>5.70038353574E11</v>
      </c>
      <c r="F224" s="1" t="s">
        <v>742</v>
      </c>
      <c r="G224" s="1" t="s">
        <v>12</v>
      </c>
      <c r="H224" s="3" t="s">
        <v>13</v>
      </c>
      <c r="I224" s="1"/>
    </row>
    <row r="225" ht="15.75" customHeight="1">
      <c r="A225" s="2">
        <v>224.0</v>
      </c>
      <c r="B225" s="1" t="s">
        <v>743</v>
      </c>
      <c r="C225" s="1" t="s">
        <v>744</v>
      </c>
      <c r="D225" s="1" t="s">
        <v>745</v>
      </c>
      <c r="E225" s="2">
        <v>5.70038353578E11</v>
      </c>
      <c r="F225" s="1" t="s">
        <v>746</v>
      </c>
      <c r="G225" s="1" t="s">
        <v>12</v>
      </c>
      <c r="H225" s="3" t="s">
        <v>13</v>
      </c>
      <c r="I225" s="1"/>
    </row>
    <row r="226" ht="15.75" customHeight="1">
      <c r="A226" s="2">
        <v>225.0</v>
      </c>
      <c r="B226" s="1" t="s">
        <v>205</v>
      </c>
      <c r="C226" s="1" t="s">
        <v>747</v>
      </c>
      <c r="D226" s="1" t="s">
        <v>118</v>
      </c>
      <c r="E226" s="2">
        <v>5.70038353579E11</v>
      </c>
      <c r="F226" s="1" t="s">
        <v>748</v>
      </c>
      <c r="G226" s="1" t="s">
        <v>12</v>
      </c>
      <c r="H226" s="3" t="s">
        <v>13</v>
      </c>
      <c r="I226" s="1"/>
    </row>
    <row r="227" ht="15.75" customHeight="1">
      <c r="A227" s="2">
        <v>226.0</v>
      </c>
      <c r="B227" s="1" t="s">
        <v>335</v>
      </c>
      <c r="C227" s="1" t="s">
        <v>749</v>
      </c>
      <c r="D227" s="1" t="s">
        <v>750</v>
      </c>
      <c r="E227" s="2">
        <v>5.70038353587E11</v>
      </c>
      <c r="F227" s="1" t="s">
        <v>751</v>
      </c>
      <c r="G227" s="1" t="s">
        <v>12</v>
      </c>
      <c r="H227" s="3" t="s">
        <v>13</v>
      </c>
      <c r="I227" s="1"/>
    </row>
    <row r="228" ht="15.75" customHeight="1">
      <c r="A228" s="2">
        <v>227.0</v>
      </c>
      <c r="B228" s="1" t="s">
        <v>60</v>
      </c>
      <c r="C228" s="1" t="s">
        <v>752</v>
      </c>
      <c r="D228" s="1" t="s">
        <v>753</v>
      </c>
      <c r="E228" s="2">
        <v>5.70038353591E11</v>
      </c>
      <c r="F228" s="1" t="s">
        <v>754</v>
      </c>
      <c r="G228" s="1" t="s">
        <v>12</v>
      </c>
      <c r="H228" s="3" t="s">
        <v>13</v>
      </c>
      <c r="I228" s="1"/>
    </row>
    <row r="229" ht="15.75" customHeight="1">
      <c r="A229" s="2">
        <v>228.0</v>
      </c>
      <c r="B229" s="1" t="s">
        <v>290</v>
      </c>
      <c r="C229" s="1" t="s">
        <v>755</v>
      </c>
      <c r="D229" s="1" t="s">
        <v>756</v>
      </c>
      <c r="E229" s="2">
        <v>5.70038353592E11</v>
      </c>
      <c r="F229" s="1" t="s">
        <v>757</v>
      </c>
      <c r="G229" s="1" t="s">
        <v>12</v>
      </c>
      <c r="H229" s="3" t="s">
        <v>13</v>
      </c>
      <c r="I229" s="1"/>
    </row>
    <row r="230" ht="15.75" customHeight="1">
      <c r="A230" s="2">
        <v>229.0</v>
      </c>
      <c r="B230" s="1" t="s">
        <v>758</v>
      </c>
      <c r="C230" s="1" t="s">
        <v>759</v>
      </c>
      <c r="D230" s="1" t="s">
        <v>433</v>
      </c>
      <c r="E230" s="2">
        <v>5.70038353595E11</v>
      </c>
      <c r="F230" s="1" t="s">
        <v>760</v>
      </c>
      <c r="G230" s="1" t="s">
        <v>12</v>
      </c>
      <c r="H230" s="3" t="s">
        <v>13</v>
      </c>
      <c r="I230" s="1"/>
    </row>
    <row r="231" ht="15.75" customHeight="1">
      <c r="A231" s="2">
        <v>230.0</v>
      </c>
      <c r="B231" s="1" t="s">
        <v>381</v>
      </c>
      <c r="C231" s="1" t="s">
        <v>761</v>
      </c>
      <c r="D231" s="1" t="s">
        <v>762</v>
      </c>
      <c r="E231" s="2">
        <v>5.70038353596E11</v>
      </c>
      <c r="F231" s="1" t="s">
        <v>763</v>
      </c>
      <c r="G231" s="1" t="s">
        <v>12</v>
      </c>
      <c r="H231" s="3" t="s">
        <v>13</v>
      </c>
      <c r="I231" s="1"/>
    </row>
    <row r="232" ht="15.75" customHeight="1">
      <c r="A232" s="2">
        <v>231.0</v>
      </c>
      <c r="B232" s="1" t="s">
        <v>764</v>
      </c>
      <c r="C232" s="1" t="s">
        <v>765</v>
      </c>
      <c r="D232" s="1" t="s">
        <v>700</v>
      </c>
      <c r="E232" s="2">
        <v>5.70038353599E11</v>
      </c>
      <c r="F232" s="1" t="s">
        <v>766</v>
      </c>
      <c r="G232" s="1" t="s">
        <v>12</v>
      </c>
      <c r="H232" s="3" t="s">
        <v>13</v>
      </c>
      <c r="I232" s="1"/>
    </row>
    <row r="233" ht="15.75" customHeight="1">
      <c r="A233" s="2">
        <v>232.0</v>
      </c>
      <c r="B233" s="1" t="s">
        <v>767</v>
      </c>
      <c r="C233" s="1" t="s">
        <v>435</v>
      </c>
      <c r="D233" s="1" t="s">
        <v>768</v>
      </c>
      <c r="E233" s="2">
        <v>5.70038353602E11</v>
      </c>
      <c r="F233" s="1" t="s">
        <v>769</v>
      </c>
      <c r="G233" s="1" t="s">
        <v>12</v>
      </c>
      <c r="H233" s="3" t="s">
        <v>13</v>
      </c>
      <c r="I233" s="1"/>
    </row>
    <row r="234" ht="15.75" customHeight="1">
      <c r="A234" s="2">
        <v>233.0</v>
      </c>
      <c r="B234" s="1" t="s">
        <v>770</v>
      </c>
      <c r="C234" s="1" t="s">
        <v>771</v>
      </c>
      <c r="D234" s="1" t="s">
        <v>321</v>
      </c>
      <c r="E234" s="2">
        <v>5.70038353605E11</v>
      </c>
      <c r="F234" s="1" t="s">
        <v>772</v>
      </c>
      <c r="G234" s="1" t="s">
        <v>12</v>
      </c>
      <c r="H234" s="3" t="s">
        <v>13</v>
      </c>
      <c r="I234" s="1"/>
    </row>
    <row r="235" ht="15.75" customHeight="1">
      <c r="A235" s="2">
        <v>234.0</v>
      </c>
      <c r="B235" s="1" t="s">
        <v>773</v>
      </c>
      <c r="C235" s="1" t="s">
        <v>774</v>
      </c>
      <c r="D235" s="1" t="s">
        <v>775</v>
      </c>
      <c r="E235" s="2">
        <v>5.70038353607E11</v>
      </c>
      <c r="F235" s="1" t="s">
        <v>776</v>
      </c>
      <c r="G235" s="1" t="s">
        <v>12</v>
      </c>
      <c r="H235" s="3" t="s">
        <v>13</v>
      </c>
      <c r="I235" s="1"/>
    </row>
    <row r="236" ht="15.75" customHeight="1">
      <c r="A236" s="2">
        <v>235.0</v>
      </c>
      <c r="B236" s="1" t="s">
        <v>777</v>
      </c>
      <c r="C236" s="1" t="s">
        <v>778</v>
      </c>
      <c r="D236" s="1" t="s">
        <v>779</v>
      </c>
      <c r="E236" s="2">
        <v>5.7003835361E11</v>
      </c>
      <c r="F236" s="1" t="s">
        <v>780</v>
      </c>
      <c r="G236" s="1" t="s">
        <v>12</v>
      </c>
      <c r="H236" s="3" t="s">
        <v>13</v>
      </c>
      <c r="I236" s="1"/>
    </row>
    <row r="237" ht="15.75" customHeight="1">
      <c r="A237" s="2">
        <v>236.0</v>
      </c>
      <c r="B237" s="1" t="s">
        <v>781</v>
      </c>
      <c r="C237" s="1" t="s">
        <v>782</v>
      </c>
      <c r="D237" s="1" t="s">
        <v>168</v>
      </c>
      <c r="E237" s="2">
        <v>5.70038353615E11</v>
      </c>
      <c r="F237" s="1" t="s">
        <v>783</v>
      </c>
      <c r="G237" s="1" t="s">
        <v>12</v>
      </c>
      <c r="H237" s="3" t="s">
        <v>13</v>
      </c>
      <c r="I237" s="1"/>
    </row>
    <row r="238" ht="15.75" customHeight="1">
      <c r="A238" s="2">
        <v>237.0</v>
      </c>
      <c r="B238" s="1" t="s">
        <v>83</v>
      </c>
      <c r="C238" s="1" t="s">
        <v>784</v>
      </c>
      <c r="D238" s="1" t="s">
        <v>785</v>
      </c>
      <c r="E238" s="2">
        <v>5.70038353619E11</v>
      </c>
      <c r="F238" s="1" t="s">
        <v>786</v>
      </c>
      <c r="G238" s="1" t="s">
        <v>12</v>
      </c>
      <c r="H238" s="3" t="s">
        <v>13</v>
      </c>
      <c r="I238" s="1"/>
    </row>
    <row r="239" ht="15.75" customHeight="1">
      <c r="A239" s="2">
        <v>238.0</v>
      </c>
      <c r="B239" s="1" t="s">
        <v>413</v>
      </c>
      <c r="C239" s="1" t="s">
        <v>787</v>
      </c>
      <c r="D239" s="1" t="s">
        <v>83</v>
      </c>
      <c r="E239" s="2">
        <v>5.7003835362E11</v>
      </c>
      <c r="F239" s="1" t="s">
        <v>788</v>
      </c>
      <c r="G239" s="1" t="s">
        <v>12</v>
      </c>
      <c r="H239" s="3" t="s">
        <v>13</v>
      </c>
      <c r="I239" s="1"/>
    </row>
    <row r="240" ht="15.75" customHeight="1">
      <c r="A240" s="2">
        <v>239.0</v>
      </c>
      <c r="B240" s="1" t="s">
        <v>789</v>
      </c>
      <c r="C240" s="1" t="s">
        <v>790</v>
      </c>
      <c r="D240" s="1" t="s">
        <v>791</v>
      </c>
      <c r="E240" s="2">
        <v>5.70038353622E11</v>
      </c>
      <c r="F240" s="1" t="s">
        <v>792</v>
      </c>
      <c r="G240" s="1" t="s">
        <v>12</v>
      </c>
      <c r="H240" s="3" t="s">
        <v>13</v>
      </c>
      <c r="I240" s="1"/>
    </row>
    <row r="241" ht="15.75" customHeight="1">
      <c r="A241" s="2">
        <v>240.0</v>
      </c>
      <c r="B241" s="1" t="s">
        <v>793</v>
      </c>
      <c r="C241" s="1" t="s">
        <v>794</v>
      </c>
      <c r="D241" s="1" t="s">
        <v>795</v>
      </c>
      <c r="E241" s="2">
        <v>5.70038353623E11</v>
      </c>
      <c r="F241" s="1" t="s">
        <v>796</v>
      </c>
      <c r="G241" s="1" t="s">
        <v>12</v>
      </c>
      <c r="H241" s="3" t="s">
        <v>13</v>
      </c>
      <c r="I241" s="1"/>
    </row>
    <row r="242" ht="15.75" customHeight="1">
      <c r="A242" s="2">
        <v>241.0</v>
      </c>
      <c r="B242" s="1" t="s">
        <v>331</v>
      </c>
      <c r="C242" s="1" t="s">
        <v>797</v>
      </c>
      <c r="D242" s="1" t="s">
        <v>212</v>
      </c>
      <c r="E242" s="2">
        <v>5.70038353624E11</v>
      </c>
      <c r="F242" s="1" t="s">
        <v>798</v>
      </c>
      <c r="G242" s="1" t="s">
        <v>12</v>
      </c>
      <c r="H242" s="3" t="s">
        <v>13</v>
      </c>
      <c r="I242" s="1"/>
    </row>
    <row r="243" ht="15.75" customHeight="1">
      <c r="A243" s="2">
        <v>242.0</v>
      </c>
      <c r="B243" s="1" t="s">
        <v>335</v>
      </c>
      <c r="C243" s="1" t="s">
        <v>799</v>
      </c>
      <c r="D243" s="1" t="s">
        <v>297</v>
      </c>
      <c r="E243" s="2">
        <v>5.70038353628E11</v>
      </c>
      <c r="F243" s="1" t="s">
        <v>148</v>
      </c>
      <c r="G243" s="1" t="s">
        <v>12</v>
      </c>
      <c r="H243" s="3" t="s">
        <v>13</v>
      </c>
      <c r="I243" s="1"/>
    </row>
    <row r="244" ht="15.75" customHeight="1">
      <c r="A244" s="2">
        <v>243.0</v>
      </c>
      <c r="B244" s="1" t="s">
        <v>800</v>
      </c>
      <c r="C244" s="1" t="s">
        <v>801</v>
      </c>
      <c r="D244" s="1" t="s">
        <v>802</v>
      </c>
      <c r="E244" s="2">
        <v>5.7003835363E11</v>
      </c>
      <c r="F244" s="1" t="s">
        <v>803</v>
      </c>
      <c r="G244" s="1" t="s">
        <v>12</v>
      </c>
      <c r="H244" s="3" t="s">
        <v>13</v>
      </c>
      <c r="I244" s="1"/>
    </row>
    <row r="245" ht="15.75" customHeight="1">
      <c r="A245" s="2">
        <v>244.0</v>
      </c>
      <c r="B245" s="1" t="s">
        <v>804</v>
      </c>
      <c r="C245" s="1" t="s">
        <v>805</v>
      </c>
      <c r="D245" s="1" t="s">
        <v>806</v>
      </c>
      <c r="E245" s="2">
        <v>5.70038353631E11</v>
      </c>
      <c r="F245" s="1" t="s">
        <v>807</v>
      </c>
      <c r="G245" s="1" t="s">
        <v>12</v>
      </c>
      <c r="H245" s="3" t="s">
        <v>13</v>
      </c>
      <c r="I245" s="1"/>
    </row>
    <row r="246" ht="15.75" customHeight="1">
      <c r="A246" s="2">
        <v>245.0</v>
      </c>
      <c r="B246" s="1" t="s">
        <v>791</v>
      </c>
      <c r="C246" s="1" t="s">
        <v>314</v>
      </c>
      <c r="D246" s="1" t="s">
        <v>808</v>
      </c>
      <c r="E246" s="2">
        <v>5.70038353633E11</v>
      </c>
      <c r="F246" s="1" t="s">
        <v>809</v>
      </c>
      <c r="G246" s="1" t="s">
        <v>12</v>
      </c>
      <c r="H246" s="3" t="s">
        <v>13</v>
      </c>
      <c r="I246" s="1"/>
    </row>
    <row r="247" ht="15.75" customHeight="1">
      <c r="A247" s="2">
        <v>246.0</v>
      </c>
      <c r="B247" s="1" t="s">
        <v>810</v>
      </c>
      <c r="C247" s="1" t="s">
        <v>110</v>
      </c>
      <c r="D247" s="1" t="s">
        <v>48</v>
      </c>
      <c r="E247" s="2">
        <v>5.70038353634E11</v>
      </c>
      <c r="F247" s="1" t="s">
        <v>811</v>
      </c>
      <c r="G247" s="1" t="s">
        <v>12</v>
      </c>
      <c r="H247" s="3" t="s">
        <v>13</v>
      </c>
      <c r="I247" s="1"/>
    </row>
    <row r="248" ht="15.75" customHeight="1">
      <c r="A248" s="2">
        <v>247.0</v>
      </c>
      <c r="B248" s="1" t="s">
        <v>812</v>
      </c>
      <c r="C248" s="1" t="s">
        <v>813</v>
      </c>
      <c r="D248" s="1" t="s">
        <v>800</v>
      </c>
      <c r="E248" s="2">
        <v>5.70038353641E11</v>
      </c>
      <c r="F248" s="1" t="s">
        <v>814</v>
      </c>
      <c r="G248" s="1" t="s">
        <v>12</v>
      </c>
      <c r="H248" s="3" t="s">
        <v>13</v>
      </c>
      <c r="I248" s="1"/>
    </row>
    <row r="249" ht="15.75" customHeight="1">
      <c r="A249" s="2">
        <v>248.0</v>
      </c>
      <c r="B249" s="1" t="s">
        <v>510</v>
      </c>
      <c r="C249" s="1" t="s">
        <v>815</v>
      </c>
      <c r="D249" s="1" t="s">
        <v>816</v>
      </c>
      <c r="E249" s="2">
        <v>5.70038353642E11</v>
      </c>
      <c r="F249" s="1" t="s">
        <v>817</v>
      </c>
      <c r="G249" s="1" t="s">
        <v>12</v>
      </c>
      <c r="H249" s="3" t="s">
        <v>13</v>
      </c>
      <c r="I249" s="1"/>
    </row>
    <row r="250" ht="15.75" customHeight="1">
      <c r="A250" s="2">
        <v>249.0</v>
      </c>
      <c r="B250" s="1" t="s">
        <v>413</v>
      </c>
      <c r="C250" s="1" t="s">
        <v>818</v>
      </c>
      <c r="D250" s="1" t="s">
        <v>362</v>
      </c>
      <c r="E250" s="2">
        <v>5.70038353644E11</v>
      </c>
      <c r="F250" s="1" t="s">
        <v>819</v>
      </c>
      <c r="G250" s="1" t="s">
        <v>12</v>
      </c>
      <c r="H250" s="3" t="s">
        <v>13</v>
      </c>
      <c r="I250" s="1"/>
    </row>
    <row r="251" ht="15.75" customHeight="1">
      <c r="A251" s="2">
        <v>250.0</v>
      </c>
      <c r="B251" s="1" t="s">
        <v>77</v>
      </c>
      <c r="C251" s="1" t="s">
        <v>820</v>
      </c>
      <c r="D251" s="1" t="s">
        <v>97</v>
      </c>
      <c r="E251" s="2">
        <v>5.70038353645E11</v>
      </c>
      <c r="F251" s="1" t="s">
        <v>821</v>
      </c>
      <c r="G251" s="1" t="s">
        <v>12</v>
      </c>
      <c r="H251" s="3" t="s">
        <v>13</v>
      </c>
      <c r="I251" s="1"/>
    </row>
    <row r="252" ht="15.75" customHeight="1">
      <c r="A252" s="2">
        <v>251.0</v>
      </c>
      <c r="B252" s="1" t="s">
        <v>822</v>
      </c>
      <c r="C252" s="1" t="s">
        <v>823</v>
      </c>
      <c r="D252" s="1" t="s">
        <v>824</v>
      </c>
      <c r="E252" s="2">
        <v>5.70038353646E11</v>
      </c>
      <c r="F252" s="1" t="s">
        <v>53</v>
      </c>
      <c r="G252" s="1" t="s">
        <v>12</v>
      </c>
      <c r="H252" s="3" t="s">
        <v>13</v>
      </c>
      <c r="I252" s="1"/>
    </row>
    <row r="253" ht="15.75" customHeight="1">
      <c r="A253" s="2">
        <v>252.0</v>
      </c>
      <c r="B253" s="1" t="s">
        <v>825</v>
      </c>
      <c r="C253" s="1" t="s">
        <v>826</v>
      </c>
      <c r="D253" s="1" t="s">
        <v>804</v>
      </c>
      <c r="E253" s="2">
        <v>5.70038353647E11</v>
      </c>
      <c r="F253" s="1" t="s">
        <v>827</v>
      </c>
      <c r="G253" s="1" t="s">
        <v>12</v>
      </c>
      <c r="H253" s="3" t="s">
        <v>13</v>
      </c>
      <c r="I253" s="1"/>
    </row>
    <row r="254" ht="15.75" customHeight="1">
      <c r="A254" s="2">
        <v>253.0</v>
      </c>
      <c r="B254" s="1" t="s">
        <v>679</v>
      </c>
      <c r="C254" s="1" t="s">
        <v>826</v>
      </c>
      <c r="D254" s="1" t="s">
        <v>804</v>
      </c>
      <c r="E254" s="2">
        <v>5.70038353648E11</v>
      </c>
      <c r="F254" s="1" t="s">
        <v>828</v>
      </c>
      <c r="G254" s="1" t="s">
        <v>12</v>
      </c>
      <c r="H254" s="3" t="s">
        <v>13</v>
      </c>
      <c r="I254" s="1"/>
    </row>
    <row r="255" ht="15.75" customHeight="1">
      <c r="A255" s="2">
        <v>254.0</v>
      </c>
      <c r="B255" s="1" t="s">
        <v>829</v>
      </c>
      <c r="C255" s="1" t="s">
        <v>830</v>
      </c>
      <c r="D255" s="1" t="s">
        <v>111</v>
      </c>
      <c r="E255" s="2">
        <v>5.70038353649E11</v>
      </c>
      <c r="F255" s="1" t="s">
        <v>831</v>
      </c>
      <c r="G255" s="1" t="s">
        <v>12</v>
      </c>
      <c r="H255" s="3" t="s">
        <v>13</v>
      </c>
      <c r="I255" s="1"/>
    </row>
    <row r="256" ht="15.75" customHeight="1">
      <c r="A256" s="2">
        <v>255.0</v>
      </c>
      <c r="B256" s="1" t="s">
        <v>690</v>
      </c>
      <c r="C256" s="1" t="s">
        <v>832</v>
      </c>
      <c r="D256" s="1" t="s">
        <v>177</v>
      </c>
      <c r="E256" s="2">
        <v>5.7003835365E11</v>
      </c>
      <c r="F256" s="1" t="s">
        <v>833</v>
      </c>
      <c r="G256" s="1" t="s">
        <v>12</v>
      </c>
      <c r="H256" s="3" t="s">
        <v>13</v>
      </c>
      <c r="I256" s="1"/>
    </row>
    <row r="257" ht="15.75" customHeight="1">
      <c r="A257" s="2">
        <v>256.0</v>
      </c>
      <c r="B257" s="1" t="s">
        <v>153</v>
      </c>
      <c r="C257" s="1" t="s">
        <v>834</v>
      </c>
      <c r="D257" s="1" t="s">
        <v>433</v>
      </c>
      <c r="E257" s="2">
        <v>5.70038353651E11</v>
      </c>
      <c r="F257" s="1" t="s">
        <v>798</v>
      </c>
      <c r="G257" s="1" t="s">
        <v>12</v>
      </c>
      <c r="H257" s="3" t="s">
        <v>13</v>
      </c>
      <c r="I257" s="1"/>
    </row>
    <row r="258" ht="15.75" customHeight="1">
      <c r="A258" s="2">
        <v>257.0</v>
      </c>
      <c r="B258" s="1" t="s">
        <v>835</v>
      </c>
      <c r="C258" s="1" t="s">
        <v>435</v>
      </c>
      <c r="D258" s="1" t="s">
        <v>836</v>
      </c>
      <c r="E258" s="2">
        <v>5.70038353652E11</v>
      </c>
      <c r="F258" s="1" t="s">
        <v>837</v>
      </c>
      <c r="G258" s="1" t="s">
        <v>12</v>
      </c>
      <c r="H258" s="3" t="s">
        <v>13</v>
      </c>
      <c r="I258" s="1"/>
    </row>
    <row r="259" ht="15.75" customHeight="1">
      <c r="A259" s="2">
        <v>258.0</v>
      </c>
      <c r="B259" s="1" t="s">
        <v>838</v>
      </c>
      <c r="C259" s="1" t="s">
        <v>839</v>
      </c>
      <c r="D259" s="1" t="s">
        <v>762</v>
      </c>
      <c r="E259" s="2">
        <v>5.70038353655E11</v>
      </c>
      <c r="F259" s="1" t="s">
        <v>840</v>
      </c>
      <c r="G259" s="1" t="s">
        <v>12</v>
      </c>
      <c r="H259" s="3" t="s">
        <v>13</v>
      </c>
      <c r="I259" s="1"/>
    </row>
    <row r="260" ht="15.75" customHeight="1">
      <c r="A260" s="2">
        <v>259.0</v>
      </c>
      <c r="B260" s="1" t="s">
        <v>841</v>
      </c>
      <c r="C260" s="1" t="s">
        <v>842</v>
      </c>
      <c r="D260" s="1" t="s">
        <v>596</v>
      </c>
      <c r="E260" s="2">
        <v>5.70038353658E11</v>
      </c>
      <c r="F260" s="1" t="s">
        <v>843</v>
      </c>
      <c r="G260" s="1" t="s">
        <v>12</v>
      </c>
      <c r="H260" s="3" t="s">
        <v>13</v>
      </c>
      <c r="I260" s="1"/>
    </row>
    <row r="261" ht="15.75" customHeight="1">
      <c r="A261" s="2">
        <v>260.0</v>
      </c>
      <c r="B261" s="1" t="s">
        <v>384</v>
      </c>
      <c r="C261" s="1" t="s">
        <v>844</v>
      </c>
      <c r="D261" s="1" t="s">
        <v>390</v>
      </c>
      <c r="E261" s="2">
        <v>5.70038353659E11</v>
      </c>
      <c r="F261" s="1" t="s">
        <v>845</v>
      </c>
      <c r="G261" s="1" t="s">
        <v>12</v>
      </c>
      <c r="H261" s="3" t="s">
        <v>13</v>
      </c>
      <c r="I261" s="1"/>
    </row>
    <row r="262" ht="15.75" customHeight="1">
      <c r="A262" s="2">
        <v>261.0</v>
      </c>
      <c r="B262" s="1" t="s">
        <v>77</v>
      </c>
      <c r="C262" s="1" t="s">
        <v>846</v>
      </c>
      <c r="D262" s="1" t="s">
        <v>457</v>
      </c>
      <c r="E262" s="2">
        <v>5.70038353667E11</v>
      </c>
      <c r="F262" s="1" t="s">
        <v>847</v>
      </c>
      <c r="G262" s="1" t="s">
        <v>12</v>
      </c>
      <c r="H262" s="3" t="s">
        <v>13</v>
      </c>
      <c r="I262" s="1"/>
    </row>
    <row r="263" ht="15.75" customHeight="1">
      <c r="A263" s="2">
        <v>262.0</v>
      </c>
      <c r="B263" s="1" t="s">
        <v>333</v>
      </c>
      <c r="C263" s="1" t="s">
        <v>848</v>
      </c>
      <c r="D263" s="1" t="s">
        <v>372</v>
      </c>
      <c r="E263" s="2">
        <v>5.7003835367E11</v>
      </c>
      <c r="F263" s="1" t="s">
        <v>849</v>
      </c>
      <c r="G263" s="1" t="s">
        <v>12</v>
      </c>
      <c r="H263" s="3" t="s">
        <v>13</v>
      </c>
      <c r="I263" s="1"/>
    </row>
    <row r="264" ht="15.75" customHeight="1">
      <c r="A264" s="2">
        <v>263.0</v>
      </c>
      <c r="B264" s="1" t="s">
        <v>324</v>
      </c>
      <c r="C264" s="1" t="s">
        <v>755</v>
      </c>
      <c r="D264" s="1" t="s">
        <v>850</v>
      </c>
      <c r="E264" s="2">
        <v>5.70038353671E11</v>
      </c>
      <c r="F264" s="1" t="s">
        <v>851</v>
      </c>
      <c r="G264" s="1" t="s">
        <v>12</v>
      </c>
      <c r="H264" s="3" t="s">
        <v>13</v>
      </c>
      <c r="I264" s="1"/>
    </row>
    <row r="265" ht="15.75" customHeight="1">
      <c r="A265" s="2">
        <v>264.0</v>
      </c>
      <c r="B265" s="1" t="s">
        <v>852</v>
      </c>
      <c r="C265" s="1" t="s">
        <v>853</v>
      </c>
      <c r="D265" s="1" t="s">
        <v>854</v>
      </c>
      <c r="E265" s="2">
        <v>5.70038353676E11</v>
      </c>
      <c r="F265" s="1" t="s">
        <v>855</v>
      </c>
      <c r="G265" s="1" t="s">
        <v>12</v>
      </c>
      <c r="H265" s="3" t="s">
        <v>13</v>
      </c>
      <c r="I265" s="1"/>
    </row>
    <row r="266" ht="15.75" customHeight="1">
      <c r="A266" s="2">
        <v>265.0</v>
      </c>
      <c r="B266" s="1" t="s">
        <v>856</v>
      </c>
      <c r="C266" s="1" t="s">
        <v>857</v>
      </c>
      <c r="D266" s="1" t="s">
        <v>48</v>
      </c>
      <c r="E266" s="2">
        <v>5.70038353677E11</v>
      </c>
      <c r="F266" s="1" t="s">
        <v>858</v>
      </c>
      <c r="G266" s="1" t="s">
        <v>12</v>
      </c>
      <c r="H266" s="3" t="s">
        <v>13</v>
      </c>
      <c r="I266" s="1"/>
    </row>
    <row r="267" ht="15.75" customHeight="1">
      <c r="A267" s="2">
        <v>266.0</v>
      </c>
      <c r="B267" s="1" t="s">
        <v>679</v>
      </c>
      <c r="C267" s="1" t="s">
        <v>859</v>
      </c>
      <c r="D267" s="1" t="s">
        <v>295</v>
      </c>
      <c r="E267" s="2">
        <v>5.70038353678E11</v>
      </c>
      <c r="F267" s="1" t="s">
        <v>860</v>
      </c>
      <c r="G267" s="1" t="s">
        <v>12</v>
      </c>
      <c r="H267" s="3" t="s">
        <v>13</v>
      </c>
      <c r="I267" s="1"/>
    </row>
    <row r="268" ht="15.75" customHeight="1">
      <c r="A268" s="2">
        <v>267.0</v>
      </c>
      <c r="B268" s="1" t="s">
        <v>42</v>
      </c>
      <c r="C268" s="1" t="s">
        <v>861</v>
      </c>
      <c r="D268" s="1" t="s">
        <v>838</v>
      </c>
      <c r="E268" s="2">
        <v>5.70038353683E11</v>
      </c>
      <c r="F268" s="1" t="s">
        <v>862</v>
      </c>
      <c r="G268" s="1" t="s">
        <v>12</v>
      </c>
      <c r="H268" s="3" t="s">
        <v>13</v>
      </c>
      <c r="I268" s="1"/>
    </row>
    <row r="269" ht="15.75" customHeight="1">
      <c r="A269" s="2">
        <v>268.0</v>
      </c>
      <c r="B269" s="1" t="s">
        <v>863</v>
      </c>
      <c r="C269" s="1" t="s">
        <v>864</v>
      </c>
      <c r="D269" s="1" t="s">
        <v>865</v>
      </c>
      <c r="E269" s="2">
        <v>5.70038353684E11</v>
      </c>
      <c r="F269" s="1" t="s">
        <v>866</v>
      </c>
      <c r="G269" s="1" t="s">
        <v>12</v>
      </c>
      <c r="H269" s="1" t="s">
        <v>867</v>
      </c>
      <c r="I269" s="1" t="s">
        <v>868</v>
      </c>
      <c r="J269" s="1" t="s">
        <v>869</v>
      </c>
    </row>
    <row r="270" ht="15.75" customHeight="1">
      <c r="A270" s="2">
        <v>269.0</v>
      </c>
      <c r="B270" s="1" t="s">
        <v>870</v>
      </c>
      <c r="C270" s="1" t="s">
        <v>871</v>
      </c>
      <c r="D270" s="1" t="s">
        <v>872</v>
      </c>
      <c r="E270" s="2">
        <v>5.70038353687E11</v>
      </c>
      <c r="F270" s="1" t="s">
        <v>873</v>
      </c>
      <c r="G270" s="1" t="s">
        <v>12</v>
      </c>
      <c r="H270" s="1" t="s">
        <v>867</v>
      </c>
      <c r="I270" s="1" t="s">
        <v>868</v>
      </c>
      <c r="J270" s="1" t="s">
        <v>869</v>
      </c>
    </row>
    <row r="271" ht="15.75" customHeight="1">
      <c r="A271" s="2">
        <v>270.0</v>
      </c>
      <c r="B271" s="1" t="s">
        <v>874</v>
      </c>
      <c r="C271" s="1" t="s">
        <v>435</v>
      </c>
      <c r="D271" s="1" t="s">
        <v>875</v>
      </c>
      <c r="E271" s="2">
        <v>5.7003835369E11</v>
      </c>
      <c r="F271" s="1" t="s">
        <v>876</v>
      </c>
      <c r="G271" s="1" t="s">
        <v>12</v>
      </c>
      <c r="H271" s="1" t="s">
        <v>867</v>
      </c>
      <c r="I271" s="1" t="s">
        <v>868</v>
      </c>
      <c r="J271" s="1" t="s">
        <v>869</v>
      </c>
    </row>
    <row r="272" ht="15.75" customHeight="1">
      <c r="A272" s="2">
        <v>271.0</v>
      </c>
      <c r="B272" s="1" t="s">
        <v>734</v>
      </c>
      <c r="C272" s="1" t="s">
        <v>877</v>
      </c>
      <c r="D272" s="1" t="s">
        <v>878</v>
      </c>
      <c r="E272" s="2">
        <v>5.70038353693E11</v>
      </c>
      <c r="F272" s="1" t="s">
        <v>866</v>
      </c>
      <c r="G272" s="1" t="s">
        <v>12</v>
      </c>
      <c r="H272" s="1" t="s">
        <v>867</v>
      </c>
      <c r="I272" s="1" t="s">
        <v>868</v>
      </c>
      <c r="J272" s="1" t="s">
        <v>869</v>
      </c>
    </row>
    <row r="273" ht="15.75" customHeight="1">
      <c r="A273" s="2">
        <v>272.0</v>
      </c>
      <c r="B273" s="1" t="s">
        <v>879</v>
      </c>
      <c r="C273" s="1" t="s">
        <v>880</v>
      </c>
      <c r="D273" s="1" t="s">
        <v>734</v>
      </c>
      <c r="E273" s="2">
        <v>5.70038353694E11</v>
      </c>
      <c r="F273" s="1" t="s">
        <v>881</v>
      </c>
      <c r="G273" s="1" t="s">
        <v>135</v>
      </c>
      <c r="H273" s="1" t="s">
        <v>867</v>
      </c>
      <c r="I273" s="1" t="s">
        <v>868</v>
      </c>
      <c r="J273" s="1" t="s">
        <v>869</v>
      </c>
    </row>
    <row r="274" ht="15.75" customHeight="1">
      <c r="A274" s="2">
        <v>273.0</v>
      </c>
      <c r="B274" s="1" t="s">
        <v>882</v>
      </c>
      <c r="C274" s="1" t="s">
        <v>883</v>
      </c>
      <c r="D274" s="1" t="s">
        <v>58</v>
      </c>
      <c r="E274" s="2">
        <v>5.70038353695E11</v>
      </c>
      <c r="F274" s="1" t="s">
        <v>186</v>
      </c>
      <c r="G274" s="1" t="s">
        <v>12</v>
      </c>
      <c r="H274" s="1" t="s">
        <v>867</v>
      </c>
      <c r="I274" s="1" t="s">
        <v>868</v>
      </c>
      <c r="J274" s="1" t="s">
        <v>869</v>
      </c>
    </row>
    <row r="275" ht="15.75" customHeight="1">
      <c r="A275" s="2">
        <v>274.0</v>
      </c>
      <c r="B275" s="1" t="s">
        <v>515</v>
      </c>
      <c r="C275" s="1" t="s">
        <v>884</v>
      </c>
      <c r="D275" s="1" t="s">
        <v>885</v>
      </c>
      <c r="E275" s="2">
        <v>5.70038353696E11</v>
      </c>
      <c r="F275" s="1" t="s">
        <v>886</v>
      </c>
      <c r="G275" s="1" t="s">
        <v>12</v>
      </c>
      <c r="H275" s="1" t="s">
        <v>867</v>
      </c>
      <c r="I275" s="1" t="s">
        <v>868</v>
      </c>
      <c r="J275" s="1" t="s">
        <v>869</v>
      </c>
    </row>
    <row r="276" ht="15.75" customHeight="1">
      <c r="A276" s="2">
        <v>275.0</v>
      </c>
      <c r="B276" s="1" t="s">
        <v>183</v>
      </c>
      <c r="C276" s="1" t="s">
        <v>887</v>
      </c>
      <c r="D276" s="1" t="s">
        <v>888</v>
      </c>
      <c r="E276" s="2">
        <v>5.70038353698E11</v>
      </c>
      <c r="F276" s="1" t="s">
        <v>889</v>
      </c>
      <c r="G276" s="1" t="s">
        <v>12</v>
      </c>
      <c r="H276" s="1" t="s">
        <v>867</v>
      </c>
      <c r="I276" s="1" t="s">
        <v>868</v>
      </c>
      <c r="J276" s="1" t="s">
        <v>869</v>
      </c>
    </row>
    <row r="277" ht="15.75" customHeight="1">
      <c r="A277" s="2">
        <v>276.0</v>
      </c>
      <c r="B277" s="1" t="s">
        <v>890</v>
      </c>
      <c r="C277" s="1" t="s">
        <v>891</v>
      </c>
      <c r="D277" s="1" t="s">
        <v>892</v>
      </c>
      <c r="E277" s="2">
        <v>5.70038353699E11</v>
      </c>
      <c r="F277" s="1" t="s">
        <v>893</v>
      </c>
      <c r="G277" s="1" t="s">
        <v>12</v>
      </c>
      <c r="H277" s="1" t="s">
        <v>867</v>
      </c>
      <c r="I277" s="1" t="s">
        <v>868</v>
      </c>
      <c r="J277" s="1" t="s">
        <v>869</v>
      </c>
    </row>
    <row r="278" ht="15.75" customHeight="1">
      <c r="A278" s="2">
        <v>277.0</v>
      </c>
      <c r="B278" s="1" t="s">
        <v>347</v>
      </c>
      <c r="C278" s="1" t="s">
        <v>894</v>
      </c>
      <c r="D278" s="1" t="s">
        <v>895</v>
      </c>
      <c r="E278" s="2">
        <v>5.700383537E11</v>
      </c>
      <c r="F278" s="1" t="s">
        <v>896</v>
      </c>
      <c r="G278" s="1" t="s">
        <v>12</v>
      </c>
      <c r="H278" s="1" t="s">
        <v>867</v>
      </c>
      <c r="I278" s="1" t="s">
        <v>868</v>
      </c>
      <c r="J278" s="1" t="s">
        <v>869</v>
      </c>
    </row>
    <row r="279" ht="15.75" customHeight="1">
      <c r="A279" s="2">
        <v>278.0</v>
      </c>
      <c r="B279" s="1" t="s">
        <v>897</v>
      </c>
      <c r="C279" s="1" t="s">
        <v>898</v>
      </c>
      <c r="D279" s="1" t="s">
        <v>384</v>
      </c>
      <c r="E279" s="2">
        <v>5.70038353701E11</v>
      </c>
      <c r="F279" s="1" t="s">
        <v>899</v>
      </c>
      <c r="G279" s="1" t="s">
        <v>12</v>
      </c>
      <c r="H279" s="1" t="s">
        <v>867</v>
      </c>
      <c r="I279" s="1" t="s">
        <v>868</v>
      </c>
      <c r="J279" s="1" t="s">
        <v>869</v>
      </c>
    </row>
    <row r="280" ht="15.75" customHeight="1">
      <c r="A280" s="2">
        <v>279.0</v>
      </c>
      <c r="B280" s="1" t="s">
        <v>690</v>
      </c>
      <c r="C280" s="1" t="s">
        <v>900</v>
      </c>
      <c r="D280" s="1" t="s">
        <v>901</v>
      </c>
      <c r="E280" s="2">
        <v>5.70038353703E11</v>
      </c>
      <c r="F280" s="1" t="s">
        <v>902</v>
      </c>
      <c r="G280" s="1" t="s">
        <v>12</v>
      </c>
      <c r="H280" s="1" t="s">
        <v>867</v>
      </c>
      <c r="I280" s="1" t="s">
        <v>868</v>
      </c>
      <c r="J280" s="1" t="s">
        <v>869</v>
      </c>
    </row>
    <row r="281" ht="15.75" customHeight="1">
      <c r="A281" s="2">
        <v>280.0</v>
      </c>
      <c r="B281" s="1" t="s">
        <v>903</v>
      </c>
      <c r="C281" s="1" t="s">
        <v>904</v>
      </c>
      <c r="D281" s="1" t="s">
        <v>331</v>
      </c>
      <c r="E281" s="2">
        <v>5.70038353705E11</v>
      </c>
      <c r="F281" s="1" t="s">
        <v>905</v>
      </c>
      <c r="G281" s="1" t="s">
        <v>12</v>
      </c>
      <c r="H281" s="1" t="s">
        <v>867</v>
      </c>
      <c r="I281" s="1" t="s">
        <v>868</v>
      </c>
      <c r="J281" s="1" t="s">
        <v>869</v>
      </c>
    </row>
    <row r="282" ht="15.75" customHeight="1">
      <c r="A282" s="2">
        <v>281.0</v>
      </c>
      <c r="B282" s="1" t="s">
        <v>906</v>
      </c>
      <c r="C282" s="1" t="s">
        <v>132</v>
      </c>
      <c r="D282" s="1" t="s">
        <v>124</v>
      </c>
      <c r="E282" s="2">
        <v>5.70038353706E11</v>
      </c>
      <c r="F282" s="1" t="s">
        <v>907</v>
      </c>
      <c r="G282" s="1" t="s">
        <v>12</v>
      </c>
      <c r="H282" s="1" t="s">
        <v>867</v>
      </c>
      <c r="I282" s="1" t="s">
        <v>868</v>
      </c>
      <c r="J282" s="1" t="s">
        <v>869</v>
      </c>
    </row>
    <row r="283" ht="15.75" customHeight="1">
      <c r="A283" s="2">
        <v>282.0</v>
      </c>
      <c r="B283" s="1" t="s">
        <v>230</v>
      </c>
      <c r="C283" s="1" t="s">
        <v>908</v>
      </c>
      <c r="D283" s="1" t="s">
        <v>909</v>
      </c>
      <c r="E283" s="2">
        <v>5.70038353707E11</v>
      </c>
      <c r="F283" s="1" t="s">
        <v>910</v>
      </c>
      <c r="G283" s="1" t="s">
        <v>12</v>
      </c>
      <c r="H283" s="1" t="s">
        <v>867</v>
      </c>
      <c r="I283" s="1" t="s">
        <v>868</v>
      </c>
      <c r="J283" s="1" t="s">
        <v>869</v>
      </c>
    </row>
    <row r="284" ht="15.75" customHeight="1">
      <c r="A284" s="2">
        <v>283.0</v>
      </c>
      <c r="B284" s="1" t="s">
        <v>335</v>
      </c>
      <c r="C284" s="1" t="s">
        <v>911</v>
      </c>
      <c r="D284" s="1" t="s">
        <v>77</v>
      </c>
      <c r="E284" s="2">
        <v>5.70038353708E11</v>
      </c>
      <c r="F284" s="1" t="s">
        <v>912</v>
      </c>
      <c r="G284" s="1" t="s">
        <v>12</v>
      </c>
      <c r="H284" s="1" t="s">
        <v>867</v>
      </c>
      <c r="I284" s="1" t="s">
        <v>868</v>
      </c>
      <c r="J284" s="1" t="s">
        <v>869</v>
      </c>
    </row>
    <row r="285" ht="15.75" customHeight="1">
      <c r="A285" s="2">
        <v>284.0</v>
      </c>
      <c r="B285" s="1" t="s">
        <v>725</v>
      </c>
      <c r="C285" s="1" t="s">
        <v>913</v>
      </c>
      <c r="D285" s="1" t="s">
        <v>914</v>
      </c>
      <c r="E285" s="2">
        <v>5.70038353709E11</v>
      </c>
      <c r="F285" s="1" t="s">
        <v>915</v>
      </c>
      <c r="G285" s="1" t="s">
        <v>12</v>
      </c>
      <c r="H285" s="1" t="s">
        <v>867</v>
      </c>
      <c r="I285" s="1" t="s">
        <v>868</v>
      </c>
      <c r="J285" s="1" t="s">
        <v>869</v>
      </c>
    </row>
    <row r="286" ht="15.75" customHeight="1">
      <c r="A286" s="2">
        <v>285.0</v>
      </c>
      <c r="B286" s="1" t="s">
        <v>263</v>
      </c>
      <c r="C286" s="1" t="s">
        <v>639</v>
      </c>
      <c r="D286" s="1" t="s">
        <v>77</v>
      </c>
      <c r="E286" s="2">
        <v>5.7003835371E11</v>
      </c>
      <c r="F286" s="1" t="s">
        <v>916</v>
      </c>
      <c r="G286" s="1" t="s">
        <v>12</v>
      </c>
      <c r="H286" s="1" t="s">
        <v>867</v>
      </c>
      <c r="I286" s="1" t="s">
        <v>868</v>
      </c>
      <c r="J286" s="1" t="s">
        <v>869</v>
      </c>
    </row>
    <row r="287" ht="15.75" customHeight="1">
      <c r="A287" s="2">
        <v>286.0</v>
      </c>
      <c r="B287" s="1" t="s">
        <v>596</v>
      </c>
      <c r="C287" s="1" t="s">
        <v>574</v>
      </c>
      <c r="D287" s="1" t="s">
        <v>917</v>
      </c>
      <c r="E287" s="2">
        <v>5.70038353712E11</v>
      </c>
      <c r="F287" s="1" t="s">
        <v>918</v>
      </c>
      <c r="G287" s="1" t="s">
        <v>12</v>
      </c>
      <c r="H287" s="1" t="s">
        <v>867</v>
      </c>
      <c r="I287" s="1" t="s">
        <v>868</v>
      </c>
      <c r="J287" s="1" t="s">
        <v>869</v>
      </c>
    </row>
    <row r="288" ht="15.75" customHeight="1">
      <c r="A288" s="2">
        <v>287.0</v>
      </c>
      <c r="B288" s="1" t="s">
        <v>919</v>
      </c>
      <c r="C288" s="1" t="s">
        <v>920</v>
      </c>
      <c r="D288" s="1" t="s">
        <v>187</v>
      </c>
      <c r="E288" s="2">
        <v>5.70038353714E11</v>
      </c>
      <c r="F288" s="1" t="s">
        <v>921</v>
      </c>
      <c r="G288" s="1" t="s">
        <v>12</v>
      </c>
      <c r="H288" s="1" t="s">
        <v>867</v>
      </c>
      <c r="I288" s="1" t="s">
        <v>868</v>
      </c>
      <c r="J288" s="1" t="s">
        <v>869</v>
      </c>
    </row>
    <row r="289" ht="15.75" customHeight="1">
      <c r="A289" s="2">
        <v>288.0</v>
      </c>
      <c r="B289" s="1" t="s">
        <v>922</v>
      </c>
      <c r="C289" s="1" t="s">
        <v>923</v>
      </c>
      <c r="D289" s="1" t="s">
        <v>804</v>
      </c>
      <c r="E289" s="2">
        <v>5.70038353715E11</v>
      </c>
      <c r="F289" s="1" t="s">
        <v>924</v>
      </c>
      <c r="G289" s="1" t="s">
        <v>12</v>
      </c>
      <c r="H289" s="1" t="s">
        <v>867</v>
      </c>
      <c r="I289" s="1" t="s">
        <v>868</v>
      </c>
      <c r="J289" s="1" t="s">
        <v>869</v>
      </c>
    </row>
    <row r="290" ht="15.75" customHeight="1">
      <c r="A290" s="2">
        <v>289.0</v>
      </c>
      <c r="B290" s="1" t="s">
        <v>290</v>
      </c>
      <c r="C290" s="1" t="s">
        <v>925</v>
      </c>
      <c r="D290" s="1" t="s">
        <v>926</v>
      </c>
      <c r="E290" s="2">
        <v>5.70038353716E11</v>
      </c>
      <c r="F290" s="1" t="s">
        <v>927</v>
      </c>
      <c r="G290" s="1" t="s">
        <v>12</v>
      </c>
      <c r="H290" s="1" t="s">
        <v>867</v>
      </c>
      <c r="I290" s="1" t="s">
        <v>868</v>
      </c>
      <c r="J290" s="1" t="s">
        <v>869</v>
      </c>
    </row>
    <row r="291" ht="15.75" customHeight="1">
      <c r="A291" s="2">
        <v>290.0</v>
      </c>
      <c r="B291" s="1" t="s">
        <v>928</v>
      </c>
      <c r="C291" s="1" t="s">
        <v>63</v>
      </c>
      <c r="D291" s="1" t="s">
        <v>153</v>
      </c>
      <c r="E291" s="2">
        <v>5.70038353717E11</v>
      </c>
      <c r="F291" s="1" t="s">
        <v>929</v>
      </c>
      <c r="G291" s="1" t="s">
        <v>12</v>
      </c>
      <c r="H291" s="1" t="s">
        <v>867</v>
      </c>
      <c r="I291" s="1" t="s">
        <v>868</v>
      </c>
      <c r="J291" s="1" t="s">
        <v>869</v>
      </c>
    </row>
    <row r="292" ht="15.75" customHeight="1">
      <c r="A292" s="2">
        <v>291.0</v>
      </c>
      <c r="B292" s="1" t="s">
        <v>58</v>
      </c>
      <c r="C292" s="1" t="s">
        <v>930</v>
      </c>
      <c r="D292" s="1" t="s">
        <v>931</v>
      </c>
      <c r="E292" s="2">
        <v>5.7003835372E11</v>
      </c>
      <c r="F292" s="1" t="s">
        <v>932</v>
      </c>
      <c r="G292" s="1" t="s">
        <v>12</v>
      </c>
      <c r="H292" s="1" t="s">
        <v>867</v>
      </c>
      <c r="I292" s="1" t="s">
        <v>868</v>
      </c>
      <c r="J292" s="1" t="s">
        <v>869</v>
      </c>
    </row>
    <row r="293" ht="15.75" customHeight="1">
      <c r="A293" s="2">
        <v>292.0</v>
      </c>
      <c r="B293" s="1" t="s">
        <v>60</v>
      </c>
      <c r="C293" s="1" t="s">
        <v>933</v>
      </c>
      <c r="D293" s="1" t="s">
        <v>230</v>
      </c>
      <c r="E293" s="2">
        <v>5.70038353721E11</v>
      </c>
      <c r="F293" s="1" t="s">
        <v>934</v>
      </c>
      <c r="G293" s="1" t="s">
        <v>12</v>
      </c>
      <c r="H293" s="1" t="s">
        <v>867</v>
      </c>
      <c r="I293" s="1" t="s">
        <v>868</v>
      </c>
      <c r="J293" s="1" t="s">
        <v>869</v>
      </c>
    </row>
    <row r="294" ht="15.75" customHeight="1">
      <c r="A294" s="2">
        <v>293.0</v>
      </c>
      <c r="B294" s="1" t="s">
        <v>935</v>
      </c>
      <c r="C294" s="1" t="s">
        <v>936</v>
      </c>
      <c r="D294" s="1" t="s">
        <v>295</v>
      </c>
      <c r="E294" s="2">
        <v>5.70038353723E11</v>
      </c>
      <c r="F294" s="1" t="s">
        <v>937</v>
      </c>
      <c r="G294" s="1" t="s">
        <v>12</v>
      </c>
      <c r="H294" s="1" t="s">
        <v>867</v>
      </c>
      <c r="I294" s="1" t="s">
        <v>868</v>
      </c>
      <c r="J294" s="1" t="s">
        <v>869</v>
      </c>
    </row>
    <row r="295" ht="15.75" customHeight="1">
      <c r="A295" s="2">
        <v>294.0</v>
      </c>
      <c r="B295" s="1" t="s">
        <v>690</v>
      </c>
      <c r="C295" s="1" t="s">
        <v>938</v>
      </c>
      <c r="D295" s="1" t="s">
        <v>513</v>
      </c>
      <c r="E295" s="2">
        <v>5.70038353725E11</v>
      </c>
      <c r="F295" s="1" t="s">
        <v>939</v>
      </c>
      <c r="G295" s="1" t="s">
        <v>12</v>
      </c>
      <c r="H295" s="1" t="s">
        <v>867</v>
      </c>
      <c r="I295" s="1" t="s">
        <v>868</v>
      </c>
      <c r="J295" s="1" t="s">
        <v>869</v>
      </c>
    </row>
    <row r="296" ht="15.75" customHeight="1">
      <c r="A296" s="2">
        <v>295.0</v>
      </c>
      <c r="B296" s="1" t="s">
        <v>940</v>
      </c>
      <c r="C296" s="1" t="s">
        <v>941</v>
      </c>
      <c r="D296" s="1" t="s">
        <v>942</v>
      </c>
      <c r="E296" s="2">
        <v>5.70038353726E11</v>
      </c>
      <c r="F296" s="1" t="s">
        <v>943</v>
      </c>
      <c r="G296" s="1" t="s">
        <v>12</v>
      </c>
      <c r="H296" s="1" t="s">
        <v>867</v>
      </c>
      <c r="I296" s="1" t="s">
        <v>868</v>
      </c>
      <c r="J296" s="1" t="s">
        <v>869</v>
      </c>
    </row>
    <row r="297" ht="15.75" customHeight="1">
      <c r="A297" s="2">
        <v>296.0</v>
      </c>
      <c r="B297" s="1" t="s">
        <v>944</v>
      </c>
      <c r="C297" s="1" t="s">
        <v>945</v>
      </c>
      <c r="D297" s="1" t="s">
        <v>946</v>
      </c>
      <c r="E297" s="2">
        <v>5.70038353727E11</v>
      </c>
      <c r="F297" s="1" t="s">
        <v>947</v>
      </c>
      <c r="G297" s="1" t="s">
        <v>12</v>
      </c>
      <c r="H297" s="1" t="s">
        <v>867</v>
      </c>
      <c r="I297" s="1" t="s">
        <v>868</v>
      </c>
      <c r="J297" s="1" t="s">
        <v>869</v>
      </c>
    </row>
    <row r="298" ht="15.75" customHeight="1">
      <c r="A298" s="2">
        <v>297.0</v>
      </c>
      <c r="B298" s="1" t="s">
        <v>149</v>
      </c>
      <c r="C298" s="1" t="s">
        <v>948</v>
      </c>
      <c r="D298" s="1" t="s">
        <v>949</v>
      </c>
      <c r="E298" s="2">
        <v>5.7003835373E11</v>
      </c>
      <c r="F298" s="1" t="s">
        <v>912</v>
      </c>
      <c r="G298" s="1" t="s">
        <v>12</v>
      </c>
      <c r="H298" s="1" t="s">
        <v>867</v>
      </c>
      <c r="I298" s="1" t="s">
        <v>868</v>
      </c>
      <c r="J298" s="1" t="s">
        <v>869</v>
      </c>
    </row>
    <row r="299" ht="15.75" customHeight="1">
      <c r="A299" s="2">
        <v>298.0</v>
      </c>
      <c r="B299" s="1" t="s">
        <v>611</v>
      </c>
      <c r="C299" s="1" t="s">
        <v>950</v>
      </c>
      <c r="D299" s="1" t="s">
        <v>951</v>
      </c>
      <c r="E299" s="2">
        <v>5.70038353732E11</v>
      </c>
      <c r="F299" s="1" t="s">
        <v>952</v>
      </c>
      <c r="G299" s="1" t="s">
        <v>12</v>
      </c>
      <c r="H299" s="1" t="s">
        <v>867</v>
      </c>
      <c r="I299" s="1" t="s">
        <v>868</v>
      </c>
      <c r="J299" s="1" t="s">
        <v>869</v>
      </c>
    </row>
    <row r="300" ht="15.75" customHeight="1">
      <c r="A300" s="2">
        <v>299.0</v>
      </c>
      <c r="B300" s="1" t="s">
        <v>953</v>
      </c>
      <c r="C300" s="1" t="s">
        <v>954</v>
      </c>
      <c r="D300" s="1" t="s">
        <v>955</v>
      </c>
      <c r="E300" s="2">
        <v>5.70038353734E11</v>
      </c>
      <c r="F300" s="1" t="s">
        <v>956</v>
      </c>
      <c r="G300" s="1" t="s">
        <v>12</v>
      </c>
      <c r="H300" s="1" t="s">
        <v>867</v>
      </c>
      <c r="I300" s="1" t="s">
        <v>868</v>
      </c>
      <c r="J300" s="1" t="s">
        <v>869</v>
      </c>
    </row>
    <row r="301" ht="15.75" customHeight="1">
      <c r="A301" s="2">
        <v>300.0</v>
      </c>
      <c r="B301" s="1" t="s">
        <v>957</v>
      </c>
      <c r="C301" s="1" t="s">
        <v>958</v>
      </c>
      <c r="D301" s="1" t="s">
        <v>959</v>
      </c>
      <c r="E301" s="2">
        <v>5.70038353737E11</v>
      </c>
      <c r="F301" s="1" t="s">
        <v>960</v>
      </c>
      <c r="G301" s="1" t="s">
        <v>12</v>
      </c>
      <c r="H301" s="1" t="s">
        <v>867</v>
      </c>
      <c r="I301" s="1" t="s">
        <v>868</v>
      </c>
      <c r="J301" s="1" t="s">
        <v>869</v>
      </c>
    </row>
    <row r="302" ht="15.75" customHeight="1">
      <c r="A302" s="2">
        <v>301.0</v>
      </c>
      <c r="B302" s="1" t="s">
        <v>743</v>
      </c>
      <c r="C302" s="1" t="s">
        <v>961</v>
      </c>
      <c r="D302" s="1" t="s">
        <v>153</v>
      </c>
      <c r="E302" s="2">
        <v>5.70038353738E11</v>
      </c>
      <c r="F302" s="1" t="s">
        <v>962</v>
      </c>
      <c r="G302" s="1" t="s">
        <v>12</v>
      </c>
      <c r="H302" s="1" t="s">
        <v>867</v>
      </c>
      <c r="I302" s="1" t="s">
        <v>868</v>
      </c>
      <c r="J302" s="1" t="s">
        <v>869</v>
      </c>
    </row>
    <row r="303" ht="15.75" customHeight="1">
      <c r="A303" s="2">
        <v>302.0</v>
      </c>
      <c r="B303" s="1" t="s">
        <v>897</v>
      </c>
      <c r="C303" s="1" t="s">
        <v>963</v>
      </c>
      <c r="D303" s="1" t="s">
        <v>964</v>
      </c>
      <c r="E303" s="2">
        <v>5.70038353739E11</v>
      </c>
      <c r="F303" s="1" t="s">
        <v>965</v>
      </c>
      <c r="G303" s="1" t="s">
        <v>417</v>
      </c>
      <c r="H303" s="1" t="s">
        <v>867</v>
      </c>
      <c r="I303" s="1" t="s">
        <v>868</v>
      </c>
      <c r="J303" s="1" t="s">
        <v>869</v>
      </c>
    </row>
    <row r="304" ht="15.75" customHeight="1">
      <c r="A304" s="2">
        <v>303.0</v>
      </c>
      <c r="B304" s="1" t="s">
        <v>966</v>
      </c>
      <c r="C304" s="1" t="s">
        <v>967</v>
      </c>
      <c r="D304" s="1" t="s">
        <v>968</v>
      </c>
      <c r="E304" s="2">
        <v>5.7003835374E11</v>
      </c>
      <c r="F304" s="1" t="s">
        <v>969</v>
      </c>
      <c r="G304" s="1" t="s">
        <v>12</v>
      </c>
      <c r="H304" s="1" t="s">
        <v>867</v>
      </c>
      <c r="I304" s="1" t="s">
        <v>868</v>
      </c>
      <c r="J304" s="1" t="s">
        <v>869</v>
      </c>
    </row>
    <row r="305" ht="15.75" customHeight="1">
      <c r="A305" s="2">
        <v>304.0</v>
      </c>
      <c r="B305" s="1" t="s">
        <v>16</v>
      </c>
      <c r="C305" s="1" t="s">
        <v>970</v>
      </c>
      <c r="D305" s="1" t="s">
        <v>971</v>
      </c>
      <c r="E305" s="2">
        <v>5.70038353741E11</v>
      </c>
      <c r="F305" s="1" t="s">
        <v>972</v>
      </c>
      <c r="G305" s="1" t="s">
        <v>12</v>
      </c>
      <c r="H305" s="1" t="s">
        <v>867</v>
      </c>
      <c r="I305" s="1" t="s">
        <v>868</v>
      </c>
      <c r="J305" s="1" t="s">
        <v>869</v>
      </c>
    </row>
    <row r="306" ht="15.75" customHeight="1">
      <c r="A306" s="2">
        <v>305.0</v>
      </c>
      <c r="B306" s="1" t="s">
        <v>973</v>
      </c>
      <c r="C306" s="1" t="s">
        <v>580</v>
      </c>
      <c r="D306" s="1" t="s">
        <v>974</v>
      </c>
      <c r="E306" s="2">
        <v>5.70038353743E11</v>
      </c>
      <c r="F306" s="1" t="s">
        <v>975</v>
      </c>
      <c r="G306" s="1" t="s">
        <v>12</v>
      </c>
      <c r="H306" s="1" t="s">
        <v>867</v>
      </c>
      <c r="I306" s="1" t="s">
        <v>868</v>
      </c>
      <c r="J306" s="1" t="s">
        <v>869</v>
      </c>
    </row>
    <row r="307" ht="15.75" customHeight="1">
      <c r="A307" s="2">
        <v>306.0</v>
      </c>
      <c r="B307" s="1" t="s">
        <v>48</v>
      </c>
      <c r="C307" s="1" t="s">
        <v>976</v>
      </c>
      <c r="D307" s="1" t="s">
        <v>977</v>
      </c>
      <c r="E307" s="2">
        <v>5.70038353756E11</v>
      </c>
      <c r="F307" s="1" t="s">
        <v>978</v>
      </c>
      <c r="G307" s="1" t="s">
        <v>12</v>
      </c>
      <c r="H307" s="1" t="s">
        <v>867</v>
      </c>
      <c r="I307" s="1" t="s">
        <v>868</v>
      </c>
      <c r="J307" s="1" t="s">
        <v>869</v>
      </c>
    </row>
    <row r="308" ht="15.75" customHeight="1">
      <c r="A308" s="2">
        <v>307.0</v>
      </c>
      <c r="B308" s="1" t="s">
        <v>979</v>
      </c>
      <c r="C308" s="1" t="s">
        <v>67</v>
      </c>
      <c r="D308" s="1" t="s">
        <v>980</v>
      </c>
      <c r="E308" s="2">
        <v>5.70038353758E11</v>
      </c>
      <c r="F308" s="1" t="s">
        <v>981</v>
      </c>
      <c r="G308" s="1" t="s">
        <v>12</v>
      </c>
      <c r="H308" s="1" t="s">
        <v>867</v>
      </c>
      <c r="I308" s="1" t="s">
        <v>868</v>
      </c>
      <c r="J308" s="1" t="s">
        <v>869</v>
      </c>
    </row>
    <row r="309" ht="15.75" customHeight="1">
      <c r="A309" s="2">
        <v>308.0</v>
      </c>
      <c r="B309" s="1" t="s">
        <v>596</v>
      </c>
      <c r="C309" s="1" t="s">
        <v>982</v>
      </c>
      <c r="D309" s="1" t="s">
        <v>48</v>
      </c>
      <c r="E309" s="2">
        <v>5.70038353759E11</v>
      </c>
      <c r="F309" s="1" t="s">
        <v>595</v>
      </c>
      <c r="G309" s="1" t="s">
        <v>12</v>
      </c>
      <c r="H309" s="1" t="s">
        <v>867</v>
      </c>
      <c r="I309" s="1" t="s">
        <v>868</v>
      </c>
      <c r="J309" s="1" t="s">
        <v>869</v>
      </c>
    </row>
    <row r="310" ht="15.75" customHeight="1">
      <c r="A310" s="2">
        <v>309.0</v>
      </c>
      <c r="B310" s="1" t="s">
        <v>608</v>
      </c>
      <c r="C310" s="1" t="s">
        <v>983</v>
      </c>
      <c r="D310" s="1" t="s">
        <v>984</v>
      </c>
      <c r="E310" s="2">
        <v>5.70038353763E11</v>
      </c>
      <c r="F310" s="1" t="s">
        <v>985</v>
      </c>
      <c r="G310" s="1" t="s">
        <v>12</v>
      </c>
      <c r="H310" s="1" t="s">
        <v>867</v>
      </c>
      <c r="I310" s="1" t="s">
        <v>868</v>
      </c>
      <c r="J310" s="1" t="s">
        <v>869</v>
      </c>
    </row>
    <row r="311" ht="15.75" customHeight="1">
      <c r="A311" s="2">
        <v>310.0</v>
      </c>
      <c r="B311" s="1" t="s">
        <v>986</v>
      </c>
      <c r="C311" s="1" t="s">
        <v>338</v>
      </c>
      <c r="D311" s="1" t="s">
        <v>987</v>
      </c>
      <c r="E311" s="2">
        <v>5.70038353764E11</v>
      </c>
      <c r="F311" s="1" t="s">
        <v>988</v>
      </c>
      <c r="G311" s="1" t="s">
        <v>12</v>
      </c>
      <c r="H311" s="1" t="s">
        <v>867</v>
      </c>
      <c r="I311" s="1" t="s">
        <v>868</v>
      </c>
      <c r="J311" s="1" t="s">
        <v>869</v>
      </c>
    </row>
    <row r="312" ht="15.75" customHeight="1">
      <c r="A312" s="2">
        <v>311.0</v>
      </c>
      <c r="B312" s="1" t="s">
        <v>989</v>
      </c>
      <c r="C312" s="1" t="s">
        <v>990</v>
      </c>
      <c r="D312" s="1" t="s">
        <v>991</v>
      </c>
      <c r="E312" s="2">
        <v>5.70038353766E11</v>
      </c>
      <c r="F312" s="1" t="s">
        <v>992</v>
      </c>
      <c r="G312" s="1" t="s">
        <v>12</v>
      </c>
      <c r="H312" s="1" t="s">
        <v>867</v>
      </c>
      <c r="I312" s="1" t="s">
        <v>868</v>
      </c>
      <c r="J312" s="1" t="s">
        <v>869</v>
      </c>
    </row>
    <row r="313" ht="15.75" customHeight="1">
      <c r="A313" s="2">
        <v>312.0</v>
      </c>
      <c r="B313" s="1" t="s">
        <v>993</v>
      </c>
      <c r="C313" s="1" t="s">
        <v>994</v>
      </c>
      <c r="D313" s="1" t="s">
        <v>995</v>
      </c>
      <c r="E313" s="2">
        <v>5.70038353768E11</v>
      </c>
      <c r="F313" s="1" t="s">
        <v>996</v>
      </c>
      <c r="G313" s="1" t="s">
        <v>12</v>
      </c>
      <c r="H313" s="1" t="s">
        <v>867</v>
      </c>
      <c r="I313" s="1" t="s">
        <v>868</v>
      </c>
      <c r="J313" s="1" t="s">
        <v>869</v>
      </c>
    </row>
    <row r="314" ht="15.75" customHeight="1">
      <c r="A314" s="2">
        <v>313.0</v>
      </c>
      <c r="B314" s="1" t="s">
        <v>997</v>
      </c>
      <c r="C314" s="1" t="s">
        <v>998</v>
      </c>
      <c r="D314" s="1" t="s">
        <v>999</v>
      </c>
      <c r="E314" s="2">
        <v>5.70038353771E11</v>
      </c>
      <c r="F314" s="1" t="s">
        <v>1000</v>
      </c>
      <c r="G314" s="1" t="s">
        <v>12</v>
      </c>
      <c r="H314" s="1" t="s">
        <v>867</v>
      </c>
      <c r="I314" s="1" t="s">
        <v>868</v>
      </c>
      <c r="J314" s="1" t="s">
        <v>869</v>
      </c>
    </row>
    <row r="315" ht="15.75" customHeight="1">
      <c r="A315" s="2">
        <v>314.0</v>
      </c>
      <c r="B315" s="1" t="s">
        <v>1001</v>
      </c>
      <c r="C315" s="1" t="s">
        <v>1002</v>
      </c>
      <c r="D315" s="1" t="s">
        <v>1003</v>
      </c>
      <c r="E315" s="2">
        <v>5.70038353776E11</v>
      </c>
      <c r="F315" s="1" t="s">
        <v>1004</v>
      </c>
      <c r="G315" s="1" t="s">
        <v>12</v>
      </c>
      <c r="H315" s="1" t="s">
        <v>867</v>
      </c>
      <c r="I315" s="1" t="s">
        <v>868</v>
      </c>
      <c r="J315" s="1" t="s">
        <v>869</v>
      </c>
    </row>
    <row r="316" ht="15.75" customHeight="1">
      <c r="A316" s="2">
        <v>315.0</v>
      </c>
      <c r="B316" s="1" t="s">
        <v>1005</v>
      </c>
      <c r="C316" s="1" t="s">
        <v>1006</v>
      </c>
      <c r="D316" s="1" t="s">
        <v>1007</v>
      </c>
      <c r="E316" s="2">
        <v>5.70038353777E11</v>
      </c>
      <c r="F316" s="1" t="s">
        <v>1008</v>
      </c>
      <c r="G316" s="1" t="s">
        <v>12</v>
      </c>
      <c r="H316" s="1" t="s">
        <v>867</v>
      </c>
      <c r="I316" s="1" t="s">
        <v>868</v>
      </c>
      <c r="J316" s="1" t="s">
        <v>869</v>
      </c>
    </row>
    <row r="317" ht="15.75" customHeight="1">
      <c r="A317" s="2">
        <v>316.0</v>
      </c>
      <c r="B317" s="1" t="s">
        <v>1009</v>
      </c>
      <c r="C317" s="1" t="s">
        <v>1010</v>
      </c>
      <c r="D317" s="1" t="s">
        <v>1011</v>
      </c>
      <c r="E317" s="2">
        <v>5.70038353779E11</v>
      </c>
      <c r="F317" s="1" t="s">
        <v>1012</v>
      </c>
      <c r="G317" s="1" t="s">
        <v>12</v>
      </c>
      <c r="H317" s="1" t="s">
        <v>867</v>
      </c>
      <c r="I317" s="1" t="s">
        <v>868</v>
      </c>
      <c r="J317" s="1" t="s">
        <v>869</v>
      </c>
    </row>
    <row r="318" ht="15.75" customHeight="1">
      <c r="A318" s="2">
        <v>317.0</v>
      </c>
      <c r="B318" s="1" t="s">
        <v>1013</v>
      </c>
      <c r="C318" s="1" t="s">
        <v>1014</v>
      </c>
      <c r="D318" s="1" t="s">
        <v>1015</v>
      </c>
      <c r="E318" s="2">
        <v>5.70038353781E11</v>
      </c>
      <c r="F318" s="1" t="s">
        <v>1016</v>
      </c>
      <c r="G318" s="1" t="s">
        <v>12</v>
      </c>
      <c r="H318" s="1" t="s">
        <v>867</v>
      </c>
      <c r="I318" s="1" t="s">
        <v>868</v>
      </c>
      <c r="J318" s="1" t="s">
        <v>869</v>
      </c>
    </row>
    <row r="319" ht="15.75" customHeight="1">
      <c r="A319" s="2">
        <v>318.0</v>
      </c>
      <c r="B319" s="1" t="s">
        <v>1017</v>
      </c>
      <c r="C319" s="1" t="s">
        <v>1002</v>
      </c>
      <c r="D319" s="1" t="s">
        <v>1018</v>
      </c>
      <c r="E319" s="2">
        <v>5.70038353782E11</v>
      </c>
      <c r="F319" s="1" t="s">
        <v>1019</v>
      </c>
      <c r="G319" s="1" t="s">
        <v>12</v>
      </c>
      <c r="H319" s="1" t="s">
        <v>867</v>
      </c>
      <c r="I319" s="1" t="s">
        <v>868</v>
      </c>
      <c r="J319" s="1" t="s">
        <v>869</v>
      </c>
    </row>
    <row r="320" ht="15.75" customHeight="1">
      <c r="A320" s="2">
        <v>319.0</v>
      </c>
      <c r="B320" s="1" t="s">
        <v>1020</v>
      </c>
      <c r="C320" s="1" t="s">
        <v>1021</v>
      </c>
      <c r="D320" s="1" t="s">
        <v>1022</v>
      </c>
      <c r="E320" s="2">
        <v>5.70038353783E11</v>
      </c>
      <c r="F320" s="1" t="s">
        <v>1023</v>
      </c>
      <c r="G320" s="1" t="s">
        <v>12</v>
      </c>
      <c r="H320" s="1" t="s">
        <v>867</v>
      </c>
      <c r="I320" s="1" t="s">
        <v>868</v>
      </c>
      <c r="J320" s="1" t="s">
        <v>869</v>
      </c>
    </row>
    <row r="321" ht="15.75" customHeight="1">
      <c r="A321" s="2">
        <v>320.0</v>
      </c>
      <c r="B321" s="1" t="s">
        <v>993</v>
      </c>
      <c r="C321" s="1" t="s">
        <v>1024</v>
      </c>
      <c r="D321" s="1" t="s">
        <v>1025</v>
      </c>
      <c r="E321" s="2">
        <v>5.70038353784E11</v>
      </c>
      <c r="F321" s="1" t="s">
        <v>1026</v>
      </c>
      <c r="G321" s="1" t="s">
        <v>12</v>
      </c>
      <c r="H321" s="1" t="s">
        <v>867</v>
      </c>
      <c r="I321" s="1" t="s">
        <v>868</v>
      </c>
      <c r="J321" s="1" t="s">
        <v>869</v>
      </c>
    </row>
    <row r="322" ht="15.75" customHeight="1">
      <c r="A322" s="2">
        <v>321.0</v>
      </c>
      <c r="B322" s="1" t="s">
        <v>1027</v>
      </c>
      <c r="C322" s="1" t="s">
        <v>1028</v>
      </c>
      <c r="D322" s="1" t="s">
        <v>1029</v>
      </c>
      <c r="E322" s="2">
        <v>5.70038353786E11</v>
      </c>
      <c r="F322" s="1" t="s">
        <v>1030</v>
      </c>
      <c r="G322" s="1" t="s">
        <v>12</v>
      </c>
      <c r="H322" s="1" t="s">
        <v>867</v>
      </c>
      <c r="I322" s="1" t="s">
        <v>868</v>
      </c>
      <c r="J322" s="1" t="s">
        <v>869</v>
      </c>
    </row>
    <row r="323" ht="15.75" customHeight="1">
      <c r="A323" s="2">
        <v>322.0</v>
      </c>
      <c r="B323" s="1" t="s">
        <v>1031</v>
      </c>
      <c r="C323" s="1" t="s">
        <v>1032</v>
      </c>
      <c r="D323" s="1" t="s">
        <v>1033</v>
      </c>
      <c r="E323" s="2">
        <v>5.70038353788E11</v>
      </c>
      <c r="F323" s="1" t="s">
        <v>1034</v>
      </c>
      <c r="G323" s="1" t="s">
        <v>12</v>
      </c>
      <c r="H323" s="1" t="s">
        <v>867</v>
      </c>
      <c r="I323" s="1" t="s">
        <v>868</v>
      </c>
      <c r="J323" s="1" t="s">
        <v>869</v>
      </c>
    </row>
    <row r="324" ht="15.75" customHeight="1">
      <c r="A324" s="2">
        <v>323.0</v>
      </c>
      <c r="B324" s="1" t="s">
        <v>350</v>
      </c>
      <c r="C324" s="1" t="s">
        <v>1035</v>
      </c>
      <c r="D324" s="1" t="s">
        <v>1036</v>
      </c>
      <c r="E324" s="2">
        <v>5.70038353796E11</v>
      </c>
      <c r="F324" s="1" t="s">
        <v>1037</v>
      </c>
      <c r="G324" s="1" t="s">
        <v>12</v>
      </c>
      <c r="H324" s="1" t="s">
        <v>867</v>
      </c>
      <c r="I324" s="1" t="s">
        <v>868</v>
      </c>
      <c r="J324" s="1" t="s">
        <v>869</v>
      </c>
    </row>
    <row r="325" ht="15.75" customHeight="1">
      <c r="A325" s="2">
        <v>324.0</v>
      </c>
      <c r="B325" s="1" t="s">
        <v>445</v>
      </c>
      <c r="C325" s="1" t="s">
        <v>1038</v>
      </c>
      <c r="D325" s="1" t="s">
        <v>1039</v>
      </c>
      <c r="E325" s="2">
        <v>5.700383538E11</v>
      </c>
      <c r="F325" s="1" t="s">
        <v>1040</v>
      </c>
      <c r="G325" s="1" t="s">
        <v>12</v>
      </c>
      <c r="H325" s="1" t="s">
        <v>867</v>
      </c>
      <c r="I325" s="1" t="s">
        <v>868</v>
      </c>
      <c r="J325" s="1" t="s">
        <v>869</v>
      </c>
    </row>
    <row r="326" ht="15.75" customHeight="1">
      <c r="A326" s="2">
        <v>325.0</v>
      </c>
      <c r="B326" s="1" t="s">
        <v>1041</v>
      </c>
      <c r="C326" s="1" t="s">
        <v>1042</v>
      </c>
      <c r="D326" s="1" t="s">
        <v>1043</v>
      </c>
      <c r="E326" s="2">
        <v>5.70038353801E11</v>
      </c>
      <c r="F326" s="1" t="s">
        <v>1044</v>
      </c>
      <c r="G326" s="1" t="s">
        <v>12</v>
      </c>
      <c r="H326" s="1" t="s">
        <v>867</v>
      </c>
      <c r="I326" s="1" t="s">
        <v>868</v>
      </c>
      <c r="J326" s="1" t="s">
        <v>869</v>
      </c>
    </row>
    <row r="327" ht="15.75" customHeight="1">
      <c r="A327" s="2">
        <v>326.0</v>
      </c>
      <c r="B327" s="1" t="s">
        <v>1045</v>
      </c>
      <c r="C327" s="1" t="s">
        <v>1046</v>
      </c>
      <c r="D327" s="1" t="s">
        <v>77</v>
      </c>
      <c r="E327" s="2">
        <v>5.70038353802E11</v>
      </c>
      <c r="F327" s="1" t="s">
        <v>860</v>
      </c>
      <c r="G327" s="1" t="s">
        <v>12</v>
      </c>
      <c r="H327" s="1" t="s">
        <v>867</v>
      </c>
      <c r="I327" s="1" t="s">
        <v>868</v>
      </c>
      <c r="J327" s="1" t="s">
        <v>869</v>
      </c>
    </row>
    <row r="328" ht="15.75" customHeight="1">
      <c r="A328" s="2">
        <v>327.0</v>
      </c>
      <c r="B328" s="1" t="s">
        <v>243</v>
      </c>
      <c r="C328" s="1" t="s">
        <v>351</v>
      </c>
      <c r="D328" s="1" t="s">
        <v>1047</v>
      </c>
      <c r="E328" s="2">
        <v>5.70038353803E11</v>
      </c>
      <c r="F328" s="1" t="s">
        <v>1048</v>
      </c>
      <c r="G328" s="1" t="s">
        <v>12</v>
      </c>
      <c r="H328" s="1" t="s">
        <v>867</v>
      </c>
      <c r="I328" s="1" t="s">
        <v>868</v>
      </c>
      <c r="J328" s="1" t="s">
        <v>869</v>
      </c>
    </row>
    <row r="329" ht="15.75" customHeight="1">
      <c r="A329" s="2">
        <v>328.0</v>
      </c>
      <c r="B329" s="1" t="s">
        <v>1049</v>
      </c>
      <c r="C329" s="1" t="s">
        <v>55</v>
      </c>
      <c r="D329" s="1" t="s">
        <v>1050</v>
      </c>
      <c r="E329" s="2">
        <v>5.70038353804E11</v>
      </c>
      <c r="F329" s="1" t="s">
        <v>1051</v>
      </c>
      <c r="G329" s="1" t="s">
        <v>135</v>
      </c>
      <c r="H329" s="1" t="s">
        <v>867</v>
      </c>
      <c r="I329" s="1" t="s">
        <v>868</v>
      </c>
      <c r="J329" s="1" t="s">
        <v>869</v>
      </c>
    </row>
    <row r="330" ht="15.75" customHeight="1">
      <c r="A330" s="2">
        <v>329.0</v>
      </c>
      <c r="B330" s="1" t="s">
        <v>1052</v>
      </c>
      <c r="C330" s="1" t="s">
        <v>262</v>
      </c>
      <c r="D330" s="1" t="s">
        <v>775</v>
      </c>
      <c r="E330" s="2">
        <v>5.70038353805E11</v>
      </c>
      <c r="F330" s="1" t="s">
        <v>1053</v>
      </c>
      <c r="G330" s="1" t="s">
        <v>12</v>
      </c>
      <c r="H330" s="1" t="s">
        <v>867</v>
      </c>
      <c r="I330" s="1" t="s">
        <v>868</v>
      </c>
      <c r="J330" s="1" t="s">
        <v>869</v>
      </c>
    </row>
    <row r="331" ht="15.75" customHeight="1">
      <c r="A331" s="2">
        <v>330.0</v>
      </c>
      <c r="B331" s="1" t="s">
        <v>775</v>
      </c>
      <c r="C331" s="1" t="s">
        <v>1054</v>
      </c>
      <c r="D331" s="1" t="s">
        <v>313</v>
      </c>
      <c r="E331" s="2">
        <v>5.70038353806E11</v>
      </c>
      <c r="F331" s="1" t="s">
        <v>1055</v>
      </c>
      <c r="G331" s="1" t="s">
        <v>12</v>
      </c>
      <c r="H331" s="1" t="s">
        <v>867</v>
      </c>
      <c r="I331" s="1" t="s">
        <v>868</v>
      </c>
      <c r="J331" s="1" t="s">
        <v>869</v>
      </c>
    </row>
    <row r="332" ht="15.75" customHeight="1">
      <c r="A332" s="2">
        <v>331.0</v>
      </c>
      <c r="B332" s="1" t="s">
        <v>295</v>
      </c>
      <c r="C332" s="1" t="s">
        <v>1056</v>
      </c>
      <c r="D332" s="1" t="s">
        <v>1057</v>
      </c>
      <c r="E332" s="2">
        <v>5.70038353808E11</v>
      </c>
      <c r="F332" s="1" t="s">
        <v>1058</v>
      </c>
      <c r="G332" s="1" t="s">
        <v>12</v>
      </c>
      <c r="H332" s="1" t="s">
        <v>867</v>
      </c>
      <c r="I332" s="1" t="s">
        <v>868</v>
      </c>
      <c r="J332" s="1" t="s">
        <v>869</v>
      </c>
    </row>
    <row r="333" ht="15.75" customHeight="1">
      <c r="A333" s="2">
        <v>332.0</v>
      </c>
      <c r="B333" s="1" t="s">
        <v>690</v>
      </c>
      <c r="C333" s="1" t="s">
        <v>1059</v>
      </c>
      <c r="D333" s="1" t="s">
        <v>1060</v>
      </c>
      <c r="E333" s="2">
        <v>5.70038353809E11</v>
      </c>
      <c r="F333" s="1" t="s">
        <v>988</v>
      </c>
      <c r="G333" s="1" t="s">
        <v>12</v>
      </c>
      <c r="H333" s="1" t="s">
        <v>867</v>
      </c>
      <c r="I333" s="1" t="s">
        <v>868</v>
      </c>
      <c r="J333" s="1" t="s">
        <v>869</v>
      </c>
    </row>
    <row r="334" ht="15.75" customHeight="1">
      <c r="A334" s="2">
        <v>333.0</v>
      </c>
      <c r="B334" s="1" t="s">
        <v>687</v>
      </c>
      <c r="C334" s="1" t="s">
        <v>877</v>
      </c>
      <c r="D334" s="1" t="s">
        <v>1061</v>
      </c>
      <c r="E334" s="2">
        <v>5.7003835381E11</v>
      </c>
      <c r="F334" s="1" t="s">
        <v>1062</v>
      </c>
      <c r="G334" s="1" t="s">
        <v>12</v>
      </c>
      <c r="H334" s="1" t="s">
        <v>867</v>
      </c>
      <c r="I334" s="1" t="s">
        <v>868</v>
      </c>
      <c r="J334" s="1" t="s">
        <v>869</v>
      </c>
    </row>
    <row r="335" ht="15.75" customHeight="1">
      <c r="A335" s="2">
        <v>334.0</v>
      </c>
      <c r="B335" s="1" t="s">
        <v>1063</v>
      </c>
      <c r="C335" s="1" t="s">
        <v>1064</v>
      </c>
      <c r="D335" s="1" t="s">
        <v>1065</v>
      </c>
      <c r="E335" s="2">
        <v>5.70038353811E11</v>
      </c>
      <c r="F335" s="1" t="s">
        <v>1066</v>
      </c>
      <c r="G335" s="1" t="s">
        <v>12</v>
      </c>
      <c r="H335" s="1" t="s">
        <v>867</v>
      </c>
      <c r="I335" s="1" t="s">
        <v>868</v>
      </c>
      <c r="J335" s="1" t="s">
        <v>869</v>
      </c>
    </row>
    <row r="336" ht="15.75" customHeight="1">
      <c r="A336" s="2">
        <v>335.0</v>
      </c>
      <c r="B336" s="1" t="s">
        <v>1067</v>
      </c>
      <c r="C336" s="1" t="s">
        <v>911</v>
      </c>
      <c r="D336" s="1" t="s">
        <v>1068</v>
      </c>
      <c r="E336" s="2">
        <v>5.70038353813E11</v>
      </c>
      <c r="F336" s="1" t="s">
        <v>1069</v>
      </c>
      <c r="G336" s="1" t="s">
        <v>12</v>
      </c>
      <c r="H336" s="1" t="s">
        <v>867</v>
      </c>
      <c r="I336" s="1" t="s">
        <v>868</v>
      </c>
      <c r="J336" s="1" t="s">
        <v>869</v>
      </c>
    </row>
    <row r="337" ht="15.75" customHeight="1">
      <c r="A337" s="2">
        <v>336.0</v>
      </c>
      <c r="B337" s="1" t="s">
        <v>48</v>
      </c>
      <c r="C337" s="1" t="s">
        <v>1070</v>
      </c>
      <c r="D337" s="1" t="s">
        <v>1071</v>
      </c>
      <c r="E337" s="2">
        <v>5.70038353814E11</v>
      </c>
      <c r="F337" s="1" t="s">
        <v>1072</v>
      </c>
      <c r="G337" s="1" t="s">
        <v>12</v>
      </c>
      <c r="H337" s="1" t="s">
        <v>867</v>
      </c>
      <c r="I337" s="1" t="s">
        <v>868</v>
      </c>
      <c r="J337" s="1" t="s">
        <v>869</v>
      </c>
    </row>
    <row r="338" ht="15.75" customHeight="1">
      <c r="A338" s="2">
        <v>337.0</v>
      </c>
      <c r="B338" s="1" t="s">
        <v>1073</v>
      </c>
      <c r="C338" s="1" t="s">
        <v>225</v>
      </c>
      <c r="D338" s="1" t="s">
        <v>111</v>
      </c>
      <c r="E338" s="2">
        <v>5.70038353815E11</v>
      </c>
      <c r="F338" s="1" t="s">
        <v>1074</v>
      </c>
      <c r="G338" s="1" t="s">
        <v>12</v>
      </c>
      <c r="H338" s="1" t="s">
        <v>867</v>
      </c>
      <c r="I338" s="1" t="s">
        <v>868</v>
      </c>
      <c r="J338" s="1" t="s">
        <v>869</v>
      </c>
    </row>
    <row r="339" ht="15.75" customHeight="1">
      <c r="A339" s="2">
        <v>338.0</v>
      </c>
      <c r="B339" s="1" t="s">
        <v>1075</v>
      </c>
      <c r="C339" s="1" t="s">
        <v>820</v>
      </c>
      <c r="D339" s="1" t="s">
        <v>42</v>
      </c>
      <c r="E339" s="2">
        <v>5.70038353816E11</v>
      </c>
      <c r="F339" s="1" t="s">
        <v>1076</v>
      </c>
      <c r="G339" s="1" t="s">
        <v>12</v>
      </c>
      <c r="H339" s="1" t="s">
        <v>867</v>
      </c>
      <c r="I339" s="1" t="s">
        <v>868</v>
      </c>
      <c r="J339" s="1" t="s">
        <v>869</v>
      </c>
    </row>
    <row r="340" ht="15.75" customHeight="1">
      <c r="A340" s="2">
        <v>339.0</v>
      </c>
      <c r="B340" s="1" t="s">
        <v>81</v>
      </c>
      <c r="C340" s="1" t="s">
        <v>1077</v>
      </c>
      <c r="D340" s="1" t="s">
        <v>77</v>
      </c>
      <c r="E340" s="2">
        <v>5.70038353817E11</v>
      </c>
      <c r="F340" s="1" t="s">
        <v>1078</v>
      </c>
      <c r="G340" s="1" t="s">
        <v>12</v>
      </c>
      <c r="H340" s="1" t="s">
        <v>867</v>
      </c>
      <c r="I340" s="1" t="s">
        <v>868</v>
      </c>
      <c r="J340" s="1" t="s">
        <v>869</v>
      </c>
    </row>
    <row r="341" ht="15.75" customHeight="1">
      <c r="A341" s="2">
        <v>340.0</v>
      </c>
      <c r="B341" s="1" t="s">
        <v>358</v>
      </c>
      <c r="C341" s="1" t="s">
        <v>970</v>
      </c>
      <c r="D341" s="1" t="s">
        <v>621</v>
      </c>
      <c r="E341" s="2">
        <v>5.70038353819E11</v>
      </c>
      <c r="F341" s="1" t="s">
        <v>1079</v>
      </c>
      <c r="G341" s="1" t="s">
        <v>12</v>
      </c>
      <c r="H341" s="1" t="s">
        <v>867</v>
      </c>
      <c r="I341" s="1" t="s">
        <v>868</v>
      </c>
      <c r="J341" s="1" t="s">
        <v>869</v>
      </c>
    </row>
    <row r="342" ht="15.75" customHeight="1">
      <c r="A342" s="2">
        <v>341.0</v>
      </c>
      <c r="B342" s="1" t="s">
        <v>1080</v>
      </c>
      <c r="C342" s="1" t="s">
        <v>1081</v>
      </c>
      <c r="D342" s="1" t="s">
        <v>1082</v>
      </c>
      <c r="E342" s="2">
        <v>5.7003835382E11</v>
      </c>
      <c r="F342" s="1" t="s">
        <v>1083</v>
      </c>
      <c r="G342" s="1" t="s">
        <v>12</v>
      </c>
      <c r="H342" s="1" t="s">
        <v>867</v>
      </c>
      <c r="I342" s="1" t="s">
        <v>868</v>
      </c>
      <c r="J342" s="1" t="s">
        <v>869</v>
      </c>
    </row>
    <row r="343" ht="15.75" customHeight="1">
      <c r="A343" s="2">
        <v>342.0</v>
      </c>
      <c r="B343" s="1" t="s">
        <v>510</v>
      </c>
      <c r="C343" s="1" t="s">
        <v>1084</v>
      </c>
      <c r="D343" s="1" t="s">
        <v>942</v>
      </c>
      <c r="E343" s="2">
        <v>5.70038353821E11</v>
      </c>
      <c r="F343" s="1" t="s">
        <v>1085</v>
      </c>
      <c r="G343" s="1" t="s">
        <v>12</v>
      </c>
      <c r="H343" s="1" t="s">
        <v>867</v>
      </c>
      <c r="I343" s="1" t="s">
        <v>868</v>
      </c>
      <c r="J343" s="1" t="s">
        <v>869</v>
      </c>
    </row>
    <row r="344" ht="15.75" customHeight="1">
      <c r="A344" s="2">
        <v>343.0</v>
      </c>
      <c r="B344" s="1" t="s">
        <v>1086</v>
      </c>
      <c r="C344" s="1" t="s">
        <v>1084</v>
      </c>
      <c r="D344" s="1" t="s">
        <v>942</v>
      </c>
      <c r="E344" s="2">
        <v>5.70038353823E11</v>
      </c>
      <c r="F344" s="1" t="s">
        <v>1087</v>
      </c>
      <c r="G344" s="1" t="s">
        <v>12</v>
      </c>
      <c r="H344" s="1" t="s">
        <v>867</v>
      </c>
      <c r="I344" s="1" t="s">
        <v>868</v>
      </c>
      <c r="J344" s="1" t="s">
        <v>869</v>
      </c>
    </row>
    <row r="345" ht="15.75" customHeight="1">
      <c r="A345" s="2">
        <v>344.0</v>
      </c>
      <c r="B345" s="1" t="s">
        <v>852</v>
      </c>
      <c r="C345" s="1" t="s">
        <v>1088</v>
      </c>
      <c r="D345" s="1" t="s">
        <v>822</v>
      </c>
      <c r="E345" s="2">
        <v>5.70038353824E11</v>
      </c>
      <c r="F345" s="1" t="s">
        <v>1089</v>
      </c>
      <c r="G345" s="1" t="s">
        <v>12</v>
      </c>
      <c r="H345" s="1" t="s">
        <v>867</v>
      </c>
      <c r="I345" s="1" t="s">
        <v>868</v>
      </c>
      <c r="J345" s="1" t="s">
        <v>869</v>
      </c>
    </row>
    <row r="346" ht="15.75" customHeight="1">
      <c r="A346" s="2">
        <v>345.0</v>
      </c>
      <c r="B346" s="1" t="s">
        <v>1090</v>
      </c>
      <c r="C346" s="1" t="s">
        <v>1091</v>
      </c>
      <c r="D346" s="1" t="s">
        <v>384</v>
      </c>
      <c r="E346" s="2">
        <v>5.70038353825E11</v>
      </c>
      <c r="F346" s="1" t="s">
        <v>1092</v>
      </c>
      <c r="G346" s="1" t="s">
        <v>12</v>
      </c>
      <c r="H346" s="1" t="s">
        <v>867</v>
      </c>
      <c r="I346" s="1" t="s">
        <v>868</v>
      </c>
      <c r="J346" s="1" t="s">
        <v>869</v>
      </c>
    </row>
    <row r="347" ht="15.75" customHeight="1">
      <c r="A347" s="2">
        <v>346.0</v>
      </c>
      <c r="B347" s="1" t="s">
        <v>1045</v>
      </c>
      <c r="C347" s="1" t="s">
        <v>1093</v>
      </c>
      <c r="D347" s="1" t="s">
        <v>1094</v>
      </c>
      <c r="E347" s="2">
        <v>5.70038353826E11</v>
      </c>
      <c r="F347" s="1" t="s">
        <v>1095</v>
      </c>
      <c r="G347" s="1" t="s">
        <v>12</v>
      </c>
      <c r="H347" s="1" t="s">
        <v>867</v>
      </c>
      <c r="I347" s="1" t="s">
        <v>868</v>
      </c>
      <c r="J347" s="1" t="s">
        <v>869</v>
      </c>
    </row>
    <row r="348" ht="15.75" customHeight="1">
      <c r="A348" s="2">
        <v>347.0</v>
      </c>
      <c r="B348" s="1" t="s">
        <v>641</v>
      </c>
      <c r="C348" s="1" t="s">
        <v>1096</v>
      </c>
      <c r="D348" s="1" t="s">
        <v>1097</v>
      </c>
      <c r="E348" s="2">
        <v>5.70038353828E11</v>
      </c>
      <c r="F348" s="1" t="s">
        <v>1008</v>
      </c>
      <c r="G348" s="1" t="s">
        <v>12</v>
      </c>
      <c r="H348" s="1" t="s">
        <v>867</v>
      </c>
      <c r="I348" s="1" t="s">
        <v>868</v>
      </c>
      <c r="J348" s="1" t="s">
        <v>869</v>
      </c>
    </row>
    <row r="349" ht="15.75" customHeight="1">
      <c r="A349" s="2">
        <v>348.0</v>
      </c>
      <c r="B349" s="1" t="s">
        <v>445</v>
      </c>
      <c r="C349" s="1" t="s">
        <v>1098</v>
      </c>
      <c r="D349" s="1" t="s">
        <v>1099</v>
      </c>
      <c r="E349" s="2">
        <v>5.70038353829E11</v>
      </c>
      <c r="F349" s="1" t="s">
        <v>1100</v>
      </c>
      <c r="G349" s="1" t="s">
        <v>12</v>
      </c>
      <c r="H349" s="1" t="s">
        <v>867</v>
      </c>
      <c r="I349" s="1" t="s">
        <v>868</v>
      </c>
      <c r="J349" s="1" t="s">
        <v>869</v>
      </c>
    </row>
    <row r="350" ht="15.75" customHeight="1">
      <c r="A350" s="2">
        <v>349.0</v>
      </c>
      <c r="B350" s="1" t="s">
        <v>611</v>
      </c>
      <c r="C350" s="1" t="s">
        <v>1101</v>
      </c>
      <c r="D350" s="1" t="s">
        <v>1102</v>
      </c>
      <c r="E350" s="2">
        <v>5.70038353833E11</v>
      </c>
      <c r="F350" s="1" t="s">
        <v>1103</v>
      </c>
      <c r="G350" s="1" t="s">
        <v>12</v>
      </c>
      <c r="H350" s="1" t="s">
        <v>867</v>
      </c>
      <c r="I350" s="1" t="s">
        <v>868</v>
      </c>
      <c r="J350" s="1" t="s">
        <v>869</v>
      </c>
    </row>
    <row r="351" ht="15.75" customHeight="1">
      <c r="A351" s="2">
        <v>350.0</v>
      </c>
      <c r="B351" s="1" t="s">
        <v>1104</v>
      </c>
      <c r="C351" s="1" t="s">
        <v>1105</v>
      </c>
      <c r="D351" s="1" t="s">
        <v>1106</v>
      </c>
      <c r="E351" s="2">
        <v>5.70038353834E11</v>
      </c>
      <c r="F351" s="1" t="s">
        <v>1107</v>
      </c>
      <c r="G351" s="1" t="s">
        <v>12</v>
      </c>
      <c r="H351" s="1" t="s">
        <v>867</v>
      </c>
      <c r="I351" s="1" t="s">
        <v>868</v>
      </c>
      <c r="J351" s="1" t="s">
        <v>869</v>
      </c>
    </row>
    <row r="352" ht="15.75" customHeight="1">
      <c r="A352" s="2">
        <v>351.0</v>
      </c>
      <c r="B352" s="1" t="s">
        <v>1108</v>
      </c>
      <c r="C352" s="1" t="s">
        <v>1109</v>
      </c>
      <c r="D352" s="1" t="s">
        <v>321</v>
      </c>
      <c r="E352" s="2">
        <v>5.70038353835E11</v>
      </c>
      <c r="F352" s="1" t="s">
        <v>1110</v>
      </c>
      <c r="G352" s="1" t="s">
        <v>12</v>
      </c>
      <c r="H352" s="1" t="s">
        <v>867</v>
      </c>
      <c r="I352" s="1" t="s">
        <v>868</v>
      </c>
      <c r="J352" s="1" t="s">
        <v>869</v>
      </c>
    </row>
    <row r="353" ht="15.75" customHeight="1">
      <c r="A353" s="2">
        <v>352.0</v>
      </c>
      <c r="B353" s="1" t="s">
        <v>1090</v>
      </c>
      <c r="C353" s="1" t="s">
        <v>970</v>
      </c>
      <c r="D353" s="1" t="s">
        <v>346</v>
      </c>
      <c r="E353" s="2">
        <v>5.70038353837E11</v>
      </c>
      <c r="F353" s="1" t="s">
        <v>1111</v>
      </c>
      <c r="G353" s="1" t="s">
        <v>12</v>
      </c>
      <c r="H353" s="1" t="s">
        <v>867</v>
      </c>
      <c r="I353" s="1" t="s">
        <v>868</v>
      </c>
      <c r="J353" s="1" t="s">
        <v>869</v>
      </c>
    </row>
    <row r="354" ht="15.75" customHeight="1">
      <c r="A354" s="2">
        <v>353.0</v>
      </c>
      <c r="B354" s="1" t="s">
        <v>1112</v>
      </c>
      <c r="C354" s="1" t="s">
        <v>1113</v>
      </c>
      <c r="D354" s="1" t="s">
        <v>1114</v>
      </c>
      <c r="E354" s="2">
        <v>5.70038353838E11</v>
      </c>
      <c r="F354" s="1" t="s">
        <v>1115</v>
      </c>
      <c r="G354" s="1" t="s">
        <v>12</v>
      </c>
      <c r="H354" s="1" t="s">
        <v>867</v>
      </c>
      <c r="I354" s="1" t="s">
        <v>868</v>
      </c>
      <c r="J354" s="1" t="s">
        <v>869</v>
      </c>
    </row>
    <row r="355" ht="15.75" customHeight="1">
      <c r="A355" s="2">
        <v>354.0</v>
      </c>
      <c r="B355" s="1" t="s">
        <v>60</v>
      </c>
      <c r="C355" s="1" t="s">
        <v>1116</v>
      </c>
      <c r="D355" s="1" t="s">
        <v>1117</v>
      </c>
      <c r="E355" s="2">
        <v>5.70038353843E11</v>
      </c>
      <c r="F355" s="1" t="s">
        <v>1118</v>
      </c>
      <c r="G355" s="1" t="s">
        <v>12</v>
      </c>
      <c r="H355" s="1" t="s">
        <v>867</v>
      </c>
      <c r="I355" s="1" t="s">
        <v>868</v>
      </c>
      <c r="J355" s="1" t="s">
        <v>869</v>
      </c>
    </row>
    <row r="356" ht="15.75" customHeight="1">
      <c r="A356" s="2">
        <v>355.0</v>
      </c>
      <c r="B356" s="1" t="s">
        <v>1119</v>
      </c>
      <c r="C356" s="1" t="s">
        <v>1120</v>
      </c>
      <c r="D356" s="1" t="s">
        <v>1121</v>
      </c>
      <c r="E356" s="2">
        <v>5.70038353844E11</v>
      </c>
      <c r="F356" s="1" t="s">
        <v>1122</v>
      </c>
      <c r="G356" s="1" t="s">
        <v>12</v>
      </c>
      <c r="H356" s="1" t="s">
        <v>867</v>
      </c>
      <c r="I356" s="1" t="s">
        <v>868</v>
      </c>
      <c r="J356" s="1" t="s">
        <v>869</v>
      </c>
    </row>
    <row r="357" ht="15.75" customHeight="1">
      <c r="A357" s="2">
        <v>356.0</v>
      </c>
      <c r="B357" s="1" t="s">
        <v>1123</v>
      </c>
      <c r="C357" s="1" t="s">
        <v>1124</v>
      </c>
      <c r="D357" s="1" t="s">
        <v>552</v>
      </c>
      <c r="E357" s="2">
        <v>5.70038353846E11</v>
      </c>
      <c r="F357" s="1" t="s">
        <v>1125</v>
      </c>
      <c r="G357" s="1" t="s">
        <v>12</v>
      </c>
      <c r="H357" s="1" t="s">
        <v>867</v>
      </c>
      <c r="I357" s="1" t="s">
        <v>868</v>
      </c>
      <c r="J357" s="1" t="s">
        <v>869</v>
      </c>
    </row>
    <row r="358" ht="15.75" customHeight="1">
      <c r="A358" s="2">
        <v>357.0</v>
      </c>
      <c r="B358" s="1" t="s">
        <v>1126</v>
      </c>
      <c r="C358" s="1" t="s">
        <v>1127</v>
      </c>
      <c r="D358" s="1" t="s">
        <v>1128</v>
      </c>
      <c r="E358" s="2">
        <v>5.70038353847E11</v>
      </c>
      <c r="F358" s="1" t="s">
        <v>1129</v>
      </c>
      <c r="G358" s="1" t="s">
        <v>12</v>
      </c>
      <c r="H358" s="1" t="s">
        <v>867</v>
      </c>
      <c r="I358" s="1" t="s">
        <v>868</v>
      </c>
      <c r="J358" s="1" t="s">
        <v>869</v>
      </c>
    </row>
    <row r="359" ht="15.75" customHeight="1">
      <c r="A359" s="2">
        <v>358.0</v>
      </c>
      <c r="B359" s="1" t="s">
        <v>1130</v>
      </c>
      <c r="C359" s="1" t="s">
        <v>1131</v>
      </c>
      <c r="D359" s="1" t="s">
        <v>1132</v>
      </c>
      <c r="E359" s="2">
        <v>5.70038353848E11</v>
      </c>
      <c r="F359" s="1" t="s">
        <v>1133</v>
      </c>
      <c r="G359" s="1" t="s">
        <v>12</v>
      </c>
      <c r="H359" s="1" t="s">
        <v>867</v>
      </c>
      <c r="I359" s="1" t="s">
        <v>868</v>
      </c>
      <c r="J359" s="1" t="s">
        <v>869</v>
      </c>
    </row>
    <row r="360" ht="15.75" customHeight="1">
      <c r="A360" s="2">
        <v>359.0</v>
      </c>
      <c r="B360" s="1" t="s">
        <v>1134</v>
      </c>
      <c r="C360" s="1" t="s">
        <v>1135</v>
      </c>
      <c r="D360" s="1" t="s">
        <v>168</v>
      </c>
      <c r="E360" s="2">
        <v>5.70038353849E11</v>
      </c>
      <c r="F360" s="1" t="s">
        <v>1136</v>
      </c>
      <c r="G360" s="1" t="s">
        <v>12</v>
      </c>
      <c r="H360" s="1" t="s">
        <v>867</v>
      </c>
      <c r="I360" s="1" t="s">
        <v>868</v>
      </c>
      <c r="J360" s="1" t="s">
        <v>869</v>
      </c>
    </row>
    <row r="361" ht="15.75" customHeight="1">
      <c r="A361" s="2">
        <v>360.0</v>
      </c>
      <c r="B361" s="1" t="s">
        <v>734</v>
      </c>
      <c r="C361" s="1" t="s">
        <v>1137</v>
      </c>
      <c r="D361" s="1" t="s">
        <v>1138</v>
      </c>
      <c r="E361" s="2">
        <v>5.7003835385E11</v>
      </c>
      <c r="F361" s="1" t="s">
        <v>1139</v>
      </c>
      <c r="G361" s="1" t="s">
        <v>12</v>
      </c>
      <c r="H361" s="1" t="s">
        <v>867</v>
      </c>
      <c r="I361" s="1" t="s">
        <v>868</v>
      </c>
      <c r="J361" s="1" t="s">
        <v>869</v>
      </c>
    </row>
    <row r="362" ht="15.75" customHeight="1">
      <c r="A362" s="2">
        <v>361.0</v>
      </c>
      <c r="B362" s="1" t="s">
        <v>1140</v>
      </c>
      <c r="C362" s="1" t="s">
        <v>1141</v>
      </c>
      <c r="D362" s="1" t="s">
        <v>1142</v>
      </c>
      <c r="E362" s="2">
        <v>5.70038353853E11</v>
      </c>
      <c r="F362" s="1" t="s">
        <v>1143</v>
      </c>
      <c r="G362" s="1" t="s">
        <v>12</v>
      </c>
      <c r="H362" s="1" t="s">
        <v>867</v>
      </c>
      <c r="I362" s="1" t="s">
        <v>868</v>
      </c>
      <c r="J362" s="1" t="s">
        <v>869</v>
      </c>
    </row>
    <row r="363" ht="15.75" customHeight="1">
      <c r="A363" s="2">
        <v>362.0</v>
      </c>
      <c r="B363" s="1" t="s">
        <v>101</v>
      </c>
      <c r="C363" s="1" t="s">
        <v>1144</v>
      </c>
      <c r="D363" s="1" t="s">
        <v>1145</v>
      </c>
      <c r="E363" s="2">
        <v>5.70038353854E11</v>
      </c>
      <c r="F363" s="1" t="s">
        <v>1146</v>
      </c>
      <c r="G363" s="1" t="s">
        <v>12</v>
      </c>
      <c r="H363" s="1" t="s">
        <v>867</v>
      </c>
      <c r="I363" s="1" t="s">
        <v>868</v>
      </c>
      <c r="J363" s="1" t="s">
        <v>869</v>
      </c>
    </row>
    <row r="364" ht="15.75" customHeight="1">
      <c r="A364" s="2">
        <v>363.0</v>
      </c>
      <c r="B364" s="1" t="s">
        <v>1147</v>
      </c>
      <c r="C364" s="1" t="s">
        <v>1141</v>
      </c>
      <c r="D364" s="1" t="s">
        <v>1142</v>
      </c>
      <c r="E364" s="2">
        <v>5.70038353855E11</v>
      </c>
      <c r="F364" s="1" t="s">
        <v>1148</v>
      </c>
      <c r="G364" s="1" t="s">
        <v>12</v>
      </c>
      <c r="H364" s="1" t="s">
        <v>867</v>
      </c>
      <c r="I364" s="1" t="s">
        <v>868</v>
      </c>
      <c r="J364" s="1" t="s">
        <v>869</v>
      </c>
    </row>
    <row r="365" ht="15.75" customHeight="1">
      <c r="A365" s="2">
        <v>364.0</v>
      </c>
      <c r="B365" s="1" t="s">
        <v>453</v>
      </c>
      <c r="C365" s="1" t="s">
        <v>1144</v>
      </c>
      <c r="D365" s="1" t="s">
        <v>1147</v>
      </c>
      <c r="E365" s="2">
        <v>5.70038353856E11</v>
      </c>
      <c r="F365" s="1" t="s">
        <v>1149</v>
      </c>
      <c r="G365" s="1" t="s">
        <v>12</v>
      </c>
      <c r="H365" s="1" t="s">
        <v>867</v>
      </c>
      <c r="I365" s="1" t="s">
        <v>868</v>
      </c>
      <c r="J365" s="1" t="s">
        <v>869</v>
      </c>
    </row>
    <row r="366" ht="15.75" customHeight="1">
      <c r="A366" s="2">
        <v>365.0</v>
      </c>
      <c r="B366" s="1" t="s">
        <v>1150</v>
      </c>
      <c r="C366" s="1" t="s">
        <v>1151</v>
      </c>
      <c r="D366" s="1" t="s">
        <v>1152</v>
      </c>
      <c r="E366" s="2">
        <v>5.70038353858E11</v>
      </c>
      <c r="F366" s="1" t="s">
        <v>1153</v>
      </c>
      <c r="G366" s="1" t="s">
        <v>12</v>
      </c>
      <c r="H366" s="1" t="s">
        <v>867</v>
      </c>
      <c r="I366" s="1" t="s">
        <v>868</v>
      </c>
      <c r="J366" s="1" t="s">
        <v>869</v>
      </c>
    </row>
    <row r="367" ht="15.75" customHeight="1">
      <c r="A367" s="2">
        <v>366.0</v>
      </c>
      <c r="B367" s="1" t="s">
        <v>1154</v>
      </c>
      <c r="C367" s="1" t="s">
        <v>1155</v>
      </c>
      <c r="D367" s="1" t="s">
        <v>1108</v>
      </c>
      <c r="E367" s="2">
        <v>5.70038353859E11</v>
      </c>
      <c r="F367" s="1" t="s">
        <v>1008</v>
      </c>
      <c r="G367" s="1" t="s">
        <v>12</v>
      </c>
      <c r="H367" s="1" t="s">
        <v>867</v>
      </c>
      <c r="I367" s="1" t="s">
        <v>868</v>
      </c>
      <c r="J367" s="1" t="s">
        <v>869</v>
      </c>
    </row>
    <row r="368" ht="15.75" customHeight="1">
      <c r="A368" s="2">
        <v>367.0</v>
      </c>
      <c r="B368" s="1" t="s">
        <v>40</v>
      </c>
      <c r="C368" s="1" t="s">
        <v>1156</v>
      </c>
      <c r="D368" s="1" t="s">
        <v>679</v>
      </c>
      <c r="E368" s="2">
        <v>5.70038353865E11</v>
      </c>
      <c r="F368" s="1" t="s">
        <v>1157</v>
      </c>
      <c r="G368" s="1" t="s">
        <v>12</v>
      </c>
      <c r="H368" s="1" t="s">
        <v>867</v>
      </c>
      <c r="I368" s="1" t="s">
        <v>868</v>
      </c>
      <c r="J368" s="1" t="s">
        <v>869</v>
      </c>
    </row>
    <row r="369" ht="15.75" customHeight="1">
      <c r="A369" s="2">
        <v>368.0</v>
      </c>
      <c r="B369" s="1" t="s">
        <v>515</v>
      </c>
      <c r="C369" s="1" t="s">
        <v>1158</v>
      </c>
      <c r="D369" s="1" t="s">
        <v>1159</v>
      </c>
      <c r="E369" s="2">
        <v>5.70038353866E11</v>
      </c>
      <c r="F369" s="1" t="s">
        <v>1160</v>
      </c>
      <c r="G369" s="1" t="s">
        <v>12</v>
      </c>
      <c r="H369" s="1" t="s">
        <v>867</v>
      </c>
      <c r="I369" s="1" t="s">
        <v>868</v>
      </c>
      <c r="J369" s="1" t="s">
        <v>869</v>
      </c>
    </row>
    <row r="370" ht="15.75" customHeight="1">
      <c r="A370" s="2">
        <v>369.0</v>
      </c>
      <c r="B370" s="1" t="s">
        <v>1161</v>
      </c>
      <c r="C370" s="1" t="s">
        <v>1162</v>
      </c>
      <c r="D370" s="1" t="s">
        <v>1142</v>
      </c>
      <c r="E370" s="2">
        <v>5.70038353867E11</v>
      </c>
      <c r="F370" s="1" t="s">
        <v>1163</v>
      </c>
      <c r="G370" s="1" t="s">
        <v>12</v>
      </c>
      <c r="H370" s="1" t="s">
        <v>867</v>
      </c>
      <c r="I370" s="1" t="s">
        <v>868</v>
      </c>
      <c r="J370" s="1" t="s">
        <v>869</v>
      </c>
    </row>
    <row r="371" ht="15.75" customHeight="1">
      <c r="A371" s="2">
        <v>370.0</v>
      </c>
      <c r="B371" s="1" t="s">
        <v>10</v>
      </c>
      <c r="C371" s="1" t="s">
        <v>1164</v>
      </c>
      <c r="D371" s="1" t="s">
        <v>1165</v>
      </c>
      <c r="E371" s="2">
        <v>5.70038353868E11</v>
      </c>
      <c r="F371" s="1" t="s">
        <v>924</v>
      </c>
      <c r="G371" s="1" t="s">
        <v>12</v>
      </c>
      <c r="H371" s="1" t="s">
        <v>867</v>
      </c>
      <c r="I371" s="1" t="s">
        <v>868</v>
      </c>
      <c r="J371" s="1" t="s">
        <v>869</v>
      </c>
    </row>
    <row r="372" ht="15.75" customHeight="1">
      <c r="A372" s="2">
        <v>371.0</v>
      </c>
      <c r="B372" s="1" t="s">
        <v>901</v>
      </c>
      <c r="C372" s="1" t="s">
        <v>43</v>
      </c>
      <c r="D372" s="1" t="s">
        <v>10</v>
      </c>
      <c r="E372" s="2">
        <v>5.7003835387E11</v>
      </c>
      <c r="F372" s="1" t="s">
        <v>474</v>
      </c>
      <c r="G372" s="1" t="s">
        <v>261</v>
      </c>
      <c r="H372" s="1" t="s">
        <v>867</v>
      </c>
      <c r="I372" s="1" t="s">
        <v>868</v>
      </c>
      <c r="J372" s="1" t="s">
        <v>869</v>
      </c>
    </row>
    <row r="373" ht="15.75" customHeight="1">
      <c r="A373" s="2">
        <v>372.0</v>
      </c>
      <c r="B373" s="1" t="s">
        <v>1166</v>
      </c>
      <c r="C373" s="1" t="s">
        <v>1167</v>
      </c>
      <c r="D373" s="1" t="s">
        <v>1168</v>
      </c>
      <c r="E373" s="2">
        <v>5.70038353872E11</v>
      </c>
      <c r="F373" s="1" t="s">
        <v>1169</v>
      </c>
      <c r="G373" s="1" t="s">
        <v>12</v>
      </c>
      <c r="H373" s="1" t="s">
        <v>867</v>
      </c>
      <c r="I373" s="1" t="s">
        <v>868</v>
      </c>
      <c r="J373" s="1" t="s">
        <v>869</v>
      </c>
    </row>
    <row r="374" ht="15.75" customHeight="1">
      <c r="A374" s="2">
        <v>373.0</v>
      </c>
      <c r="B374" s="1" t="s">
        <v>723</v>
      </c>
      <c r="C374" s="1" t="s">
        <v>1170</v>
      </c>
      <c r="D374" s="1" t="s">
        <v>1171</v>
      </c>
      <c r="E374" s="2">
        <v>5.70038353873E11</v>
      </c>
      <c r="F374" s="1" t="s">
        <v>1172</v>
      </c>
      <c r="G374" s="1" t="s">
        <v>12</v>
      </c>
      <c r="H374" s="1" t="s">
        <v>867</v>
      </c>
      <c r="I374" s="1" t="s">
        <v>868</v>
      </c>
      <c r="J374" s="1" t="s">
        <v>869</v>
      </c>
    </row>
    <row r="375" ht="15.75" customHeight="1">
      <c r="A375" s="2">
        <v>374.0</v>
      </c>
      <c r="B375" s="1" t="s">
        <v>46</v>
      </c>
      <c r="C375" s="1" t="s">
        <v>1173</v>
      </c>
      <c r="D375" s="1" t="s">
        <v>48</v>
      </c>
      <c r="E375" s="2">
        <v>5.70038353875E11</v>
      </c>
      <c r="F375" s="1" t="s">
        <v>1174</v>
      </c>
      <c r="G375" s="1" t="s">
        <v>12</v>
      </c>
      <c r="H375" s="1" t="s">
        <v>867</v>
      </c>
      <c r="I375" s="1" t="s">
        <v>868</v>
      </c>
      <c r="J375" s="1" t="s">
        <v>869</v>
      </c>
    </row>
    <row r="376" ht="15.75" customHeight="1">
      <c r="A376" s="2">
        <v>375.0</v>
      </c>
      <c r="B376" s="1" t="s">
        <v>1175</v>
      </c>
      <c r="C376" s="1" t="s">
        <v>1176</v>
      </c>
      <c r="D376" s="1" t="s">
        <v>401</v>
      </c>
      <c r="E376" s="2">
        <v>5.70038353876E11</v>
      </c>
      <c r="F376" s="1" t="s">
        <v>1177</v>
      </c>
      <c r="G376" s="1" t="s">
        <v>12</v>
      </c>
      <c r="H376" s="1" t="s">
        <v>867</v>
      </c>
      <c r="I376" s="1" t="s">
        <v>868</v>
      </c>
      <c r="J376" s="1" t="s">
        <v>869</v>
      </c>
    </row>
    <row r="377" ht="15.75" customHeight="1">
      <c r="A377" s="2">
        <v>376.0</v>
      </c>
      <c r="B377" s="1" t="s">
        <v>1178</v>
      </c>
      <c r="C377" s="1" t="s">
        <v>1179</v>
      </c>
      <c r="D377" s="1" t="s">
        <v>1180</v>
      </c>
      <c r="E377" s="2">
        <v>5.70038353877E11</v>
      </c>
      <c r="F377" s="1" t="s">
        <v>1181</v>
      </c>
      <c r="G377" s="1" t="s">
        <v>12</v>
      </c>
      <c r="H377" s="1" t="s">
        <v>867</v>
      </c>
      <c r="I377" s="1" t="s">
        <v>868</v>
      </c>
      <c r="J377" s="1" t="s">
        <v>869</v>
      </c>
    </row>
    <row r="378" ht="15.75" customHeight="1">
      <c r="A378" s="2">
        <v>377.0</v>
      </c>
      <c r="B378" s="1" t="s">
        <v>1182</v>
      </c>
      <c r="C378" s="1" t="s">
        <v>1183</v>
      </c>
      <c r="D378" s="1" t="s">
        <v>168</v>
      </c>
      <c r="E378" s="2">
        <v>5.70038353878E11</v>
      </c>
      <c r="F378" s="1" t="s">
        <v>1184</v>
      </c>
      <c r="G378" s="1" t="s">
        <v>135</v>
      </c>
      <c r="H378" s="1" t="s">
        <v>867</v>
      </c>
      <c r="I378" s="1" t="s">
        <v>868</v>
      </c>
      <c r="J378" s="1" t="s">
        <v>869</v>
      </c>
    </row>
    <row r="379" ht="15.75" customHeight="1">
      <c r="A379" s="2">
        <v>378.0</v>
      </c>
      <c r="B379" s="1" t="s">
        <v>1185</v>
      </c>
      <c r="C379" s="1" t="s">
        <v>1186</v>
      </c>
      <c r="D379" s="1" t="s">
        <v>1187</v>
      </c>
      <c r="E379" s="2">
        <v>5.7003835388E11</v>
      </c>
      <c r="F379" s="1" t="s">
        <v>1188</v>
      </c>
      <c r="G379" s="1" t="s">
        <v>12</v>
      </c>
      <c r="H379" s="1" t="s">
        <v>867</v>
      </c>
      <c r="I379" s="1" t="s">
        <v>868</v>
      </c>
      <c r="J379" s="1" t="s">
        <v>869</v>
      </c>
    </row>
    <row r="380" ht="15.75" customHeight="1">
      <c r="A380" s="2">
        <v>379.0</v>
      </c>
      <c r="B380" s="1" t="s">
        <v>1189</v>
      </c>
      <c r="C380" s="1" t="s">
        <v>1190</v>
      </c>
      <c r="D380" s="1" t="s">
        <v>1191</v>
      </c>
      <c r="E380" s="2">
        <v>5.70038353881E11</v>
      </c>
      <c r="F380" s="1" t="s">
        <v>1192</v>
      </c>
      <c r="G380" s="1" t="s">
        <v>12</v>
      </c>
      <c r="H380" s="1" t="s">
        <v>867</v>
      </c>
      <c r="I380" s="1" t="s">
        <v>868</v>
      </c>
      <c r="J380" s="1" t="s">
        <v>869</v>
      </c>
    </row>
    <row r="381" ht="15.75" customHeight="1">
      <c r="A381" s="2">
        <v>380.0</v>
      </c>
      <c r="B381" s="1" t="s">
        <v>1193</v>
      </c>
      <c r="C381" s="1" t="s">
        <v>1194</v>
      </c>
      <c r="D381" s="1" t="s">
        <v>1195</v>
      </c>
      <c r="E381" s="2">
        <v>5.70038353883E11</v>
      </c>
      <c r="F381" s="1" t="s">
        <v>1196</v>
      </c>
      <c r="G381" s="1" t="s">
        <v>12</v>
      </c>
      <c r="H381" s="1" t="s">
        <v>867</v>
      </c>
      <c r="I381" s="1" t="s">
        <v>868</v>
      </c>
      <c r="J381" s="1" t="s">
        <v>869</v>
      </c>
    </row>
    <row r="382" ht="15.75" customHeight="1">
      <c r="A382" s="2">
        <v>381.0</v>
      </c>
      <c r="B382" s="1" t="s">
        <v>1197</v>
      </c>
      <c r="C382" s="1" t="s">
        <v>1198</v>
      </c>
      <c r="D382" s="1" t="s">
        <v>1199</v>
      </c>
      <c r="E382" s="2">
        <v>5.70038353886E11</v>
      </c>
      <c r="F382" s="1" t="s">
        <v>1200</v>
      </c>
      <c r="G382" s="1" t="s">
        <v>12</v>
      </c>
      <c r="H382" s="1" t="s">
        <v>867</v>
      </c>
      <c r="I382" s="1" t="s">
        <v>868</v>
      </c>
      <c r="J382" s="1" t="s">
        <v>869</v>
      </c>
    </row>
    <row r="383" ht="15.75" customHeight="1">
      <c r="A383" s="2">
        <v>382.0</v>
      </c>
      <c r="B383" s="1" t="s">
        <v>187</v>
      </c>
      <c r="C383" s="1" t="s">
        <v>1141</v>
      </c>
      <c r="D383" s="1" t="s">
        <v>1201</v>
      </c>
      <c r="E383" s="2">
        <v>5.70038353887E11</v>
      </c>
      <c r="F383" s="1" t="s">
        <v>1202</v>
      </c>
      <c r="G383" s="1" t="s">
        <v>12</v>
      </c>
      <c r="H383" s="1" t="s">
        <v>867</v>
      </c>
      <c r="I383" s="1" t="s">
        <v>868</v>
      </c>
      <c r="J383" s="1" t="s">
        <v>869</v>
      </c>
    </row>
    <row r="384" ht="15.75" customHeight="1">
      <c r="A384" s="2">
        <v>383.0</v>
      </c>
      <c r="B384" s="1" t="s">
        <v>1203</v>
      </c>
      <c r="C384" s="1" t="s">
        <v>1204</v>
      </c>
      <c r="D384" s="1" t="s">
        <v>48</v>
      </c>
      <c r="E384" s="2">
        <v>5.70038353889E11</v>
      </c>
      <c r="F384" s="1" t="s">
        <v>1205</v>
      </c>
      <c r="G384" s="1" t="s">
        <v>12</v>
      </c>
      <c r="H384" s="1" t="s">
        <v>867</v>
      </c>
      <c r="I384" s="1" t="s">
        <v>868</v>
      </c>
      <c r="J384" s="1" t="s">
        <v>869</v>
      </c>
    </row>
    <row r="385" ht="15.75" customHeight="1">
      <c r="A385" s="2">
        <v>384.0</v>
      </c>
      <c r="B385" s="1" t="s">
        <v>621</v>
      </c>
      <c r="C385" s="1" t="s">
        <v>1206</v>
      </c>
      <c r="D385" s="1" t="s">
        <v>1207</v>
      </c>
      <c r="E385" s="2">
        <v>5.7003835389E11</v>
      </c>
      <c r="F385" s="1" t="s">
        <v>1208</v>
      </c>
      <c r="G385" s="1" t="s">
        <v>12</v>
      </c>
      <c r="H385" s="1" t="s">
        <v>867</v>
      </c>
      <c r="I385" s="1" t="s">
        <v>868</v>
      </c>
      <c r="J385" s="1" t="s">
        <v>869</v>
      </c>
    </row>
    <row r="386" ht="15.75" customHeight="1">
      <c r="A386" s="2">
        <v>385.0</v>
      </c>
      <c r="B386" s="1" t="s">
        <v>1209</v>
      </c>
      <c r="C386" s="1" t="s">
        <v>1210</v>
      </c>
      <c r="D386" s="1" t="s">
        <v>1211</v>
      </c>
      <c r="E386" s="2">
        <v>5.70038353891E11</v>
      </c>
      <c r="F386" s="1" t="s">
        <v>1212</v>
      </c>
      <c r="G386" s="1" t="s">
        <v>12</v>
      </c>
      <c r="H386" s="1" t="s">
        <v>867</v>
      </c>
      <c r="I386" s="1" t="s">
        <v>868</v>
      </c>
      <c r="J386" s="1" t="s">
        <v>869</v>
      </c>
    </row>
    <row r="387" ht="15.75" customHeight="1">
      <c r="A387" s="2">
        <v>386.0</v>
      </c>
      <c r="B387" s="1" t="s">
        <v>1213</v>
      </c>
      <c r="C387" s="1" t="s">
        <v>1214</v>
      </c>
      <c r="D387" s="1" t="s">
        <v>295</v>
      </c>
      <c r="E387" s="2">
        <v>5.70038353895E11</v>
      </c>
      <c r="F387" s="1" t="s">
        <v>1215</v>
      </c>
      <c r="G387" s="1" t="s">
        <v>12</v>
      </c>
      <c r="H387" s="1" t="s">
        <v>867</v>
      </c>
      <c r="I387" s="1" t="s">
        <v>868</v>
      </c>
      <c r="J387" s="1" t="s">
        <v>869</v>
      </c>
    </row>
    <row r="388" ht="15.75" customHeight="1">
      <c r="A388" s="2">
        <v>387.0</v>
      </c>
      <c r="B388" s="1" t="s">
        <v>335</v>
      </c>
      <c r="C388" s="1" t="s">
        <v>1105</v>
      </c>
      <c r="D388" s="1" t="s">
        <v>1216</v>
      </c>
      <c r="E388" s="2">
        <v>5.70038353896E11</v>
      </c>
      <c r="F388" s="1" t="s">
        <v>1217</v>
      </c>
      <c r="G388" s="1" t="s">
        <v>12</v>
      </c>
      <c r="H388" s="1" t="s">
        <v>867</v>
      </c>
      <c r="I388" s="1" t="s">
        <v>868</v>
      </c>
      <c r="J388" s="1" t="s">
        <v>869</v>
      </c>
    </row>
    <row r="389" ht="15.75" customHeight="1">
      <c r="A389" s="2">
        <v>388.0</v>
      </c>
      <c r="B389" s="1" t="s">
        <v>60</v>
      </c>
      <c r="C389" s="1" t="s">
        <v>1218</v>
      </c>
      <c r="D389" s="1" t="s">
        <v>1219</v>
      </c>
      <c r="E389" s="2">
        <v>5.70038353897E11</v>
      </c>
      <c r="F389" s="1" t="s">
        <v>1220</v>
      </c>
      <c r="G389" s="1" t="s">
        <v>12</v>
      </c>
      <c r="H389" s="1" t="s">
        <v>867</v>
      </c>
      <c r="I389" s="1" t="s">
        <v>868</v>
      </c>
      <c r="J389" s="1" t="s">
        <v>869</v>
      </c>
    </row>
    <row r="390" ht="15.75" customHeight="1">
      <c r="A390" s="2">
        <v>389.0</v>
      </c>
      <c r="B390" s="1" t="s">
        <v>313</v>
      </c>
      <c r="C390" s="1" t="s">
        <v>1221</v>
      </c>
      <c r="D390" s="1" t="s">
        <v>1222</v>
      </c>
      <c r="E390" s="2">
        <v>5.70038353898E11</v>
      </c>
      <c r="F390" s="1" t="s">
        <v>1012</v>
      </c>
      <c r="G390" s="1" t="s">
        <v>12</v>
      </c>
      <c r="H390" s="1" t="s">
        <v>867</v>
      </c>
      <c r="I390" s="1" t="s">
        <v>868</v>
      </c>
      <c r="J390" s="1" t="s">
        <v>869</v>
      </c>
    </row>
    <row r="391" ht="15.75" customHeight="1">
      <c r="A391" s="2">
        <v>390.0</v>
      </c>
      <c r="B391" s="1" t="s">
        <v>600</v>
      </c>
      <c r="C391" s="1" t="s">
        <v>1223</v>
      </c>
      <c r="D391" s="1" t="s">
        <v>1224</v>
      </c>
      <c r="E391" s="2">
        <v>5.70038353902E11</v>
      </c>
      <c r="F391" s="1" t="s">
        <v>1225</v>
      </c>
      <c r="G391" s="1" t="s">
        <v>12</v>
      </c>
      <c r="H391" s="1" t="s">
        <v>867</v>
      </c>
      <c r="I391" s="1" t="s">
        <v>868</v>
      </c>
      <c r="J391" s="1" t="s">
        <v>869</v>
      </c>
    </row>
    <row r="392" ht="15.75" customHeight="1">
      <c r="A392" s="2">
        <v>391.0</v>
      </c>
      <c r="B392" s="1" t="s">
        <v>1226</v>
      </c>
      <c r="C392" s="1" t="s">
        <v>820</v>
      </c>
      <c r="D392" s="1" t="s">
        <v>1227</v>
      </c>
      <c r="E392" s="2">
        <v>5.70038353903E11</v>
      </c>
      <c r="F392" s="1" t="s">
        <v>1228</v>
      </c>
      <c r="G392" s="1" t="s">
        <v>12</v>
      </c>
      <c r="H392" s="1" t="s">
        <v>867</v>
      </c>
      <c r="I392" s="1" t="s">
        <v>868</v>
      </c>
      <c r="J392" s="1" t="s">
        <v>869</v>
      </c>
    </row>
    <row r="393" ht="15.75" customHeight="1">
      <c r="A393" s="2">
        <v>392.0</v>
      </c>
      <c r="B393" s="1" t="s">
        <v>1229</v>
      </c>
      <c r="C393" s="1" t="s">
        <v>1230</v>
      </c>
      <c r="D393" s="1" t="s">
        <v>594</v>
      </c>
      <c r="E393" s="2">
        <v>5.70038353904E11</v>
      </c>
      <c r="F393" s="1" t="s">
        <v>1231</v>
      </c>
      <c r="G393" s="1" t="s">
        <v>12</v>
      </c>
      <c r="H393" s="1" t="s">
        <v>867</v>
      </c>
      <c r="I393" s="1" t="s">
        <v>868</v>
      </c>
      <c r="J393" s="1" t="s">
        <v>869</v>
      </c>
    </row>
    <row r="394" ht="15.75" customHeight="1">
      <c r="A394" s="2">
        <v>393.0</v>
      </c>
      <c r="B394" s="1" t="s">
        <v>1232</v>
      </c>
      <c r="C394" s="1" t="s">
        <v>1233</v>
      </c>
      <c r="D394" s="1" t="s">
        <v>1234</v>
      </c>
      <c r="E394" s="2">
        <v>5.70038353907E11</v>
      </c>
      <c r="F394" s="1" t="s">
        <v>1235</v>
      </c>
      <c r="G394" s="1" t="s">
        <v>12</v>
      </c>
      <c r="H394" s="1" t="s">
        <v>867</v>
      </c>
      <c r="I394" s="1" t="s">
        <v>868</v>
      </c>
      <c r="J394" s="1" t="s">
        <v>869</v>
      </c>
    </row>
    <row r="395" ht="15.75" customHeight="1">
      <c r="A395" s="2">
        <v>394.0</v>
      </c>
      <c r="B395" s="1" t="s">
        <v>60</v>
      </c>
      <c r="C395" s="1" t="s">
        <v>1236</v>
      </c>
      <c r="D395" s="1" t="s">
        <v>1237</v>
      </c>
      <c r="E395" s="2">
        <v>5.70038353908E11</v>
      </c>
      <c r="F395" s="1" t="s">
        <v>1238</v>
      </c>
      <c r="G395" s="1" t="s">
        <v>12</v>
      </c>
      <c r="H395" s="1" t="s">
        <v>867</v>
      </c>
      <c r="I395" s="1" t="s">
        <v>868</v>
      </c>
      <c r="J395" s="1" t="s">
        <v>869</v>
      </c>
    </row>
    <row r="396" ht="15.75" customHeight="1">
      <c r="A396" s="2">
        <v>395.0</v>
      </c>
      <c r="B396" s="1" t="s">
        <v>822</v>
      </c>
      <c r="C396" s="1" t="s">
        <v>1239</v>
      </c>
      <c r="D396" s="1" t="s">
        <v>1240</v>
      </c>
      <c r="E396" s="2">
        <v>5.70038353909E11</v>
      </c>
      <c r="F396" s="1" t="s">
        <v>1241</v>
      </c>
      <c r="G396" s="1" t="s">
        <v>12</v>
      </c>
      <c r="H396" s="1" t="s">
        <v>867</v>
      </c>
      <c r="I396" s="1" t="s">
        <v>868</v>
      </c>
      <c r="J396" s="1" t="s">
        <v>869</v>
      </c>
    </row>
    <row r="397" ht="15.75" customHeight="1">
      <c r="A397" s="2">
        <v>396.0</v>
      </c>
      <c r="B397" s="1" t="s">
        <v>1045</v>
      </c>
      <c r="C397" s="1" t="s">
        <v>1242</v>
      </c>
      <c r="D397" s="1" t="s">
        <v>1243</v>
      </c>
      <c r="E397" s="2">
        <v>5.70038353911E11</v>
      </c>
      <c r="F397" s="1" t="s">
        <v>1244</v>
      </c>
      <c r="G397" s="1" t="s">
        <v>12</v>
      </c>
      <c r="H397" s="1" t="s">
        <v>867</v>
      </c>
      <c r="I397" s="1" t="s">
        <v>868</v>
      </c>
      <c r="J397" s="1" t="s">
        <v>869</v>
      </c>
    </row>
    <row r="398" ht="15.75" customHeight="1">
      <c r="A398" s="2">
        <v>397.0</v>
      </c>
      <c r="B398" s="1" t="s">
        <v>455</v>
      </c>
      <c r="C398" s="1" t="s">
        <v>1245</v>
      </c>
      <c r="D398" s="1" t="s">
        <v>901</v>
      </c>
      <c r="E398" s="2">
        <v>5.70038353914E11</v>
      </c>
      <c r="F398" s="1" t="s">
        <v>1246</v>
      </c>
      <c r="G398" s="1" t="s">
        <v>12</v>
      </c>
      <c r="H398" s="1" t="s">
        <v>867</v>
      </c>
      <c r="I398" s="1" t="s">
        <v>868</v>
      </c>
      <c r="J398" s="1" t="s">
        <v>869</v>
      </c>
    </row>
    <row r="399" ht="15.75" customHeight="1">
      <c r="A399" s="2">
        <v>398.0</v>
      </c>
      <c r="B399" s="1" t="s">
        <v>290</v>
      </c>
      <c r="C399" s="1" t="s">
        <v>1247</v>
      </c>
      <c r="D399" s="1" t="s">
        <v>1248</v>
      </c>
      <c r="E399" s="2">
        <v>5.70038353916E11</v>
      </c>
      <c r="F399" s="1" t="s">
        <v>1249</v>
      </c>
      <c r="G399" s="1" t="s">
        <v>12</v>
      </c>
      <c r="H399" s="1" t="s">
        <v>867</v>
      </c>
      <c r="I399" s="1" t="s">
        <v>868</v>
      </c>
      <c r="J399" s="1" t="s">
        <v>869</v>
      </c>
    </row>
    <row r="400" ht="15.75" customHeight="1">
      <c r="A400" s="2">
        <v>399.0</v>
      </c>
      <c r="B400" s="1" t="s">
        <v>781</v>
      </c>
      <c r="C400" s="1" t="s">
        <v>1250</v>
      </c>
      <c r="D400" s="1" t="s">
        <v>1251</v>
      </c>
      <c r="E400" s="2">
        <v>5.70038353918E11</v>
      </c>
      <c r="F400" s="1" t="s">
        <v>1252</v>
      </c>
      <c r="G400" s="1" t="s">
        <v>12</v>
      </c>
      <c r="H400" s="1" t="s">
        <v>867</v>
      </c>
      <c r="I400" s="1" t="s">
        <v>868</v>
      </c>
      <c r="J400" s="1" t="s">
        <v>869</v>
      </c>
    </row>
    <row r="401" ht="15.75" customHeight="1">
      <c r="A401" s="2">
        <v>400.0</v>
      </c>
      <c r="B401" s="1" t="s">
        <v>335</v>
      </c>
      <c r="C401" s="1" t="s">
        <v>1253</v>
      </c>
      <c r="D401" s="1" t="s">
        <v>1254</v>
      </c>
      <c r="E401" s="2">
        <v>5.70038353919E11</v>
      </c>
      <c r="F401" s="1" t="s">
        <v>1255</v>
      </c>
      <c r="G401" s="1" t="s">
        <v>12</v>
      </c>
      <c r="H401" s="1" t="s">
        <v>867</v>
      </c>
      <c r="I401" s="1" t="s">
        <v>868</v>
      </c>
      <c r="J401" s="1" t="s">
        <v>869</v>
      </c>
    </row>
    <row r="402" ht="15.75" customHeight="1">
      <c r="A402" s="2">
        <v>401.0</v>
      </c>
      <c r="B402" s="1" t="s">
        <v>263</v>
      </c>
      <c r="C402" s="1" t="s">
        <v>1256</v>
      </c>
      <c r="D402" s="1" t="s">
        <v>1257</v>
      </c>
      <c r="E402" s="2">
        <v>5.70038353921E11</v>
      </c>
      <c r="F402" s="1" t="s">
        <v>1258</v>
      </c>
      <c r="G402" s="1" t="s">
        <v>12</v>
      </c>
      <c r="H402" s="1" t="s">
        <v>867</v>
      </c>
      <c r="I402" s="1" t="s">
        <v>868</v>
      </c>
      <c r="J402" s="1" t="s">
        <v>869</v>
      </c>
    </row>
    <row r="403" ht="15.75" customHeight="1">
      <c r="A403" s="2">
        <v>402.0</v>
      </c>
      <c r="B403" s="1" t="s">
        <v>453</v>
      </c>
      <c r="C403" s="1" t="s">
        <v>1259</v>
      </c>
      <c r="D403" s="1" t="s">
        <v>1260</v>
      </c>
      <c r="E403" s="2">
        <v>5.70038353927E11</v>
      </c>
      <c r="F403" s="1" t="s">
        <v>1261</v>
      </c>
      <c r="G403" s="1" t="s">
        <v>12</v>
      </c>
      <c r="H403" s="1" t="s">
        <v>867</v>
      </c>
      <c r="I403" s="1" t="s">
        <v>868</v>
      </c>
      <c r="J403" s="1" t="s">
        <v>869</v>
      </c>
    </row>
    <row r="404" ht="15.75" customHeight="1">
      <c r="A404" s="2">
        <v>403.0</v>
      </c>
      <c r="B404" s="1" t="s">
        <v>571</v>
      </c>
      <c r="C404" s="1" t="s">
        <v>1262</v>
      </c>
      <c r="D404" s="1" t="s">
        <v>600</v>
      </c>
      <c r="E404" s="2">
        <v>5.70038353929E11</v>
      </c>
      <c r="F404" s="1" t="s">
        <v>1263</v>
      </c>
      <c r="G404" s="1" t="s">
        <v>12</v>
      </c>
      <c r="H404" s="1" t="s">
        <v>867</v>
      </c>
      <c r="I404" s="1" t="s">
        <v>868</v>
      </c>
      <c r="J404" s="1" t="s">
        <v>869</v>
      </c>
    </row>
    <row r="405" ht="15.75" customHeight="1">
      <c r="A405" s="2">
        <v>404.0</v>
      </c>
      <c r="B405" s="1" t="s">
        <v>1264</v>
      </c>
      <c r="C405" s="1" t="s">
        <v>1265</v>
      </c>
      <c r="D405" s="1" t="s">
        <v>1266</v>
      </c>
      <c r="E405" s="2">
        <v>5.70038353932E11</v>
      </c>
      <c r="F405" s="1" t="s">
        <v>1267</v>
      </c>
      <c r="G405" s="1" t="s">
        <v>12</v>
      </c>
      <c r="H405" s="1" t="s">
        <v>867</v>
      </c>
      <c r="I405" s="1" t="s">
        <v>868</v>
      </c>
      <c r="J405" s="1" t="s">
        <v>869</v>
      </c>
    </row>
    <row r="406" ht="15.75" customHeight="1">
      <c r="A406" s="2">
        <v>405.0</v>
      </c>
      <c r="B406" s="1" t="s">
        <v>228</v>
      </c>
      <c r="C406" s="1" t="s">
        <v>1268</v>
      </c>
      <c r="D406" s="1" t="s">
        <v>1269</v>
      </c>
      <c r="E406" s="2">
        <v>5.70038353937E11</v>
      </c>
      <c r="F406" s="1" t="s">
        <v>1270</v>
      </c>
      <c r="G406" s="1" t="s">
        <v>12</v>
      </c>
      <c r="H406" s="1" t="s">
        <v>867</v>
      </c>
      <c r="I406" s="1" t="s">
        <v>868</v>
      </c>
      <c r="J406" s="1" t="s">
        <v>869</v>
      </c>
    </row>
    <row r="407" ht="15.75" customHeight="1">
      <c r="A407" s="2">
        <v>406.0</v>
      </c>
      <c r="B407" s="1" t="s">
        <v>77</v>
      </c>
      <c r="C407" s="1" t="s">
        <v>1042</v>
      </c>
      <c r="D407" s="1" t="s">
        <v>462</v>
      </c>
      <c r="E407" s="2">
        <v>5.70038353938E11</v>
      </c>
      <c r="F407" s="1" t="s">
        <v>1271</v>
      </c>
      <c r="G407" s="1" t="s">
        <v>12</v>
      </c>
      <c r="H407" s="1" t="s">
        <v>867</v>
      </c>
      <c r="I407" s="1" t="s">
        <v>868</v>
      </c>
      <c r="J407" s="1" t="s">
        <v>869</v>
      </c>
    </row>
    <row r="408" ht="15.75" customHeight="1">
      <c r="A408" s="2">
        <v>407.0</v>
      </c>
      <c r="B408" s="1" t="s">
        <v>1272</v>
      </c>
      <c r="C408" s="1" t="s">
        <v>1273</v>
      </c>
      <c r="D408" s="1" t="s">
        <v>1274</v>
      </c>
      <c r="E408" s="2">
        <v>5.70038353939E11</v>
      </c>
      <c r="F408" s="1" t="s">
        <v>1275</v>
      </c>
      <c r="G408" s="1" t="s">
        <v>12</v>
      </c>
      <c r="H408" s="1" t="s">
        <v>867</v>
      </c>
      <c r="I408" s="1" t="s">
        <v>868</v>
      </c>
      <c r="J408" s="1" t="s">
        <v>869</v>
      </c>
    </row>
    <row r="409" ht="15.75" customHeight="1">
      <c r="A409" s="2">
        <v>408.0</v>
      </c>
      <c r="B409" s="1" t="s">
        <v>1276</v>
      </c>
      <c r="C409" s="1" t="s">
        <v>1277</v>
      </c>
      <c r="D409" s="1" t="s">
        <v>1278</v>
      </c>
      <c r="E409" s="2">
        <v>5.7003835394E11</v>
      </c>
      <c r="F409" s="1" t="s">
        <v>1279</v>
      </c>
      <c r="G409" s="1" t="s">
        <v>12</v>
      </c>
      <c r="H409" s="1" t="s">
        <v>867</v>
      </c>
      <c r="I409" s="1" t="s">
        <v>868</v>
      </c>
      <c r="J409" s="1" t="s">
        <v>869</v>
      </c>
    </row>
    <row r="410" ht="15.75" customHeight="1">
      <c r="A410" s="2">
        <v>409.0</v>
      </c>
      <c r="B410" s="1" t="s">
        <v>1280</v>
      </c>
      <c r="C410" s="1" t="s">
        <v>1281</v>
      </c>
      <c r="D410" s="1" t="s">
        <v>1282</v>
      </c>
      <c r="E410" s="2">
        <v>5.70038353941E11</v>
      </c>
      <c r="F410" s="1" t="s">
        <v>1283</v>
      </c>
      <c r="G410" s="1" t="s">
        <v>12</v>
      </c>
      <c r="H410" s="1" t="s">
        <v>867</v>
      </c>
      <c r="I410" s="1" t="s">
        <v>868</v>
      </c>
      <c r="J410" s="1" t="s">
        <v>869</v>
      </c>
    </row>
    <row r="411" ht="15.75" customHeight="1">
      <c r="A411" s="2">
        <v>410.0</v>
      </c>
      <c r="B411" s="1" t="s">
        <v>60</v>
      </c>
      <c r="C411" s="1" t="s">
        <v>1284</v>
      </c>
      <c r="D411" s="1" t="s">
        <v>1285</v>
      </c>
      <c r="E411" s="2">
        <v>5.70038353944E11</v>
      </c>
      <c r="F411" s="1" t="s">
        <v>1286</v>
      </c>
      <c r="G411" s="1" t="s">
        <v>12</v>
      </c>
      <c r="H411" s="1" t="s">
        <v>867</v>
      </c>
      <c r="I411" s="1" t="s">
        <v>868</v>
      </c>
      <c r="J411" s="1" t="s">
        <v>869</v>
      </c>
    </row>
    <row r="412" ht="15.75" customHeight="1">
      <c r="A412" s="2">
        <v>411.0</v>
      </c>
      <c r="B412" s="1" t="s">
        <v>1287</v>
      </c>
      <c r="C412" s="1" t="s">
        <v>813</v>
      </c>
      <c r="D412" s="1" t="s">
        <v>191</v>
      </c>
      <c r="E412" s="2">
        <v>5.70038353945E11</v>
      </c>
      <c r="F412" s="1" t="s">
        <v>1288</v>
      </c>
      <c r="G412" s="1" t="s">
        <v>12</v>
      </c>
      <c r="H412" s="1" t="s">
        <v>867</v>
      </c>
      <c r="I412" s="1" t="s">
        <v>868</v>
      </c>
      <c r="J412" s="1" t="s">
        <v>869</v>
      </c>
    </row>
    <row r="413" ht="15.75" customHeight="1">
      <c r="A413" s="2">
        <v>412.0</v>
      </c>
      <c r="B413" s="1" t="s">
        <v>594</v>
      </c>
      <c r="C413" s="1" t="s">
        <v>1289</v>
      </c>
      <c r="D413" s="1" t="s">
        <v>1290</v>
      </c>
      <c r="E413" s="2">
        <v>5.70038353949E11</v>
      </c>
      <c r="F413" s="1" t="s">
        <v>1291</v>
      </c>
      <c r="G413" s="1" t="s">
        <v>12</v>
      </c>
      <c r="H413" s="1" t="s">
        <v>867</v>
      </c>
      <c r="I413" s="1" t="s">
        <v>868</v>
      </c>
      <c r="J413" s="1" t="s">
        <v>869</v>
      </c>
    </row>
    <row r="414" ht="15.75" customHeight="1">
      <c r="A414" s="2">
        <v>413.0</v>
      </c>
      <c r="B414" s="1" t="s">
        <v>1292</v>
      </c>
      <c r="C414" s="1" t="s">
        <v>1293</v>
      </c>
      <c r="D414" s="1" t="s">
        <v>1294</v>
      </c>
      <c r="E414" s="2">
        <v>5.70038353952E11</v>
      </c>
      <c r="F414" s="1" t="s">
        <v>1295</v>
      </c>
      <c r="G414" s="1" t="s">
        <v>12</v>
      </c>
      <c r="H414" s="1" t="s">
        <v>867</v>
      </c>
      <c r="I414" s="1" t="s">
        <v>868</v>
      </c>
      <c r="J414" s="1" t="s">
        <v>869</v>
      </c>
    </row>
    <row r="415" ht="15.75" customHeight="1">
      <c r="A415" s="2">
        <v>414.0</v>
      </c>
      <c r="B415" s="1" t="s">
        <v>42</v>
      </c>
      <c r="C415" s="1" t="s">
        <v>1296</v>
      </c>
      <c r="D415" s="1" t="s">
        <v>205</v>
      </c>
      <c r="E415" s="2">
        <v>5.70038353955E11</v>
      </c>
      <c r="F415" s="1" t="s">
        <v>1297</v>
      </c>
      <c r="G415" s="1" t="s">
        <v>12</v>
      </c>
      <c r="H415" s="1" t="s">
        <v>867</v>
      </c>
      <c r="I415" s="1" t="s">
        <v>868</v>
      </c>
      <c r="J415" s="1" t="s">
        <v>869</v>
      </c>
    </row>
    <row r="416" ht="15.75" customHeight="1">
      <c r="A416" s="2">
        <v>415.0</v>
      </c>
      <c r="B416" s="1" t="s">
        <v>1298</v>
      </c>
      <c r="C416" s="1" t="s">
        <v>1299</v>
      </c>
      <c r="D416" s="1" t="s">
        <v>1300</v>
      </c>
      <c r="E416" s="2">
        <v>5.70038353958E11</v>
      </c>
      <c r="F416" s="1" t="s">
        <v>1301</v>
      </c>
      <c r="G416" s="1" t="s">
        <v>12</v>
      </c>
      <c r="H416" s="1" t="s">
        <v>867</v>
      </c>
      <c r="I416" s="1" t="s">
        <v>868</v>
      </c>
      <c r="J416" s="1" t="s">
        <v>869</v>
      </c>
    </row>
    <row r="417" ht="15.75" customHeight="1">
      <c r="A417" s="2">
        <v>416.0</v>
      </c>
      <c r="B417" s="1" t="s">
        <v>1302</v>
      </c>
      <c r="C417" s="1" t="s">
        <v>1303</v>
      </c>
      <c r="D417" s="1" t="s">
        <v>1304</v>
      </c>
      <c r="E417" s="2">
        <v>5.7003835396E11</v>
      </c>
      <c r="F417" s="1" t="s">
        <v>1305</v>
      </c>
      <c r="G417" s="1" t="s">
        <v>12</v>
      </c>
      <c r="H417" s="1" t="s">
        <v>867</v>
      </c>
      <c r="I417" s="1" t="s">
        <v>868</v>
      </c>
      <c r="J417" s="1" t="s">
        <v>869</v>
      </c>
    </row>
    <row r="418" ht="15.75" customHeight="1">
      <c r="A418" s="2">
        <v>417.0</v>
      </c>
      <c r="B418" s="1" t="s">
        <v>1306</v>
      </c>
      <c r="C418" s="1" t="s">
        <v>1307</v>
      </c>
      <c r="D418" s="1" t="s">
        <v>1308</v>
      </c>
      <c r="E418" s="2">
        <v>5.70038353961E11</v>
      </c>
      <c r="F418" s="1" t="s">
        <v>1309</v>
      </c>
      <c r="G418" s="1" t="s">
        <v>135</v>
      </c>
      <c r="H418" s="1" t="s">
        <v>867</v>
      </c>
      <c r="I418" s="1" t="s">
        <v>868</v>
      </c>
      <c r="J418" s="1" t="s">
        <v>869</v>
      </c>
    </row>
    <row r="419" ht="15.75" customHeight="1">
      <c r="A419" s="2">
        <v>418.0</v>
      </c>
      <c r="B419" s="1" t="s">
        <v>362</v>
      </c>
      <c r="C419" s="1" t="s">
        <v>1310</v>
      </c>
      <c r="D419" s="1" t="s">
        <v>1311</v>
      </c>
      <c r="E419" s="2">
        <v>5.70038353962E11</v>
      </c>
      <c r="F419" s="1" t="s">
        <v>1040</v>
      </c>
      <c r="G419" s="1" t="s">
        <v>12</v>
      </c>
      <c r="H419" s="1" t="s">
        <v>867</v>
      </c>
      <c r="I419" s="1" t="s">
        <v>868</v>
      </c>
      <c r="J419" s="1" t="s">
        <v>869</v>
      </c>
    </row>
    <row r="420" ht="15.75" customHeight="1">
      <c r="A420" s="2">
        <v>419.0</v>
      </c>
      <c r="B420" s="1" t="s">
        <v>1312</v>
      </c>
      <c r="C420" s="1" t="s">
        <v>1313</v>
      </c>
      <c r="D420" s="1" t="s">
        <v>1314</v>
      </c>
      <c r="E420" s="2">
        <v>5.70038353964E11</v>
      </c>
      <c r="F420" s="1" t="s">
        <v>1315</v>
      </c>
      <c r="G420" s="1" t="s">
        <v>12</v>
      </c>
      <c r="H420" s="1" t="s">
        <v>867</v>
      </c>
      <c r="I420" s="1" t="s">
        <v>868</v>
      </c>
      <c r="J420" s="1" t="s">
        <v>869</v>
      </c>
    </row>
    <row r="421" ht="15.75" customHeight="1">
      <c r="A421" s="2">
        <v>420.0</v>
      </c>
      <c r="B421" s="1" t="s">
        <v>1300</v>
      </c>
      <c r="C421" s="1" t="s">
        <v>1316</v>
      </c>
      <c r="D421" s="1" t="s">
        <v>1317</v>
      </c>
      <c r="E421" s="2">
        <v>5.70038353966E11</v>
      </c>
      <c r="F421" s="1" t="s">
        <v>1318</v>
      </c>
      <c r="G421" s="1" t="s">
        <v>12</v>
      </c>
      <c r="H421" s="1" t="s">
        <v>867</v>
      </c>
      <c r="I421" s="1" t="s">
        <v>868</v>
      </c>
      <c r="J421" s="1" t="s">
        <v>869</v>
      </c>
    </row>
    <row r="422" ht="15.75" customHeight="1">
      <c r="A422" s="2">
        <v>421.0</v>
      </c>
      <c r="B422" s="1" t="s">
        <v>690</v>
      </c>
      <c r="C422" s="1" t="s">
        <v>1319</v>
      </c>
      <c r="D422" s="1" t="s">
        <v>1320</v>
      </c>
      <c r="E422" s="2">
        <v>5.70038353967E11</v>
      </c>
      <c r="F422" s="1" t="s">
        <v>1321</v>
      </c>
      <c r="G422" s="1" t="s">
        <v>12</v>
      </c>
      <c r="H422" s="1" t="s">
        <v>867</v>
      </c>
      <c r="I422" s="1" t="s">
        <v>868</v>
      </c>
      <c r="J422" s="1" t="s">
        <v>869</v>
      </c>
    </row>
    <row r="423" ht="15.75" customHeight="1">
      <c r="A423" s="2">
        <v>422.0</v>
      </c>
      <c r="B423" s="1" t="s">
        <v>10</v>
      </c>
      <c r="C423" s="1" t="s">
        <v>452</v>
      </c>
      <c r="D423" s="1" t="s">
        <v>295</v>
      </c>
      <c r="E423" s="2">
        <v>5.70038353968E11</v>
      </c>
      <c r="F423" s="1" t="s">
        <v>1322</v>
      </c>
      <c r="G423" s="1" t="s">
        <v>12</v>
      </c>
      <c r="H423" s="1" t="s">
        <v>867</v>
      </c>
      <c r="I423" s="1" t="s">
        <v>868</v>
      </c>
      <c r="J423" s="1" t="s">
        <v>869</v>
      </c>
    </row>
    <row r="424" ht="15.75" customHeight="1">
      <c r="A424" s="2">
        <v>423.0</v>
      </c>
      <c r="B424" s="1" t="s">
        <v>1323</v>
      </c>
      <c r="C424" s="1" t="s">
        <v>1324</v>
      </c>
      <c r="D424" s="1" t="s">
        <v>60</v>
      </c>
      <c r="E424" s="2">
        <v>5.70038353969E11</v>
      </c>
      <c r="F424" s="1" t="s">
        <v>1325</v>
      </c>
      <c r="G424" s="1" t="s">
        <v>12</v>
      </c>
      <c r="H424" s="1" t="s">
        <v>867</v>
      </c>
      <c r="I424" s="1" t="s">
        <v>868</v>
      </c>
      <c r="J424" s="1" t="s">
        <v>869</v>
      </c>
    </row>
    <row r="425" ht="15.75" customHeight="1">
      <c r="A425" s="2">
        <v>424.0</v>
      </c>
      <c r="B425" s="1" t="s">
        <v>621</v>
      </c>
      <c r="C425" s="1" t="s">
        <v>1326</v>
      </c>
      <c r="D425" s="1" t="s">
        <v>1327</v>
      </c>
      <c r="E425" s="2">
        <v>5.7003835397E11</v>
      </c>
      <c r="F425" s="1" t="s">
        <v>1328</v>
      </c>
      <c r="G425" s="1" t="s">
        <v>12</v>
      </c>
      <c r="H425" s="1" t="s">
        <v>867</v>
      </c>
      <c r="I425" s="1" t="s">
        <v>868</v>
      </c>
      <c r="J425" s="1" t="s">
        <v>869</v>
      </c>
    </row>
    <row r="426" ht="15.75" customHeight="1">
      <c r="A426" s="2">
        <v>425.0</v>
      </c>
      <c r="B426" s="1" t="s">
        <v>183</v>
      </c>
      <c r="C426" s="1" t="s">
        <v>1329</v>
      </c>
      <c r="D426" s="1" t="s">
        <v>1330</v>
      </c>
      <c r="E426" s="2">
        <v>5.70038353971E11</v>
      </c>
      <c r="F426" s="1" t="s">
        <v>1331</v>
      </c>
      <c r="G426" s="1" t="s">
        <v>12</v>
      </c>
      <c r="H426" s="1" t="s">
        <v>867</v>
      </c>
      <c r="I426" s="1" t="s">
        <v>868</v>
      </c>
      <c r="J426" s="1" t="s">
        <v>869</v>
      </c>
    </row>
    <row r="427" ht="15.75" customHeight="1">
      <c r="A427" s="2">
        <v>426.0</v>
      </c>
      <c r="B427" s="1" t="s">
        <v>1264</v>
      </c>
      <c r="C427" s="1" t="s">
        <v>1332</v>
      </c>
      <c r="D427" s="1" t="s">
        <v>1333</v>
      </c>
      <c r="E427" s="2">
        <v>5.70038353973E11</v>
      </c>
      <c r="F427" s="1" t="s">
        <v>1334</v>
      </c>
      <c r="G427" s="1" t="s">
        <v>12</v>
      </c>
      <c r="H427" s="1" t="s">
        <v>867</v>
      </c>
      <c r="I427" s="1" t="s">
        <v>868</v>
      </c>
      <c r="J427" s="1" t="s">
        <v>869</v>
      </c>
    </row>
    <row r="428" ht="15.75" customHeight="1">
      <c r="A428" s="2">
        <v>427.0</v>
      </c>
      <c r="B428" s="1" t="s">
        <v>1335</v>
      </c>
      <c r="C428" s="1" t="s">
        <v>1336</v>
      </c>
      <c r="D428" s="1" t="s">
        <v>1337</v>
      </c>
      <c r="E428" s="2">
        <v>5.70038353974E11</v>
      </c>
      <c r="F428" s="1" t="s">
        <v>1338</v>
      </c>
      <c r="G428" s="1" t="s">
        <v>12</v>
      </c>
      <c r="H428" s="1" t="s">
        <v>867</v>
      </c>
      <c r="I428" s="1" t="s">
        <v>868</v>
      </c>
      <c r="J428" s="1" t="s">
        <v>869</v>
      </c>
    </row>
    <row r="429" ht="15.75" customHeight="1">
      <c r="A429" s="2">
        <v>428.0</v>
      </c>
      <c r="B429" s="1" t="s">
        <v>346</v>
      </c>
      <c r="C429" s="1" t="s">
        <v>1339</v>
      </c>
      <c r="D429" s="1" t="s">
        <v>1340</v>
      </c>
      <c r="E429" s="2">
        <v>5.70038353975E11</v>
      </c>
      <c r="F429" s="1" t="s">
        <v>1341</v>
      </c>
      <c r="G429" s="1" t="s">
        <v>12</v>
      </c>
      <c r="H429" s="1" t="s">
        <v>867</v>
      </c>
      <c r="I429" s="1" t="s">
        <v>868</v>
      </c>
      <c r="J429" s="1" t="s">
        <v>869</v>
      </c>
    </row>
    <row r="430" ht="15.75" customHeight="1">
      <c r="A430" s="2">
        <v>429.0</v>
      </c>
      <c r="B430" s="1" t="s">
        <v>445</v>
      </c>
      <c r="C430" s="1" t="s">
        <v>1342</v>
      </c>
      <c r="D430" s="1" t="s">
        <v>940</v>
      </c>
      <c r="E430" s="2">
        <v>5.70038353976E11</v>
      </c>
      <c r="F430" s="1" t="s">
        <v>134</v>
      </c>
      <c r="G430" s="1" t="s">
        <v>12</v>
      </c>
      <c r="H430" s="1" t="s">
        <v>867</v>
      </c>
      <c r="I430" s="1" t="s">
        <v>868</v>
      </c>
      <c r="J430" s="1" t="s">
        <v>869</v>
      </c>
    </row>
    <row r="431" ht="15.75" customHeight="1">
      <c r="A431" s="2">
        <v>430.0</v>
      </c>
      <c r="B431" s="1" t="s">
        <v>403</v>
      </c>
      <c r="C431" s="1" t="s">
        <v>1343</v>
      </c>
      <c r="D431" s="1" t="s">
        <v>1344</v>
      </c>
      <c r="E431" s="2">
        <v>5.70038353979E11</v>
      </c>
      <c r="F431" s="1" t="s">
        <v>1345</v>
      </c>
      <c r="G431" s="1" t="s">
        <v>12</v>
      </c>
      <c r="H431" s="1" t="s">
        <v>867</v>
      </c>
      <c r="I431" s="1" t="s">
        <v>868</v>
      </c>
      <c r="J431" s="1" t="s">
        <v>869</v>
      </c>
    </row>
    <row r="432" ht="15.75" customHeight="1">
      <c r="A432" s="2">
        <v>431.0</v>
      </c>
      <c r="B432" s="1" t="s">
        <v>48</v>
      </c>
      <c r="C432" s="1" t="s">
        <v>1343</v>
      </c>
      <c r="D432" s="1" t="s">
        <v>1344</v>
      </c>
      <c r="E432" s="2">
        <v>5.7003835398E11</v>
      </c>
      <c r="F432" s="1" t="s">
        <v>1346</v>
      </c>
      <c r="G432" s="1" t="s">
        <v>12</v>
      </c>
      <c r="H432" s="1" t="s">
        <v>867</v>
      </c>
      <c r="I432" s="1" t="s">
        <v>868</v>
      </c>
      <c r="J432" s="1" t="s">
        <v>869</v>
      </c>
    </row>
    <row r="433" ht="15.75" customHeight="1">
      <c r="A433" s="2">
        <v>432.0</v>
      </c>
      <c r="B433" s="1" t="s">
        <v>97</v>
      </c>
      <c r="C433" s="1" t="s">
        <v>31</v>
      </c>
      <c r="D433" s="1" t="s">
        <v>295</v>
      </c>
      <c r="E433" s="2">
        <v>5.70038353983E11</v>
      </c>
      <c r="F433" s="1" t="s">
        <v>1347</v>
      </c>
      <c r="G433" s="1" t="s">
        <v>12</v>
      </c>
      <c r="H433" s="1" t="s">
        <v>867</v>
      </c>
      <c r="I433" s="1" t="s">
        <v>868</v>
      </c>
      <c r="J433" s="1" t="s">
        <v>869</v>
      </c>
    </row>
    <row r="434" ht="15.75" customHeight="1">
      <c r="A434" s="2">
        <v>433.0</v>
      </c>
      <c r="B434" s="1" t="s">
        <v>1203</v>
      </c>
      <c r="C434" s="1" t="s">
        <v>1348</v>
      </c>
      <c r="D434" s="1" t="s">
        <v>1349</v>
      </c>
      <c r="E434" s="2">
        <v>5.70038353986E11</v>
      </c>
      <c r="F434" s="1" t="s">
        <v>1350</v>
      </c>
      <c r="G434" s="1" t="s">
        <v>12</v>
      </c>
      <c r="H434" s="1" t="s">
        <v>867</v>
      </c>
      <c r="I434" s="1" t="s">
        <v>868</v>
      </c>
      <c r="J434" s="1" t="s">
        <v>869</v>
      </c>
    </row>
    <row r="435" ht="15.75" customHeight="1">
      <c r="A435" s="2">
        <v>434.0</v>
      </c>
      <c r="B435" s="1" t="s">
        <v>60</v>
      </c>
      <c r="C435" s="1" t="s">
        <v>1351</v>
      </c>
      <c r="D435" s="1" t="s">
        <v>1352</v>
      </c>
      <c r="E435" s="2">
        <v>5.70038353987E11</v>
      </c>
      <c r="F435" s="1" t="s">
        <v>1353</v>
      </c>
      <c r="G435" s="1" t="s">
        <v>12</v>
      </c>
      <c r="H435" s="1" t="s">
        <v>867</v>
      </c>
      <c r="I435" s="1" t="s">
        <v>868</v>
      </c>
      <c r="J435" s="1" t="s">
        <v>869</v>
      </c>
    </row>
    <row r="436" ht="15.75" customHeight="1">
      <c r="A436" s="2">
        <v>435.0</v>
      </c>
      <c r="B436" s="1" t="s">
        <v>1354</v>
      </c>
      <c r="C436" s="1" t="s">
        <v>1355</v>
      </c>
      <c r="D436" s="1" t="s">
        <v>1356</v>
      </c>
      <c r="E436" s="2">
        <v>5.70038353992E11</v>
      </c>
      <c r="F436" s="1" t="s">
        <v>1357</v>
      </c>
      <c r="G436" s="1" t="s">
        <v>12</v>
      </c>
      <c r="H436" s="1" t="s">
        <v>867</v>
      </c>
      <c r="I436" s="1" t="s">
        <v>868</v>
      </c>
      <c r="J436" s="1" t="s">
        <v>869</v>
      </c>
    </row>
    <row r="437" ht="15.75" customHeight="1">
      <c r="A437" s="2">
        <v>436.0</v>
      </c>
      <c r="B437" s="1" t="s">
        <v>1358</v>
      </c>
      <c r="C437" s="1" t="s">
        <v>1359</v>
      </c>
      <c r="D437" s="1" t="s">
        <v>267</v>
      </c>
      <c r="E437" s="2">
        <v>5.70038353993E11</v>
      </c>
      <c r="F437" s="1" t="s">
        <v>910</v>
      </c>
      <c r="G437" s="1" t="s">
        <v>12</v>
      </c>
      <c r="H437" s="1" t="s">
        <v>867</v>
      </c>
      <c r="I437" s="1" t="s">
        <v>868</v>
      </c>
      <c r="J437" s="1" t="s">
        <v>869</v>
      </c>
    </row>
    <row r="438" ht="15.75" customHeight="1">
      <c r="A438" s="2">
        <v>437.0</v>
      </c>
      <c r="B438" s="1" t="s">
        <v>60</v>
      </c>
      <c r="C438" s="1" t="s">
        <v>51</v>
      </c>
      <c r="D438" s="1" t="s">
        <v>1360</v>
      </c>
      <c r="E438" s="2">
        <v>5.70038353996E11</v>
      </c>
      <c r="F438" s="1" t="s">
        <v>1361</v>
      </c>
      <c r="G438" s="1" t="s">
        <v>12</v>
      </c>
      <c r="H438" s="1" t="s">
        <v>867</v>
      </c>
      <c r="I438" s="1" t="s">
        <v>868</v>
      </c>
      <c r="J438" s="1" t="s">
        <v>869</v>
      </c>
    </row>
    <row r="439" ht="15.75" customHeight="1">
      <c r="A439" s="2">
        <v>438.0</v>
      </c>
      <c r="B439" s="1" t="s">
        <v>384</v>
      </c>
      <c r="C439" s="1" t="s">
        <v>1362</v>
      </c>
      <c r="D439" s="1" t="s">
        <v>1363</v>
      </c>
      <c r="E439" s="2">
        <v>5.70038354009E11</v>
      </c>
      <c r="F439" s="1" t="s">
        <v>1364</v>
      </c>
      <c r="G439" s="1" t="s">
        <v>12</v>
      </c>
      <c r="H439" s="1" t="s">
        <v>867</v>
      </c>
      <c r="I439" s="1" t="s">
        <v>868</v>
      </c>
      <c r="J439" s="1" t="s">
        <v>869</v>
      </c>
    </row>
    <row r="440" ht="15.75" customHeight="1">
      <c r="A440" s="2">
        <v>439.0</v>
      </c>
      <c r="B440" s="1" t="s">
        <v>1365</v>
      </c>
      <c r="C440" s="1" t="s">
        <v>1366</v>
      </c>
      <c r="D440" s="1" t="s">
        <v>603</v>
      </c>
      <c r="E440" s="2">
        <v>5.7003835401E11</v>
      </c>
      <c r="F440" s="1" t="s">
        <v>1367</v>
      </c>
      <c r="G440" s="1" t="s">
        <v>12</v>
      </c>
      <c r="H440" s="1" t="s">
        <v>867</v>
      </c>
      <c r="I440" s="1" t="s">
        <v>868</v>
      </c>
      <c r="J440" s="1" t="s">
        <v>869</v>
      </c>
    </row>
    <row r="441" ht="15.75" customHeight="1">
      <c r="A441" s="2">
        <v>440.0</v>
      </c>
      <c r="B441" s="1" t="s">
        <v>1240</v>
      </c>
      <c r="C441" s="1" t="s">
        <v>1368</v>
      </c>
      <c r="D441" s="1" t="s">
        <v>1369</v>
      </c>
      <c r="E441" s="2">
        <v>5.70038354022E11</v>
      </c>
      <c r="F441" s="1" t="s">
        <v>1370</v>
      </c>
      <c r="G441" s="1" t="s">
        <v>12</v>
      </c>
      <c r="H441" s="1" t="s">
        <v>867</v>
      </c>
      <c r="I441" s="1" t="s">
        <v>868</v>
      </c>
      <c r="J441" s="1" t="s">
        <v>869</v>
      </c>
    </row>
    <row r="442" ht="15.75" customHeight="1">
      <c r="A442" s="2">
        <v>441.0</v>
      </c>
      <c r="B442" s="1" t="s">
        <v>153</v>
      </c>
      <c r="C442" s="1" t="s">
        <v>1371</v>
      </c>
      <c r="D442" s="1" t="s">
        <v>1372</v>
      </c>
      <c r="E442" s="2">
        <v>5.70038354032E11</v>
      </c>
      <c r="F442" s="1" t="s">
        <v>736</v>
      </c>
      <c r="G442" s="1" t="s">
        <v>12</v>
      </c>
      <c r="H442" s="1" t="s">
        <v>867</v>
      </c>
      <c r="I442" s="1" t="s">
        <v>868</v>
      </c>
      <c r="J442" s="1" t="s">
        <v>869</v>
      </c>
    </row>
    <row r="443" ht="15.75" customHeight="1">
      <c r="A443" s="2">
        <v>442.0</v>
      </c>
      <c r="B443" s="1" t="s">
        <v>1219</v>
      </c>
      <c r="C443" s="1" t="s">
        <v>1373</v>
      </c>
      <c r="D443" s="1" t="s">
        <v>153</v>
      </c>
      <c r="E443" s="2">
        <v>5.70038354033E11</v>
      </c>
      <c r="F443" s="1" t="s">
        <v>1374</v>
      </c>
      <c r="G443" s="1" t="s">
        <v>12</v>
      </c>
      <c r="H443" s="1" t="s">
        <v>867</v>
      </c>
      <c r="I443" s="1" t="s">
        <v>868</v>
      </c>
      <c r="J443" s="1" t="s">
        <v>869</v>
      </c>
    </row>
    <row r="444" ht="15.75" customHeight="1">
      <c r="A444" s="2">
        <v>443.0</v>
      </c>
      <c r="B444" s="1" t="s">
        <v>1375</v>
      </c>
      <c r="C444" s="1" t="s">
        <v>1376</v>
      </c>
      <c r="D444" s="1" t="s">
        <v>1377</v>
      </c>
      <c r="E444" s="2">
        <v>5.70038354034E11</v>
      </c>
      <c r="F444" s="1" t="s">
        <v>1378</v>
      </c>
      <c r="G444" s="1" t="s">
        <v>12</v>
      </c>
      <c r="H444" s="1" t="s">
        <v>867</v>
      </c>
      <c r="I444" s="1" t="s">
        <v>868</v>
      </c>
      <c r="J444" s="1" t="s">
        <v>869</v>
      </c>
    </row>
    <row r="445" ht="15.75" customHeight="1">
      <c r="A445" s="2">
        <v>444.0</v>
      </c>
      <c r="B445" s="1" t="s">
        <v>1379</v>
      </c>
      <c r="C445" s="1" t="s">
        <v>1380</v>
      </c>
      <c r="D445" s="1" t="s">
        <v>1381</v>
      </c>
      <c r="E445" s="2">
        <v>5.70038354035E11</v>
      </c>
      <c r="F445" s="1" t="s">
        <v>1382</v>
      </c>
      <c r="G445" s="1" t="s">
        <v>12</v>
      </c>
      <c r="H445" s="1" t="s">
        <v>867</v>
      </c>
      <c r="I445" s="1" t="s">
        <v>868</v>
      </c>
      <c r="J445" s="1" t="s">
        <v>869</v>
      </c>
    </row>
    <row r="446" ht="15.75" customHeight="1">
      <c r="A446" s="2">
        <v>445.0</v>
      </c>
      <c r="B446" s="1" t="s">
        <v>552</v>
      </c>
      <c r="C446" s="1" t="s">
        <v>1383</v>
      </c>
      <c r="D446" s="1" t="s">
        <v>1384</v>
      </c>
      <c r="E446" s="2">
        <v>5.70038354036E11</v>
      </c>
      <c r="F446" s="1" t="s">
        <v>1385</v>
      </c>
      <c r="G446" s="1" t="s">
        <v>12</v>
      </c>
      <c r="H446" s="1" t="s">
        <v>867</v>
      </c>
      <c r="I446" s="1" t="s">
        <v>868</v>
      </c>
      <c r="J446" s="1" t="s">
        <v>869</v>
      </c>
    </row>
    <row r="447" ht="15.75" customHeight="1">
      <c r="A447" s="2">
        <v>446.0</v>
      </c>
      <c r="B447" s="1" t="s">
        <v>482</v>
      </c>
      <c r="C447" s="1" t="s">
        <v>320</v>
      </c>
      <c r="D447" s="1" t="s">
        <v>1386</v>
      </c>
      <c r="E447" s="2">
        <v>5.70038354037E11</v>
      </c>
      <c r="F447" s="1" t="s">
        <v>1387</v>
      </c>
      <c r="G447" s="1" t="s">
        <v>12</v>
      </c>
      <c r="H447" s="1" t="s">
        <v>867</v>
      </c>
      <c r="I447" s="1" t="s">
        <v>868</v>
      </c>
      <c r="J447" s="1" t="s">
        <v>869</v>
      </c>
    </row>
    <row r="448" ht="15.75" customHeight="1">
      <c r="A448" s="2">
        <v>447.0</v>
      </c>
      <c r="B448" s="1" t="s">
        <v>482</v>
      </c>
      <c r="C448" s="1" t="s">
        <v>1388</v>
      </c>
      <c r="D448" s="1" t="s">
        <v>1389</v>
      </c>
      <c r="E448" s="2">
        <v>5.70038354038E11</v>
      </c>
      <c r="F448" s="1" t="s">
        <v>1390</v>
      </c>
      <c r="G448" s="1" t="s">
        <v>12</v>
      </c>
      <c r="H448" s="1" t="s">
        <v>867</v>
      </c>
      <c r="I448" s="1" t="s">
        <v>868</v>
      </c>
      <c r="J448" s="1" t="s">
        <v>869</v>
      </c>
    </row>
    <row r="449" ht="15.75" customHeight="1">
      <c r="A449" s="2">
        <v>448.0</v>
      </c>
      <c r="B449" s="1" t="s">
        <v>60</v>
      </c>
      <c r="C449" s="1" t="s">
        <v>1391</v>
      </c>
      <c r="D449" s="1" t="s">
        <v>48</v>
      </c>
      <c r="E449" s="2">
        <v>5.7003835404E11</v>
      </c>
      <c r="F449" s="1" t="s">
        <v>1392</v>
      </c>
      <c r="G449" s="1" t="s">
        <v>12</v>
      </c>
      <c r="H449" s="1" t="s">
        <v>867</v>
      </c>
      <c r="I449" s="1" t="s">
        <v>868</v>
      </c>
      <c r="J449" s="1" t="s">
        <v>869</v>
      </c>
    </row>
    <row r="450" ht="15.75" customHeight="1">
      <c r="A450" s="2">
        <v>449.0</v>
      </c>
      <c r="B450" s="1" t="s">
        <v>62</v>
      </c>
      <c r="C450" s="1" t="s">
        <v>1393</v>
      </c>
      <c r="D450" s="1" t="s">
        <v>1394</v>
      </c>
      <c r="E450" s="2">
        <v>5.70038354041E11</v>
      </c>
      <c r="F450" s="1" t="s">
        <v>1395</v>
      </c>
      <c r="G450" s="1" t="s">
        <v>12</v>
      </c>
      <c r="H450" s="1" t="s">
        <v>867</v>
      </c>
      <c r="I450" s="1" t="s">
        <v>868</v>
      </c>
      <c r="J450" s="1" t="s">
        <v>869</v>
      </c>
    </row>
    <row r="451" ht="15.75" customHeight="1">
      <c r="A451" s="2">
        <v>450.0</v>
      </c>
      <c r="B451" s="1" t="s">
        <v>297</v>
      </c>
      <c r="C451" s="1" t="s">
        <v>1396</v>
      </c>
      <c r="D451" s="1" t="s">
        <v>1397</v>
      </c>
      <c r="E451" s="2">
        <v>5.70038354042E11</v>
      </c>
      <c r="F451" s="1" t="s">
        <v>1398</v>
      </c>
      <c r="G451" s="1" t="s">
        <v>12</v>
      </c>
      <c r="H451" s="1" t="s">
        <v>867</v>
      </c>
      <c r="I451" s="1" t="s">
        <v>868</v>
      </c>
      <c r="J451" s="1" t="s">
        <v>869</v>
      </c>
    </row>
    <row r="452" ht="15.75" customHeight="1">
      <c r="A452" s="2">
        <v>451.0</v>
      </c>
      <c r="B452" s="1" t="s">
        <v>940</v>
      </c>
      <c r="C452" s="1" t="s">
        <v>1399</v>
      </c>
      <c r="D452" s="1" t="s">
        <v>1400</v>
      </c>
      <c r="E452" s="2">
        <v>5.70038354044E11</v>
      </c>
      <c r="F452" s="1" t="s">
        <v>1401</v>
      </c>
      <c r="G452" s="1" t="s">
        <v>12</v>
      </c>
      <c r="H452" s="1" t="s">
        <v>867</v>
      </c>
      <c r="I452" s="1" t="s">
        <v>868</v>
      </c>
      <c r="J452" s="1" t="s">
        <v>869</v>
      </c>
    </row>
    <row r="453" ht="15.75" customHeight="1">
      <c r="A453" s="2">
        <v>452.0</v>
      </c>
      <c r="B453" s="1" t="s">
        <v>1402</v>
      </c>
      <c r="C453" s="1" t="s">
        <v>1403</v>
      </c>
      <c r="D453" s="1" t="s">
        <v>1404</v>
      </c>
      <c r="E453" s="2">
        <v>5.70038354045E11</v>
      </c>
      <c r="F453" s="1" t="s">
        <v>1374</v>
      </c>
      <c r="G453" s="1" t="s">
        <v>12</v>
      </c>
      <c r="H453" s="1" t="s">
        <v>867</v>
      </c>
      <c r="I453" s="1" t="s">
        <v>868</v>
      </c>
      <c r="J453" s="1" t="s">
        <v>869</v>
      </c>
    </row>
    <row r="454" ht="15.75" customHeight="1">
      <c r="A454" s="2">
        <v>453.0</v>
      </c>
      <c r="B454" s="1" t="s">
        <v>362</v>
      </c>
      <c r="C454" s="1" t="s">
        <v>1405</v>
      </c>
      <c r="D454" s="1" t="s">
        <v>482</v>
      </c>
      <c r="E454" s="2">
        <v>5.70038354046E11</v>
      </c>
      <c r="F454" s="1" t="s">
        <v>1406</v>
      </c>
      <c r="G454" s="1" t="s">
        <v>12</v>
      </c>
      <c r="H454" s="1" t="s">
        <v>867</v>
      </c>
      <c r="I454" s="1" t="s">
        <v>868</v>
      </c>
      <c r="J454" s="1" t="s">
        <v>869</v>
      </c>
    </row>
    <row r="455" ht="15.75" customHeight="1">
      <c r="A455" s="2">
        <v>454.0</v>
      </c>
      <c r="B455" s="1" t="s">
        <v>1407</v>
      </c>
      <c r="C455" s="1" t="s">
        <v>1408</v>
      </c>
      <c r="D455" s="1" t="s">
        <v>1409</v>
      </c>
      <c r="E455" s="2">
        <v>5.70038354047E11</v>
      </c>
      <c r="F455" s="1" t="s">
        <v>1410</v>
      </c>
      <c r="G455" s="1" t="s">
        <v>12</v>
      </c>
      <c r="H455" s="1" t="s">
        <v>867</v>
      </c>
      <c r="I455" s="1" t="s">
        <v>868</v>
      </c>
      <c r="J455" s="1" t="s">
        <v>869</v>
      </c>
    </row>
    <row r="456" ht="15.75" customHeight="1">
      <c r="A456" s="2">
        <v>455.0</v>
      </c>
      <c r="B456" s="1" t="s">
        <v>1411</v>
      </c>
      <c r="C456" s="1" t="s">
        <v>1412</v>
      </c>
      <c r="D456" s="1" t="s">
        <v>1413</v>
      </c>
      <c r="E456" s="2">
        <v>5.70038354048E11</v>
      </c>
      <c r="F456" s="1" t="s">
        <v>1414</v>
      </c>
      <c r="G456" s="1" t="s">
        <v>12</v>
      </c>
      <c r="H456" s="1" t="s">
        <v>867</v>
      </c>
      <c r="I456" s="1" t="s">
        <v>868</v>
      </c>
      <c r="J456" s="1" t="s">
        <v>869</v>
      </c>
    </row>
    <row r="457" ht="15.75" customHeight="1">
      <c r="A457" s="2">
        <v>456.0</v>
      </c>
      <c r="B457" s="1" t="s">
        <v>552</v>
      </c>
      <c r="C457" s="1" t="s">
        <v>1415</v>
      </c>
      <c r="D457" s="1" t="s">
        <v>344</v>
      </c>
      <c r="E457" s="2">
        <v>5.70038354049E11</v>
      </c>
      <c r="F457" s="1" t="s">
        <v>1416</v>
      </c>
      <c r="G457" s="1" t="s">
        <v>12</v>
      </c>
      <c r="H457" s="1" t="s">
        <v>867</v>
      </c>
      <c r="I457" s="1" t="s">
        <v>868</v>
      </c>
      <c r="J457" s="1" t="s">
        <v>869</v>
      </c>
    </row>
    <row r="458" ht="15.75" customHeight="1">
      <c r="A458" s="2">
        <v>457.0</v>
      </c>
      <c r="B458" s="1" t="s">
        <v>641</v>
      </c>
      <c r="C458" s="1" t="s">
        <v>1417</v>
      </c>
      <c r="D458" s="1" t="s">
        <v>1418</v>
      </c>
      <c r="E458" s="2">
        <v>5.7003835405E11</v>
      </c>
      <c r="F458" s="1" t="s">
        <v>1419</v>
      </c>
      <c r="G458" s="1" t="s">
        <v>12</v>
      </c>
      <c r="H458" s="1" t="s">
        <v>867</v>
      </c>
      <c r="I458" s="1" t="s">
        <v>868</v>
      </c>
      <c r="J458" s="1" t="s">
        <v>869</v>
      </c>
    </row>
    <row r="459" ht="15.75" customHeight="1">
      <c r="A459" s="2">
        <v>458.0</v>
      </c>
      <c r="B459" s="1" t="s">
        <v>1420</v>
      </c>
      <c r="C459" s="1" t="s">
        <v>1373</v>
      </c>
      <c r="D459" s="1" t="s">
        <v>153</v>
      </c>
      <c r="E459" s="2">
        <v>5.70038354055E11</v>
      </c>
      <c r="F459" s="1" t="s">
        <v>1421</v>
      </c>
      <c r="G459" s="1" t="s">
        <v>12</v>
      </c>
      <c r="H459" s="1" t="s">
        <v>867</v>
      </c>
      <c r="I459" s="1" t="s">
        <v>868</v>
      </c>
      <c r="J459" s="1" t="s">
        <v>869</v>
      </c>
    </row>
    <row r="460" ht="15.75" customHeight="1">
      <c r="A460" s="2">
        <v>459.0</v>
      </c>
      <c r="B460" s="1" t="s">
        <v>1422</v>
      </c>
      <c r="C460" s="1" t="s">
        <v>432</v>
      </c>
      <c r="D460" s="1" t="s">
        <v>1423</v>
      </c>
      <c r="E460" s="2">
        <v>5.70038354056E11</v>
      </c>
      <c r="F460" s="1" t="s">
        <v>1424</v>
      </c>
      <c r="G460" s="1" t="s">
        <v>12</v>
      </c>
      <c r="H460" s="1" t="s">
        <v>867</v>
      </c>
      <c r="I460" s="1" t="s">
        <v>868</v>
      </c>
      <c r="J460" s="1" t="s">
        <v>869</v>
      </c>
    </row>
    <row r="461" ht="15.75" customHeight="1">
      <c r="A461" s="2">
        <v>460.0</v>
      </c>
      <c r="B461" s="1" t="s">
        <v>230</v>
      </c>
      <c r="C461" s="1" t="s">
        <v>522</v>
      </c>
      <c r="D461" s="1" t="s">
        <v>1340</v>
      </c>
      <c r="E461" s="2">
        <v>5.70038354063E11</v>
      </c>
      <c r="F461" s="1" t="s">
        <v>661</v>
      </c>
      <c r="G461" s="1" t="s">
        <v>12</v>
      </c>
      <c r="H461" s="1" t="s">
        <v>867</v>
      </c>
      <c r="I461" s="1" t="s">
        <v>868</v>
      </c>
      <c r="J461" s="1" t="s">
        <v>869</v>
      </c>
    </row>
    <row r="462" ht="15.75" customHeight="1">
      <c r="A462" s="2">
        <v>461.0</v>
      </c>
      <c r="B462" s="1" t="s">
        <v>1425</v>
      </c>
      <c r="C462" s="1" t="s">
        <v>1426</v>
      </c>
      <c r="D462" s="1" t="s">
        <v>1427</v>
      </c>
      <c r="E462" s="2">
        <v>5.70038354069E11</v>
      </c>
      <c r="F462" s="1" t="s">
        <v>1428</v>
      </c>
      <c r="G462" s="1" t="s">
        <v>12</v>
      </c>
      <c r="H462" s="1" t="s">
        <v>867</v>
      </c>
      <c r="I462" s="1" t="s">
        <v>868</v>
      </c>
      <c r="J462" s="1" t="s">
        <v>869</v>
      </c>
    </row>
    <row r="463" ht="15.75" customHeight="1">
      <c r="A463" s="2">
        <v>462.0</v>
      </c>
      <c r="B463" s="1" t="s">
        <v>228</v>
      </c>
      <c r="C463" s="1" t="s">
        <v>1429</v>
      </c>
      <c r="D463" s="1" t="s">
        <v>360</v>
      </c>
      <c r="E463" s="2">
        <v>5.70038354072E11</v>
      </c>
      <c r="F463" s="1" t="s">
        <v>1430</v>
      </c>
      <c r="G463" s="1" t="s">
        <v>12</v>
      </c>
      <c r="H463" s="1" t="s">
        <v>867</v>
      </c>
      <c r="I463" s="1" t="s">
        <v>868</v>
      </c>
      <c r="J463" s="1" t="s">
        <v>869</v>
      </c>
    </row>
    <row r="464" ht="15.75" customHeight="1">
      <c r="A464" s="2">
        <v>463.0</v>
      </c>
      <c r="B464" s="1" t="s">
        <v>77</v>
      </c>
      <c r="C464" s="1" t="s">
        <v>1281</v>
      </c>
      <c r="D464" s="1" t="s">
        <v>321</v>
      </c>
      <c r="E464" s="2">
        <v>5.70038354076E11</v>
      </c>
      <c r="F464" s="1" t="s">
        <v>1431</v>
      </c>
      <c r="G464" s="1" t="s">
        <v>12</v>
      </c>
      <c r="H464" s="1" t="s">
        <v>867</v>
      </c>
      <c r="I464" s="1" t="s">
        <v>868</v>
      </c>
      <c r="J464" s="1" t="s">
        <v>869</v>
      </c>
    </row>
    <row r="465" ht="15.75" customHeight="1">
      <c r="A465" s="2">
        <v>464.0</v>
      </c>
      <c r="B465" s="1" t="s">
        <v>324</v>
      </c>
      <c r="C465" s="1" t="s">
        <v>1432</v>
      </c>
      <c r="D465" s="1" t="s">
        <v>1433</v>
      </c>
      <c r="E465" s="2">
        <v>5.70038354077E11</v>
      </c>
      <c r="F465" s="1" t="s">
        <v>1153</v>
      </c>
      <c r="G465" s="1" t="s">
        <v>12</v>
      </c>
      <c r="H465" s="1" t="s">
        <v>867</v>
      </c>
      <c r="I465" s="1" t="s">
        <v>868</v>
      </c>
      <c r="J465" s="1" t="s">
        <v>869</v>
      </c>
    </row>
    <row r="466" ht="15.75" customHeight="1">
      <c r="A466" s="2">
        <v>465.0</v>
      </c>
      <c r="B466" s="1" t="s">
        <v>1434</v>
      </c>
      <c r="C466" s="1" t="s">
        <v>90</v>
      </c>
      <c r="D466" s="1" t="s">
        <v>91</v>
      </c>
      <c r="E466" s="2">
        <v>5.70038354081E11</v>
      </c>
      <c r="F466" s="1" t="s">
        <v>1435</v>
      </c>
      <c r="G466" s="1" t="s">
        <v>12</v>
      </c>
      <c r="H466" s="1" t="s">
        <v>867</v>
      </c>
      <c r="I466" s="1" t="s">
        <v>868</v>
      </c>
      <c r="J466" s="1" t="s">
        <v>869</v>
      </c>
    </row>
    <row r="467" ht="15.75" customHeight="1">
      <c r="A467" s="2">
        <v>466.0</v>
      </c>
      <c r="B467" s="1" t="s">
        <v>427</v>
      </c>
      <c r="C467" s="1" t="s">
        <v>1436</v>
      </c>
      <c r="D467" s="1" t="s">
        <v>230</v>
      </c>
      <c r="E467" s="2">
        <v>5.70038354083E11</v>
      </c>
      <c r="F467" s="1" t="s">
        <v>1437</v>
      </c>
      <c r="G467" s="1" t="s">
        <v>12</v>
      </c>
      <c r="H467" s="1" t="s">
        <v>867</v>
      </c>
      <c r="I467" s="1" t="s">
        <v>868</v>
      </c>
      <c r="J467" s="1" t="s">
        <v>869</v>
      </c>
    </row>
    <row r="468" ht="15.75" customHeight="1">
      <c r="A468" s="2">
        <v>467.0</v>
      </c>
      <c r="B468" s="1" t="s">
        <v>335</v>
      </c>
      <c r="C468" s="1" t="s">
        <v>1436</v>
      </c>
      <c r="D468" s="1" t="s">
        <v>230</v>
      </c>
      <c r="E468" s="2">
        <v>5.70038354084E11</v>
      </c>
      <c r="F468" s="1" t="s">
        <v>1438</v>
      </c>
      <c r="G468" s="1" t="s">
        <v>261</v>
      </c>
      <c r="H468" s="1" t="s">
        <v>867</v>
      </c>
      <c r="I468" s="1" t="s">
        <v>868</v>
      </c>
      <c r="J468" s="1" t="s">
        <v>869</v>
      </c>
    </row>
    <row r="469" ht="15.75" customHeight="1">
      <c r="A469" s="2">
        <v>468.0</v>
      </c>
      <c r="B469" s="1" t="s">
        <v>1439</v>
      </c>
      <c r="C469" s="1" t="s">
        <v>1440</v>
      </c>
      <c r="D469" s="1" t="s">
        <v>62</v>
      </c>
      <c r="E469" s="2">
        <v>5.70038354086E11</v>
      </c>
      <c r="F469" s="1" t="s">
        <v>1441</v>
      </c>
      <c r="G469" s="1" t="s">
        <v>12</v>
      </c>
      <c r="H469" s="1" t="s">
        <v>867</v>
      </c>
      <c r="I469" s="1" t="s">
        <v>868</v>
      </c>
      <c r="J469" s="1" t="s">
        <v>869</v>
      </c>
    </row>
    <row r="470" ht="15.75" customHeight="1">
      <c r="A470" s="2">
        <v>469.0</v>
      </c>
      <c r="B470" s="1" t="s">
        <v>1360</v>
      </c>
      <c r="C470" s="1" t="s">
        <v>1442</v>
      </c>
      <c r="D470" s="1" t="s">
        <v>457</v>
      </c>
      <c r="E470" s="2">
        <v>5.70038354087E11</v>
      </c>
      <c r="F470" s="1" t="s">
        <v>1443</v>
      </c>
      <c r="G470" s="1" t="s">
        <v>12</v>
      </c>
      <c r="H470" s="1" t="s">
        <v>867</v>
      </c>
      <c r="I470" s="1" t="s">
        <v>868</v>
      </c>
      <c r="J470" s="1" t="s">
        <v>869</v>
      </c>
    </row>
    <row r="471" ht="15.75" customHeight="1">
      <c r="A471" s="2">
        <v>470.0</v>
      </c>
      <c r="B471" s="1" t="s">
        <v>1444</v>
      </c>
      <c r="C471" s="1" t="s">
        <v>1445</v>
      </c>
      <c r="D471" s="1" t="s">
        <v>1302</v>
      </c>
      <c r="E471" s="2">
        <v>5.70038354088E11</v>
      </c>
      <c r="F471" s="1" t="s">
        <v>1446</v>
      </c>
      <c r="G471" s="1" t="s">
        <v>12</v>
      </c>
      <c r="H471" s="1" t="s">
        <v>867</v>
      </c>
      <c r="I471" s="1" t="s">
        <v>868</v>
      </c>
      <c r="J471" s="1" t="s">
        <v>869</v>
      </c>
    </row>
    <row r="472" ht="15.75" customHeight="1">
      <c r="A472" s="2">
        <v>471.0</v>
      </c>
      <c r="B472" s="1" t="s">
        <v>510</v>
      </c>
      <c r="C472" s="1" t="s">
        <v>1447</v>
      </c>
      <c r="D472" s="1" t="s">
        <v>212</v>
      </c>
      <c r="E472" s="2">
        <v>5.7003835409E11</v>
      </c>
      <c r="F472" s="1" t="s">
        <v>1448</v>
      </c>
      <c r="G472" s="1" t="s">
        <v>12</v>
      </c>
      <c r="H472" s="1" t="s">
        <v>867</v>
      </c>
      <c r="I472" s="1" t="s">
        <v>868</v>
      </c>
      <c r="J472" s="1" t="s">
        <v>869</v>
      </c>
    </row>
    <row r="473" ht="15.75" customHeight="1">
      <c r="A473" s="2">
        <v>472.0</v>
      </c>
      <c r="B473" s="1" t="s">
        <v>10</v>
      </c>
      <c r="C473" s="1" t="s">
        <v>1449</v>
      </c>
      <c r="D473" s="1" t="s">
        <v>1450</v>
      </c>
      <c r="E473" s="2">
        <v>5.70038354092E11</v>
      </c>
      <c r="F473" s="1" t="s">
        <v>1451</v>
      </c>
      <c r="G473" s="1" t="s">
        <v>12</v>
      </c>
      <c r="H473" s="1" t="s">
        <v>867</v>
      </c>
      <c r="I473" s="1" t="s">
        <v>868</v>
      </c>
      <c r="J473" s="1" t="s">
        <v>869</v>
      </c>
    </row>
    <row r="474" ht="15.75" customHeight="1">
      <c r="A474" s="2">
        <v>473.0</v>
      </c>
      <c r="B474" s="1" t="s">
        <v>1452</v>
      </c>
      <c r="C474" s="1" t="s">
        <v>1453</v>
      </c>
      <c r="D474" s="1" t="s">
        <v>1454</v>
      </c>
      <c r="E474" s="2">
        <v>5.70038354094E11</v>
      </c>
      <c r="F474" s="1" t="s">
        <v>1062</v>
      </c>
      <c r="G474" s="1" t="s">
        <v>12</v>
      </c>
      <c r="H474" s="1" t="s">
        <v>867</v>
      </c>
      <c r="I474" s="1" t="s">
        <v>868</v>
      </c>
      <c r="J474" s="1" t="s">
        <v>869</v>
      </c>
    </row>
    <row r="475" ht="15.75" customHeight="1">
      <c r="A475" s="2">
        <v>474.0</v>
      </c>
      <c r="B475" s="1" t="s">
        <v>1455</v>
      </c>
      <c r="C475" s="1" t="s">
        <v>1456</v>
      </c>
      <c r="D475" s="1" t="s">
        <v>210</v>
      </c>
      <c r="E475" s="2">
        <v>5.70038354096E11</v>
      </c>
      <c r="F475" s="1" t="s">
        <v>1457</v>
      </c>
      <c r="G475" s="1" t="s">
        <v>12</v>
      </c>
      <c r="H475" s="1" t="s">
        <v>867</v>
      </c>
      <c r="I475" s="1" t="s">
        <v>868</v>
      </c>
      <c r="J475" s="1" t="s">
        <v>869</v>
      </c>
    </row>
    <row r="476" ht="15.75" customHeight="1">
      <c r="A476" s="2">
        <v>475.0</v>
      </c>
      <c r="B476" s="1" t="s">
        <v>1458</v>
      </c>
      <c r="C476" s="1" t="s">
        <v>1459</v>
      </c>
      <c r="D476" s="1" t="s">
        <v>1460</v>
      </c>
      <c r="E476" s="2">
        <v>5.70038354097E11</v>
      </c>
      <c r="F476" s="1" t="s">
        <v>1461</v>
      </c>
      <c r="G476" s="1" t="s">
        <v>12</v>
      </c>
      <c r="H476" s="1" t="s">
        <v>867</v>
      </c>
      <c r="I476" s="1" t="s">
        <v>868</v>
      </c>
      <c r="J476" s="1" t="s">
        <v>869</v>
      </c>
    </row>
    <row r="477" ht="15.75" customHeight="1">
      <c r="A477" s="2">
        <v>476.0</v>
      </c>
      <c r="B477" s="1" t="s">
        <v>58</v>
      </c>
      <c r="C477" s="1" t="s">
        <v>1462</v>
      </c>
      <c r="D477" s="1" t="s">
        <v>384</v>
      </c>
      <c r="E477" s="2">
        <v>5.700383541E11</v>
      </c>
      <c r="F477" s="1" t="s">
        <v>1463</v>
      </c>
      <c r="G477" s="1" t="s">
        <v>135</v>
      </c>
      <c r="H477" s="1" t="s">
        <v>867</v>
      </c>
      <c r="I477" s="1" t="s">
        <v>868</v>
      </c>
      <c r="J477" s="1" t="s">
        <v>869</v>
      </c>
    </row>
    <row r="478" ht="15.75" customHeight="1">
      <c r="A478" s="2">
        <v>477.0</v>
      </c>
      <c r="B478" s="1" t="s">
        <v>1464</v>
      </c>
      <c r="C478" s="1" t="s">
        <v>1465</v>
      </c>
      <c r="D478" s="1" t="s">
        <v>1052</v>
      </c>
      <c r="E478" s="2">
        <v>5.70038354115E11</v>
      </c>
      <c r="F478" s="1" t="s">
        <v>1466</v>
      </c>
      <c r="G478" s="1" t="s">
        <v>12</v>
      </c>
      <c r="H478" s="1" t="s">
        <v>867</v>
      </c>
      <c r="I478" s="1" t="s">
        <v>868</v>
      </c>
      <c r="J478" s="1" t="s">
        <v>869</v>
      </c>
    </row>
    <row r="479" ht="15.75" customHeight="1">
      <c r="A479" s="2">
        <v>478.0</v>
      </c>
      <c r="B479" s="1" t="s">
        <v>1467</v>
      </c>
      <c r="C479" s="1" t="s">
        <v>1468</v>
      </c>
      <c r="D479" s="1" t="s">
        <v>547</v>
      </c>
      <c r="E479" s="2">
        <v>5.70038354117E11</v>
      </c>
      <c r="F479" s="1" t="s">
        <v>1469</v>
      </c>
      <c r="G479" s="1" t="s">
        <v>12</v>
      </c>
      <c r="H479" s="1" t="s">
        <v>867</v>
      </c>
      <c r="I479" s="1" t="s">
        <v>868</v>
      </c>
      <c r="J479" s="1" t="s">
        <v>869</v>
      </c>
    </row>
    <row r="480" ht="15.75" customHeight="1">
      <c r="A480" s="2">
        <v>479.0</v>
      </c>
      <c r="B480" s="1" t="s">
        <v>1470</v>
      </c>
      <c r="C480" s="1" t="s">
        <v>1471</v>
      </c>
      <c r="D480" s="1" t="s">
        <v>384</v>
      </c>
      <c r="E480" s="2">
        <v>5.70038354119E11</v>
      </c>
      <c r="F480" s="1" t="s">
        <v>1472</v>
      </c>
      <c r="G480" s="1" t="s">
        <v>12</v>
      </c>
      <c r="H480" s="1" t="s">
        <v>867</v>
      </c>
      <c r="I480" s="1" t="s">
        <v>868</v>
      </c>
      <c r="J480" s="1" t="s">
        <v>869</v>
      </c>
    </row>
    <row r="481" ht="15.75" customHeight="1">
      <c r="A481" s="2">
        <v>480.0</v>
      </c>
      <c r="B481" s="1" t="s">
        <v>1455</v>
      </c>
      <c r="C481" s="1" t="s">
        <v>369</v>
      </c>
      <c r="D481" s="1" t="s">
        <v>1473</v>
      </c>
      <c r="E481" s="2">
        <v>5.7003835412E11</v>
      </c>
      <c r="F481" s="1" t="s">
        <v>1474</v>
      </c>
      <c r="G481" s="1" t="s">
        <v>12</v>
      </c>
      <c r="H481" s="1" t="s">
        <v>867</v>
      </c>
      <c r="I481" s="1" t="s">
        <v>868</v>
      </c>
      <c r="J481" s="1" t="s">
        <v>869</v>
      </c>
    </row>
    <row r="482" ht="15.75" customHeight="1">
      <c r="A482" s="2">
        <v>481.0</v>
      </c>
      <c r="B482" s="1" t="s">
        <v>1475</v>
      </c>
      <c r="C482" s="1" t="s">
        <v>1476</v>
      </c>
      <c r="D482" s="1" t="s">
        <v>1477</v>
      </c>
      <c r="E482" s="2">
        <v>5.70038354121E11</v>
      </c>
      <c r="F482" s="1" t="s">
        <v>41</v>
      </c>
      <c r="G482" s="1" t="s">
        <v>12</v>
      </c>
      <c r="H482" s="1" t="s">
        <v>867</v>
      </c>
      <c r="I482" s="1" t="s">
        <v>868</v>
      </c>
      <c r="J482" s="1" t="s">
        <v>869</v>
      </c>
    </row>
    <row r="483" ht="15.75" customHeight="1">
      <c r="A483" s="2">
        <v>482.0</v>
      </c>
      <c r="B483" s="1" t="s">
        <v>710</v>
      </c>
      <c r="C483" s="1" t="s">
        <v>1478</v>
      </c>
      <c r="D483" s="1" t="s">
        <v>8</v>
      </c>
      <c r="E483" s="2">
        <v>5.70038354123E11</v>
      </c>
      <c r="F483" s="1" t="s">
        <v>1479</v>
      </c>
      <c r="G483" s="1" t="s">
        <v>12</v>
      </c>
      <c r="H483" s="1" t="s">
        <v>867</v>
      </c>
      <c r="I483" s="1" t="s">
        <v>868</v>
      </c>
      <c r="J483" s="1" t="s">
        <v>869</v>
      </c>
    </row>
    <row r="484" ht="15.75" customHeight="1">
      <c r="A484" s="2">
        <v>483.0</v>
      </c>
      <c r="B484" s="1" t="s">
        <v>1434</v>
      </c>
      <c r="C484" s="1" t="s">
        <v>1480</v>
      </c>
      <c r="D484" s="1" t="s">
        <v>1481</v>
      </c>
      <c r="E484" s="2">
        <v>5.70038354124E11</v>
      </c>
      <c r="F484" s="1" t="s">
        <v>1482</v>
      </c>
      <c r="G484" s="1" t="s">
        <v>12</v>
      </c>
      <c r="H484" s="1" t="s">
        <v>867</v>
      </c>
      <c r="I484" s="1" t="s">
        <v>868</v>
      </c>
      <c r="J484" s="1" t="s">
        <v>869</v>
      </c>
    </row>
    <row r="485" ht="15.75" customHeight="1">
      <c r="A485" s="2">
        <v>484.0</v>
      </c>
      <c r="B485" s="1" t="s">
        <v>1483</v>
      </c>
      <c r="C485" s="1" t="s">
        <v>1484</v>
      </c>
      <c r="D485" s="1" t="s">
        <v>1485</v>
      </c>
      <c r="E485" s="2">
        <v>5.70038354125E11</v>
      </c>
      <c r="F485" s="1" t="s">
        <v>1486</v>
      </c>
      <c r="G485" s="1" t="s">
        <v>12</v>
      </c>
      <c r="H485" s="1" t="s">
        <v>867</v>
      </c>
      <c r="I485" s="1" t="s">
        <v>868</v>
      </c>
      <c r="J485" s="1" t="s">
        <v>869</v>
      </c>
    </row>
    <row r="486" ht="15.75" customHeight="1">
      <c r="A486" s="2">
        <v>485.0</v>
      </c>
      <c r="B486" s="1" t="s">
        <v>1487</v>
      </c>
      <c r="C486" s="1" t="s">
        <v>1488</v>
      </c>
      <c r="D486" s="1" t="s">
        <v>1489</v>
      </c>
      <c r="E486" s="2">
        <v>5.70038354134E11</v>
      </c>
      <c r="F486" s="1" t="s">
        <v>1490</v>
      </c>
      <c r="G486" s="1" t="s">
        <v>12</v>
      </c>
      <c r="H486" s="1" t="s">
        <v>867</v>
      </c>
      <c r="I486" s="1" t="s">
        <v>868</v>
      </c>
      <c r="J486" s="1" t="s">
        <v>869</v>
      </c>
    </row>
    <row r="487" ht="15.75" customHeight="1">
      <c r="A487" s="2">
        <v>486.0</v>
      </c>
      <c r="B487" s="1" t="s">
        <v>1491</v>
      </c>
      <c r="C487" s="1" t="s">
        <v>1492</v>
      </c>
      <c r="D487" s="1" t="s">
        <v>124</v>
      </c>
      <c r="E487" s="2">
        <v>5.70038354139E11</v>
      </c>
      <c r="F487" s="1" t="s">
        <v>1493</v>
      </c>
      <c r="G487" s="1" t="s">
        <v>12</v>
      </c>
      <c r="H487" s="1" t="s">
        <v>867</v>
      </c>
      <c r="I487" s="1" t="s">
        <v>868</v>
      </c>
      <c r="J487" s="1" t="s">
        <v>869</v>
      </c>
    </row>
    <row r="488" ht="15.75" customHeight="1">
      <c r="A488" s="2">
        <v>487.0</v>
      </c>
      <c r="B488" s="1" t="s">
        <v>120</v>
      </c>
      <c r="C488" s="1" t="s">
        <v>1494</v>
      </c>
      <c r="D488" s="1" t="s">
        <v>1495</v>
      </c>
      <c r="E488" s="2">
        <v>5.70038354143E11</v>
      </c>
      <c r="F488" s="1" t="s">
        <v>1496</v>
      </c>
      <c r="G488" s="1" t="s">
        <v>12</v>
      </c>
      <c r="H488" s="1" t="s">
        <v>867</v>
      </c>
      <c r="I488" s="1" t="s">
        <v>868</v>
      </c>
      <c r="J488" s="1" t="s">
        <v>869</v>
      </c>
    </row>
    <row r="489" ht="15.75" customHeight="1">
      <c r="A489" s="2">
        <v>488.0</v>
      </c>
      <c r="B489" s="1" t="s">
        <v>431</v>
      </c>
      <c r="C489" s="1" t="s">
        <v>1497</v>
      </c>
      <c r="D489" s="1" t="s">
        <v>62</v>
      </c>
      <c r="E489" s="2">
        <v>5.70038354144E11</v>
      </c>
      <c r="F489" s="1" t="s">
        <v>1498</v>
      </c>
      <c r="G489" s="1" t="s">
        <v>12</v>
      </c>
      <c r="H489" s="1" t="s">
        <v>867</v>
      </c>
      <c r="I489" s="1" t="s">
        <v>868</v>
      </c>
      <c r="J489" s="1" t="s">
        <v>869</v>
      </c>
    </row>
    <row r="490" ht="15.75" customHeight="1">
      <c r="A490" s="2">
        <v>489.0</v>
      </c>
      <c r="B490" s="1" t="s">
        <v>1499</v>
      </c>
      <c r="C490" s="1" t="s">
        <v>1500</v>
      </c>
      <c r="D490" s="1" t="s">
        <v>1501</v>
      </c>
      <c r="E490" s="2">
        <v>5.70038354145E11</v>
      </c>
      <c r="F490" s="1" t="s">
        <v>1502</v>
      </c>
      <c r="G490" s="1" t="s">
        <v>12</v>
      </c>
      <c r="H490" s="1" t="s">
        <v>867</v>
      </c>
      <c r="I490" s="1" t="s">
        <v>868</v>
      </c>
      <c r="J490" s="1" t="s">
        <v>869</v>
      </c>
    </row>
    <row r="491" ht="15.75" customHeight="1">
      <c r="A491" s="2">
        <v>490.0</v>
      </c>
      <c r="B491" s="1" t="s">
        <v>1503</v>
      </c>
      <c r="C491" s="1" t="s">
        <v>1504</v>
      </c>
      <c r="D491" s="1" t="s">
        <v>462</v>
      </c>
      <c r="E491" s="2">
        <v>5.70038354147E11</v>
      </c>
      <c r="F491" s="1" t="s">
        <v>1505</v>
      </c>
      <c r="G491" s="1" t="s">
        <v>12</v>
      </c>
      <c r="H491" s="1" t="s">
        <v>867</v>
      </c>
      <c r="I491" s="1" t="s">
        <v>868</v>
      </c>
      <c r="J491" s="1" t="s">
        <v>869</v>
      </c>
    </row>
    <row r="492" ht="15.75" customHeight="1">
      <c r="A492" s="2">
        <v>491.0</v>
      </c>
      <c r="B492" s="1" t="s">
        <v>571</v>
      </c>
      <c r="C492" s="1" t="s">
        <v>351</v>
      </c>
      <c r="D492" s="1" t="s">
        <v>1506</v>
      </c>
      <c r="E492" s="2">
        <v>5.70038354148E11</v>
      </c>
      <c r="F492" s="1" t="s">
        <v>1507</v>
      </c>
      <c r="G492" s="1" t="s">
        <v>12</v>
      </c>
      <c r="H492" s="1" t="s">
        <v>867</v>
      </c>
      <c r="I492" s="1" t="s">
        <v>868</v>
      </c>
      <c r="J492" s="1" t="s">
        <v>869</v>
      </c>
    </row>
    <row r="493" ht="15.75" customHeight="1">
      <c r="A493" s="2">
        <v>492.0</v>
      </c>
      <c r="B493" s="1" t="s">
        <v>1508</v>
      </c>
      <c r="C493" s="1" t="s">
        <v>1509</v>
      </c>
      <c r="D493" s="1" t="s">
        <v>1510</v>
      </c>
      <c r="E493" s="2">
        <v>5.7003835415E11</v>
      </c>
      <c r="F493" s="1" t="s">
        <v>1511</v>
      </c>
      <c r="G493" s="1" t="s">
        <v>12</v>
      </c>
      <c r="H493" s="1" t="s">
        <v>867</v>
      </c>
      <c r="I493" s="1" t="s">
        <v>868</v>
      </c>
      <c r="J493" s="1" t="s">
        <v>869</v>
      </c>
    </row>
    <row r="494" ht="15.75" customHeight="1">
      <c r="A494" s="2">
        <v>493.0</v>
      </c>
      <c r="B494" s="1" t="s">
        <v>263</v>
      </c>
      <c r="C494" s="1" t="s">
        <v>1512</v>
      </c>
      <c r="D494" s="1" t="s">
        <v>58</v>
      </c>
      <c r="E494" s="2">
        <v>5.70038354201E11</v>
      </c>
      <c r="F494" s="1" t="s">
        <v>1513</v>
      </c>
      <c r="G494" s="1" t="s">
        <v>12</v>
      </c>
      <c r="H494" s="1" t="s">
        <v>867</v>
      </c>
      <c r="I494" s="1" t="s">
        <v>868</v>
      </c>
      <c r="J494" s="1" t="s">
        <v>869</v>
      </c>
    </row>
    <row r="495" ht="15.75" customHeight="1">
      <c r="A495" s="2">
        <v>494.0</v>
      </c>
      <c r="B495" s="1" t="s">
        <v>1514</v>
      </c>
      <c r="C495" s="1" t="s">
        <v>404</v>
      </c>
      <c r="D495" s="1" t="s">
        <v>1515</v>
      </c>
      <c r="E495" s="2">
        <v>5.70038354202E11</v>
      </c>
      <c r="F495" s="1" t="s">
        <v>1516</v>
      </c>
      <c r="G495" s="1" t="s">
        <v>12</v>
      </c>
      <c r="H495" s="1" t="s">
        <v>867</v>
      </c>
      <c r="I495" s="1" t="s">
        <v>868</v>
      </c>
      <c r="J495" s="1" t="s">
        <v>869</v>
      </c>
    </row>
    <row r="496" ht="15.75" customHeight="1">
      <c r="A496" s="2">
        <v>495.0</v>
      </c>
      <c r="B496" s="1" t="s">
        <v>903</v>
      </c>
      <c r="C496" s="1" t="s">
        <v>1512</v>
      </c>
      <c r="D496" s="1" t="s">
        <v>295</v>
      </c>
      <c r="E496" s="2">
        <v>5.70038354204E11</v>
      </c>
      <c r="F496" s="1" t="s">
        <v>1517</v>
      </c>
      <c r="G496" s="1" t="s">
        <v>12</v>
      </c>
      <c r="H496" s="1" t="s">
        <v>867</v>
      </c>
      <c r="I496" s="1" t="s">
        <v>868</v>
      </c>
      <c r="J496" s="1" t="s">
        <v>869</v>
      </c>
    </row>
    <row r="497" ht="15.75" customHeight="1">
      <c r="A497" s="2">
        <v>496.0</v>
      </c>
      <c r="B497" s="1" t="s">
        <v>453</v>
      </c>
      <c r="C497" s="1" t="s">
        <v>1518</v>
      </c>
      <c r="D497" s="1" t="s">
        <v>1519</v>
      </c>
      <c r="E497" s="2">
        <v>5.70038354206E11</v>
      </c>
      <c r="F497" s="1" t="s">
        <v>1520</v>
      </c>
      <c r="G497" s="1" t="s">
        <v>12</v>
      </c>
      <c r="H497" s="1" t="s">
        <v>867</v>
      </c>
      <c r="I497" s="1" t="s">
        <v>868</v>
      </c>
      <c r="J497" s="1" t="s">
        <v>869</v>
      </c>
    </row>
    <row r="498" ht="15.75" customHeight="1">
      <c r="A498" s="2">
        <v>497.0</v>
      </c>
      <c r="B498" s="1" t="s">
        <v>1521</v>
      </c>
      <c r="C498" s="1" t="s">
        <v>1522</v>
      </c>
      <c r="D498" s="1" t="s">
        <v>1523</v>
      </c>
      <c r="E498" s="2">
        <v>5.7003835421E11</v>
      </c>
      <c r="F498" s="1" t="s">
        <v>1524</v>
      </c>
      <c r="G498" s="1" t="s">
        <v>12</v>
      </c>
      <c r="H498" s="1" t="s">
        <v>867</v>
      </c>
      <c r="I498" s="1" t="s">
        <v>868</v>
      </c>
      <c r="J498" s="1" t="s">
        <v>869</v>
      </c>
    </row>
    <row r="499" ht="15.75" customHeight="1">
      <c r="A499" s="2">
        <v>498.0</v>
      </c>
      <c r="B499" s="1" t="s">
        <v>1525</v>
      </c>
      <c r="C499" s="1" t="s">
        <v>351</v>
      </c>
      <c r="D499" s="1" t="s">
        <v>1526</v>
      </c>
      <c r="E499" s="2">
        <v>5.70038354214E11</v>
      </c>
      <c r="F499" s="1" t="s">
        <v>1527</v>
      </c>
      <c r="G499" s="1" t="s">
        <v>12</v>
      </c>
      <c r="H499" s="1" t="s">
        <v>867</v>
      </c>
      <c r="I499" s="1" t="s">
        <v>868</v>
      </c>
      <c r="J499" s="1" t="s">
        <v>869</v>
      </c>
    </row>
    <row r="500" ht="15.75" customHeight="1">
      <c r="A500" s="2">
        <v>499.0</v>
      </c>
      <c r="B500" s="1" t="s">
        <v>523</v>
      </c>
      <c r="C500" s="1" t="s">
        <v>1528</v>
      </c>
      <c r="D500" s="1" t="s">
        <v>1529</v>
      </c>
      <c r="E500" s="2">
        <v>5.70038354216E11</v>
      </c>
      <c r="F500" s="1" t="s">
        <v>1530</v>
      </c>
      <c r="G500" s="1" t="s">
        <v>12</v>
      </c>
      <c r="H500" s="1" t="s">
        <v>867</v>
      </c>
      <c r="I500" s="1" t="s">
        <v>868</v>
      </c>
      <c r="J500" s="1" t="s">
        <v>869</v>
      </c>
    </row>
    <row r="501" ht="15.75" customHeight="1">
      <c r="A501" s="2">
        <v>500.0</v>
      </c>
      <c r="B501" s="1" t="s">
        <v>1531</v>
      </c>
      <c r="C501" s="1" t="s">
        <v>1532</v>
      </c>
      <c r="D501" s="1" t="s">
        <v>1533</v>
      </c>
      <c r="E501" s="2">
        <v>5.7003835422E11</v>
      </c>
      <c r="F501" s="1" t="s">
        <v>1534</v>
      </c>
      <c r="G501" s="1" t="s">
        <v>135</v>
      </c>
      <c r="H501" s="1" t="s">
        <v>867</v>
      </c>
      <c r="I501" s="1" t="s">
        <v>868</v>
      </c>
      <c r="J501" s="1" t="s">
        <v>869</v>
      </c>
    </row>
    <row r="502" ht="15.75" customHeight="1">
      <c r="A502" s="2">
        <v>501.0</v>
      </c>
      <c r="B502" s="1" t="s">
        <v>346</v>
      </c>
      <c r="C502" s="1" t="s">
        <v>1535</v>
      </c>
      <c r="D502" s="1" t="s">
        <v>1536</v>
      </c>
      <c r="E502" s="2">
        <v>5.70038354222E11</v>
      </c>
      <c r="F502" s="1" t="s">
        <v>1537</v>
      </c>
      <c r="G502" s="1" t="s">
        <v>12</v>
      </c>
      <c r="H502" s="1" t="s">
        <v>867</v>
      </c>
      <c r="I502" s="1" t="s">
        <v>868</v>
      </c>
      <c r="J502" s="1" t="s">
        <v>869</v>
      </c>
    </row>
    <row r="503" ht="15.75" customHeight="1">
      <c r="A503" s="2">
        <v>502.0</v>
      </c>
      <c r="B503" s="1" t="s">
        <v>1477</v>
      </c>
      <c r="C503" s="1" t="s">
        <v>1538</v>
      </c>
      <c r="D503" s="1" t="s">
        <v>1539</v>
      </c>
      <c r="E503" s="2">
        <v>5.70038354224E11</v>
      </c>
      <c r="F503" s="1" t="s">
        <v>1540</v>
      </c>
      <c r="G503" s="1" t="s">
        <v>12</v>
      </c>
      <c r="H503" s="1" t="s">
        <v>867</v>
      </c>
      <c r="I503" s="1" t="s">
        <v>868</v>
      </c>
      <c r="J503" s="1" t="s">
        <v>869</v>
      </c>
    </row>
    <row r="504" ht="15.75" customHeight="1">
      <c r="A504" s="2">
        <v>503.0</v>
      </c>
      <c r="B504" s="1" t="s">
        <v>605</v>
      </c>
      <c r="C504" s="1" t="s">
        <v>1541</v>
      </c>
      <c r="D504" s="1" t="s">
        <v>1542</v>
      </c>
      <c r="E504" s="2">
        <v>5.70038354226E11</v>
      </c>
      <c r="F504" s="1" t="s">
        <v>1543</v>
      </c>
      <c r="G504" s="1" t="s">
        <v>12</v>
      </c>
      <c r="H504" s="1" t="s">
        <v>867</v>
      </c>
      <c r="I504" s="1" t="s">
        <v>868</v>
      </c>
      <c r="J504" s="1" t="s">
        <v>869</v>
      </c>
    </row>
    <row r="505" ht="15.75" customHeight="1">
      <c r="A505" s="2">
        <v>504.0</v>
      </c>
      <c r="B505" s="1" t="s">
        <v>1544</v>
      </c>
      <c r="C505" s="1" t="s">
        <v>1545</v>
      </c>
      <c r="D505" s="1" t="s">
        <v>1546</v>
      </c>
      <c r="E505" s="2">
        <v>5.70038354229E11</v>
      </c>
      <c r="F505" s="1" t="s">
        <v>1547</v>
      </c>
      <c r="G505" s="1" t="s">
        <v>12</v>
      </c>
      <c r="H505" s="1" t="s">
        <v>867</v>
      </c>
      <c r="I505" s="1" t="s">
        <v>868</v>
      </c>
      <c r="J505" s="1" t="s">
        <v>869</v>
      </c>
    </row>
    <row r="506" ht="15.75" customHeight="1">
      <c r="A506" s="2">
        <v>505.0</v>
      </c>
      <c r="B506" s="1" t="s">
        <v>1548</v>
      </c>
      <c r="C506" s="1" t="s">
        <v>1535</v>
      </c>
      <c r="D506" s="1" t="s">
        <v>1536</v>
      </c>
      <c r="E506" s="2">
        <v>5.7003835423E11</v>
      </c>
      <c r="F506" s="1" t="s">
        <v>1549</v>
      </c>
      <c r="G506" s="1" t="s">
        <v>12</v>
      </c>
      <c r="H506" s="1" t="s">
        <v>867</v>
      </c>
      <c r="I506" s="1" t="s">
        <v>868</v>
      </c>
      <c r="J506" s="1" t="s">
        <v>869</v>
      </c>
    </row>
    <row r="507" ht="15.75" customHeight="1">
      <c r="A507" s="2">
        <v>506.0</v>
      </c>
      <c r="B507" s="1" t="s">
        <v>384</v>
      </c>
      <c r="C507" s="1" t="s">
        <v>1550</v>
      </c>
      <c r="D507" s="1" t="s">
        <v>615</v>
      </c>
      <c r="E507" s="2">
        <v>5.70038354231E11</v>
      </c>
      <c r="F507" s="1" t="s">
        <v>1551</v>
      </c>
      <c r="G507" s="1" t="s">
        <v>12</v>
      </c>
      <c r="H507" s="1" t="s">
        <v>867</v>
      </c>
      <c r="I507" s="1" t="s">
        <v>868</v>
      </c>
      <c r="J507" s="1" t="s">
        <v>869</v>
      </c>
    </row>
    <row r="508" ht="15.75" customHeight="1">
      <c r="A508" s="2">
        <v>507.0</v>
      </c>
      <c r="B508" s="1" t="s">
        <v>1552</v>
      </c>
      <c r="C508" s="1" t="s">
        <v>1214</v>
      </c>
      <c r="D508" s="1" t="s">
        <v>564</v>
      </c>
      <c r="E508" s="2">
        <v>5.70038354232E11</v>
      </c>
      <c r="F508" s="1" t="s">
        <v>1553</v>
      </c>
      <c r="G508" s="1" t="s">
        <v>12</v>
      </c>
      <c r="H508" s="1" t="s">
        <v>867</v>
      </c>
      <c r="I508" s="1" t="s">
        <v>868</v>
      </c>
      <c r="J508" s="1" t="s">
        <v>869</v>
      </c>
    </row>
    <row r="509" ht="15.75" customHeight="1">
      <c r="A509" s="2">
        <v>508.0</v>
      </c>
      <c r="B509" s="1" t="s">
        <v>1554</v>
      </c>
      <c r="C509" s="1" t="s">
        <v>1555</v>
      </c>
      <c r="D509" s="1" t="s">
        <v>901</v>
      </c>
      <c r="E509" s="2">
        <v>5.70038354234E11</v>
      </c>
      <c r="F509" s="1" t="s">
        <v>1556</v>
      </c>
      <c r="G509" s="1" t="s">
        <v>12</v>
      </c>
      <c r="H509" s="1" t="s">
        <v>867</v>
      </c>
      <c r="I509" s="1" t="s">
        <v>868</v>
      </c>
      <c r="J509" s="1" t="s">
        <v>869</v>
      </c>
    </row>
    <row r="510" ht="15.75" customHeight="1">
      <c r="A510" s="2">
        <v>509.0</v>
      </c>
      <c r="B510" s="1" t="s">
        <v>1557</v>
      </c>
      <c r="C510" s="1" t="s">
        <v>1558</v>
      </c>
      <c r="D510" s="1" t="s">
        <v>1559</v>
      </c>
      <c r="E510" s="2">
        <v>5.70038354235E11</v>
      </c>
      <c r="F510" s="1" t="s">
        <v>1560</v>
      </c>
      <c r="G510" s="1" t="s">
        <v>12</v>
      </c>
      <c r="H510" s="1" t="s">
        <v>867</v>
      </c>
      <c r="I510" s="1" t="s">
        <v>868</v>
      </c>
      <c r="J510" s="1" t="s">
        <v>869</v>
      </c>
    </row>
    <row r="511" ht="15.75" customHeight="1">
      <c r="A511" s="2">
        <v>510.0</v>
      </c>
      <c r="B511" s="1" t="s">
        <v>1561</v>
      </c>
      <c r="C511" s="1" t="s">
        <v>1562</v>
      </c>
      <c r="D511" s="1" t="s">
        <v>1559</v>
      </c>
      <c r="E511" s="2">
        <v>5.70038354236E11</v>
      </c>
      <c r="F511" s="1" t="s">
        <v>1563</v>
      </c>
      <c r="G511" s="1" t="s">
        <v>12</v>
      </c>
      <c r="H511" s="1" t="s">
        <v>867</v>
      </c>
      <c r="I511" s="1" t="s">
        <v>868</v>
      </c>
      <c r="J511" s="1" t="s">
        <v>869</v>
      </c>
    </row>
    <row r="512" ht="15.75" customHeight="1">
      <c r="A512" s="2">
        <v>511.0</v>
      </c>
      <c r="B512" s="1" t="s">
        <v>451</v>
      </c>
      <c r="C512" s="1" t="s">
        <v>1564</v>
      </c>
      <c r="D512" s="1" t="s">
        <v>1565</v>
      </c>
      <c r="E512" s="2">
        <v>5.70038354239E11</v>
      </c>
      <c r="F512" s="1" t="s">
        <v>1136</v>
      </c>
      <c r="G512" s="1" t="s">
        <v>12</v>
      </c>
      <c r="H512" s="1" t="s">
        <v>867</v>
      </c>
      <c r="I512" s="1" t="s">
        <v>868</v>
      </c>
      <c r="J512" s="1" t="s">
        <v>869</v>
      </c>
    </row>
    <row r="513" ht="15.75" customHeight="1">
      <c r="A513" s="2">
        <v>512.0</v>
      </c>
      <c r="B513" s="1" t="s">
        <v>230</v>
      </c>
      <c r="C513" s="1" t="s">
        <v>1566</v>
      </c>
      <c r="D513" s="1" t="s">
        <v>60</v>
      </c>
      <c r="E513" s="2">
        <v>5.70038354241E11</v>
      </c>
      <c r="F513" s="1" t="s">
        <v>1567</v>
      </c>
      <c r="G513" s="1" t="s">
        <v>12</v>
      </c>
      <c r="H513" s="1" t="s">
        <v>867</v>
      </c>
      <c r="I513" s="1" t="s">
        <v>868</v>
      </c>
      <c r="J513" s="1" t="s">
        <v>869</v>
      </c>
    </row>
    <row r="514" ht="15.75" customHeight="1">
      <c r="A514" s="2">
        <v>513.0</v>
      </c>
      <c r="B514" s="1" t="s">
        <v>1080</v>
      </c>
      <c r="C514" s="1" t="s">
        <v>1568</v>
      </c>
      <c r="D514" s="1" t="s">
        <v>139</v>
      </c>
      <c r="E514" s="2">
        <v>5.70038354243E11</v>
      </c>
      <c r="F514" s="1" t="s">
        <v>1569</v>
      </c>
      <c r="G514" s="1" t="s">
        <v>12</v>
      </c>
      <c r="H514" s="1" t="s">
        <v>867</v>
      </c>
      <c r="I514" s="1" t="s">
        <v>868</v>
      </c>
      <c r="J514" s="1" t="s">
        <v>869</v>
      </c>
    </row>
    <row r="515" ht="15.75" customHeight="1">
      <c r="A515" s="2">
        <v>514.0</v>
      </c>
      <c r="B515" s="1" t="s">
        <v>1483</v>
      </c>
      <c r="C515" s="1" t="s">
        <v>1570</v>
      </c>
      <c r="D515" s="1" t="s">
        <v>1434</v>
      </c>
      <c r="E515" s="2">
        <v>5.70038354244E11</v>
      </c>
      <c r="F515" s="1" t="s">
        <v>1571</v>
      </c>
      <c r="G515" s="1" t="s">
        <v>12</v>
      </c>
      <c r="H515" s="1" t="s">
        <v>867</v>
      </c>
      <c r="I515" s="1" t="s">
        <v>868</v>
      </c>
      <c r="J515" s="1" t="s">
        <v>869</v>
      </c>
    </row>
    <row r="516" ht="15.75" customHeight="1">
      <c r="A516" s="2">
        <v>515.0</v>
      </c>
      <c r="B516" s="1" t="s">
        <v>543</v>
      </c>
      <c r="C516" s="1" t="s">
        <v>1572</v>
      </c>
      <c r="D516" s="1" t="s">
        <v>1573</v>
      </c>
      <c r="E516" s="2">
        <v>5.70038354245E11</v>
      </c>
      <c r="F516" s="1" t="s">
        <v>1574</v>
      </c>
      <c r="G516" s="1" t="s">
        <v>12</v>
      </c>
      <c r="H516" s="1" t="s">
        <v>867</v>
      </c>
      <c r="I516" s="1" t="s">
        <v>868</v>
      </c>
      <c r="J516" s="1" t="s">
        <v>869</v>
      </c>
    </row>
    <row r="517" ht="15.75" customHeight="1">
      <c r="A517" s="2">
        <v>516.0</v>
      </c>
      <c r="B517" s="1" t="s">
        <v>793</v>
      </c>
      <c r="C517" s="1" t="s">
        <v>1575</v>
      </c>
      <c r="D517" s="1" t="s">
        <v>384</v>
      </c>
      <c r="E517" s="2">
        <v>5.70038354246E11</v>
      </c>
      <c r="F517" s="1" t="s">
        <v>1576</v>
      </c>
      <c r="G517" s="1" t="s">
        <v>12</v>
      </c>
      <c r="H517" s="1" t="s">
        <v>867</v>
      </c>
      <c r="I517" s="1" t="s">
        <v>868</v>
      </c>
      <c r="J517" s="1" t="s">
        <v>869</v>
      </c>
    </row>
    <row r="518" ht="15.75" customHeight="1">
      <c r="A518" s="2">
        <v>517.0</v>
      </c>
      <c r="B518" s="1" t="s">
        <v>1577</v>
      </c>
      <c r="C518" s="1" t="s">
        <v>1578</v>
      </c>
      <c r="D518" s="1" t="s">
        <v>903</v>
      </c>
      <c r="E518" s="2">
        <v>5.70038354247E11</v>
      </c>
      <c r="F518" s="1" t="s">
        <v>1579</v>
      </c>
      <c r="G518" s="1" t="s">
        <v>12</v>
      </c>
      <c r="H518" s="1" t="s">
        <v>867</v>
      </c>
      <c r="I518" s="1" t="s">
        <v>868</v>
      </c>
      <c r="J518" s="1" t="s">
        <v>869</v>
      </c>
    </row>
    <row r="519" ht="15.75" customHeight="1">
      <c r="A519" s="2">
        <v>518.0</v>
      </c>
      <c r="B519" s="1" t="s">
        <v>1580</v>
      </c>
      <c r="C519" s="1" t="s">
        <v>1417</v>
      </c>
      <c r="D519" s="1" t="s">
        <v>344</v>
      </c>
      <c r="E519" s="2">
        <v>5.70038354249E11</v>
      </c>
      <c r="F519" s="1" t="s">
        <v>595</v>
      </c>
      <c r="G519" s="1" t="s">
        <v>12</v>
      </c>
      <c r="H519" s="1" t="s">
        <v>867</v>
      </c>
      <c r="I519" s="1" t="s">
        <v>868</v>
      </c>
      <c r="J519" s="1" t="s">
        <v>869</v>
      </c>
    </row>
    <row r="520" ht="15.75" customHeight="1">
      <c r="A520" s="2">
        <v>519.0</v>
      </c>
      <c r="B520" s="1" t="s">
        <v>1581</v>
      </c>
      <c r="C520" s="1" t="s">
        <v>1582</v>
      </c>
      <c r="D520" s="1" t="s">
        <v>10</v>
      </c>
      <c r="E520" s="2">
        <v>5.70038354252E11</v>
      </c>
      <c r="F520" s="1" t="s">
        <v>1583</v>
      </c>
      <c r="G520" s="1" t="s">
        <v>12</v>
      </c>
      <c r="H520" s="1" t="s">
        <v>867</v>
      </c>
      <c r="I520" s="1" t="s">
        <v>868</v>
      </c>
      <c r="J520" s="1" t="s">
        <v>869</v>
      </c>
    </row>
    <row r="521" ht="15.75" customHeight="1">
      <c r="A521" s="2">
        <v>520.0</v>
      </c>
      <c r="B521" s="1" t="s">
        <v>1584</v>
      </c>
      <c r="C521" s="1" t="s">
        <v>1585</v>
      </c>
      <c r="D521" s="1" t="s">
        <v>230</v>
      </c>
      <c r="E521" s="2">
        <v>5.70038354253E11</v>
      </c>
      <c r="F521" s="1" t="s">
        <v>1586</v>
      </c>
      <c r="G521" s="1" t="s">
        <v>12</v>
      </c>
      <c r="H521" s="1" t="s">
        <v>867</v>
      </c>
      <c r="I521" s="1" t="s">
        <v>868</v>
      </c>
      <c r="J521" s="1" t="s">
        <v>869</v>
      </c>
    </row>
    <row r="522" ht="15.75" customHeight="1">
      <c r="A522" s="2">
        <v>521.0</v>
      </c>
      <c r="B522" s="1" t="s">
        <v>523</v>
      </c>
      <c r="C522" s="1" t="s">
        <v>1587</v>
      </c>
      <c r="D522" s="1" t="s">
        <v>1402</v>
      </c>
      <c r="E522" s="2">
        <v>5.70038354254E11</v>
      </c>
      <c r="F522" s="1" t="s">
        <v>1588</v>
      </c>
      <c r="G522" s="1" t="s">
        <v>12</v>
      </c>
      <c r="H522" s="1" t="s">
        <v>867</v>
      </c>
      <c r="I522" s="1" t="s">
        <v>868</v>
      </c>
      <c r="J522" s="1" t="s">
        <v>869</v>
      </c>
    </row>
    <row r="523" ht="15.75" customHeight="1">
      <c r="A523" s="2">
        <v>522.0</v>
      </c>
      <c r="B523" s="1" t="s">
        <v>543</v>
      </c>
      <c r="C523" s="1" t="s">
        <v>1570</v>
      </c>
      <c r="D523" s="1" t="s">
        <v>1589</v>
      </c>
      <c r="E523" s="2">
        <v>5.70038354255E11</v>
      </c>
      <c r="F523" s="1" t="s">
        <v>1590</v>
      </c>
      <c r="G523" s="1" t="s">
        <v>12</v>
      </c>
      <c r="H523" s="1" t="s">
        <v>867</v>
      </c>
      <c r="I523" s="1" t="s">
        <v>868</v>
      </c>
      <c r="J523" s="1" t="s">
        <v>869</v>
      </c>
    </row>
    <row r="524" ht="15.75" customHeight="1">
      <c r="A524" s="2">
        <v>523.0</v>
      </c>
      <c r="B524" s="1" t="s">
        <v>10</v>
      </c>
      <c r="C524" s="1" t="s">
        <v>1591</v>
      </c>
      <c r="D524" s="1" t="s">
        <v>523</v>
      </c>
      <c r="E524" s="2">
        <v>5.70038354256E11</v>
      </c>
      <c r="F524" s="1" t="s">
        <v>1592</v>
      </c>
      <c r="G524" s="1" t="s">
        <v>12</v>
      </c>
      <c r="H524" s="1" t="s">
        <v>867</v>
      </c>
      <c r="I524" s="1" t="s">
        <v>868</v>
      </c>
      <c r="J524" s="1" t="s">
        <v>869</v>
      </c>
    </row>
    <row r="525" ht="15.75" customHeight="1">
      <c r="A525" s="2">
        <v>524.0</v>
      </c>
      <c r="B525" s="1" t="s">
        <v>228</v>
      </c>
      <c r="C525" s="1" t="s">
        <v>1253</v>
      </c>
      <c r="D525" s="1" t="s">
        <v>852</v>
      </c>
      <c r="E525" s="2">
        <v>5.7003835426E11</v>
      </c>
      <c r="F525" s="1" t="s">
        <v>1549</v>
      </c>
      <c r="G525" s="1" t="s">
        <v>12</v>
      </c>
      <c r="H525" s="1" t="s">
        <v>867</v>
      </c>
      <c r="I525" s="1" t="s">
        <v>868</v>
      </c>
      <c r="J525" s="1" t="s">
        <v>869</v>
      </c>
    </row>
    <row r="526" ht="15.75" customHeight="1">
      <c r="A526" s="2">
        <v>525.0</v>
      </c>
      <c r="B526" s="1" t="s">
        <v>852</v>
      </c>
      <c r="C526" s="1" t="s">
        <v>1593</v>
      </c>
      <c r="D526" s="1" t="s">
        <v>1594</v>
      </c>
      <c r="E526" s="2">
        <v>5.70038354261E11</v>
      </c>
      <c r="F526" s="1" t="s">
        <v>1595</v>
      </c>
      <c r="G526" s="1" t="s">
        <v>12</v>
      </c>
      <c r="H526" s="1" t="s">
        <v>867</v>
      </c>
      <c r="I526" s="1" t="s">
        <v>868</v>
      </c>
      <c r="J526" s="1" t="s">
        <v>869</v>
      </c>
    </row>
    <row r="527" ht="15.75" customHeight="1">
      <c r="A527" s="2">
        <v>526.0</v>
      </c>
      <c r="B527" s="1" t="s">
        <v>10</v>
      </c>
      <c r="C527" s="1" t="s">
        <v>1596</v>
      </c>
      <c r="D527" s="1" t="s">
        <v>1597</v>
      </c>
      <c r="E527" s="2">
        <v>5.70038354262E11</v>
      </c>
      <c r="F527" s="1" t="s">
        <v>1598</v>
      </c>
      <c r="G527" s="1" t="s">
        <v>12</v>
      </c>
      <c r="H527" s="1" t="s">
        <v>867</v>
      </c>
      <c r="I527" s="1" t="s">
        <v>868</v>
      </c>
      <c r="J527" s="1" t="s">
        <v>869</v>
      </c>
    </row>
    <row r="528" ht="15.75" customHeight="1">
      <c r="A528" s="2">
        <v>527.0</v>
      </c>
      <c r="B528" s="1" t="s">
        <v>1599</v>
      </c>
      <c r="C528" s="1" t="s">
        <v>1600</v>
      </c>
      <c r="D528" s="1" t="s">
        <v>1601</v>
      </c>
      <c r="E528" s="2">
        <v>5.70038354264E11</v>
      </c>
      <c r="F528" s="1" t="s">
        <v>1602</v>
      </c>
      <c r="G528" s="1" t="s">
        <v>12</v>
      </c>
      <c r="H528" s="1" t="s">
        <v>867</v>
      </c>
      <c r="I528" s="1" t="s">
        <v>868</v>
      </c>
      <c r="J528" s="1" t="s">
        <v>869</v>
      </c>
    </row>
    <row r="529" ht="15.75" customHeight="1">
      <c r="A529" s="2">
        <v>528.0</v>
      </c>
      <c r="B529" s="1" t="s">
        <v>1603</v>
      </c>
      <c r="C529" s="1" t="s">
        <v>518</v>
      </c>
      <c r="D529" s="1" t="s">
        <v>1604</v>
      </c>
      <c r="E529" s="2">
        <v>5.70038354266E11</v>
      </c>
      <c r="F529" s="1" t="s">
        <v>1605</v>
      </c>
      <c r="G529" s="1" t="s">
        <v>12</v>
      </c>
      <c r="H529" s="1" t="s">
        <v>867</v>
      </c>
      <c r="I529" s="1" t="s">
        <v>868</v>
      </c>
      <c r="J529" s="1" t="s">
        <v>869</v>
      </c>
    </row>
    <row r="530" ht="15.75" customHeight="1">
      <c r="A530" s="2">
        <v>529.0</v>
      </c>
      <c r="B530" s="1" t="s">
        <v>183</v>
      </c>
      <c r="C530" s="1" t="s">
        <v>877</v>
      </c>
      <c r="D530" s="1" t="s">
        <v>122</v>
      </c>
      <c r="E530" s="2">
        <v>5.70038354268E11</v>
      </c>
      <c r="F530" s="1" t="s">
        <v>1606</v>
      </c>
      <c r="G530" s="1" t="s">
        <v>12</v>
      </c>
      <c r="H530" s="1" t="s">
        <v>867</v>
      </c>
      <c r="I530" s="1" t="s">
        <v>868</v>
      </c>
      <c r="J530" s="1" t="s">
        <v>869</v>
      </c>
    </row>
    <row r="531" ht="15.75" customHeight="1">
      <c r="A531" s="2">
        <v>530.0</v>
      </c>
      <c r="B531" s="1" t="s">
        <v>901</v>
      </c>
      <c r="C531" s="1" t="s">
        <v>1607</v>
      </c>
      <c r="D531" s="1" t="s">
        <v>307</v>
      </c>
      <c r="E531" s="2">
        <v>5.7003835427E11</v>
      </c>
      <c r="F531" s="1" t="s">
        <v>1608</v>
      </c>
      <c r="G531" s="1" t="s">
        <v>12</v>
      </c>
      <c r="H531" s="1" t="s">
        <v>867</v>
      </c>
      <c r="I531" s="1" t="s">
        <v>868</v>
      </c>
      <c r="J531" s="1" t="s">
        <v>869</v>
      </c>
    </row>
    <row r="532" ht="15.75" customHeight="1">
      <c r="A532" s="2">
        <v>531.0</v>
      </c>
      <c r="B532" s="1" t="s">
        <v>1609</v>
      </c>
      <c r="C532" s="1" t="s">
        <v>1610</v>
      </c>
      <c r="D532" s="1" t="s">
        <v>1611</v>
      </c>
      <c r="E532" s="2">
        <v>5.70038354272E11</v>
      </c>
      <c r="F532" s="1" t="s">
        <v>1612</v>
      </c>
      <c r="G532" s="1" t="s">
        <v>12</v>
      </c>
      <c r="H532" s="1" t="s">
        <v>867</v>
      </c>
      <c r="I532" s="1" t="s">
        <v>868</v>
      </c>
      <c r="J532" s="1" t="s">
        <v>869</v>
      </c>
    </row>
    <row r="533" ht="15.75" customHeight="1">
      <c r="A533" s="2">
        <v>532.0</v>
      </c>
      <c r="B533" s="1" t="s">
        <v>1052</v>
      </c>
      <c r="C533" s="1" t="s">
        <v>1613</v>
      </c>
      <c r="D533" s="1" t="s">
        <v>1614</v>
      </c>
      <c r="E533" s="2">
        <v>5.70038354274E11</v>
      </c>
      <c r="F533" s="1" t="s">
        <v>1615</v>
      </c>
      <c r="G533" s="1" t="s">
        <v>12</v>
      </c>
      <c r="H533" s="1" t="s">
        <v>867</v>
      </c>
      <c r="I533" s="1" t="s">
        <v>868</v>
      </c>
      <c r="J533" s="1" t="s">
        <v>869</v>
      </c>
    </row>
    <row r="534" ht="15.75" customHeight="1">
      <c r="A534" s="2">
        <v>533.0</v>
      </c>
      <c r="B534" s="1" t="s">
        <v>1616</v>
      </c>
      <c r="C534" s="1" t="s">
        <v>1617</v>
      </c>
      <c r="D534" s="1" t="s">
        <v>1618</v>
      </c>
      <c r="E534" s="2">
        <v>5.70038354275E11</v>
      </c>
      <c r="F534" s="1" t="s">
        <v>1586</v>
      </c>
      <c r="G534" s="1" t="s">
        <v>12</v>
      </c>
      <c r="H534" s="1" t="s">
        <v>867</v>
      </c>
      <c r="I534" s="1" t="s">
        <v>868</v>
      </c>
      <c r="J534" s="1" t="s">
        <v>869</v>
      </c>
    </row>
    <row r="535" ht="15.75" customHeight="1">
      <c r="A535" s="2">
        <v>534.0</v>
      </c>
      <c r="B535" s="1" t="s">
        <v>1619</v>
      </c>
      <c r="C535" s="1" t="s">
        <v>1179</v>
      </c>
      <c r="D535" s="1" t="s">
        <v>1620</v>
      </c>
      <c r="E535" s="2">
        <v>5.70038354278E11</v>
      </c>
      <c r="F535" s="1" t="s">
        <v>1621</v>
      </c>
      <c r="G535" s="1" t="s">
        <v>12</v>
      </c>
      <c r="H535" s="1" t="s">
        <v>867</v>
      </c>
      <c r="I535" s="1" t="s">
        <v>868</v>
      </c>
      <c r="J535" s="1" t="s">
        <v>869</v>
      </c>
    </row>
    <row r="536" ht="15.75" customHeight="1">
      <c r="A536" s="2">
        <v>535.0</v>
      </c>
      <c r="B536" s="1" t="s">
        <v>825</v>
      </c>
      <c r="C536" s="1" t="s">
        <v>1622</v>
      </c>
      <c r="D536" s="1" t="s">
        <v>940</v>
      </c>
      <c r="E536" s="2">
        <v>5.70038354287E11</v>
      </c>
      <c r="F536" s="1" t="s">
        <v>1623</v>
      </c>
      <c r="G536" s="1" t="s">
        <v>12</v>
      </c>
      <c r="H536" s="1" t="s">
        <v>867</v>
      </c>
      <c r="I536" s="1" t="s">
        <v>868</v>
      </c>
      <c r="J536" s="1" t="s">
        <v>869</v>
      </c>
    </row>
    <row r="537" ht="15.75" customHeight="1">
      <c r="A537" s="2">
        <v>536.0</v>
      </c>
      <c r="B537" s="1" t="s">
        <v>875</v>
      </c>
      <c r="C537" s="1" t="s">
        <v>1624</v>
      </c>
      <c r="D537" s="1" t="s">
        <v>1625</v>
      </c>
      <c r="E537" s="2">
        <v>5.70038354293E11</v>
      </c>
      <c r="F537" s="1" t="s">
        <v>1517</v>
      </c>
      <c r="G537" s="1" t="s">
        <v>12</v>
      </c>
      <c r="H537" s="1" t="s">
        <v>867</v>
      </c>
      <c r="I537" s="1" t="s">
        <v>868</v>
      </c>
      <c r="J537" s="1" t="s">
        <v>869</v>
      </c>
    </row>
    <row r="538" ht="15.75" customHeight="1">
      <c r="A538" s="2">
        <v>537.0</v>
      </c>
      <c r="B538" s="1" t="s">
        <v>445</v>
      </c>
      <c r="C538" s="1" t="s">
        <v>1626</v>
      </c>
      <c r="D538" s="1" t="s">
        <v>1627</v>
      </c>
      <c r="E538" s="2">
        <v>5.70038354294E11</v>
      </c>
      <c r="F538" s="1" t="s">
        <v>1602</v>
      </c>
      <c r="G538" s="1" t="s">
        <v>12</v>
      </c>
      <c r="H538" s="1" t="s">
        <v>867</v>
      </c>
      <c r="I538" s="1" t="s">
        <v>868</v>
      </c>
      <c r="J538" s="1" t="s">
        <v>869</v>
      </c>
    </row>
    <row r="539" ht="15.75" customHeight="1">
      <c r="A539" s="2">
        <v>538.0</v>
      </c>
      <c r="B539" s="1" t="s">
        <v>804</v>
      </c>
      <c r="C539" s="1" t="s">
        <v>1628</v>
      </c>
      <c r="D539" s="1" t="s">
        <v>1629</v>
      </c>
      <c r="E539" s="2">
        <v>5.70038354295E11</v>
      </c>
      <c r="F539" s="1" t="s">
        <v>1630</v>
      </c>
      <c r="G539" s="1" t="s">
        <v>12</v>
      </c>
      <c r="H539" s="3" t="s">
        <v>1631</v>
      </c>
      <c r="I539" s="1"/>
      <c r="J539" s="1"/>
    </row>
    <row r="540" ht="15.75" customHeight="1">
      <c r="A540" s="2">
        <v>539.0</v>
      </c>
      <c r="B540" s="1" t="s">
        <v>1632</v>
      </c>
      <c r="C540" s="1" t="s">
        <v>1633</v>
      </c>
      <c r="D540" s="1" t="s">
        <v>1536</v>
      </c>
      <c r="E540" s="2">
        <v>5.70038354296E11</v>
      </c>
      <c r="F540" s="1" t="s">
        <v>1634</v>
      </c>
      <c r="G540" s="1" t="s">
        <v>12</v>
      </c>
      <c r="H540" s="3" t="s">
        <v>1631</v>
      </c>
      <c r="I540" s="1"/>
    </row>
    <row r="541" ht="15.75" customHeight="1">
      <c r="A541" s="2">
        <v>540.0</v>
      </c>
      <c r="B541" s="1" t="s">
        <v>157</v>
      </c>
      <c r="C541" s="1" t="s">
        <v>86</v>
      </c>
      <c r="D541" s="1" t="s">
        <v>1635</v>
      </c>
      <c r="E541" s="2">
        <v>5.70038354297E11</v>
      </c>
      <c r="F541" s="1" t="s">
        <v>650</v>
      </c>
      <c r="G541" s="1" t="s">
        <v>12</v>
      </c>
      <c r="H541" s="3" t="s">
        <v>1631</v>
      </c>
      <c r="I541" s="1"/>
    </row>
    <row r="542" ht="15.75" customHeight="1">
      <c r="A542" s="2">
        <v>541.0</v>
      </c>
      <c r="B542" s="1" t="s">
        <v>1636</v>
      </c>
      <c r="C542" s="1" t="s">
        <v>1637</v>
      </c>
      <c r="D542" s="1" t="s">
        <v>1638</v>
      </c>
      <c r="E542" s="2">
        <v>5.70038354298E11</v>
      </c>
      <c r="F542" s="1" t="s">
        <v>1639</v>
      </c>
      <c r="G542" s="1" t="s">
        <v>12</v>
      </c>
      <c r="H542" s="3" t="s">
        <v>1631</v>
      </c>
      <c r="I542" s="1"/>
    </row>
    <row r="543" ht="15.75" customHeight="1">
      <c r="A543" s="2">
        <v>542.0</v>
      </c>
      <c r="B543" s="1" t="s">
        <v>543</v>
      </c>
      <c r="C543" s="1" t="s">
        <v>1640</v>
      </c>
      <c r="D543" s="1" t="s">
        <v>1641</v>
      </c>
      <c r="E543" s="2">
        <v>5.70038354299E11</v>
      </c>
      <c r="F543" s="1" t="s">
        <v>1642</v>
      </c>
      <c r="G543" s="1" t="s">
        <v>12</v>
      </c>
      <c r="H543" s="3" t="s">
        <v>1631</v>
      </c>
      <c r="I543" s="1"/>
    </row>
    <row r="544" ht="15.75" customHeight="1">
      <c r="A544" s="2">
        <v>543.0</v>
      </c>
      <c r="B544" s="1" t="s">
        <v>168</v>
      </c>
      <c r="C544" s="1" t="s">
        <v>1643</v>
      </c>
      <c r="D544" s="1" t="s">
        <v>1644</v>
      </c>
      <c r="E544" s="2">
        <v>5.70038354301E11</v>
      </c>
      <c r="F544" s="1" t="s">
        <v>1639</v>
      </c>
      <c r="G544" s="1" t="s">
        <v>12</v>
      </c>
      <c r="H544" s="3" t="s">
        <v>1631</v>
      </c>
      <c r="I544" s="1"/>
    </row>
    <row r="545" ht="15.75" customHeight="1">
      <c r="A545" s="2">
        <v>544.0</v>
      </c>
      <c r="B545" s="1" t="s">
        <v>1645</v>
      </c>
      <c r="C545" s="1" t="s">
        <v>1646</v>
      </c>
      <c r="D545" s="1" t="s">
        <v>1647</v>
      </c>
      <c r="E545" s="2">
        <v>5.70038354302E11</v>
      </c>
      <c r="F545" s="1" t="s">
        <v>186</v>
      </c>
      <c r="G545" s="1" t="s">
        <v>12</v>
      </c>
      <c r="H545" s="3" t="s">
        <v>1648</v>
      </c>
      <c r="I545" s="1"/>
    </row>
    <row r="546" ht="15.75" customHeight="1">
      <c r="A546" s="2">
        <v>545.0</v>
      </c>
      <c r="B546" s="1" t="s">
        <v>1649</v>
      </c>
      <c r="C546" s="1" t="s">
        <v>1650</v>
      </c>
      <c r="D546" s="1" t="s">
        <v>1651</v>
      </c>
      <c r="E546" s="2">
        <v>5.70038354303E11</v>
      </c>
      <c r="F546" s="1" t="s">
        <v>1606</v>
      </c>
      <c r="G546" s="1" t="s">
        <v>12</v>
      </c>
      <c r="H546" s="3" t="s">
        <v>1631</v>
      </c>
      <c r="I546" s="1"/>
    </row>
    <row r="547" ht="15.75" customHeight="1">
      <c r="A547" s="2">
        <v>546.0</v>
      </c>
      <c r="B547" s="1" t="s">
        <v>1652</v>
      </c>
      <c r="C547" s="1" t="s">
        <v>1653</v>
      </c>
      <c r="D547" s="1" t="s">
        <v>1654</v>
      </c>
      <c r="E547" s="2">
        <v>5.70038354306E11</v>
      </c>
      <c r="F547" s="1" t="s">
        <v>1655</v>
      </c>
      <c r="G547" s="1" t="s">
        <v>12</v>
      </c>
      <c r="H547" s="3" t="s">
        <v>1631</v>
      </c>
      <c r="I547" s="1"/>
    </row>
    <row r="548" ht="15.75" customHeight="1">
      <c r="A548" s="2">
        <v>547.0</v>
      </c>
      <c r="B548" s="1" t="s">
        <v>641</v>
      </c>
      <c r="C548" s="1" t="s">
        <v>1656</v>
      </c>
      <c r="D548" s="1" t="s">
        <v>60</v>
      </c>
      <c r="E548" s="2">
        <v>5.70038354308E11</v>
      </c>
      <c r="F548" s="1" t="s">
        <v>1657</v>
      </c>
      <c r="G548" s="1" t="s">
        <v>12</v>
      </c>
      <c r="H548" s="3" t="s">
        <v>1631</v>
      </c>
      <c r="I548" s="1"/>
    </row>
    <row r="549" ht="15.75" customHeight="1">
      <c r="A549" s="2">
        <v>548.0</v>
      </c>
      <c r="B549" s="1" t="s">
        <v>1503</v>
      </c>
      <c r="C549" s="1" t="s">
        <v>1658</v>
      </c>
      <c r="D549" s="1" t="s">
        <v>1652</v>
      </c>
      <c r="E549" s="2">
        <v>5.7003835431E11</v>
      </c>
      <c r="F549" s="1" t="s">
        <v>374</v>
      </c>
      <c r="G549" s="1" t="s">
        <v>12</v>
      </c>
      <c r="H549" s="3" t="s">
        <v>1631</v>
      </c>
      <c r="I549" s="1"/>
    </row>
    <row r="550" ht="15.75" customHeight="1">
      <c r="A550" s="2">
        <v>549.0</v>
      </c>
      <c r="B550" s="1" t="s">
        <v>1659</v>
      </c>
      <c r="C550" s="1" t="s">
        <v>1660</v>
      </c>
      <c r="D550" s="1" t="s">
        <v>865</v>
      </c>
      <c r="E550" s="2">
        <v>5.70038354312E11</v>
      </c>
      <c r="F550" s="1" t="s">
        <v>553</v>
      </c>
      <c r="G550" s="1" t="s">
        <v>12</v>
      </c>
      <c r="H550" s="3" t="s">
        <v>1631</v>
      </c>
      <c r="I550" s="1"/>
    </row>
    <row r="551" ht="15.75" customHeight="1">
      <c r="A551" s="2">
        <v>550.0</v>
      </c>
      <c r="B551" s="1" t="s">
        <v>775</v>
      </c>
      <c r="C551" s="1" t="s">
        <v>1661</v>
      </c>
      <c r="D551" s="1" t="s">
        <v>368</v>
      </c>
      <c r="E551" s="2">
        <v>5.70038354314E11</v>
      </c>
      <c r="F551" s="1" t="s">
        <v>1662</v>
      </c>
      <c r="G551" s="1" t="s">
        <v>12</v>
      </c>
      <c r="H551" s="3" t="s">
        <v>1631</v>
      </c>
      <c r="I551" s="1"/>
    </row>
    <row r="552" ht="15.75" customHeight="1">
      <c r="A552" s="2">
        <v>551.0</v>
      </c>
      <c r="B552" s="1" t="s">
        <v>445</v>
      </c>
      <c r="C552" s="1" t="s">
        <v>1663</v>
      </c>
      <c r="D552" s="1" t="s">
        <v>1664</v>
      </c>
      <c r="E552" s="2">
        <v>5.70038354315E11</v>
      </c>
      <c r="F552" s="1" t="s">
        <v>1665</v>
      </c>
      <c r="G552" s="1" t="s">
        <v>12</v>
      </c>
      <c r="H552" s="3" t="s">
        <v>1631</v>
      </c>
      <c r="I552" s="1"/>
    </row>
    <row r="553" ht="15.75" customHeight="1">
      <c r="A553" s="2">
        <v>552.0</v>
      </c>
      <c r="B553" s="1" t="s">
        <v>230</v>
      </c>
      <c r="C553" s="1" t="s">
        <v>1666</v>
      </c>
      <c r="D553" s="1" t="s">
        <v>534</v>
      </c>
      <c r="E553" s="2">
        <v>5.70038354316E11</v>
      </c>
      <c r="F553" s="1" t="s">
        <v>1667</v>
      </c>
      <c r="G553" s="1" t="s">
        <v>12</v>
      </c>
      <c r="H553" s="3" t="s">
        <v>1631</v>
      </c>
      <c r="I553" s="1"/>
    </row>
    <row r="554" ht="15.75" customHeight="1">
      <c r="A554" s="2">
        <v>553.0</v>
      </c>
      <c r="B554" s="1" t="s">
        <v>477</v>
      </c>
      <c r="C554" s="1" t="s">
        <v>1668</v>
      </c>
      <c r="D554" s="1" t="s">
        <v>157</v>
      </c>
      <c r="E554" s="2">
        <v>5.70038354319E11</v>
      </c>
      <c r="F554" s="1" t="s">
        <v>1669</v>
      </c>
      <c r="G554" s="1" t="s">
        <v>12</v>
      </c>
      <c r="H554" s="3" t="s">
        <v>1631</v>
      </c>
      <c r="I554" s="1"/>
    </row>
    <row r="555" ht="15.75" customHeight="1">
      <c r="A555" s="2">
        <v>554.0</v>
      </c>
      <c r="B555" s="1" t="s">
        <v>50</v>
      </c>
      <c r="C555" s="1" t="s">
        <v>1670</v>
      </c>
      <c r="D555" s="1" t="s">
        <v>1644</v>
      </c>
      <c r="E555" s="2">
        <v>5.7003835432E11</v>
      </c>
      <c r="F555" s="1" t="s">
        <v>1671</v>
      </c>
      <c r="G555" s="1" t="s">
        <v>12</v>
      </c>
      <c r="H555" s="3" t="s">
        <v>1631</v>
      </c>
      <c r="I555" s="1"/>
    </row>
    <row r="556" ht="15.75" customHeight="1">
      <c r="A556" s="2">
        <v>555.0</v>
      </c>
      <c r="B556" s="1" t="s">
        <v>1152</v>
      </c>
      <c r="C556" s="1" t="s">
        <v>1672</v>
      </c>
      <c r="D556" s="1" t="s">
        <v>564</v>
      </c>
      <c r="E556" s="2">
        <v>5.70038354332E11</v>
      </c>
      <c r="F556" s="1" t="s">
        <v>1673</v>
      </c>
      <c r="G556" s="1" t="s">
        <v>12</v>
      </c>
      <c r="H556" s="3" t="s">
        <v>1631</v>
      </c>
      <c r="I556" s="1"/>
    </row>
    <row r="557" ht="15.75" customHeight="1">
      <c r="A557" s="2">
        <v>556.0</v>
      </c>
      <c r="B557" s="1" t="s">
        <v>1674</v>
      </c>
      <c r="C557" s="1" t="s">
        <v>1675</v>
      </c>
      <c r="D557" s="1" t="s">
        <v>297</v>
      </c>
      <c r="E557" s="2">
        <v>5.70038354333E11</v>
      </c>
      <c r="F557" s="1" t="s">
        <v>1676</v>
      </c>
      <c r="G557" s="1" t="s">
        <v>12</v>
      </c>
      <c r="H557" s="3" t="s">
        <v>1631</v>
      </c>
      <c r="I557" s="1"/>
    </row>
    <row r="558" ht="15.75" customHeight="1">
      <c r="A558" s="2">
        <v>557.0</v>
      </c>
      <c r="B558" s="1" t="s">
        <v>1677</v>
      </c>
      <c r="C558" s="1" t="s">
        <v>1678</v>
      </c>
      <c r="D558" s="1" t="s">
        <v>77</v>
      </c>
      <c r="E558" s="2">
        <v>5.70038354337E11</v>
      </c>
      <c r="F558" s="1" t="s">
        <v>1679</v>
      </c>
      <c r="G558" s="1" t="s">
        <v>12</v>
      </c>
      <c r="H558" s="3" t="s">
        <v>1631</v>
      </c>
      <c r="I558" s="1"/>
    </row>
    <row r="559" ht="15.75" customHeight="1">
      <c r="A559" s="2">
        <v>558.0</v>
      </c>
      <c r="B559" s="1" t="s">
        <v>552</v>
      </c>
      <c r="C559" s="1" t="s">
        <v>1680</v>
      </c>
      <c r="D559" s="1" t="s">
        <v>1681</v>
      </c>
      <c r="E559" s="2">
        <v>5.70038354338E11</v>
      </c>
      <c r="F559" s="1" t="s">
        <v>1448</v>
      </c>
      <c r="G559" s="1" t="s">
        <v>12</v>
      </c>
      <c r="H559" s="3" t="s">
        <v>1631</v>
      </c>
      <c r="I559" s="1"/>
    </row>
    <row r="560" ht="15.75" customHeight="1">
      <c r="A560" s="2">
        <v>559.0</v>
      </c>
      <c r="B560" s="1" t="s">
        <v>1682</v>
      </c>
      <c r="C560" s="1" t="s">
        <v>1683</v>
      </c>
      <c r="D560" s="1" t="s">
        <v>263</v>
      </c>
      <c r="E560" s="2">
        <v>5.70038354339E11</v>
      </c>
      <c r="F560" s="1" t="s">
        <v>1684</v>
      </c>
      <c r="G560" s="1" t="s">
        <v>12</v>
      </c>
      <c r="H560" s="3" t="s">
        <v>1631</v>
      </c>
      <c r="I560" s="1"/>
    </row>
    <row r="561" ht="15.75" customHeight="1">
      <c r="A561" s="2">
        <v>560.0</v>
      </c>
      <c r="B561" s="1" t="s">
        <v>1685</v>
      </c>
      <c r="C561" s="1" t="s">
        <v>1686</v>
      </c>
      <c r="D561" s="1" t="s">
        <v>1687</v>
      </c>
      <c r="E561" s="2">
        <v>5.70038354342E11</v>
      </c>
      <c r="F561" s="1" t="s">
        <v>1688</v>
      </c>
      <c r="G561" s="1" t="s">
        <v>12</v>
      </c>
      <c r="H561" s="3" t="s">
        <v>1631</v>
      </c>
      <c r="I561" s="1"/>
    </row>
    <row r="562" ht="15.75" customHeight="1">
      <c r="A562" s="2">
        <v>561.0</v>
      </c>
      <c r="B562" s="1" t="s">
        <v>179</v>
      </c>
      <c r="C562" s="1" t="s">
        <v>1689</v>
      </c>
      <c r="D562" s="1" t="s">
        <v>1690</v>
      </c>
      <c r="E562" s="2">
        <v>5.70038354343E11</v>
      </c>
      <c r="F562" s="1" t="s">
        <v>1691</v>
      </c>
      <c r="G562" s="1" t="s">
        <v>12</v>
      </c>
      <c r="H562" s="3" t="s">
        <v>1631</v>
      </c>
      <c r="I562" s="1"/>
    </row>
    <row r="563" ht="15.75" customHeight="1">
      <c r="A563" s="2">
        <v>562.0</v>
      </c>
      <c r="B563" s="1" t="s">
        <v>1237</v>
      </c>
      <c r="C563" s="1" t="s">
        <v>1692</v>
      </c>
      <c r="D563" s="1" t="s">
        <v>552</v>
      </c>
      <c r="E563" s="2">
        <v>5.70038354344E11</v>
      </c>
      <c r="F563" s="1" t="s">
        <v>1693</v>
      </c>
      <c r="G563" s="1" t="s">
        <v>12</v>
      </c>
      <c r="H563" s="3" t="s">
        <v>1631</v>
      </c>
      <c r="I563" s="1"/>
    </row>
    <row r="564" ht="15.75" customHeight="1">
      <c r="A564" s="2">
        <v>563.0</v>
      </c>
      <c r="B564" s="1" t="s">
        <v>1694</v>
      </c>
      <c r="C564" s="1" t="s">
        <v>1695</v>
      </c>
      <c r="D564" s="1" t="s">
        <v>1696</v>
      </c>
      <c r="E564" s="2">
        <v>5.70038354346E11</v>
      </c>
      <c r="F564" s="1" t="s">
        <v>1697</v>
      </c>
      <c r="G564" s="1" t="s">
        <v>12</v>
      </c>
      <c r="H564" s="3" t="s">
        <v>1631</v>
      </c>
      <c r="I564" s="1"/>
    </row>
    <row r="565" ht="15.75" customHeight="1">
      <c r="A565" s="2">
        <v>564.0</v>
      </c>
      <c r="B565" s="1" t="s">
        <v>42</v>
      </c>
      <c r="C565" s="1" t="s">
        <v>1698</v>
      </c>
      <c r="D565" s="1" t="s">
        <v>1573</v>
      </c>
      <c r="E565" s="2">
        <v>5.70038354352E11</v>
      </c>
      <c r="F565" s="1" t="s">
        <v>1699</v>
      </c>
      <c r="G565" s="1" t="s">
        <v>12</v>
      </c>
      <c r="H565" s="3" t="s">
        <v>1631</v>
      </c>
      <c r="I565" s="1"/>
    </row>
    <row r="566" ht="15.75" customHeight="1">
      <c r="A566" s="2">
        <v>565.0</v>
      </c>
      <c r="B566" s="1" t="s">
        <v>1700</v>
      </c>
      <c r="C566" s="1" t="s">
        <v>1701</v>
      </c>
      <c r="D566" s="1" t="s">
        <v>1702</v>
      </c>
      <c r="E566" s="2">
        <v>5.70038354355E11</v>
      </c>
      <c r="F566" s="1" t="s">
        <v>1703</v>
      </c>
      <c r="G566" s="1" t="s">
        <v>12</v>
      </c>
      <c r="H566" s="3" t="s">
        <v>1631</v>
      </c>
      <c r="I566" s="1"/>
    </row>
    <row r="567" ht="15.75" customHeight="1">
      <c r="A567" s="2">
        <v>566.0</v>
      </c>
      <c r="B567" s="1" t="s">
        <v>1704</v>
      </c>
      <c r="C567" s="1" t="s">
        <v>1705</v>
      </c>
      <c r="D567" s="1" t="s">
        <v>1706</v>
      </c>
      <c r="E567" s="2">
        <v>5.70038354359E11</v>
      </c>
      <c r="F567" s="1" t="s">
        <v>1707</v>
      </c>
      <c r="G567" s="1" t="s">
        <v>12</v>
      </c>
      <c r="H567" s="3" t="s">
        <v>1631</v>
      </c>
      <c r="I567" s="1"/>
    </row>
    <row r="568" ht="15.75" customHeight="1">
      <c r="A568" s="2">
        <v>567.0</v>
      </c>
      <c r="B568" s="1" t="s">
        <v>1708</v>
      </c>
      <c r="C568" s="1" t="s">
        <v>1709</v>
      </c>
      <c r="D568" s="1" t="s">
        <v>58</v>
      </c>
      <c r="E568" s="2">
        <v>5.70038354361E11</v>
      </c>
      <c r="F568" s="1" t="s">
        <v>1710</v>
      </c>
      <c r="G568" s="1" t="s">
        <v>12</v>
      </c>
      <c r="H568" s="3" t="s">
        <v>1631</v>
      </c>
      <c r="I568" s="1"/>
    </row>
    <row r="569" ht="15.75" customHeight="1">
      <c r="A569" s="2">
        <v>568.0</v>
      </c>
      <c r="B569" s="1" t="s">
        <v>168</v>
      </c>
      <c r="C569" s="1" t="s">
        <v>1711</v>
      </c>
      <c r="D569" s="1" t="s">
        <v>1712</v>
      </c>
      <c r="E569" s="2">
        <v>5.70038354363E11</v>
      </c>
      <c r="F569" s="1" t="s">
        <v>1713</v>
      </c>
      <c r="G569" s="1" t="s">
        <v>12</v>
      </c>
      <c r="H569" s="3" t="s">
        <v>1631</v>
      </c>
      <c r="I569" s="1"/>
    </row>
    <row r="570" ht="15.75" customHeight="1">
      <c r="A570" s="2">
        <v>569.0</v>
      </c>
      <c r="B570" s="1" t="s">
        <v>324</v>
      </c>
      <c r="C570" s="1" t="s">
        <v>1714</v>
      </c>
      <c r="D570" s="1" t="s">
        <v>433</v>
      </c>
      <c r="E570" s="2">
        <v>5.70038354364E11</v>
      </c>
      <c r="F570" s="1" t="s">
        <v>1602</v>
      </c>
      <c r="G570" s="1" t="s">
        <v>12</v>
      </c>
      <c r="H570" s="3" t="s">
        <v>1631</v>
      </c>
      <c r="I570" s="1"/>
    </row>
    <row r="571" ht="15.75" customHeight="1">
      <c r="A571" s="2">
        <v>570.0</v>
      </c>
      <c r="B571" s="1" t="s">
        <v>97</v>
      </c>
      <c r="C571" s="1" t="s">
        <v>1715</v>
      </c>
      <c r="D571" s="1" t="s">
        <v>1716</v>
      </c>
      <c r="E571" s="2">
        <v>5.70038354366E11</v>
      </c>
      <c r="F571" s="1" t="s">
        <v>1717</v>
      </c>
      <c r="G571" s="1" t="s">
        <v>12</v>
      </c>
      <c r="H571" s="3" t="s">
        <v>1631</v>
      </c>
      <c r="I571" s="1"/>
    </row>
    <row r="572" ht="15.75" customHeight="1">
      <c r="A572" s="2">
        <v>571.0</v>
      </c>
      <c r="B572" s="1" t="s">
        <v>1335</v>
      </c>
      <c r="C572" s="1" t="s">
        <v>1718</v>
      </c>
      <c r="D572" s="1" t="s">
        <v>1209</v>
      </c>
      <c r="E572" s="2">
        <v>5.70038354367E11</v>
      </c>
      <c r="F572" s="1" t="s">
        <v>1719</v>
      </c>
      <c r="G572" s="1" t="s">
        <v>12</v>
      </c>
      <c r="H572" s="3" t="s">
        <v>1631</v>
      </c>
      <c r="I572" s="1"/>
    </row>
    <row r="573" ht="15.75" customHeight="1">
      <c r="A573" s="2">
        <v>572.0</v>
      </c>
      <c r="B573" s="1" t="s">
        <v>1720</v>
      </c>
      <c r="C573" s="1" t="s">
        <v>1721</v>
      </c>
      <c r="D573" s="1" t="s">
        <v>1722</v>
      </c>
      <c r="E573" s="2">
        <v>5.70038354368E11</v>
      </c>
      <c r="F573" s="1" t="s">
        <v>1684</v>
      </c>
      <c r="G573" s="1" t="s">
        <v>12</v>
      </c>
      <c r="H573" s="3" t="s">
        <v>1631</v>
      </c>
      <c r="I573" s="1"/>
    </row>
    <row r="574" ht="15.75" customHeight="1">
      <c r="A574" s="2">
        <v>573.0</v>
      </c>
      <c r="B574" s="1" t="s">
        <v>1723</v>
      </c>
      <c r="C574" s="1" t="s">
        <v>1637</v>
      </c>
      <c r="D574" s="1" t="s">
        <v>1724</v>
      </c>
      <c r="E574" s="2">
        <v>5.70038354369E11</v>
      </c>
      <c r="F574" s="1" t="s">
        <v>1725</v>
      </c>
      <c r="G574" s="1" t="s">
        <v>12</v>
      </c>
      <c r="H574" s="3" t="s">
        <v>1631</v>
      </c>
      <c r="I574" s="1"/>
    </row>
    <row r="575" ht="15.75" customHeight="1">
      <c r="A575" s="2">
        <v>574.0</v>
      </c>
      <c r="B575" s="1" t="s">
        <v>1726</v>
      </c>
      <c r="C575" s="1" t="s">
        <v>1727</v>
      </c>
      <c r="D575" s="1" t="s">
        <v>133</v>
      </c>
      <c r="E575" s="2">
        <v>5.70038354373E11</v>
      </c>
      <c r="F575" s="1" t="s">
        <v>1728</v>
      </c>
      <c r="G575" s="1" t="s">
        <v>12</v>
      </c>
      <c r="H575" s="3" t="s">
        <v>1631</v>
      </c>
      <c r="I575" s="1"/>
    </row>
    <row r="576" ht="15.75" customHeight="1">
      <c r="A576" s="2">
        <v>575.0</v>
      </c>
      <c r="B576" s="1" t="s">
        <v>60</v>
      </c>
      <c r="C576" s="1" t="s">
        <v>1658</v>
      </c>
      <c r="D576" s="1" t="s">
        <v>302</v>
      </c>
      <c r="E576" s="2">
        <v>5.70038354375E11</v>
      </c>
      <c r="F576" s="1" t="s">
        <v>1729</v>
      </c>
      <c r="G576" s="1" t="s">
        <v>261</v>
      </c>
      <c r="H576" s="3" t="s">
        <v>1631</v>
      </c>
      <c r="I576" s="1"/>
    </row>
    <row r="577" ht="15.75" customHeight="1">
      <c r="A577" s="2">
        <v>576.0</v>
      </c>
      <c r="B577" s="1" t="s">
        <v>838</v>
      </c>
      <c r="C577" s="1" t="s">
        <v>1730</v>
      </c>
      <c r="D577" s="1" t="s">
        <v>564</v>
      </c>
      <c r="E577" s="2">
        <v>5.70038354379E11</v>
      </c>
      <c r="F577" s="1" t="s">
        <v>1731</v>
      </c>
      <c r="G577" s="1" t="s">
        <v>12</v>
      </c>
      <c r="H577" s="3" t="s">
        <v>1631</v>
      </c>
      <c r="I577" s="1"/>
    </row>
    <row r="578" ht="15.75" customHeight="1">
      <c r="A578" s="2">
        <v>577.0</v>
      </c>
      <c r="B578" s="1" t="s">
        <v>1732</v>
      </c>
      <c r="C578" s="1" t="s">
        <v>1733</v>
      </c>
      <c r="D578" s="1" t="s">
        <v>60</v>
      </c>
      <c r="E578" s="2">
        <v>5.7003835438E11</v>
      </c>
      <c r="F578" s="1" t="s">
        <v>1136</v>
      </c>
      <c r="G578" s="1" t="s">
        <v>12</v>
      </c>
      <c r="H578" s="3" t="s">
        <v>1631</v>
      </c>
      <c r="I578" s="1"/>
    </row>
    <row r="579" ht="15.75" customHeight="1">
      <c r="A579" s="2">
        <v>578.0</v>
      </c>
      <c r="B579" s="1" t="s">
        <v>1734</v>
      </c>
      <c r="C579" s="1" t="s">
        <v>1735</v>
      </c>
      <c r="D579" s="1" t="s">
        <v>1483</v>
      </c>
      <c r="E579" s="2">
        <v>5.70038354381E11</v>
      </c>
      <c r="F579" s="1" t="s">
        <v>1731</v>
      </c>
      <c r="G579" s="1" t="s">
        <v>12</v>
      </c>
      <c r="H579" s="3" t="s">
        <v>1631</v>
      </c>
      <c r="I579" s="1"/>
    </row>
    <row r="580" ht="15.75" customHeight="1">
      <c r="A580" s="2">
        <v>579.0</v>
      </c>
      <c r="B580" s="1" t="s">
        <v>267</v>
      </c>
      <c r="C580" s="1" t="s">
        <v>1736</v>
      </c>
      <c r="D580" s="1" t="s">
        <v>1308</v>
      </c>
      <c r="E580" s="2">
        <v>5.70038354382E11</v>
      </c>
      <c r="F580" s="1" t="s">
        <v>1737</v>
      </c>
      <c r="G580" s="1" t="s">
        <v>12</v>
      </c>
      <c r="H580" s="3" t="s">
        <v>1631</v>
      </c>
      <c r="I580" s="1"/>
    </row>
    <row r="581" ht="15.75" customHeight="1">
      <c r="A581" s="2">
        <v>580.0</v>
      </c>
      <c r="B581" s="1" t="s">
        <v>166</v>
      </c>
      <c r="C581" s="1" t="s">
        <v>1738</v>
      </c>
      <c r="D581" s="1" t="s">
        <v>1211</v>
      </c>
      <c r="E581" s="2">
        <v>5.70038354383E11</v>
      </c>
      <c r="F581" s="1" t="s">
        <v>1382</v>
      </c>
      <c r="G581" s="1" t="s">
        <v>12</v>
      </c>
      <c r="H581" s="3" t="s">
        <v>1631</v>
      </c>
      <c r="I581" s="1"/>
    </row>
    <row r="582" ht="15.75" customHeight="1">
      <c r="A582" s="2">
        <v>581.0</v>
      </c>
      <c r="B582" s="1" t="s">
        <v>1739</v>
      </c>
      <c r="C582" s="1" t="s">
        <v>1740</v>
      </c>
      <c r="D582" s="1" t="s">
        <v>1354</v>
      </c>
      <c r="E582" s="2">
        <v>5.70038354384E11</v>
      </c>
      <c r="F582" s="1" t="s">
        <v>1741</v>
      </c>
      <c r="G582" s="1" t="s">
        <v>12</v>
      </c>
      <c r="H582" s="3" t="s">
        <v>1631</v>
      </c>
      <c r="I582" s="1"/>
    </row>
    <row r="583" ht="15.75" customHeight="1">
      <c r="A583" s="2">
        <v>582.0</v>
      </c>
      <c r="B583" s="1" t="s">
        <v>1742</v>
      </c>
      <c r="C583" s="1" t="s">
        <v>1743</v>
      </c>
      <c r="D583" s="1" t="s">
        <v>1744</v>
      </c>
      <c r="E583" s="2">
        <v>5.70038354385E11</v>
      </c>
      <c r="F583" s="1" t="s">
        <v>1745</v>
      </c>
      <c r="G583" s="1" t="s">
        <v>12</v>
      </c>
      <c r="H583" s="3" t="s">
        <v>1631</v>
      </c>
      <c r="I583" s="1"/>
    </row>
    <row r="584" ht="15.75" customHeight="1">
      <c r="A584" s="2">
        <v>583.0</v>
      </c>
      <c r="B584" s="1" t="s">
        <v>1746</v>
      </c>
      <c r="C584" s="1" t="s">
        <v>1747</v>
      </c>
      <c r="D584" s="1" t="s">
        <v>1748</v>
      </c>
      <c r="E584" s="2">
        <v>5.70038354387E11</v>
      </c>
      <c r="F584" s="1" t="s">
        <v>1749</v>
      </c>
      <c r="G584" s="1" t="s">
        <v>12</v>
      </c>
      <c r="H584" s="3" t="s">
        <v>1631</v>
      </c>
      <c r="I584" s="1"/>
    </row>
    <row r="585" ht="15.75" customHeight="1">
      <c r="A585" s="2">
        <v>584.0</v>
      </c>
      <c r="B585" s="1" t="s">
        <v>462</v>
      </c>
      <c r="C585" s="1" t="s">
        <v>1750</v>
      </c>
      <c r="D585" s="1" t="s">
        <v>942</v>
      </c>
      <c r="E585" s="2">
        <v>5.70038354388E11</v>
      </c>
      <c r="F585" s="1" t="s">
        <v>1751</v>
      </c>
      <c r="G585" s="1" t="s">
        <v>135</v>
      </c>
      <c r="H585" s="3" t="s">
        <v>1631</v>
      </c>
      <c r="I585" s="1"/>
    </row>
    <row r="586" ht="15.75" customHeight="1">
      <c r="A586" s="2">
        <v>585.0</v>
      </c>
      <c r="B586" s="1" t="s">
        <v>1752</v>
      </c>
      <c r="C586" s="1" t="s">
        <v>1753</v>
      </c>
      <c r="D586" s="1" t="s">
        <v>1754</v>
      </c>
      <c r="E586" s="2">
        <v>5.70038354389E11</v>
      </c>
      <c r="F586" s="1" t="s">
        <v>1710</v>
      </c>
      <c r="G586" s="1" t="s">
        <v>12</v>
      </c>
      <c r="H586" s="3" t="s">
        <v>1631</v>
      </c>
      <c r="I586" s="1"/>
    </row>
    <row r="587" ht="15.75" customHeight="1">
      <c r="A587" s="2">
        <v>586.0</v>
      </c>
      <c r="B587" s="1" t="s">
        <v>942</v>
      </c>
      <c r="C587" s="1" t="s">
        <v>1755</v>
      </c>
      <c r="D587" s="1" t="s">
        <v>1756</v>
      </c>
      <c r="E587" s="2">
        <v>5.7003835439E11</v>
      </c>
      <c r="F587" s="1" t="s">
        <v>1757</v>
      </c>
      <c r="G587" s="1" t="s">
        <v>12</v>
      </c>
      <c r="H587" s="3" t="s">
        <v>1631</v>
      </c>
      <c r="I587" s="1"/>
    </row>
    <row r="588" ht="15.75" customHeight="1">
      <c r="A588" s="2">
        <v>587.0</v>
      </c>
      <c r="B588" s="1" t="s">
        <v>1557</v>
      </c>
      <c r="C588" s="1" t="s">
        <v>1758</v>
      </c>
      <c r="D588" s="1" t="s">
        <v>1759</v>
      </c>
      <c r="E588" s="2">
        <v>5.70038354393E11</v>
      </c>
      <c r="F588" s="1" t="s">
        <v>1760</v>
      </c>
      <c r="G588" s="1" t="s">
        <v>12</v>
      </c>
      <c r="H588" s="3" t="s">
        <v>1631</v>
      </c>
      <c r="I588" s="1"/>
    </row>
    <row r="589" ht="15.75" customHeight="1">
      <c r="A589" s="2">
        <v>588.0</v>
      </c>
      <c r="B589" s="1" t="s">
        <v>1761</v>
      </c>
      <c r="C589" s="1" t="s">
        <v>1762</v>
      </c>
      <c r="D589" s="1" t="s">
        <v>1763</v>
      </c>
      <c r="E589" s="2">
        <v>5.70038354394E11</v>
      </c>
      <c r="F589" s="1" t="s">
        <v>1764</v>
      </c>
      <c r="G589" s="1" t="s">
        <v>12</v>
      </c>
      <c r="H589" s="3" t="s">
        <v>1631</v>
      </c>
      <c r="I589" s="1"/>
    </row>
    <row r="590" ht="15.75" customHeight="1">
      <c r="A590" s="2">
        <v>589.0</v>
      </c>
      <c r="B590" s="1" t="s">
        <v>1765</v>
      </c>
      <c r="C590" s="1" t="s">
        <v>1766</v>
      </c>
      <c r="D590" s="1" t="s">
        <v>838</v>
      </c>
      <c r="E590" s="2">
        <v>5.70038354395E11</v>
      </c>
      <c r="F590" s="1" t="s">
        <v>1710</v>
      </c>
      <c r="G590" s="1" t="s">
        <v>12</v>
      </c>
      <c r="H590" s="3" t="s">
        <v>1631</v>
      </c>
      <c r="I590" s="1"/>
    </row>
    <row r="591" ht="15.75" customHeight="1">
      <c r="A591" s="2">
        <v>590.0</v>
      </c>
      <c r="B591" s="1" t="s">
        <v>1767</v>
      </c>
      <c r="C591" s="1" t="s">
        <v>1768</v>
      </c>
      <c r="D591" s="1" t="s">
        <v>321</v>
      </c>
      <c r="E591" s="2">
        <v>5.70038354396E11</v>
      </c>
      <c r="F591" s="1" t="s">
        <v>1769</v>
      </c>
      <c r="G591" s="1" t="s">
        <v>12</v>
      </c>
      <c r="H591" s="3" t="s">
        <v>1631</v>
      </c>
      <c r="I591" s="1"/>
    </row>
    <row r="592" ht="15.75" customHeight="1">
      <c r="A592" s="2">
        <v>591.0</v>
      </c>
      <c r="B592" s="1" t="s">
        <v>133</v>
      </c>
      <c r="C592" s="1" t="s">
        <v>1770</v>
      </c>
      <c r="D592" s="1" t="s">
        <v>1771</v>
      </c>
      <c r="E592" s="2">
        <v>5.70038354397E11</v>
      </c>
      <c r="F592" s="1" t="s">
        <v>1772</v>
      </c>
      <c r="G592" s="1" t="s">
        <v>12</v>
      </c>
      <c r="H592" s="3" t="s">
        <v>1631</v>
      </c>
      <c r="I592" s="1"/>
    </row>
    <row r="593" ht="15.75" customHeight="1">
      <c r="A593" s="2">
        <v>592.0</v>
      </c>
      <c r="B593" s="1" t="s">
        <v>313</v>
      </c>
      <c r="C593" s="1" t="s">
        <v>1773</v>
      </c>
      <c r="D593" s="1" t="s">
        <v>1774</v>
      </c>
      <c r="E593" s="2">
        <v>5.70038354399E11</v>
      </c>
      <c r="F593" s="1" t="s">
        <v>126</v>
      </c>
      <c r="G593" s="1" t="s">
        <v>12</v>
      </c>
      <c r="H593" s="3" t="s">
        <v>1631</v>
      </c>
      <c r="I593" s="1"/>
    </row>
    <row r="594" ht="15.75" customHeight="1">
      <c r="A594" s="2">
        <v>593.0</v>
      </c>
      <c r="B594" s="1" t="s">
        <v>58</v>
      </c>
      <c r="C594" s="1" t="s">
        <v>1775</v>
      </c>
      <c r="D594" s="1" t="s">
        <v>228</v>
      </c>
      <c r="E594" s="2">
        <v>5.700383544E11</v>
      </c>
      <c r="F594" s="1" t="s">
        <v>757</v>
      </c>
      <c r="G594" s="1" t="s">
        <v>12</v>
      </c>
      <c r="H594" s="3" t="s">
        <v>1631</v>
      </c>
      <c r="I594" s="1"/>
    </row>
    <row r="595" ht="15.75" customHeight="1">
      <c r="A595" s="2">
        <v>594.0</v>
      </c>
      <c r="B595" s="1" t="s">
        <v>58</v>
      </c>
      <c r="C595" s="1" t="s">
        <v>1776</v>
      </c>
      <c r="D595" s="1" t="s">
        <v>1777</v>
      </c>
      <c r="E595" s="2">
        <v>5.70038354405E11</v>
      </c>
      <c r="F595" s="1" t="s">
        <v>1778</v>
      </c>
      <c r="G595" s="1" t="s">
        <v>12</v>
      </c>
      <c r="H595" s="3" t="s">
        <v>1631</v>
      </c>
      <c r="I595" s="1"/>
    </row>
    <row r="596" ht="15.75" customHeight="1">
      <c r="A596" s="2">
        <v>595.0</v>
      </c>
      <c r="B596" s="1" t="s">
        <v>362</v>
      </c>
      <c r="C596" s="1" t="s">
        <v>1779</v>
      </c>
      <c r="D596" s="1" t="s">
        <v>263</v>
      </c>
      <c r="E596" s="2">
        <v>5.70038354426E11</v>
      </c>
      <c r="F596" s="1" t="s">
        <v>1780</v>
      </c>
      <c r="G596" s="1" t="s">
        <v>12</v>
      </c>
      <c r="H596" s="3" t="s">
        <v>1631</v>
      </c>
      <c r="I596" s="1"/>
    </row>
    <row r="597" ht="15.75" customHeight="1">
      <c r="A597" s="2">
        <v>596.0</v>
      </c>
      <c r="B597" s="1" t="s">
        <v>1781</v>
      </c>
      <c r="C597" s="1" t="s">
        <v>1782</v>
      </c>
      <c r="D597" s="1" t="s">
        <v>384</v>
      </c>
      <c r="E597" s="2">
        <v>5.70038354433E11</v>
      </c>
      <c r="F597" s="1" t="s">
        <v>374</v>
      </c>
      <c r="G597" s="1" t="s">
        <v>12</v>
      </c>
      <c r="H597" s="3" t="s">
        <v>1631</v>
      </c>
      <c r="I597" s="1"/>
    </row>
    <row r="598" ht="15.75" customHeight="1">
      <c r="A598" s="2">
        <v>597.0</v>
      </c>
      <c r="B598" s="1" t="s">
        <v>592</v>
      </c>
      <c r="C598" s="1" t="s">
        <v>1783</v>
      </c>
      <c r="D598" s="1" t="s">
        <v>1784</v>
      </c>
      <c r="E598" s="2">
        <v>5.70038354438E11</v>
      </c>
      <c r="F598" s="1" t="s">
        <v>1785</v>
      </c>
      <c r="G598" s="1" t="s">
        <v>12</v>
      </c>
      <c r="H598" s="3" t="s">
        <v>1631</v>
      </c>
      <c r="I598" s="1"/>
    </row>
    <row r="599" ht="15.75" customHeight="1">
      <c r="A599" s="2">
        <v>598.0</v>
      </c>
      <c r="B599" s="1" t="s">
        <v>1786</v>
      </c>
      <c r="C599" s="1" t="s">
        <v>1787</v>
      </c>
      <c r="D599" s="1" t="s">
        <v>1788</v>
      </c>
      <c r="E599" s="2">
        <v>5.70038354439E11</v>
      </c>
      <c r="F599" s="1" t="s">
        <v>1789</v>
      </c>
      <c r="G599" s="1" t="s">
        <v>12</v>
      </c>
      <c r="H599" s="3" t="s">
        <v>1631</v>
      </c>
      <c r="I599" s="1"/>
    </row>
    <row r="600" ht="15.75" customHeight="1">
      <c r="A600" s="2">
        <v>599.0</v>
      </c>
      <c r="B600" s="1" t="s">
        <v>1790</v>
      </c>
      <c r="C600" s="1" t="s">
        <v>1791</v>
      </c>
      <c r="D600" s="1" t="s">
        <v>1792</v>
      </c>
      <c r="E600" s="2">
        <v>5.7003835444E11</v>
      </c>
      <c r="F600" s="1" t="s">
        <v>1793</v>
      </c>
      <c r="G600" s="1" t="s">
        <v>12</v>
      </c>
      <c r="H600" s="3" t="s">
        <v>1631</v>
      </c>
      <c r="I600" s="1"/>
    </row>
    <row r="601" ht="15.75" customHeight="1">
      <c r="A601" s="2">
        <v>600.0</v>
      </c>
      <c r="B601" s="1" t="s">
        <v>273</v>
      </c>
      <c r="C601" s="1" t="s">
        <v>1794</v>
      </c>
      <c r="D601" s="1" t="s">
        <v>1786</v>
      </c>
      <c r="E601" s="2">
        <v>5.70038354444E11</v>
      </c>
      <c r="F601" s="1" t="s">
        <v>556</v>
      </c>
      <c r="G601" s="1" t="s">
        <v>12</v>
      </c>
      <c r="H601" s="3" t="s">
        <v>1631</v>
      </c>
      <c r="I601" s="1"/>
    </row>
    <row r="602" ht="15.75" customHeight="1">
      <c r="A602" s="1" t="s">
        <v>1795</v>
      </c>
      <c r="B602" s="1" t="s">
        <v>1796</v>
      </c>
      <c r="C602" s="1" t="s">
        <v>1797</v>
      </c>
      <c r="D602" s="1" t="s">
        <v>1798</v>
      </c>
      <c r="E602" s="2">
        <v>5.7003835445E11</v>
      </c>
      <c r="F602" s="1" t="s">
        <v>1799</v>
      </c>
      <c r="G602" s="1" t="s">
        <v>261</v>
      </c>
      <c r="H602" s="3" t="s">
        <v>1631</v>
      </c>
      <c r="I602" s="1"/>
    </row>
    <row r="603" ht="15.75" customHeight="1">
      <c r="A603" s="2">
        <v>602.0</v>
      </c>
      <c r="B603" s="1" t="s">
        <v>1506</v>
      </c>
      <c r="C603" s="1" t="s">
        <v>1800</v>
      </c>
      <c r="D603" s="1" t="s">
        <v>1801</v>
      </c>
      <c r="E603" s="2">
        <v>5.70038354454E11</v>
      </c>
      <c r="F603" s="1" t="s">
        <v>1802</v>
      </c>
      <c r="G603" s="1" t="s">
        <v>12</v>
      </c>
      <c r="H603" s="3" t="s">
        <v>1631</v>
      </c>
      <c r="I603" s="1"/>
    </row>
    <row r="604" ht="15.75" customHeight="1">
      <c r="A604" s="2">
        <v>603.0</v>
      </c>
      <c r="B604" s="1" t="s">
        <v>433</v>
      </c>
      <c r="C604" s="1" t="s">
        <v>1803</v>
      </c>
      <c r="D604" s="1" t="s">
        <v>1804</v>
      </c>
      <c r="E604" s="2">
        <v>5.70038354464E11</v>
      </c>
      <c r="F604" s="1" t="s">
        <v>1805</v>
      </c>
      <c r="G604" s="1" t="s">
        <v>12</v>
      </c>
      <c r="H604" s="3" t="s">
        <v>1631</v>
      </c>
      <c r="I604" s="1"/>
    </row>
    <row r="605" ht="15.75" customHeight="1">
      <c r="A605" s="2">
        <v>604.0</v>
      </c>
      <c r="B605" s="1" t="s">
        <v>403</v>
      </c>
      <c r="C605" s="1" t="s">
        <v>1806</v>
      </c>
      <c r="D605" s="1" t="s">
        <v>1807</v>
      </c>
      <c r="E605" s="2">
        <v>5.70038354484E11</v>
      </c>
      <c r="F605" s="1" t="s">
        <v>1808</v>
      </c>
      <c r="G605" s="1" t="s">
        <v>12</v>
      </c>
      <c r="H605" s="3" t="s">
        <v>1631</v>
      </c>
      <c r="I605" s="1"/>
    </row>
    <row r="606" ht="15.75" customHeight="1">
      <c r="A606" s="2">
        <v>605.0</v>
      </c>
      <c r="B606" s="1" t="s">
        <v>1788</v>
      </c>
      <c r="C606" s="1" t="s">
        <v>1809</v>
      </c>
      <c r="D606" s="1" t="s">
        <v>1810</v>
      </c>
      <c r="E606" s="2">
        <v>5.70038354485E11</v>
      </c>
      <c r="F606" s="1" t="s">
        <v>1811</v>
      </c>
      <c r="G606" s="1" t="s">
        <v>12</v>
      </c>
      <c r="H606" s="3" t="s">
        <v>1631</v>
      </c>
      <c r="I606" s="1"/>
    </row>
    <row r="607" ht="15.75" customHeight="1">
      <c r="A607" s="2">
        <v>606.0</v>
      </c>
      <c r="B607" s="1" t="s">
        <v>1812</v>
      </c>
      <c r="C607" s="1" t="s">
        <v>1813</v>
      </c>
      <c r="D607" s="1" t="s">
        <v>611</v>
      </c>
      <c r="E607" s="2">
        <v>5.70038354486E11</v>
      </c>
      <c r="F607" s="1" t="s">
        <v>1814</v>
      </c>
      <c r="G607" s="1" t="s">
        <v>12</v>
      </c>
      <c r="H607" s="3" t="s">
        <v>1631</v>
      </c>
      <c r="I607" s="1"/>
    </row>
    <row r="608" ht="15.75" customHeight="1">
      <c r="A608" s="2">
        <v>607.0</v>
      </c>
      <c r="B608" s="1" t="s">
        <v>1815</v>
      </c>
      <c r="C608" s="1" t="s">
        <v>1816</v>
      </c>
      <c r="D608" s="1" t="s">
        <v>1817</v>
      </c>
      <c r="E608" s="2">
        <v>5.70038354488E11</v>
      </c>
      <c r="F608" s="1" t="s">
        <v>937</v>
      </c>
      <c r="G608" s="1" t="s">
        <v>12</v>
      </c>
      <c r="H608" s="3" t="s">
        <v>1631</v>
      </c>
      <c r="I608" s="1"/>
    </row>
    <row r="609" ht="15.75" customHeight="1">
      <c r="A609" s="2">
        <v>608.0</v>
      </c>
      <c r="B609" s="1" t="s">
        <v>58</v>
      </c>
      <c r="C609" s="1" t="s">
        <v>1818</v>
      </c>
      <c r="D609" s="1" t="s">
        <v>1819</v>
      </c>
      <c r="E609" s="2">
        <v>5.70038354491E11</v>
      </c>
      <c r="F609" s="1" t="s">
        <v>1820</v>
      </c>
      <c r="G609" s="1" t="s">
        <v>12</v>
      </c>
      <c r="H609" s="3" t="s">
        <v>1631</v>
      </c>
      <c r="I609" s="1"/>
    </row>
    <row r="610" ht="15.75" customHeight="1">
      <c r="A610" s="2">
        <v>609.0</v>
      </c>
      <c r="B610" s="1" t="s">
        <v>1752</v>
      </c>
      <c r="C610" s="1" t="s">
        <v>1821</v>
      </c>
      <c r="D610" s="1" t="s">
        <v>1822</v>
      </c>
      <c r="E610" s="2">
        <v>5.70038354494E11</v>
      </c>
      <c r="F610" s="1" t="s">
        <v>1823</v>
      </c>
      <c r="G610" s="1" t="s">
        <v>12</v>
      </c>
      <c r="H610" s="3" t="s">
        <v>1631</v>
      </c>
      <c r="I610" s="1"/>
    </row>
    <row r="611" ht="15.75" customHeight="1">
      <c r="A611" s="2">
        <v>610.0</v>
      </c>
      <c r="B611" s="1" t="s">
        <v>1824</v>
      </c>
      <c r="C611" s="1" t="s">
        <v>1825</v>
      </c>
      <c r="D611" s="1" t="s">
        <v>1826</v>
      </c>
      <c r="E611" s="2">
        <v>5.70038354495E11</v>
      </c>
      <c r="F611" s="1" t="s">
        <v>1827</v>
      </c>
      <c r="G611" s="1" t="s">
        <v>12</v>
      </c>
      <c r="H611" s="3" t="s">
        <v>1631</v>
      </c>
      <c r="I611" s="1"/>
    </row>
    <row r="612" ht="15.75" customHeight="1">
      <c r="A612" s="2">
        <v>611.0</v>
      </c>
      <c r="B612" s="1" t="s">
        <v>48</v>
      </c>
      <c r="C612" s="1" t="s">
        <v>1828</v>
      </c>
      <c r="D612" s="1" t="s">
        <v>1829</v>
      </c>
      <c r="E612" s="2">
        <v>5.70038354496E11</v>
      </c>
      <c r="F612" s="1" t="s">
        <v>1830</v>
      </c>
      <c r="G612" s="1" t="s">
        <v>12</v>
      </c>
      <c r="H612" s="3" t="s">
        <v>1631</v>
      </c>
      <c r="I612" s="1"/>
    </row>
    <row r="613" ht="15.75" customHeight="1">
      <c r="A613" s="2">
        <v>612.0</v>
      </c>
      <c r="B613" s="1" t="s">
        <v>1831</v>
      </c>
      <c r="C613" s="1" t="s">
        <v>1832</v>
      </c>
      <c r="D613" s="1" t="s">
        <v>1833</v>
      </c>
      <c r="E613" s="2">
        <v>5.70038354501E11</v>
      </c>
      <c r="F613" s="1" t="s">
        <v>1834</v>
      </c>
      <c r="G613" s="1" t="s">
        <v>12</v>
      </c>
      <c r="H613" s="3" t="s">
        <v>1631</v>
      </c>
      <c r="I613" s="1"/>
    </row>
    <row r="614" ht="15.75" customHeight="1">
      <c r="A614" s="2">
        <v>613.0</v>
      </c>
      <c r="B614" s="1" t="s">
        <v>793</v>
      </c>
      <c r="C614" s="1" t="s">
        <v>1835</v>
      </c>
      <c r="D614" s="1" t="s">
        <v>775</v>
      </c>
      <c r="E614" s="2">
        <v>5.70038354502E11</v>
      </c>
      <c r="F614" s="1" t="s">
        <v>1836</v>
      </c>
      <c r="G614" s="1" t="s">
        <v>12</v>
      </c>
      <c r="H614" s="3" t="s">
        <v>1631</v>
      </c>
      <c r="I614" s="1"/>
    </row>
    <row r="615" ht="15.75" customHeight="1">
      <c r="A615" s="2">
        <v>614.0</v>
      </c>
      <c r="B615" s="1" t="s">
        <v>773</v>
      </c>
      <c r="C615" s="1" t="s">
        <v>1837</v>
      </c>
      <c r="D615" s="1" t="s">
        <v>1838</v>
      </c>
      <c r="E615" s="2">
        <v>5.70038354503E11</v>
      </c>
      <c r="F615" s="1" t="s">
        <v>1839</v>
      </c>
      <c r="G615" s="1" t="s">
        <v>12</v>
      </c>
      <c r="H615" s="3" t="s">
        <v>1631</v>
      </c>
      <c r="I615" s="1"/>
    </row>
    <row r="616" ht="15.75" customHeight="1">
      <c r="A616" s="2">
        <v>615.0</v>
      </c>
      <c r="B616" s="1" t="s">
        <v>1840</v>
      </c>
      <c r="C616" s="1" t="s">
        <v>1841</v>
      </c>
      <c r="D616" s="1" t="s">
        <v>1842</v>
      </c>
      <c r="E616" s="2">
        <v>5.70038354506E11</v>
      </c>
      <c r="F616" s="1" t="s">
        <v>1843</v>
      </c>
      <c r="G616" s="1" t="s">
        <v>12</v>
      </c>
      <c r="H616" s="3" t="s">
        <v>1631</v>
      </c>
      <c r="I616" s="1"/>
    </row>
    <row r="617" ht="15.75" customHeight="1">
      <c r="A617" s="2">
        <v>616.0</v>
      </c>
      <c r="B617" s="1" t="s">
        <v>1844</v>
      </c>
      <c r="C617" s="1" t="s">
        <v>1845</v>
      </c>
      <c r="D617" s="1" t="s">
        <v>1846</v>
      </c>
      <c r="E617" s="2">
        <v>5.70038354507E11</v>
      </c>
      <c r="F617" s="1" t="s">
        <v>1847</v>
      </c>
      <c r="G617" s="1" t="s">
        <v>12</v>
      </c>
      <c r="H617" s="3" t="s">
        <v>1631</v>
      </c>
      <c r="I617" s="1"/>
    </row>
    <row r="618" ht="15.75" customHeight="1">
      <c r="A618" s="2">
        <v>617.0</v>
      </c>
      <c r="B618" s="1" t="s">
        <v>1848</v>
      </c>
      <c r="C618" s="1" t="s">
        <v>1849</v>
      </c>
      <c r="D618" s="1" t="s">
        <v>1850</v>
      </c>
      <c r="E618" s="2">
        <v>5.70038354512E11</v>
      </c>
      <c r="F618" s="1" t="s">
        <v>1851</v>
      </c>
      <c r="G618" s="1" t="s">
        <v>12</v>
      </c>
      <c r="H618" s="3" t="s">
        <v>1631</v>
      </c>
      <c r="I618" s="1"/>
    </row>
    <row r="619" ht="15.75" customHeight="1">
      <c r="A619" s="2">
        <v>618.0</v>
      </c>
      <c r="B619" s="1" t="s">
        <v>1852</v>
      </c>
      <c r="C619" s="1" t="s">
        <v>1853</v>
      </c>
      <c r="D619" s="1" t="s">
        <v>210</v>
      </c>
      <c r="E619" s="2">
        <v>5.70038354513E11</v>
      </c>
      <c r="F619" s="1" t="s">
        <v>1854</v>
      </c>
      <c r="G619" s="1" t="s">
        <v>12</v>
      </c>
      <c r="H619" s="3" t="s">
        <v>1631</v>
      </c>
      <c r="I619" s="1"/>
    </row>
    <row r="620" ht="15.75" customHeight="1">
      <c r="A620" s="2">
        <v>619.0</v>
      </c>
      <c r="B620" s="1" t="s">
        <v>1515</v>
      </c>
      <c r="C620" s="1" t="s">
        <v>1791</v>
      </c>
      <c r="D620" s="1" t="s">
        <v>1855</v>
      </c>
      <c r="E620" s="2">
        <v>5.70038354514E11</v>
      </c>
      <c r="F620" s="1" t="s">
        <v>1856</v>
      </c>
      <c r="G620" s="1" t="s">
        <v>12</v>
      </c>
      <c r="H620" s="3" t="s">
        <v>1631</v>
      </c>
      <c r="I620" s="1"/>
    </row>
    <row r="621" ht="15.75" customHeight="1">
      <c r="A621" s="2">
        <v>620.0</v>
      </c>
      <c r="B621" s="1" t="s">
        <v>1857</v>
      </c>
      <c r="C621" s="1" t="s">
        <v>1858</v>
      </c>
      <c r="D621" s="1" t="s">
        <v>1222</v>
      </c>
      <c r="E621" s="2">
        <v>5.70038354516E11</v>
      </c>
      <c r="F621" s="1" t="s">
        <v>1639</v>
      </c>
      <c r="G621" s="1" t="s">
        <v>12</v>
      </c>
      <c r="H621" s="3" t="s">
        <v>1631</v>
      </c>
      <c r="I621" s="1"/>
    </row>
    <row r="622" ht="15.75" customHeight="1">
      <c r="A622" s="2">
        <v>621.0</v>
      </c>
      <c r="B622" s="1" t="s">
        <v>1859</v>
      </c>
      <c r="C622" s="1" t="s">
        <v>1841</v>
      </c>
      <c r="D622" s="1" t="s">
        <v>1860</v>
      </c>
      <c r="E622" s="2">
        <v>5.70038354517E11</v>
      </c>
      <c r="F622" s="1" t="s">
        <v>1861</v>
      </c>
      <c r="G622" s="1" t="s">
        <v>12</v>
      </c>
      <c r="H622" s="3" t="s">
        <v>1631</v>
      </c>
      <c r="I622" s="1"/>
    </row>
    <row r="623" ht="15.75" customHeight="1">
      <c r="A623" s="2">
        <v>622.0</v>
      </c>
      <c r="B623" s="1" t="s">
        <v>1862</v>
      </c>
      <c r="C623" s="1" t="s">
        <v>1863</v>
      </c>
      <c r="D623" s="1" t="s">
        <v>1864</v>
      </c>
      <c r="E623" s="2">
        <v>5.70038354518E11</v>
      </c>
      <c r="F623" s="1" t="s">
        <v>1865</v>
      </c>
      <c r="G623" s="1" t="s">
        <v>12</v>
      </c>
      <c r="H623" s="3" t="s">
        <v>1631</v>
      </c>
      <c r="I623" s="1"/>
    </row>
    <row r="624" ht="15.75" customHeight="1">
      <c r="A624" s="2">
        <v>623.0</v>
      </c>
      <c r="B624" s="1" t="s">
        <v>1866</v>
      </c>
      <c r="C624" s="1" t="s">
        <v>1867</v>
      </c>
      <c r="D624" s="1" t="s">
        <v>564</v>
      </c>
      <c r="E624" s="2">
        <v>5.7003835452E11</v>
      </c>
      <c r="F624" s="1" t="s">
        <v>1868</v>
      </c>
      <c r="G624" s="1" t="s">
        <v>12</v>
      </c>
      <c r="H624" s="3" t="s">
        <v>1631</v>
      </c>
      <c r="I624" s="1"/>
    </row>
    <row r="625" ht="15.75" customHeight="1">
      <c r="A625" s="2">
        <v>624.0</v>
      </c>
      <c r="B625" s="1" t="s">
        <v>1869</v>
      </c>
      <c r="C625" s="1" t="s">
        <v>1870</v>
      </c>
      <c r="D625" s="1" t="s">
        <v>1871</v>
      </c>
      <c r="E625" s="2">
        <v>5.70038354525E11</v>
      </c>
      <c r="F625" s="1" t="s">
        <v>1872</v>
      </c>
      <c r="G625" s="1" t="s">
        <v>12</v>
      </c>
      <c r="H625" s="3" t="s">
        <v>1631</v>
      </c>
      <c r="I625" s="1"/>
    </row>
    <row r="626" ht="15.75" customHeight="1">
      <c r="A626" s="2">
        <v>625.0</v>
      </c>
      <c r="B626" s="1" t="s">
        <v>636</v>
      </c>
      <c r="C626" s="1" t="s">
        <v>1873</v>
      </c>
      <c r="D626" s="1" t="s">
        <v>1874</v>
      </c>
      <c r="E626" s="2">
        <v>5.70038354526E11</v>
      </c>
      <c r="F626" s="1" t="s">
        <v>1875</v>
      </c>
      <c r="G626" s="1" t="s">
        <v>12</v>
      </c>
      <c r="H626" s="3" t="s">
        <v>1631</v>
      </c>
      <c r="I626" s="1"/>
    </row>
    <row r="627" ht="15.75" customHeight="1">
      <c r="A627" s="2">
        <v>626.0</v>
      </c>
      <c r="B627" s="1" t="s">
        <v>210</v>
      </c>
      <c r="C627" s="1" t="s">
        <v>1876</v>
      </c>
      <c r="D627" s="1" t="s">
        <v>1877</v>
      </c>
      <c r="E627" s="2">
        <v>5.70038354532E11</v>
      </c>
      <c r="F627" s="1" t="s">
        <v>1878</v>
      </c>
      <c r="G627" s="1" t="s">
        <v>12</v>
      </c>
      <c r="H627" s="3" t="s">
        <v>1631</v>
      </c>
      <c r="I627" s="1"/>
    </row>
    <row r="628" ht="15.75" customHeight="1">
      <c r="A628" s="2">
        <v>627.0</v>
      </c>
      <c r="B628" s="1" t="s">
        <v>1879</v>
      </c>
      <c r="C628" s="1" t="s">
        <v>1880</v>
      </c>
      <c r="D628" s="1" t="s">
        <v>1881</v>
      </c>
      <c r="E628" s="2">
        <v>5.70038354533E11</v>
      </c>
      <c r="F628" s="1" t="s">
        <v>1882</v>
      </c>
      <c r="G628" s="1" t="s">
        <v>12</v>
      </c>
      <c r="H628" s="3" t="s">
        <v>1631</v>
      </c>
      <c r="I628" s="1"/>
    </row>
    <row r="629" ht="15.75" customHeight="1">
      <c r="A629" s="2">
        <v>628.0</v>
      </c>
      <c r="B629" s="1" t="s">
        <v>510</v>
      </c>
      <c r="C629" s="1" t="s">
        <v>1883</v>
      </c>
      <c r="D629" s="1" t="s">
        <v>1879</v>
      </c>
      <c r="E629" s="2">
        <v>5.70038354534E11</v>
      </c>
      <c r="F629" s="1" t="s">
        <v>1884</v>
      </c>
      <c r="G629" s="1" t="s">
        <v>12</v>
      </c>
      <c r="H629" s="3" t="s">
        <v>1631</v>
      </c>
      <c r="I629" s="1"/>
    </row>
    <row r="630" ht="15.75" customHeight="1">
      <c r="A630" s="2">
        <v>629.0</v>
      </c>
      <c r="B630" s="1" t="s">
        <v>384</v>
      </c>
      <c r="C630" s="1" t="s">
        <v>1885</v>
      </c>
      <c r="D630" s="1" t="s">
        <v>290</v>
      </c>
      <c r="E630" s="2">
        <v>5.70038354535E11</v>
      </c>
      <c r="F630" s="1" t="s">
        <v>1886</v>
      </c>
      <c r="G630" s="1" t="s">
        <v>12</v>
      </c>
      <c r="H630" s="3" t="s">
        <v>1631</v>
      </c>
      <c r="I630" s="1"/>
    </row>
    <row r="631" ht="15.75" customHeight="1">
      <c r="A631" s="2">
        <v>630.0</v>
      </c>
      <c r="B631" s="1" t="s">
        <v>384</v>
      </c>
      <c r="C631" s="1" t="s">
        <v>1887</v>
      </c>
      <c r="D631" s="1" t="s">
        <v>1888</v>
      </c>
      <c r="E631" s="2">
        <v>5.70038354536E11</v>
      </c>
      <c r="F631" s="1" t="s">
        <v>1889</v>
      </c>
      <c r="G631" s="1" t="s">
        <v>12</v>
      </c>
      <c r="H631" s="3" t="s">
        <v>1631</v>
      </c>
      <c r="I631" s="1"/>
    </row>
    <row r="632" ht="15.75" customHeight="1">
      <c r="A632" s="2">
        <v>631.0</v>
      </c>
      <c r="B632" s="1" t="s">
        <v>290</v>
      </c>
      <c r="C632" s="1" t="s">
        <v>1890</v>
      </c>
      <c r="D632" s="1" t="s">
        <v>1891</v>
      </c>
      <c r="E632" s="2">
        <v>5.70038354537E11</v>
      </c>
      <c r="F632" s="1" t="s">
        <v>1892</v>
      </c>
      <c r="G632" s="1" t="s">
        <v>12</v>
      </c>
      <c r="H632" s="3" t="s">
        <v>1631</v>
      </c>
      <c r="I632" s="1"/>
    </row>
    <row r="633" ht="15.75" customHeight="1">
      <c r="A633" s="2">
        <v>632.0</v>
      </c>
      <c r="B633" s="1" t="s">
        <v>1893</v>
      </c>
      <c r="C633" s="1" t="s">
        <v>1894</v>
      </c>
      <c r="D633" s="1" t="s">
        <v>1895</v>
      </c>
      <c r="E633" s="2">
        <v>5.70038354539E11</v>
      </c>
      <c r="F633" s="1" t="s">
        <v>657</v>
      </c>
      <c r="G633" s="1" t="s">
        <v>12</v>
      </c>
      <c r="H633" s="3" t="s">
        <v>1631</v>
      </c>
      <c r="I633" s="1"/>
    </row>
    <row r="634" ht="15.75" customHeight="1">
      <c r="A634" s="2">
        <v>633.0</v>
      </c>
      <c r="B634" s="1" t="s">
        <v>1896</v>
      </c>
      <c r="C634" s="1" t="s">
        <v>1897</v>
      </c>
      <c r="D634" s="1" t="s">
        <v>1898</v>
      </c>
      <c r="E634" s="2">
        <v>5.7003835454E11</v>
      </c>
      <c r="F634" s="1" t="s">
        <v>932</v>
      </c>
      <c r="G634" s="1" t="s">
        <v>12</v>
      </c>
      <c r="H634" s="3" t="s">
        <v>1631</v>
      </c>
      <c r="I634" s="1"/>
    </row>
    <row r="635" ht="15.75" customHeight="1">
      <c r="A635" s="2">
        <v>634.0</v>
      </c>
      <c r="B635" s="1" t="s">
        <v>1899</v>
      </c>
      <c r="C635" s="1" t="s">
        <v>1880</v>
      </c>
      <c r="D635" s="1" t="s">
        <v>1881</v>
      </c>
      <c r="E635" s="1" t="s">
        <v>1900</v>
      </c>
      <c r="F635" s="1" t="s">
        <v>1901</v>
      </c>
      <c r="G635" s="1" t="s">
        <v>12</v>
      </c>
      <c r="H635" s="3" t="s">
        <v>1631</v>
      </c>
      <c r="I635" s="1"/>
    </row>
    <row r="636" ht="15.75" customHeight="1">
      <c r="A636" s="2">
        <v>635.0</v>
      </c>
      <c r="B636" s="1" t="s">
        <v>1477</v>
      </c>
      <c r="C636" s="1" t="s">
        <v>1902</v>
      </c>
      <c r="D636" s="1" t="s">
        <v>1899</v>
      </c>
      <c r="E636" s="2">
        <v>5.70038354542E11</v>
      </c>
      <c r="F636" s="1" t="s">
        <v>1903</v>
      </c>
      <c r="G636" s="1" t="s">
        <v>261</v>
      </c>
      <c r="H636" s="3" t="s">
        <v>1631</v>
      </c>
      <c r="I636" s="1"/>
    </row>
    <row r="637" ht="15.75" customHeight="1">
      <c r="A637" s="2">
        <v>636.0</v>
      </c>
      <c r="B637" s="1" t="s">
        <v>1904</v>
      </c>
      <c r="C637" s="1" t="s">
        <v>1905</v>
      </c>
      <c r="D637" s="1" t="s">
        <v>1906</v>
      </c>
      <c r="E637" s="2">
        <v>5.70038354543E11</v>
      </c>
      <c r="F637" s="1" t="s">
        <v>1830</v>
      </c>
      <c r="G637" s="1" t="s">
        <v>12</v>
      </c>
      <c r="H637" s="3" t="s">
        <v>1631</v>
      </c>
      <c r="I637" s="1"/>
    </row>
    <row r="638" ht="15.75" customHeight="1">
      <c r="A638" s="2">
        <v>637.0</v>
      </c>
      <c r="B638" s="1" t="s">
        <v>1907</v>
      </c>
      <c r="C638" s="1" t="s">
        <v>1908</v>
      </c>
      <c r="D638" s="1" t="s">
        <v>1909</v>
      </c>
      <c r="E638" s="2">
        <v>5.70038354544E11</v>
      </c>
      <c r="F638" s="1" t="s">
        <v>1910</v>
      </c>
      <c r="G638" s="1" t="s">
        <v>12</v>
      </c>
      <c r="H638" s="3" t="s">
        <v>1631</v>
      </c>
      <c r="I638" s="1"/>
    </row>
    <row r="639" ht="15.75" customHeight="1">
      <c r="A639" s="2">
        <v>638.0</v>
      </c>
      <c r="B639" s="1" t="s">
        <v>1911</v>
      </c>
      <c r="C639" s="1" t="s">
        <v>1912</v>
      </c>
      <c r="D639" s="1" t="s">
        <v>166</v>
      </c>
      <c r="E639" s="2">
        <v>5.70038354546E11</v>
      </c>
      <c r="F639" s="1" t="s">
        <v>1019</v>
      </c>
      <c r="G639" s="1" t="s">
        <v>12</v>
      </c>
      <c r="H639" s="3" t="s">
        <v>1631</v>
      </c>
      <c r="I639" s="1"/>
    </row>
    <row r="640" ht="15.75" customHeight="1">
      <c r="A640" s="2">
        <v>639.0</v>
      </c>
      <c r="B640" s="1" t="s">
        <v>1913</v>
      </c>
      <c r="C640" s="1" t="s">
        <v>1914</v>
      </c>
      <c r="D640" s="1" t="s">
        <v>1915</v>
      </c>
      <c r="E640" s="2">
        <v>5.70038354548E11</v>
      </c>
      <c r="F640" s="1" t="s">
        <v>1916</v>
      </c>
      <c r="G640" s="1" t="s">
        <v>12</v>
      </c>
      <c r="H640" s="3" t="s">
        <v>1631</v>
      </c>
      <c r="I640" s="1"/>
    </row>
    <row r="641" ht="15.75" customHeight="1">
      <c r="A641" s="2">
        <v>640.0</v>
      </c>
      <c r="B641" s="1" t="s">
        <v>297</v>
      </c>
      <c r="C641" s="1" t="s">
        <v>1917</v>
      </c>
      <c r="D641" s="1" t="s">
        <v>1918</v>
      </c>
      <c r="E641" s="2">
        <v>5.70038354549E11</v>
      </c>
      <c r="F641" s="1" t="s">
        <v>1919</v>
      </c>
      <c r="G641" s="1" t="s">
        <v>12</v>
      </c>
      <c r="H641" s="3" t="s">
        <v>1631</v>
      </c>
      <c r="I641" s="1"/>
    </row>
    <row r="642" ht="15.75" customHeight="1">
      <c r="A642" s="2">
        <v>641.0</v>
      </c>
      <c r="B642" s="1" t="s">
        <v>1920</v>
      </c>
      <c r="C642" s="1" t="s">
        <v>1921</v>
      </c>
      <c r="D642" s="1" t="s">
        <v>1922</v>
      </c>
      <c r="E642" s="2">
        <v>5.70038354551E11</v>
      </c>
      <c r="F642" s="1" t="s">
        <v>1923</v>
      </c>
      <c r="G642" s="1" t="s">
        <v>12</v>
      </c>
      <c r="H642" s="3" t="s">
        <v>1631</v>
      </c>
      <c r="I642" s="1"/>
    </row>
    <row r="643" ht="15.75" customHeight="1">
      <c r="A643" s="2">
        <v>642.0</v>
      </c>
      <c r="B643" s="1" t="s">
        <v>540</v>
      </c>
      <c r="C643" s="1" t="s">
        <v>432</v>
      </c>
      <c r="D643" s="1" t="s">
        <v>1924</v>
      </c>
      <c r="E643" s="2">
        <v>5.70038354552E11</v>
      </c>
      <c r="F643" s="1" t="s">
        <v>1925</v>
      </c>
      <c r="G643" s="1" t="s">
        <v>12</v>
      </c>
      <c r="H643" s="3" t="s">
        <v>1631</v>
      </c>
      <c r="I643" s="1"/>
    </row>
    <row r="644" ht="15.75" customHeight="1">
      <c r="A644" s="2">
        <v>643.0</v>
      </c>
      <c r="B644" s="1" t="s">
        <v>562</v>
      </c>
      <c r="C644" s="1" t="s">
        <v>1926</v>
      </c>
      <c r="D644" s="1" t="s">
        <v>1927</v>
      </c>
      <c r="E644" s="2">
        <v>5.70038354557E11</v>
      </c>
      <c r="F644" s="1" t="s">
        <v>1928</v>
      </c>
      <c r="G644" s="1" t="s">
        <v>12</v>
      </c>
      <c r="H644" s="3" t="s">
        <v>1631</v>
      </c>
      <c r="I644" s="1"/>
    </row>
    <row r="645" ht="15.75" customHeight="1">
      <c r="A645" s="2">
        <v>644.0</v>
      </c>
      <c r="B645" s="1" t="s">
        <v>161</v>
      </c>
      <c r="C645" s="1" t="s">
        <v>1929</v>
      </c>
      <c r="D645" s="1" t="s">
        <v>302</v>
      </c>
      <c r="E645" s="2">
        <v>5.70038354559E11</v>
      </c>
      <c r="F645" s="1" t="s">
        <v>1930</v>
      </c>
      <c r="G645" s="1" t="s">
        <v>12</v>
      </c>
      <c r="H645" s="3" t="s">
        <v>1631</v>
      </c>
      <c r="I645" s="1"/>
    </row>
    <row r="646" ht="15.75" customHeight="1">
      <c r="A646" s="2">
        <v>645.0</v>
      </c>
      <c r="B646" s="1" t="s">
        <v>1931</v>
      </c>
      <c r="C646" s="1" t="s">
        <v>1932</v>
      </c>
      <c r="D646" s="1" t="s">
        <v>233</v>
      </c>
      <c r="E646" s="2">
        <v>5.7003835456E11</v>
      </c>
      <c r="F646" s="1" t="s">
        <v>1933</v>
      </c>
      <c r="G646" s="1" t="s">
        <v>12</v>
      </c>
      <c r="H646" s="3" t="s">
        <v>1631</v>
      </c>
      <c r="I646" s="1"/>
    </row>
    <row r="647" ht="15.75" customHeight="1">
      <c r="A647" s="2">
        <v>646.0</v>
      </c>
      <c r="B647" s="1" t="s">
        <v>415</v>
      </c>
      <c r="C647" s="1" t="s">
        <v>1701</v>
      </c>
      <c r="D647" s="1" t="s">
        <v>307</v>
      </c>
      <c r="E647" s="2">
        <v>5.70038354562E11</v>
      </c>
      <c r="F647" s="1" t="s">
        <v>1934</v>
      </c>
      <c r="G647" s="1" t="s">
        <v>12</v>
      </c>
      <c r="H647" s="3" t="s">
        <v>1631</v>
      </c>
      <c r="I647" s="1"/>
    </row>
    <row r="648" ht="15.75" customHeight="1">
      <c r="A648" s="2">
        <v>647.0</v>
      </c>
      <c r="B648" s="1" t="s">
        <v>77</v>
      </c>
      <c r="C648" s="1" t="s">
        <v>1935</v>
      </c>
      <c r="D648" s="1" t="s">
        <v>399</v>
      </c>
      <c r="E648" s="2">
        <v>5.70038354563E11</v>
      </c>
      <c r="F648" s="1" t="s">
        <v>1936</v>
      </c>
      <c r="G648" s="1" t="s">
        <v>12</v>
      </c>
      <c r="H648" s="3" t="s">
        <v>1631</v>
      </c>
      <c r="I648" s="1"/>
    </row>
    <row r="649" ht="15.75" customHeight="1">
      <c r="A649" s="2">
        <v>648.0</v>
      </c>
      <c r="B649" s="1" t="s">
        <v>10</v>
      </c>
      <c r="C649" s="1" t="s">
        <v>1937</v>
      </c>
      <c r="D649" s="1" t="s">
        <v>1938</v>
      </c>
      <c r="E649" s="2">
        <v>5.70038354564E11</v>
      </c>
      <c r="F649" s="1" t="s">
        <v>1939</v>
      </c>
      <c r="G649" s="1" t="s">
        <v>12</v>
      </c>
      <c r="H649" s="3" t="s">
        <v>1631</v>
      </c>
      <c r="I649" s="1"/>
    </row>
    <row r="650" ht="15.75" customHeight="1">
      <c r="A650" s="2">
        <v>649.0</v>
      </c>
      <c r="B650" s="1" t="s">
        <v>569</v>
      </c>
      <c r="C650" s="1" t="s">
        <v>1940</v>
      </c>
      <c r="D650" s="1" t="s">
        <v>77</v>
      </c>
      <c r="E650" s="2">
        <v>5.70038354565E11</v>
      </c>
      <c r="F650" s="1" t="s">
        <v>1941</v>
      </c>
      <c r="G650" s="1" t="s">
        <v>12</v>
      </c>
      <c r="H650" s="3" t="s">
        <v>1631</v>
      </c>
      <c r="I650" s="1"/>
    </row>
    <row r="651" ht="15.75" customHeight="1">
      <c r="A651" s="2">
        <v>650.0</v>
      </c>
      <c r="B651" s="1" t="s">
        <v>179</v>
      </c>
      <c r="C651" s="1" t="s">
        <v>1942</v>
      </c>
      <c r="D651" s="1" t="s">
        <v>1943</v>
      </c>
      <c r="E651" s="2">
        <v>5.70038354566E11</v>
      </c>
      <c r="F651" s="1" t="s">
        <v>1944</v>
      </c>
      <c r="G651" s="1" t="s">
        <v>12</v>
      </c>
      <c r="H651" s="3" t="s">
        <v>1631</v>
      </c>
      <c r="I651" s="1"/>
    </row>
    <row r="652" ht="15.75" customHeight="1">
      <c r="A652" s="2">
        <v>651.0</v>
      </c>
      <c r="B652" s="1" t="s">
        <v>347</v>
      </c>
      <c r="C652" s="1" t="s">
        <v>1945</v>
      </c>
      <c r="D652" s="1" t="s">
        <v>566</v>
      </c>
      <c r="E652" s="2">
        <v>5.70038354567E11</v>
      </c>
      <c r="F652" s="1" t="s">
        <v>1946</v>
      </c>
      <c r="G652" s="1" t="s">
        <v>12</v>
      </c>
      <c r="H652" s="3" t="s">
        <v>1631</v>
      </c>
      <c r="I652" s="1"/>
    </row>
    <row r="653" ht="15.75" customHeight="1">
      <c r="A653" s="2">
        <v>652.0</v>
      </c>
      <c r="B653" s="1" t="s">
        <v>384</v>
      </c>
      <c r="C653" s="1" t="s">
        <v>1714</v>
      </c>
      <c r="D653" s="1" t="s">
        <v>433</v>
      </c>
      <c r="E653" s="2">
        <v>5.7003835457E11</v>
      </c>
      <c r="F653" s="1" t="s">
        <v>1947</v>
      </c>
      <c r="G653" s="1" t="s">
        <v>12</v>
      </c>
      <c r="H653" s="3" t="s">
        <v>1631</v>
      </c>
      <c r="I653" s="1"/>
    </row>
    <row r="654" ht="15.75" customHeight="1">
      <c r="A654" s="2">
        <v>653.0</v>
      </c>
      <c r="B654" s="1" t="s">
        <v>48</v>
      </c>
      <c r="C654" s="1" t="s">
        <v>1948</v>
      </c>
      <c r="D654" s="1" t="s">
        <v>1949</v>
      </c>
      <c r="E654" s="2">
        <v>5.70038354571E11</v>
      </c>
      <c r="F654" s="1" t="s">
        <v>1040</v>
      </c>
      <c r="G654" s="1" t="s">
        <v>12</v>
      </c>
      <c r="H654" s="3" t="s">
        <v>1631</v>
      </c>
      <c r="I654" s="1"/>
    </row>
    <row r="655" ht="15.75" customHeight="1">
      <c r="A655" s="2">
        <v>654.0</v>
      </c>
      <c r="B655" s="1" t="s">
        <v>1950</v>
      </c>
      <c r="C655" s="1" t="s">
        <v>1951</v>
      </c>
      <c r="D655" s="1" t="s">
        <v>362</v>
      </c>
      <c r="E655" s="2">
        <v>5.70038354572E11</v>
      </c>
      <c r="F655" s="1" t="s">
        <v>1952</v>
      </c>
      <c r="G655" s="1" t="s">
        <v>12</v>
      </c>
      <c r="H655" s="3" t="s">
        <v>1631</v>
      </c>
      <c r="I655" s="1"/>
    </row>
    <row r="656" ht="15.75" customHeight="1">
      <c r="A656" s="2">
        <v>655.0</v>
      </c>
      <c r="B656" s="1" t="s">
        <v>1953</v>
      </c>
      <c r="C656" s="1" t="s">
        <v>1948</v>
      </c>
      <c r="D656" s="1" t="s">
        <v>1949</v>
      </c>
      <c r="E656" s="2">
        <v>5.70038354574E11</v>
      </c>
      <c r="F656" s="1" t="s">
        <v>1954</v>
      </c>
      <c r="G656" s="1" t="s">
        <v>12</v>
      </c>
      <c r="H656" s="3" t="s">
        <v>1631</v>
      </c>
      <c r="I656" s="1"/>
    </row>
    <row r="657" ht="15.75" customHeight="1">
      <c r="A657" s="2">
        <v>656.0</v>
      </c>
      <c r="B657" s="1" t="s">
        <v>431</v>
      </c>
      <c r="C657" s="1" t="s">
        <v>1955</v>
      </c>
      <c r="D657" s="1" t="s">
        <v>1956</v>
      </c>
      <c r="E657" s="2">
        <v>5.70038354575E11</v>
      </c>
      <c r="F657" s="1" t="s">
        <v>1957</v>
      </c>
      <c r="G657" s="1" t="s">
        <v>12</v>
      </c>
      <c r="H657" s="3" t="s">
        <v>1631</v>
      </c>
      <c r="I657" s="1"/>
    </row>
    <row r="658" ht="15.75" customHeight="1">
      <c r="A658" s="2">
        <v>657.0</v>
      </c>
      <c r="B658" s="1" t="s">
        <v>1958</v>
      </c>
      <c r="C658" s="1" t="s">
        <v>1959</v>
      </c>
      <c r="D658" s="1" t="s">
        <v>1548</v>
      </c>
      <c r="E658" s="2">
        <v>5.70038354577E11</v>
      </c>
      <c r="F658" s="1" t="s">
        <v>1960</v>
      </c>
      <c r="G658" s="1" t="s">
        <v>12</v>
      </c>
      <c r="H658" s="3" t="s">
        <v>1631</v>
      </c>
      <c r="I658" s="1"/>
    </row>
    <row r="659" ht="15.75" customHeight="1">
      <c r="A659" s="2">
        <v>658.0</v>
      </c>
      <c r="B659" s="1" t="s">
        <v>313</v>
      </c>
      <c r="C659" s="1" t="s">
        <v>1961</v>
      </c>
      <c r="D659" s="1" t="s">
        <v>1962</v>
      </c>
      <c r="E659" s="2">
        <v>5.70038354579E11</v>
      </c>
      <c r="F659" s="1" t="s">
        <v>1963</v>
      </c>
      <c r="G659" s="1" t="s">
        <v>12</v>
      </c>
      <c r="H659" s="3" t="s">
        <v>1631</v>
      </c>
      <c r="I659" s="1"/>
    </row>
    <row r="660" ht="15.75" customHeight="1">
      <c r="A660" s="2">
        <v>659.0</v>
      </c>
      <c r="B660" s="1" t="s">
        <v>1964</v>
      </c>
      <c r="C660" s="1" t="s">
        <v>1965</v>
      </c>
      <c r="D660" s="1" t="s">
        <v>360</v>
      </c>
      <c r="E660" s="2">
        <v>5.7003835458E11</v>
      </c>
      <c r="F660" s="1" t="s">
        <v>1966</v>
      </c>
      <c r="G660" s="1" t="s">
        <v>12</v>
      </c>
      <c r="H660" s="3" t="s">
        <v>1631</v>
      </c>
      <c r="I660" s="1"/>
    </row>
    <row r="661" ht="15.75" customHeight="1">
      <c r="A661" s="2">
        <v>660.0</v>
      </c>
      <c r="B661" s="1" t="s">
        <v>1649</v>
      </c>
      <c r="C661" s="1" t="s">
        <v>1967</v>
      </c>
      <c r="D661" s="1" t="s">
        <v>1968</v>
      </c>
      <c r="E661" s="2">
        <v>5.70038354582E11</v>
      </c>
      <c r="F661" s="1" t="s">
        <v>1969</v>
      </c>
      <c r="G661" s="1" t="s">
        <v>12</v>
      </c>
      <c r="H661" s="3" t="s">
        <v>1631</v>
      </c>
      <c r="I661" s="1"/>
    </row>
    <row r="662" ht="15.75" customHeight="1">
      <c r="A662" s="2">
        <v>661.0</v>
      </c>
      <c r="B662" s="1" t="s">
        <v>295</v>
      </c>
      <c r="C662" s="1" t="s">
        <v>1970</v>
      </c>
      <c r="D662" s="1" t="s">
        <v>1971</v>
      </c>
      <c r="E662" s="2">
        <v>5.70038354584E11</v>
      </c>
      <c r="F662" s="1" t="s">
        <v>1972</v>
      </c>
      <c r="G662" s="1" t="s">
        <v>12</v>
      </c>
      <c r="H662" s="3" t="s">
        <v>1631</v>
      </c>
      <c r="I662" s="1"/>
    </row>
    <row r="663" ht="15.75" customHeight="1">
      <c r="A663" s="2">
        <v>662.0</v>
      </c>
      <c r="B663" s="1" t="s">
        <v>1548</v>
      </c>
      <c r="C663" s="1" t="s">
        <v>1973</v>
      </c>
      <c r="D663" s="1" t="s">
        <v>179</v>
      </c>
      <c r="E663" s="2">
        <v>5.70038354588E11</v>
      </c>
      <c r="F663" s="1" t="s">
        <v>1974</v>
      </c>
      <c r="G663" s="1" t="s">
        <v>12</v>
      </c>
      <c r="H663" s="3" t="s">
        <v>1631</v>
      </c>
      <c r="I663" s="1"/>
    </row>
    <row r="664" ht="15.75" customHeight="1">
      <c r="A664" s="2">
        <v>663.0</v>
      </c>
      <c r="B664" s="1" t="s">
        <v>1975</v>
      </c>
      <c r="C664" s="1" t="s">
        <v>1538</v>
      </c>
      <c r="D664" s="1" t="s">
        <v>210</v>
      </c>
      <c r="E664" s="2">
        <v>5.70038354591E11</v>
      </c>
      <c r="F664" s="1" t="s">
        <v>1976</v>
      </c>
      <c r="G664" s="1" t="s">
        <v>12</v>
      </c>
      <c r="H664" s="3" t="s">
        <v>1631</v>
      </c>
      <c r="I664" s="1"/>
    </row>
    <row r="665" ht="15.75" customHeight="1">
      <c r="A665" s="2">
        <v>664.0</v>
      </c>
      <c r="B665" s="1" t="s">
        <v>1977</v>
      </c>
      <c r="C665" s="1" t="s">
        <v>1978</v>
      </c>
      <c r="D665" s="1" t="s">
        <v>1979</v>
      </c>
      <c r="E665" s="2">
        <v>5.70038354592E11</v>
      </c>
      <c r="F665" s="1" t="s">
        <v>1980</v>
      </c>
      <c r="G665" s="1" t="s">
        <v>12</v>
      </c>
      <c r="H665" s="3" t="s">
        <v>1631</v>
      </c>
      <c r="I665" s="1"/>
    </row>
    <row r="666" ht="15.75" customHeight="1">
      <c r="A666" s="2">
        <v>665.0</v>
      </c>
      <c r="B666" s="1" t="s">
        <v>346</v>
      </c>
      <c r="C666" s="1" t="s">
        <v>1981</v>
      </c>
      <c r="D666" s="1" t="s">
        <v>1191</v>
      </c>
      <c r="E666" s="2">
        <v>5.70038354595E11</v>
      </c>
      <c r="F666" s="1" t="s">
        <v>1982</v>
      </c>
      <c r="G666" s="1" t="s">
        <v>12</v>
      </c>
      <c r="H666" s="3" t="s">
        <v>1631</v>
      </c>
      <c r="I666" s="1"/>
    </row>
    <row r="667" ht="15.75" customHeight="1">
      <c r="A667" s="2">
        <v>666.0</v>
      </c>
      <c r="B667" s="1" t="s">
        <v>477</v>
      </c>
      <c r="C667" s="1" t="s">
        <v>1983</v>
      </c>
      <c r="D667" s="1" t="s">
        <v>1652</v>
      </c>
      <c r="E667" s="2">
        <v>5.70038354598E11</v>
      </c>
      <c r="F667" s="1" t="s">
        <v>1984</v>
      </c>
      <c r="G667" s="1" t="s">
        <v>12</v>
      </c>
      <c r="H667" s="3" t="s">
        <v>1631</v>
      </c>
      <c r="I667" s="1"/>
    </row>
    <row r="668" ht="15.75" customHeight="1">
      <c r="A668" s="2">
        <v>667.0</v>
      </c>
      <c r="B668" s="1" t="s">
        <v>571</v>
      </c>
      <c r="C668" s="1" t="s">
        <v>1985</v>
      </c>
      <c r="D668" s="1" t="s">
        <v>1986</v>
      </c>
      <c r="E668" s="2">
        <v>5.70038354599E11</v>
      </c>
      <c r="F668" s="1" t="s">
        <v>1987</v>
      </c>
      <c r="G668" s="1" t="s">
        <v>12</v>
      </c>
      <c r="H668" s="3" t="s">
        <v>1631</v>
      </c>
      <c r="I668" s="1"/>
    </row>
    <row r="669" ht="15.75" customHeight="1">
      <c r="A669" s="2">
        <v>668.0</v>
      </c>
      <c r="B669" s="1" t="s">
        <v>1988</v>
      </c>
      <c r="C669" s="1" t="s">
        <v>1989</v>
      </c>
      <c r="D669" s="1" t="s">
        <v>1990</v>
      </c>
      <c r="E669" s="2">
        <v>5.700383546E11</v>
      </c>
      <c r="F669" s="1" t="s">
        <v>1991</v>
      </c>
      <c r="G669" s="1" t="s">
        <v>12</v>
      </c>
      <c r="H669" s="3" t="s">
        <v>1631</v>
      </c>
      <c r="I669" s="1"/>
    </row>
    <row r="670" ht="15.75" customHeight="1">
      <c r="A670" s="2">
        <v>669.0</v>
      </c>
      <c r="B670" s="1" t="s">
        <v>1904</v>
      </c>
      <c r="C670" s="1" t="s">
        <v>1992</v>
      </c>
      <c r="D670" s="1" t="s">
        <v>384</v>
      </c>
      <c r="E670" s="1" t="s">
        <v>1993</v>
      </c>
      <c r="F670" s="1" t="s">
        <v>1994</v>
      </c>
      <c r="G670" s="1" t="s">
        <v>12</v>
      </c>
      <c r="H670" s="3" t="s">
        <v>1631</v>
      </c>
      <c r="I670" s="1"/>
    </row>
    <row r="671" ht="15.75" customHeight="1">
      <c r="A671" s="2">
        <v>670.0</v>
      </c>
      <c r="B671" s="1" t="s">
        <v>1995</v>
      </c>
      <c r="C671" s="1" t="s">
        <v>1996</v>
      </c>
      <c r="D671" s="1" t="s">
        <v>1997</v>
      </c>
      <c r="E671" s="2">
        <v>5.70038354603E11</v>
      </c>
      <c r="F671" s="1" t="s">
        <v>1998</v>
      </c>
      <c r="G671" s="1" t="s">
        <v>12</v>
      </c>
      <c r="H671" s="3" t="s">
        <v>1631</v>
      </c>
      <c r="I671" s="1"/>
    </row>
    <row r="672" ht="15.75" customHeight="1">
      <c r="A672" s="2">
        <v>671.0</v>
      </c>
      <c r="B672" s="1" t="s">
        <v>592</v>
      </c>
      <c r="C672" s="1" t="s">
        <v>1999</v>
      </c>
      <c r="D672" s="1" t="s">
        <v>133</v>
      </c>
      <c r="E672" s="2">
        <v>5.70038354607E11</v>
      </c>
      <c r="F672" s="1" t="s">
        <v>2000</v>
      </c>
      <c r="G672" s="1" t="s">
        <v>135</v>
      </c>
      <c r="H672" s="3" t="s">
        <v>1631</v>
      </c>
      <c r="I672" s="1"/>
    </row>
    <row r="673" ht="15.75" customHeight="1">
      <c r="A673" s="2">
        <v>672.0</v>
      </c>
      <c r="B673" s="1" t="s">
        <v>728</v>
      </c>
      <c r="C673" s="1" t="s">
        <v>2001</v>
      </c>
      <c r="D673" s="1" t="s">
        <v>966</v>
      </c>
      <c r="E673" s="2">
        <v>5.70038354609E11</v>
      </c>
      <c r="F673" s="1" t="s">
        <v>1181</v>
      </c>
      <c r="G673" s="1" t="s">
        <v>12</v>
      </c>
      <c r="H673" s="3" t="s">
        <v>1631</v>
      </c>
      <c r="I673" s="1"/>
    </row>
    <row r="674" ht="15.75" customHeight="1">
      <c r="A674" s="2">
        <v>673.0</v>
      </c>
      <c r="B674" s="1" t="s">
        <v>1191</v>
      </c>
      <c r="C674" s="1" t="s">
        <v>2002</v>
      </c>
      <c r="D674" s="1" t="s">
        <v>2003</v>
      </c>
      <c r="E674" s="2">
        <v>5.7003835461E11</v>
      </c>
      <c r="F674" s="1" t="s">
        <v>2004</v>
      </c>
      <c r="G674" s="1" t="s">
        <v>12</v>
      </c>
      <c r="H674" s="3" t="s">
        <v>1631</v>
      </c>
      <c r="I674" s="1"/>
    </row>
    <row r="675" ht="15.75" customHeight="1">
      <c r="A675" s="2">
        <v>674.0</v>
      </c>
      <c r="B675" s="1" t="s">
        <v>2005</v>
      </c>
      <c r="C675" s="1" t="s">
        <v>2006</v>
      </c>
      <c r="D675" s="1" t="s">
        <v>2007</v>
      </c>
      <c r="E675" s="2">
        <v>5.70038354611E11</v>
      </c>
      <c r="F675" s="1" t="s">
        <v>2008</v>
      </c>
      <c r="G675" s="1" t="s">
        <v>12</v>
      </c>
      <c r="H675" s="3" t="s">
        <v>1631</v>
      </c>
      <c r="I675" s="1"/>
    </row>
    <row r="676" ht="15.75" customHeight="1">
      <c r="A676" s="2">
        <v>675.0</v>
      </c>
      <c r="B676" s="1" t="s">
        <v>1226</v>
      </c>
      <c r="C676" s="1" t="s">
        <v>1670</v>
      </c>
      <c r="D676" s="1" t="s">
        <v>2009</v>
      </c>
      <c r="E676" s="2">
        <v>5.70038354614E11</v>
      </c>
      <c r="F676" s="1" t="s">
        <v>2010</v>
      </c>
      <c r="G676" s="1" t="s">
        <v>12</v>
      </c>
      <c r="H676" s="3" t="s">
        <v>1631</v>
      </c>
      <c r="I676" s="1"/>
    </row>
    <row r="677" ht="15.75" customHeight="1">
      <c r="A677" s="2">
        <v>676.0</v>
      </c>
      <c r="B677" s="1" t="s">
        <v>362</v>
      </c>
      <c r="C677" s="1" t="s">
        <v>2011</v>
      </c>
      <c r="D677" s="1" t="s">
        <v>344</v>
      </c>
      <c r="E677" s="2">
        <v>5.70038354618E11</v>
      </c>
      <c r="F677" s="1" t="s">
        <v>412</v>
      </c>
      <c r="G677" s="1" t="s">
        <v>12</v>
      </c>
      <c r="H677" s="3" t="s">
        <v>1631</v>
      </c>
      <c r="I677" s="1"/>
    </row>
    <row r="678" ht="15.75" customHeight="1">
      <c r="A678" s="2">
        <v>677.0</v>
      </c>
      <c r="B678" s="1" t="s">
        <v>2012</v>
      </c>
      <c r="C678" s="1" t="s">
        <v>2013</v>
      </c>
      <c r="D678" s="1" t="s">
        <v>2014</v>
      </c>
      <c r="E678" s="2">
        <v>5.70038354624E11</v>
      </c>
      <c r="F678" s="1" t="s">
        <v>2015</v>
      </c>
      <c r="G678" s="1" t="s">
        <v>12</v>
      </c>
      <c r="H678" s="3" t="s">
        <v>1631</v>
      </c>
      <c r="I678" s="1"/>
    </row>
    <row r="679" ht="15.75" customHeight="1">
      <c r="A679" s="2">
        <v>678.0</v>
      </c>
      <c r="B679" s="1" t="s">
        <v>2016</v>
      </c>
      <c r="C679" s="1" t="s">
        <v>2017</v>
      </c>
      <c r="D679" s="1" t="s">
        <v>2018</v>
      </c>
      <c r="E679" s="2">
        <v>5.70038354625E11</v>
      </c>
      <c r="F679" s="1" t="s">
        <v>2019</v>
      </c>
      <c r="G679" s="1" t="s">
        <v>12</v>
      </c>
      <c r="H679" s="3" t="s">
        <v>1631</v>
      </c>
      <c r="I679" s="1"/>
    </row>
    <row r="680" ht="15.75" customHeight="1">
      <c r="A680" s="2">
        <v>679.0</v>
      </c>
      <c r="B680" s="1" t="s">
        <v>2020</v>
      </c>
      <c r="C680" s="1" t="s">
        <v>1740</v>
      </c>
      <c r="D680" s="1" t="s">
        <v>2018</v>
      </c>
      <c r="E680" s="2">
        <v>5.70038354626E11</v>
      </c>
      <c r="F680" s="1" t="s">
        <v>2021</v>
      </c>
      <c r="G680" s="1" t="s">
        <v>12</v>
      </c>
      <c r="H680" s="3" t="s">
        <v>1631</v>
      </c>
      <c r="I680" s="1"/>
    </row>
    <row r="681" ht="15.75" customHeight="1">
      <c r="A681" s="2">
        <v>680.0</v>
      </c>
      <c r="B681" s="1" t="s">
        <v>1812</v>
      </c>
      <c r="C681" s="1" t="s">
        <v>2022</v>
      </c>
      <c r="D681" s="1" t="s">
        <v>2023</v>
      </c>
      <c r="E681" s="2">
        <v>5.70038354627E11</v>
      </c>
      <c r="F681" s="1" t="s">
        <v>2024</v>
      </c>
      <c r="G681" s="1" t="s">
        <v>12</v>
      </c>
      <c r="H681" s="3" t="s">
        <v>1631</v>
      </c>
      <c r="I681" s="1"/>
    </row>
    <row r="682" ht="15.75" customHeight="1">
      <c r="A682" s="2">
        <v>681.0</v>
      </c>
      <c r="B682" s="1" t="s">
        <v>2025</v>
      </c>
      <c r="C682" s="1" t="s">
        <v>2026</v>
      </c>
      <c r="D682" s="1" t="s">
        <v>2027</v>
      </c>
      <c r="E682" s="2">
        <v>5.70038354628E11</v>
      </c>
      <c r="F682" s="1" t="s">
        <v>2028</v>
      </c>
      <c r="G682" s="1" t="s">
        <v>12</v>
      </c>
      <c r="H682" s="3" t="s">
        <v>1631</v>
      </c>
      <c r="I682" s="1"/>
    </row>
    <row r="683" ht="15.75" customHeight="1">
      <c r="A683" s="2">
        <v>682.0</v>
      </c>
      <c r="B683" s="1" t="s">
        <v>118</v>
      </c>
      <c r="C683" s="1" t="s">
        <v>2029</v>
      </c>
      <c r="D683" s="1" t="s">
        <v>2030</v>
      </c>
      <c r="E683" s="2">
        <v>5.70038354635E11</v>
      </c>
      <c r="F683" s="1" t="s">
        <v>2031</v>
      </c>
      <c r="G683" s="1" t="s">
        <v>12</v>
      </c>
      <c r="H683" s="3" t="s">
        <v>1631</v>
      </c>
      <c r="I683" s="1"/>
    </row>
    <row r="684" ht="15.75" customHeight="1">
      <c r="A684" s="2">
        <v>683.0</v>
      </c>
      <c r="B684" s="1" t="s">
        <v>1185</v>
      </c>
      <c r="C684" s="1" t="s">
        <v>2032</v>
      </c>
      <c r="D684" s="1" t="s">
        <v>118</v>
      </c>
      <c r="E684" s="2">
        <v>5.70038354636E11</v>
      </c>
      <c r="F684" s="1" t="s">
        <v>2033</v>
      </c>
      <c r="G684" s="1" t="s">
        <v>12</v>
      </c>
      <c r="H684" s="3" t="s">
        <v>1631</v>
      </c>
      <c r="I684" s="1"/>
    </row>
    <row r="685" ht="15.75" customHeight="1">
      <c r="A685" s="2">
        <v>684.0</v>
      </c>
      <c r="B685" s="1" t="s">
        <v>118</v>
      </c>
      <c r="C685" s="1" t="s">
        <v>2034</v>
      </c>
      <c r="D685" s="1" t="s">
        <v>2035</v>
      </c>
      <c r="E685" s="2">
        <v>5.70038354637E11</v>
      </c>
      <c r="F685" s="1" t="s">
        <v>2036</v>
      </c>
      <c r="G685" s="1" t="s">
        <v>12</v>
      </c>
      <c r="H685" s="3" t="s">
        <v>1631</v>
      </c>
      <c r="I685" s="1"/>
    </row>
    <row r="686" ht="15.75" customHeight="1">
      <c r="A686" s="2">
        <v>685.0</v>
      </c>
      <c r="B686" s="1" t="s">
        <v>2037</v>
      </c>
      <c r="C686" s="1" t="s">
        <v>2038</v>
      </c>
      <c r="D686" s="1" t="s">
        <v>118</v>
      </c>
      <c r="E686" s="2">
        <v>5.70038354639E11</v>
      </c>
      <c r="F686" s="1" t="s">
        <v>2024</v>
      </c>
      <c r="G686" s="1" t="s">
        <v>12</v>
      </c>
      <c r="H686" s="3" t="s">
        <v>1631</v>
      </c>
      <c r="I686" s="1"/>
    </row>
    <row r="687" ht="15.75" customHeight="1">
      <c r="A687" s="2">
        <v>686.0</v>
      </c>
      <c r="B687" s="1" t="s">
        <v>770</v>
      </c>
      <c r="C687" s="1" t="s">
        <v>2039</v>
      </c>
      <c r="D687" s="1" t="s">
        <v>2040</v>
      </c>
      <c r="E687" s="2">
        <v>5.70038354641E11</v>
      </c>
      <c r="F687" s="1" t="s">
        <v>1414</v>
      </c>
      <c r="G687" s="1" t="s">
        <v>12</v>
      </c>
      <c r="H687" s="3" t="s">
        <v>1631</v>
      </c>
      <c r="I687" s="1"/>
    </row>
    <row r="688" ht="15.75" customHeight="1">
      <c r="A688" s="2">
        <v>687.0</v>
      </c>
      <c r="B688" s="1" t="s">
        <v>2041</v>
      </c>
      <c r="C688" s="1" t="s">
        <v>2042</v>
      </c>
      <c r="D688" s="1" t="s">
        <v>2043</v>
      </c>
      <c r="E688" s="2">
        <v>5.70038354643E11</v>
      </c>
      <c r="F688" s="1" t="s">
        <v>2044</v>
      </c>
      <c r="G688" s="1" t="s">
        <v>12</v>
      </c>
      <c r="H688" s="3" t="s">
        <v>1631</v>
      </c>
      <c r="I688" s="1"/>
    </row>
    <row r="689" ht="15.75" customHeight="1">
      <c r="A689" s="2">
        <v>688.0</v>
      </c>
      <c r="B689" s="1" t="s">
        <v>2045</v>
      </c>
      <c r="C689" s="1" t="s">
        <v>2046</v>
      </c>
      <c r="D689" s="1" t="s">
        <v>2047</v>
      </c>
      <c r="E689" s="2">
        <v>5.70038354644E11</v>
      </c>
      <c r="F689" s="1" t="s">
        <v>2048</v>
      </c>
      <c r="G689" s="1" t="s">
        <v>12</v>
      </c>
      <c r="H689" s="3" t="s">
        <v>1631</v>
      </c>
      <c r="I689" s="1"/>
    </row>
    <row r="690" ht="15.75" customHeight="1">
      <c r="A690" s="2">
        <v>689.0</v>
      </c>
      <c r="B690" s="1" t="s">
        <v>1548</v>
      </c>
      <c r="C690" s="1" t="s">
        <v>2049</v>
      </c>
      <c r="D690" s="1" t="s">
        <v>2050</v>
      </c>
      <c r="E690" s="2">
        <v>5.70038354652E11</v>
      </c>
      <c r="F690" s="1" t="s">
        <v>2051</v>
      </c>
      <c r="G690" s="1" t="s">
        <v>12</v>
      </c>
      <c r="H690" s="3" t="s">
        <v>1631</v>
      </c>
      <c r="I690" s="1"/>
    </row>
    <row r="691" ht="15.75" customHeight="1">
      <c r="A691" s="2">
        <v>690.0</v>
      </c>
      <c r="B691" s="1" t="s">
        <v>2052</v>
      </c>
      <c r="C691" s="1" t="s">
        <v>2053</v>
      </c>
      <c r="D691" s="1" t="s">
        <v>2054</v>
      </c>
      <c r="E691" s="2">
        <v>5.70038354656E11</v>
      </c>
      <c r="F691" s="1" t="s">
        <v>2055</v>
      </c>
      <c r="G691" s="1" t="s">
        <v>12</v>
      </c>
      <c r="H691" s="3" t="s">
        <v>1631</v>
      </c>
      <c r="I691" s="1"/>
    </row>
    <row r="692" ht="15.75" customHeight="1">
      <c r="A692" s="2">
        <v>691.0</v>
      </c>
      <c r="B692" s="1" t="s">
        <v>360</v>
      </c>
      <c r="C692" s="1" t="s">
        <v>2056</v>
      </c>
      <c r="D692" s="1" t="s">
        <v>111</v>
      </c>
      <c r="E692" s="2">
        <v>5.70038354658E11</v>
      </c>
      <c r="F692" s="1" t="s">
        <v>2057</v>
      </c>
      <c r="G692" s="1" t="s">
        <v>12</v>
      </c>
      <c r="H692" s="3" t="s">
        <v>1631</v>
      </c>
      <c r="I692" s="1"/>
    </row>
    <row r="693" ht="15.75" customHeight="1">
      <c r="A693" s="2">
        <v>692.0</v>
      </c>
      <c r="B693" s="1" t="s">
        <v>18</v>
      </c>
      <c r="C693" s="1" t="s">
        <v>2058</v>
      </c>
      <c r="D693" s="1" t="s">
        <v>2059</v>
      </c>
      <c r="E693" s="2">
        <v>5.7003835466E11</v>
      </c>
      <c r="F693" s="1" t="s">
        <v>2060</v>
      </c>
      <c r="G693" s="1" t="s">
        <v>12</v>
      </c>
      <c r="H693" s="3" t="s">
        <v>1631</v>
      </c>
      <c r="I693" s="1"/>
    </row>
    <row r="694" ht="15.75" customHeight="1">
      <c r="A694" s="2">
        <v>693.0</v>
      </c>
      <c r="B694" s="1" t="s">
        <v>181</v>
      </c>
      <c r="C694" s="1" t="s">
        <v>2061</v>
      </c>
      <c r="D694" s="1" t="s">
        <v>2062</v>
      </c>
      <c r="E694" s="2">
        <v>5.70038354666E11</v>
      </c>
      <c r="F694" s="1" t="s">
        <v>2063</v>
      </c>
      <c r="G694" s="1" t="s">
        <v>12</v>
      </c>
      <c r="H694" s="3" t="s">
        <v>1631</v>
      </c>
      <c r="I694" s="1"/>
    </row>
    <row r="695" ht="15.75" customHeight="1">
      <c r="A695" s="2">
        <v>694.0</v>
      </c>
      <c r="B695" s="1" t="s">
        <v>1682</v>
      </c>
      <c r="C695" s="1" t="s">
        <v>2064</v>
      </c>
      <c r="D695" s="1" t="s">
        <v>181</v>
      </c>
      <c r="E695" s="2">
        <v>5.70038354667E11</v>
      </c>
      <c r="F695" s="1" t="s">
        <v>2065</v>
      </c>
      <c r="G695" s="1" t="s">
        <v>135</v>
      </c>
      <c r="H695" s="3" t="s">
        <v>1631</v>
      </c>
      <c r="I695" s="1"/>
    </row>
    <row r="696" ht="15.75" customHeight="1">
      <c r="A696" s="2">
        <v>695.0</v>
      </c>
      <c r="B696" s="1" t="s">
        <v>341</v>
      </c>
      <c r="C696" s="1" t="s">
        <v>2066</v>
      </c>
      <c r="D696" s="1" t="s">
        <v>2067</v>
      </c>
      <c r="E696" s="2">
        <v>5.70038354671E11</v>
      </c>
      <c r="F696" s="1" t="s">
        <v>1172</v>
      </c>
      <c r="G696" s="1" t="s">
        <v>12</v>
      </c>
      <c r="H696" s="3" t="s">
        <v>1631</v>
      </c>
      <c r="I696" s="1"/>
    </row>
    <row r="697" ht="15.75" customHeight="1">
      <c r="A697" s="2">
        <v>696.0</v>
      </c>
      <c r="B697" s="1" t="s">
        <v>60</v>
      </c>
      <c r="C697" s="1" t="s">
        <v>2068</v>
      </c>
      <c r="D697" s="1" t="s">
        <v>60</v>
      </c>
      <c r="E697" s="2">
        <v>5.70038354673E11</v>
      </c>
      <c r="F697" s="1" t="s">
        <v>2069</v>
      </c>
      <c r="G697" s="1" t="s">
        <v>12</v>
      </c>
      <c r="H697" s="3" t="s">
        <v>1631</v>
      </c>
      <c r="I697" s="1"/>
    </row>
    <row r="698" ht="15.75" customHeight="1">
      <c r="A698" s="2">
        <v>697.0</v>
      </c>
      <c r="B698" s="1" t="s">
        <v>2070</v>
      </c>
      <c r="C698" s="1" t="s">
        <v>2071</v>
      </c>
      <c r="D698" s="1" t="s">
        <v>2072</v>
      </c>
      <c r="E698" s="2">
        <v>5.70038354675E11</v>
      </c>
      <c r="F698" s="1" t="s">
        <v>2073</v>
      </c>
      <c r="G698" s="1" t="s">
        <v>12</v>
      </c>
      <c r="H698" s="3" t="s">
        <v>1631</v>
      </c>
      <c r="I698" s="1"/>
    </row>
    <row r="699" ht="15.75" customHeight="1">
      <c r="A699" s="2">
        <v>698.0</v>
      </c>
      <c r="B699" s="1" t="s">
        <v>2074</v>
      </c>
      <c r="C699" s="1" t="s">
        <v>2075</v>
      </c>
      <c r="D699" s="1" t="s">
        <v>1219</v>
      </c>
      <c r="E699" s="2">
        <v>5.70038354676E11</v>
      </c>
      <c r="F699" s="1" t="s">
        <v>2076</v>
      </c>
      <c r="G699" s="1" t="s">
        <v>12</v>
      </c>
      <c r="H699" s="3" t="s">
        <v>1631</v>
      </c>
      <c r="I699" s="1"/>
    </row>
    <row r="700" ht="15.75" customHeight="1">
      <c r="A700" s="2">
        <v>699.0</v>
      </c>
      <c r="B700" s="1" t="s">
        <v>2077</v>
      </c>
      <c r="C700" s="1" t="s">
        <v>2078</v>
      </c>
      <c r="D700" s="1" t="s">
        <v>2079</v>
      </c>
      <c r="E700" s="2">
        <v>5.70038354677E11</v>
      </c>
      <c r="F700" s="1" t="s">
        <v>2080</v>
      </c>
      <c r="G700" s="1" t="s">
        <v>12</v>
      </c>
      <c r="H700" s="3" t="s">
        <v>1631</v>
      </c>
      <c r="I700" s="1"/>
    </row>
    <row r="701" ht="15.75" customHeight="1">
      <c r="A701" s="2">
        <v>700.0</v>
      </c>
      <c r="B701" s="1" t="s">
        <v>77</v>
      </c>
      <c r="C701" s="1" t="s">
        <v>2081</v>
      </c>
      <c r="D701" s="1" t="s">
        <v>2082</v>
      </c>
      <c r="E701" s="2">
        <v>5.70038354679E11</v>
      </c>
      <c r="F701" s="1" t="s">
        <v>2083</v>
      </c>
      <c r="G701" s="1" t="s">
        <v>12</v>
      </c>
      <c r="H701" s="3" t="s">
        <v>1631</v>
      </c>
      <c r="I701" s="1"/>
    </row>
    <row r="702" ht="15.75" customHeight="1">
      <c r="A702" s="2">
        <v>701.0</v>
      </c>
      <c r="B702" s="1" t="s">
        <v>594</v>
      </c>
      <c r="C702" s="1" t="s">
        <v>2084</v>
      </c>
      <c r="D702" s="1" t="s">
        <v>2085</v>
      </c>
      <c r="E702" s="2">
        <v>5.7003835468E11</v>
      </c>
      <c r="F702" s="1" t="s">
        <v>2086</v>
      </c>
      <c r="G702" s="1" t="s">
        <v>12</v>
      </c>
      <c r="H702" s="3" t="s">
        <v>1631</v>
      </c>
      <c r="I702" s="1"/>
    </row>
    <row r="703" ht="15.75" customHeight="1">
      <c r="A703" s="2">
        <v>702.0</v>
      </c>
      <c r="B703" s="1" t="s">
        <v>2087</v>
      </c>
      <c r="C703" s="1" t="s">
        <v>2088</v>
      </c>
      <c r="D703" s="1" t="s">
        <v>852</v>
      </c>
      <c r="E703" s="2">
        <v>5.70038354687E11</v>
      </c>
      <c r="F703" s="1" t="s">
        <v>2089</v>
      </c>
      <c r="G703" s="1" t="s">
        <v>12</v>
      </c>
      <c r="H703" s="3" t="s">
        <v>1631</v>
      </c>
      <c r="I703" s="1"/>
    </row>
    <row r="704" ht="15.75" customHeight="1">
      <c r="A704" s="2">
        <v>703.0</v>
      </c>
      <c r="B704" s="1" t="s">
        <v>2090</v>
      </c>
      <c r="C704" s="1" t="s">
        <v>2091</v>
      </c>
      <c r="D704" s="1" t="s">
        <v>2092</v>
      </c>
      <c r="E704" s="2">
        <v>5.70038354692E11</v>
      </c>
      <c r="F704" s="1" t="s">
        <v>2093</v>
      </c>
      <c r="G704" s="1" t="s">
        <v>12</v>
      </c>
      <c r="H704" s="3" t="s">
        <v>1631</v>
      </c>
      <c r="I704" s="1"/>
    </row>
    <row r="705" ht="15.75" customHeight="1">
      <c r="A705" s="2">
        <v>704.0</v>
      </c>
      <c r="B705" s="1" t="s">
        <v>2094</v>
      </c>
      <c r="C705" s="1" t="s">
        <v>2095</v>
      </c>
      <c r="D705" s="1" t="s">
        <v>2096</v>
      </c>
      <c r="E705" s="2">
        <v>5.70038354693E11</v>
      </c>
      <c r="F705" s="1" t="s">
        <v>2097</v>
      </c>
      <c r="G705" s="1" t="s">
        <v>12</v>
      </c>
      <c r="H705" s="3" t="s">
        <v>1631</v>
      </c>
      <c r="I705" s="1"/>
    </row>
    <row r="706" ht="15.75" customHeight="1">
      <c r="A706" s="2">
        <v>705.0</v>
      </c>
      <c r="B706" s="1" t="s">
        <v>335</v>
      </c>
      <c r="C706" s="1" t="s">
        <v>2098</v>
      </c>
      <c r="D706" s="1" t="s">
        <v>1240</v>
      </c>
      <c r="E706" s="2">
        <v>5.70038354694E11</v>
      </c>
      <c r="F706" s="1" t="s">
        <v>2099</v>
      </c>
      <c r="G706" s="1" t="s">
        <v>135</v>
      </c>
      <c r="H706" s="3" t="s">
        <v>1631</v>
      </c>
      <c r="I706" s="1"/>
    </row>
    <row r="707" ht="15.75" customHeight="1">
      <c r="A707" s="2">
        <v>706.0</v>
      </c>
      <c r="B707" s="1" t="s">
        <v>2100</v>
      </c>
      <c r="C707" s="1" t="s">
        <v>2101</v>
      </c>
      <c r="D707" s="1" t="s">
        <v>2102</v>
      </c>
      <c r="E707" s="2">
        <v>5.70038354695E11</v>
      </c>
      <c r="F707" s="1" t="s">
        <v>2103</v>
      </c>
      <c r="G707" s="1" t="s">
        <v>135</v>
      </c>
      <c r="H707" s="3" t="s">
        <v>1631</v>
      </c>
      <c r="I707" s="1"/>
    </row>
    <row r="708" ht="15.75" customHeight="1">
      <c r="A708" s="2">
        <v>707.0</v>
      </c>
      <c r="B708" s="1" t="s">
        <v>725</v>
      </c>
      <c r="C708" s="1" t="s">
        <v>2104</v>
      </c>
      <c r="D708" s="1" t="s">
        <v>2105</v>
      </c>
      <c r="E708" s="2">
        <v>5.70038354699E11</v>
      </c>
      <c r="F708" s="1" t="s">
        <v>2106</v>
      </c>
      <c r="G708" s="1" t="s">
        <v>12</v>
      </c>
      <c r="H708" s="3" t="s">
        <v>1631</v>
      </c>
      <c r="I708" s="1"/>
    </row>
    <row r="709" ht="15.75" customHeight="1">
      <c r="A709" s="2">
        <v>708.0</v>
      </c>
      <c r="B709" s="1" t="s">
        <v>1997</v>
      </c>
      <c r="C709" s="1" t="s">
        <v>938</v>
      </c>
      <c r="D709" s="1" t="s">
        <v>718</v>
      </c>
      <c r="E709" s="2">
        <v>5.700383547E11</v>
      </c>
      <c r="F709" s="1" t="s">
        <v>2107</v>
      </c>
      <c r="G709" s="1" t="s">
        <v>12</v>
      </c>
      <c r="H709" s="3" t="s">
        <v>1631</v>
      </c>
      <c r="I709" s="1"/>
    </row>
    <row r="710" ht="15.75" customHeight="1">
      <c r="A710" s="2">
        <v>709.0</v>
      </c>
      <c r="B710" s="1" t="s">
        <v>2108</v>
      </c>
      <c r="C710" s="1" t="s">
        <v>2109</v>
      </c>
      <c r="D710" s="1" t="s">
        <v>2110</v>
      </c>
      <c r="E710" s="2">
        <v>5.70038354701E11</v>
      </c>
      <c r="F710" s="1" t="s">
        <v>2111</v>
      </c>
      <c r="G710" s="1" t="s">
        <v>12</v>
      </c>
      <c r="H710" s="3" t="s">
        <v>1631</v>
      </c>
      <c r="I710" s="1"/>
    </row>
    <row r="711" ht="15.75" customHeight="1">
      <c r="A711" s="2">
        <v>710.0</v>
      </c>
      <c r="B711" s="1" t="s">
        <v>2112</v>
      </c>
      <c r="C711" s="1" t="s">
        <v>2113</v>
      </c>
      <c r="D711" s="1" t="s">
        <v>2114</v>
      </c>
      <c r="E711" s="2">
        <v>5.70038354702E11</v>
      </c>
      <c r="F711" s="1" t="s">
        <v>186</v>
      </c>
      <c r="G711" s="1" t="s">
        <v>12</v>
      </c>
      <c r="H711" s="3" t="s">
        <v>1631</v>
      </c>
      <c r="I711" s="1"/>
    </row>
    <row r="712" ht="15.75" customHeight="1">
      <c r="A712" s="2">
        <v>711.0</v>
      </c>
      <c r="B712" s="1" t="s">
        <v>2115</v>
      </c>
      <c r="C712" s="1" t="s">
        <v>314</v>
      </c>
      <c r="D712" s="1" t="s">
        <v>582</v>
      </c>
      <c r="E712" s="2">
        <v>5.70038354703E11</v>
      </c>
      <c r="F712" s="1" t="s">
        <v>2116</v>
      </c>
      <c r="G712" s="1" t="s">
        <v>12</v>
      </c>
      <c r="H712" s="3" t="s">
        <v>1631</v>
      </c>
      <c r="I712" s="1"/>
    </row>
    <row r="713" ht="15.75" customHeight="1">
      <c r="A713" s="2">
        <v>712.0</v>
      </c>
      <c r="B713" s="1" t="s">
        <v>2117</v>
      </c>
      <c r="C713" s="1" t="s">
        <v>2118</v>
      </c>
      <c r="D713" s="1" t="s">
        <v>2119</v>
      </c>
      <c r="E713" s="2">
        <v>5.70038354704E11</v>
      </c>
      <c r="F713" s="1" t="s">
        <v>2120</v>
      </c>
      <c r="G713" s="1" t="s">
        <v>12</v>
      </c>
      <c r="H713" s="3" t="s">
        <v>1631</v>
      </c>
      <c r="I713" s="1"/>
    </row>
    <row r="714" ht="15.75" customHeight="1">
      <c r="A714" s="2">
        <v>713.0</v>
      </c>
      <c r="B714" s="1" t="s">
        <v>621</v>
      </c>
      <c r="C714" s="1" t="s">
        <v>2121</v>
      </c>
      <c r="D714" s="1" t="s">
        <v>263</v>
      </c>
      <c r="E714" s="2">
        <v>5.70038354705E11</v>
      </c>
      <c r="F714" s="1" t="s">
        <v>2122</v>
      </c>
      <c r="G714" s="1" t="s">
        <v>12</v>
      </c>
      <c r="H714" s="3" t="s">
        <v>1631</v>
      </c>
      <c r="I714" s="1"/>
    </row>
    <row r="715" ht="15.75" customHeight="1">
      <c r="A715" s="2">
        <v>714.0</v>
      </c>
      <c r="B715" s="1" t="s">
        <v>2003</v>
      </c>
      <c r="C715" s="1" t="s">
        <v>2123</v>
      </c>
      <c r="D715" s="1" t="s">
        <v>2124</v>
      </c>
      <c r="E715" s="2">
        <v>5.70038354708E11</v>
      </c>
      <c r="F715" s="1" t="s">
        <v>2125</v>
      </c>
      <c r="G715" s="1" t="s">
        <v>12</v>
      </c>
      <c r="H715" s="3" t="s">
        <v>1631</v>
      </c>
      <c r="I715" s="1"/>
    </row>
    <row r="716" ht="15.75" customHeight="1">
      <c r="A716" s="2">
        <v>715.0</v>
      </c>
      <c r="B716" s="1" t="s">
        <v>471</v>
      </c>
      <c r="C716" s="1" t="s">
        <v>2126</v>
      </c>
      <c r="D716" s="1" t="s">
        <v>210</v>
      </c>
      <c r="E716" s="2">
        <v>5.70038354714E11</v>
      </c>
      <c r="F716" s="1" t="s">
        <v>2127</v>
      </c>
      <c r="G716" s="1" t="s">
        <v>12</v>
      </c>
      <c r="H716" s="3" t="s">
        <v>1631</v>
      </c>
      <c r="I716" s="1"/>
    </row>
    <row r="717" ht="15.75" customHeight="1">
      <c r="A717" s="2">
        <v>716.0</v>
      </c>
      <c r="B717" s="1" t="s">
        <v>18</v>
      </c>
      <c r="C717" s="1" t="s">
        <v>2128</v>
      </c>
      <c r="D717" s="1" t="s">
        <v>10</v>
      </c>
      <c r="E717" s="2">
        <v>5.70038354716E11</v>
      </c>
      <c r="F717" s="1" t="s">
        <v>2129</v>
      </c>
      <c r="G717" s="1" t="s">
        <v>12</v>
      </c>
      <c r="H717" s="3" t="s">
        <v>1631</v>
      </c>
      <c r="I717" s="1"/>
    </row>
    <row r="718" ht="15.75" customHeight="1">
      <c r="A718" s="2">
        <v>717.0</v>
      </c>
      <c r="B718" s="1" t="s">
        <v>1360</v>
      </c>
      <c r="C718" s="1" t="s">
        <v>2130</v>
      </c>
      <c r="D718" s="1" t="s">
        <v>856</v>
      </c>
      <c r="E718" s="2">
        <v>5.70038354721E11</v>
      </c>
      <c r="F718" s="1" t="s">
        <v>2131</v>
      </c>
      <c r="G718" s="1" t="s">
        <v>12</v>
      </c>
      <c r="H718" s="3" t="s">
        <v>1631</v>
      </c>
      <c r="I718" s="1"/>
    </row>
    <row r="719" ht="15.75" customHeight="1">
      <c r="A719" s="2">
        <v>718.0</v>
      </c>
      <c r="B719" s="1" t="s">
        <v>2132</v>
      </c>
      <c r="C719" s="1" t="s">
        <v>2133</v>
      </c>
      <c r="D719" s="1" t="s">
        <v>2134</v>
      </c>
      <c r="E719" s="2">
        <v>5.70038354722E11</v>
      </c>
      <c r="F719" s="1" t="s">
        <v>1530</v>
      </c>
      <c r="G719" s="1" t="s">
        <v>12</v>
      </c>
      <c r="H719" s="3" t="s">
        <v>1631</v>
      </c>
      <c r="I719" s="1"/>
    </row>
    <row r="720" ht="15.75" customHeight="1">
      <c r="A720" s="2">
        <v>719.0</v>
      </c>
      <c r="B720" s="1" t="s">
        <v>2135</v>
      </c>
      <c r="C720" s="1" t="s">
        <v>602</v>
      </c>
      <c r="D720" s="1" t="s">
        <v>2136</v>
      </c>
      <c r="E720" s="2">
        <v>5.7003835473E11</v>
      </c>
      <c r="F720" s="1" t="s">
        <v>2137</v>
      </c>
      <c r="G720" s="1" t="s">
        <v>12</v>
      </c>
      <c r="H720" s="3" t="s">
        <v>1631</v>
      </c>
      <c r="I720" s="1"/>
    </row>
    <row r="721" ht="15.75" customHeight="1">
      <c r="A721" s="2">
        <v>720.0</v>
      </c>
      <c r="B721" s="1" t="s">
        <v>2138</v>
      </c>
      <c r="C721" s="1" t="s">
        <v>2139</v>
      </c>
      <c r="D721" s="1" t="s">
        <v>2140</v>
      </c>
      <c r="E721" s="2">
        <v>5.70038354731E11</v>
      </c>
      <c r="F721" s="1" t="s">
        <v>1699</v>
      </c>
      <c r="G721" s="1" t="s">
        <v>12</v>
      </c>
      <c r="H721" s="3" t="s">
        <v>1631</v>
      </c>
      <c r="I721" s="1"/>
    </row>
    <row r="722" ht="15.75" customHeight="1">
      <c r="A722" s="2">
        <v>721.0</v>
      </c>
      <c r="B722" s="1" t="s">
        <v>1895</v>
      </c>
      <c r="C722" s="1" t="s">
        <v>2141</v>
      </c>
      <c r="D722" s="1" t="s">
        <v>2142</v>
      </c>
      <c r="E722" s="2">
        <v>5.70038354732E11</v>
      </c>
      <c r="F722" s="1" t="s">
        <v>2143</v>
      </c>
      <c r="G722" s="1" t="s">
        <v>12</v>
      </c>
      <c r="H722" s="3" t="s">
        <v>1631</v>
      </c>
      <c r="I722" s="1"/>
    </row>
    <row r="723" ht="15.75" customHeight="1">
      <c r="A723" s="2">
        <v>722.0</v>
      </c>
      <c r="B723" s="1" t="s">
        <v>2144</v>
      </c>
      <c r="C723" s="1" t="s">
        <v>2145</v>
      </c>
      <c r="D723" s="1" t="s">
        <v>2146</v>
      </c>
      <c r="E723" s="2">
        <v>5.70038354733E11</v>
      </c>
      <c r="F723" s="1" t="s">
        <v>2147</v>
      </c>
      <c r="G723" s="1" t="s">
        <v>12</v>
      </c>
      <c r="H723" s="3" t="s">
        <v>1631</v>
      </c>
      <c r="I723" s="1"/>
    </row>
    <row r="724" ht="15.75" customHeight="1">
      <c r="A724" s="2">
        <v>723.0</v>
      </c>
      <c r="B724" s="1" t="s">
        <v>2148</v>
      </c>
      <c r="C724" s="1" t="s">
        <v>2149</v>
      </c>
      <c r="D724" s="1" t="s">
        <v>942</v>
      </c>
      <c r="E724" s="2">
        <v>5.70038354735E11</v>
      </c>
      <c r="F724" s="1" t="s">
        <v>2150</v>
      </c>
      <c r="G724" s="1" t="s">
        <v>12</v>
      </c>
      <c r="H724" s="3" t="s">
        <v>1631</v>
      </c>
      <c r="I724" s="1"/>
    </row>
    <row r="725" ht="15.75" customHeight="1">
      <c r="A725" s="2">
        <v>724.0</v>
      </c>
      <c r="B725" s="1" t="s">
        <v>2151</v>
      </c>
      <c r="C725" s="1" t="s">
        <v>2152</v>
      </c>
      <c r="D725" s="1" t="s">
        <v>2153</v>
      </c>
      <c r="E725" s="2">
        <v>5.70038354737E11</v>
      </c>
      <c r="F725" s="1" t="s">
        <v>2154</v>
      </c>
      <c r="G725" s="1" t="s">
        <v>12</v>
      </c>
      <c r="H725" s="3" t="s">
        <v>1631</v>
      </c>
      <c r="I725" s="1"/>
    </row>
    <row r="726" ht="15.75" customHeight="1">
      <c r="A726" s="2">
        <v>725.0</v>
      </c>
      <c r="B726" s="1" t="s">
        <v>124</v>
      </c>
      <c r="C726" s="1" t="s">
        <v>2155</v>
      </c>
      <c r="D726" s="1" t="s">
        <v>2156</v>
      </c>
      <c r="E726" s="2">
        <v>5.7003835474E11</v>
      </c>
      <c r="F726" s="1" t="s">
        <v>2157</v>
      </c>
      <c r="G726" s="1" t="s">
        <v>12</v>
      </c>
      <c r="H726" s="3" t="s">
        <v>1631</v>
      </c>
      <c r="I726" s="1"/>
    </row>
    <row r="727" ht="15.75" customHeight="1">
      <c r="A727" s="2">
        <v>726.0</v>
      </c>
      <c r="B727" s="1" t="s">
        <v>42</v>
      </c>
      <c r="C727" s="1" t="s">
        <v>2158</v>
      </c>
      <c r="D727" s="1" t="s">
        <v>2159</v>
      </c>
      <c r="E727" s="2">
        <v>5.70038354742E11</v>
      </c>
      <c r="F727" s="1" t="s">
        <v>2160</v>
      </c>
      <c r="G727" s="1" t="s">
        <v>12</v>
      </c>
      <c r="H727" s="3" t="s">
        <v>1631</v>
      </c>
      <c r="I727" s="1"/>
    </row>
    <row r="728" ht="15.75" customHeight="1">
      <c r="A728" s="2">
        <v>727.0</v>
      </c>
      <c r="B728" s="1" t="s">
        <v>384</v>
      </c>
      <c r="C728" s="1" t="s">
        <v>2149</v>
      </c>
      <c r="D728" s="1" t="s">
        <v>856</v>
      </c>
      <c r="E728" s="2">
        <v>5.70038354743E11</v>
      </c>
      <c r="F728" s="1" t="s">
        <v>2161</v>
      </c>
      <c r="G728" s="1" t="s">
        <v>12</v>
      </c>
      <c r="H728" s="3" t="s">
        <v>1631</v>
      </c>
      <c r="I728" s="1"/>
    </row>
    <row r="729" ht="15.75" customHeight="1">
      <c r="A729" s="2">
        <v>728.0</v>
      </c>
      <c r="B729" s="1" t="s">
        <v>865</v>
      </c>
      <c r="C729" s="1" t="s">
        <v>731</v>
      </c>
      <c r="D729" s="1" t="s">
        <v>2162</v>
      </c>
      <c r="E729" s="2">
        <v>5.70038354746E11</v>
      </c>
      <c r="F729" s="1" t="s">
        <v>2163</v>
      </c>
      <c r="G729" s="1" t="s">
        <v>12</v>
      </c>
      <c r="H729" s="3" t="s">
        <v>1631</v>
      </c>
      <c r="I729" s="1"/>
    </row>
    <row r="730" ht="15.75" customHeight="1">
      <c r="A730" s="2">
        <v>729.0</v>
      </c>
      <c r="B730" s="1" t="s">
        <v>2164</v>
      </c>
      <c r="C730" s="1" t="s">
        <v>2165</v>
      </c>
      <c r="D730" s="1" t="s">
        <v>2166</v>
      </c>
      <c r="E730" s="2">
        <v>5.70038354747E11</v>
      </c>
      <c r="F730" s="1" t="s">
        <v>2167</v>
      </c>
      <c r="G730" s="1" t="s">
        <v>2168</v>
      </c>
      <c r="H730" s="3" t="s">
        <v>1631</v>
      </c>
      <c r="I730" s="1"/>
    </row>
    <row r="731" ht="15.75" customHeight="1">
      <c r="A731" s="2">
        <v>730.0</v>
      </c>
      <c r="B731" s="1" t="s">
        <v>2138</v>
      </c>
      <c r="C731" s="1" t="s">
        <v>2169</v>
      </c>
      <c r="D731" s="1" t="s">
        <v>77</v>
      </c>
      <c r="E731" s="2">
        <v>5.70038354748E11</v>
      </c>
      <c r="F731" s="1" t="s">
        <v>2170</v>
      </c>
      <c r="G731" s="1" t="s">
        <v>12</v>
      </c>
      <c r="H731" s="3" t="s">
        <v>1631</v>
      </c>
      <c r="I731" s="1"/>
    </row>
    <row r="732" ht="15.75" customHeight="1">
      <c r="A732" s="2">
        <v>731.0</v>
      </c>
      <c r="B732" s="1" t="s">
        <v>1581</v>
      </c>
      <c r="C732" s="1" t="s">
        <v>2171</v>
      </c>
      <c r="D732" s="1" t="s">
        <v>690</v>
      </c>
      <c r="E732" s="2">
        <v>5.70038354749E11</v>
      </c>
      <c r="F732" s="1" t="s">
        <v>2172</v>
      </c>
      <c r="G732" s="1" t="s">
        <v>12</v>
      </c>
      <c r="H732" s="3" t="s">
        <v>1631</v>
      </c>
      <c r="I732" s="1"/>
    </row>
    <row r="733" ht="15.75" customHeight="1">
      <c r="A733" s="2">
        <v>732.0</v>
      </c>
      <c r="B733" s="1" t="s">
        <v>93</v>
      </c>
      <c r="C733" s="1" t="s">
        <v>2173</v>
      </c>
      <c r="D733" s="1" t="s">
        <v>290</v>
      </c>
      <c r="E733" s="2">
        <v>5.70038354751E11</v>
      </c>
      <c r="F733" s="1" t="s">
        <v>2174</v>
      </c>
      <c r="G733" s="1" t="s">
        <v>12</v>
      </c>
      <c r="H733" s="3" t="s">
        <v>1631</v>
      </c>
      <c r="I733" s="1"/>
    </row>
    <row r="734" ht="15.75" customHeight="1">
      <c r="A734" s="2">
        <v>733.0</v>
      </c>
      <c r="B734" s="1" t="s">
        <v>2175</v>
      </c>
      <c r="C734" s="1" t="s">
        <v>2176</v>
      </c>
      <c r="D734" s="1" t="s">
        <v>2177</v>
      </c>
      <c r="E734" s="2">
        <v>5.70038354753E11</v>
      </c>
      <c r="F734" s="1" t="s">
        <v>2178</v>
      </c>
      <c r="G734" s="1" t="s">
        <v>12</v>
      </c>
      <c r="H734" s="3" t="s">
        <v>1631</v>
      </c>
      <c r="I734" s="1"/>
    </row>
    <row r="735" ht="15.75" customHeight="1">
      <c r="A735" s="2">
        <v>734.0</v>
      </c>
      <c r="B735" s="1" t="s">
        <v>812</v>
      </c>
      <c r="C735" s="1" t="s">
        <v>2179</v>
      </c>
      <c r="D735" s="1" t="s">
        <v>2180</v>
      </c>
      <c r="E735" s="2">
        <v>5.70038354755E11</v>
      </c>
      <c r="F735" s="1" t="s">
        <v>1856</v>
      </c>
      <c r="G735" s="1" t="s">
        <v>12</v>
      </c>
      <c r="H735" s="3" t="s">
        <v>1631</v>
      </c>
      <c r="I735" s="1"/>
    </row>
    <row r="736" ht="15.75" customHeight="1">
      <c r="A736" s="2">
        <v>735.0</v>
      </c>
      <c r="B736" s="1" t="s">
        <v>2181</v>
      </c>
      <c r="C736" s="1" t="s">
        <v>2182</v>
      </c>
      <c r="D736" s="1" t="s">
        <v>2183</v>
      </c>
      <c r="E736" s="2">
        <v>5.70038354759E11</v>
      </c>
      <c r="F736" s="1" t="s">
        <v>2184</v>
      </c>
      <c r="G736" s="1" t="s">
        <v>12</v>
      </c>
      <c r="H736" s="3" t="s">
        <v>1631</v>
      </c>
      <c r="I736" s="1"/>
    </row>
    <row r="737" ht="15.75" customHeight="1">
      <c r="A737" s="2">
        <v>736.0</v>
      </c>
      <c r="B737" s="1" t="s">
        <v>641</v>
      </c>
      <c r="C737" s="1" t="s">
        <v>2185</v>
      </c>
      <c r="D737" s="1" t="s">
        <v>2186</v>
      </c>
      <c r="E737" s="2">
        <v>5.70038354761E11</v>
      </c>
      <c r="F737" s="1" t="s">
        <v>2187</v>
      </c>
      <c r="G737" s="1" t="s">
        <v>12</v>
      </c>
      <c r="H737" s="3" t="s">
        <v>1631</v>
      </c>
      <c r="I737" s="1"/>
    </row>
    <row r="738" ht="15.75" customHeight="1">
      <c r="A738" s="2">
        <v>737.0</v>
      </c>
      <c r="B738" s="1" t="s">
        <v>822</v>
      </c>
      <c r="C738" s="1" t="s">
        <v>2188</v>
      </c>
      <c r="D738" s="1" t="s">
        <v>534</v>
      </c>
      <c r="E738" s="2">
        <v>5.70038354763E11</v>
      </c>
      <c r="F738" s="1" t="s">
        <v>2189</v>
      </c>
      <c r="G738" s="1" t="s">
        <v>12</v>
      </c>
      <c r="H738" s="3" t="s">
        <v>1631</v>
      </c>
      <c r="I738" s="1"/>
    </row>
    <row r="739" ht="15.75" customHeight="1">
      <c r="A739" s="2">
        <v>738.0</v>
      </c>
      <c r="B739" s="1" t="s">
        <v>60</v>
      </c>
      <c r="C739" s="1" t="s">
        <v>2190</v>
      </c>
      <c r="D739" s="1" t="s">
        <v>2191</v>
      </c>
      <c r="E739" s="2">
        <v>5.70038354764E11</v>
      </c>
      <c r="F739" s="1" t="s">
        <v>2192</v>
      </c>
      <c r="G739" s="1" t="s">
        <v>12</v>
      </c>
      <c r="H739" s="3" t="s">
        <v>1631</v>
      </c>
      <c r="I739" s="1"/>
    </row>
    <row r="740" ht="15.75" customHeight="1">
      <c r="A740" s="2">
        <v>739.0</v>
      </c>
      <c r="B740" s="1" t="s">
        <v>157</v>
      </c>
      <c r="C740" s="1" t="s">
        <v>2193</v>
      </c>
      <c r="D740" s="1" t="s">
        <v>2186</v>
      </c>
      <c r="E740" s="2">
        <v>5.70038354766E11</v>
      </c>
      <c r="F740" s="1" t="s">
        <v>470</v>
      </c>
      <c r="G740" s="1" t="s">
        <v>12</v>
      </c>
      <c r="H740" s="3" t="s">
        <v>1631</v>
      </c>
      <c r="I740" s="1"/>
    </row>
    <row r="741" ht="15.75" customHeight="1">
      <c r="A741" s="2">
        <v>740.0</v>
      </c>
      <c r="B741" s="1" t="s">
        <v>362</v>
      </c>
      <c r="C741" s="1" t="s">
        <v>2194</v>
      </c>
      <c r="D741" s="1" t="s">
        <v>914</v>
      </c>
      <c r="E741" s="2">
        <v>5.70038354768E11</v>
      </c>
      <c r="F741" s="1" t="s">
        <v>2195</v>
      </c>
      <c r="G741" s="1" t="s">
        <v>12</v>
      </c>
      <c r="H741" s="3" t="s">
        <v>1631</v>
      </c>
      <c r="I741" s="1"/>
    </row>
    <row r="742" ht="15.75" customHeight="1">
      <c r="A742" s="2">
        <v>741.0</v>
      </c>
      <c r="B742" s="1" t="s">
        <v>2196</v>
      </c>
      <c r="C742" s="1" t="s">
        <v>2197</v>
      </c>
      <c r="D742" s="1" t="s">
        <v>2198</v>
      </c>
      <c r="E742" s="2">
        <v>5.7003835477E11</v>
      </c>
      <c r="F742" s="1" t="s">
        <v>2199</v>
      </c>
      <c r="G742" s="1" t="s">
        <v>12</v>
      </c>
      <c r="H742" s="3" t="s">
        <v>1631</v>
      </c>
      <c r="I742" s="1"/>
    </row>
    <row r="743" ht="15.75" customHeight="1">
      <c r="A743" s="2">
        <v>742.0</v>
      </c>
      <c r="B743" s="1" t="s">
        <v>83</v>
      </c>
      <c r="C743" s="1" t="s">
        <v>188</v>
      </c>
      <c r="D743" s="1" t="s">
        <v>2200</v>
      </c>
      <c r="E743" s="2">
        <v>5.70038354772E11</v>
      </c>
      <c r="F743" s="1" t="s">
        <v>2201</v>
      </c>
      <c r="G743" s="1" t="s">
        <v>12</v>
      </c>
      <c r="H743" s="3" t="s">
        <v>1631</v>
      </c>
      <c r="I743" s="1"/>
    </row>
    <row r="744" ht="15.75" customHeight="1">
      <c r="A744" s="2">
        <v>743.0</v>
      </c>
      <c r="B744" s="1" t="s">
        <v>2202</v>
      </c>
      <c r="C744" s="1" t="s">
        <v>2203</v>
      </c>
      <c r="D744" s="1" t="s">
        <v>2204</v>
      </c>
      <c r="E744" s="2">
        <v>5.70038354776E11</v>
      </c>
      <c r="F744" s="1" t="s">
        <v>2205</v>
      </c>
      <c r="G744" s="1" t="s">
        <v>12</v>
      </c>
      <c r="H744" s="3" t="s">
        <v>1631</v>
      </c>
      <c r="I744" s="1"/>
    </row>
    <row r="745" ht="15.75" customHeight="1">
      <c r="A745" s="2">
        <v>744.0</v>
      </c>
      <c r="B745" s="1" t="s">
        <v>2204</v>
      </c>
      <c r="C745" s="1" t="s">
        <v>2206</v>
      </c>
      <c r="D745" s="1" t="s">
        <v>1314</v>
      </c>
      <c r="E745" s="2">
        <v>5.70038354777E11</v>
      </c>
      <c r="F745" s="1" t="s">
        <v>2207</v>
      </c>
      <c r="G745" s="1" t="s">
        <v>12</v>
      </c>
      <c r="H745" s="3" t="s">
        <v>1631</v>
      </c>
      <c r="I745" s="1"/>
    </row>
    <row r="746" ht="15.75" customHeight="1">
      <c r="A746" s="2">
        <v>745.0</v>
      </c>
      <c r="B746" s="1" t="s">
        <v>181</v>
      </c>
      <c r="C746" s="1" t="s">
        <v>2208</v>
      </c>
      <c r="D746" s="1" t="s">
        <v>2209</v>
      </c>
      <c r="E746" s="2">
        <v>5.70038354779E11</v>
      </c>
      <c r="F746" s="1" t="s">
        <v>2210</v>
      </c>
      <c r="G746" s="1" t="s">
        <v>12</v>
      </c>
      <c r="H746" s="3" t="s">
        <v>1631</v>
      </c>
      <c r="I746" s="1"/>
    </row>
    <row r="747" ht="15.75" customHeight="1">
      <c r="A747" s="2">
        <v>746.0</v>
      </c>
      <c r="B747" s="1" t="s">
        <v>384</v>
      </c>
      <c r="C747" s="1" t="s">
        <v>2211</v>
      </c>
      <c r="D747" s="1" t="s">
        <v>2212</v>
      </c>
      <c r="E747" s="2">
        <v>5.70038354781E11</v>
      </c>
      <c r="F747" s="1" t="s">
        <v>2213</v>
      </c>
      <c r="G747" s="1" t="s">
        <v>12</v>
      </c>
      <c r="H747" s="3" t="s">
        <v>1631</v>
      </c>
      <c r="I747" s="1"/>
    </row>
    <row r="748" ht="15.75" customHeight="1">
      <c r="A748" s="2">
        <v>747.0</v>
      </c>
      <c r="B748" s="1" t="s">
        <v>362</v>
      </c>
      <c r="C748" s="1" t="s">
        <v>2214</v>
      </c>
      <c r="D748" s="1" t="s">
        <v>2215</v>
      </c>
      <c r="E748" s="2">
        <v>5.70038354784E11</v>
      </c>
      <c r="F748" s="1" t="s">
        <v>2216</v>
      </c>
      <c r="G748" s="1" t="s">
        <v>12</v>
      </c>
      <c r="H748" s="3" t="s">
        <v>1631</v>
      </c>
      <c r="I748" s="1"/>
    </row>
    <row r="749" ht="15.75" customHeight="1">
      <c r="A749" s="2">
        <v>748.0</v>
      </c>
      <c r="B749" s="1" t="s">
        <v>1581</v>
      </c>
      <c r="C749" s="1" t="s">
        <v>2217</v>
      </c>
      <c r="D749" s="1" t="s">
        <v>2218</v>
      </c>
      <c r="E749" s="2">
        <v>5.70038354786E11</v>
      </c>
      <c r="F749" s="1" t="s">
        <v>2219</v>
      </c>
      <c r="G749" s="1" t="s">
        <v>12</v>
      </c>
      <c r="H749" s="3" t="s">
        <v>1631</v>
      </c>
      <c r="I749" s="1"/>
    </row>
    <row r="750" ht="15.75" customHeight="1">
      <c r="A750" s="2">
        <v>749.0</v>
      </c>
      <c r="B750" s="1" t="s">
        <v>725</v>
      </c>
      <c r="C750" s="1" t="s">
        <v>2220</v>
      </c>
      <c r="D750" s="1" t="s">
        <v>2221</v>
      </c>
      <c r="E750" s="2">
        <v>5.70038354788E11</v>
      </c>
      <c r="F750" s="1" t="s">
        <v>2222</v>
      </c>
      <c r="G750" s="1" t="s">
        <v>12</v>
      </c>
      <c r="H750" s="3" t="s">
        <v>1631</v>
      </c>
      <c r="I750" s="1"/>
    </row>
    <row r="751" ht="15.75" customHeight="1">
      <c r="A751" s="2">
        <v>750.0</v>
      </c>
      <c r="B751" s="1" t="s">
        <v>2223</v>
      </c>
      <c r="C751" s="1" t="s">
        <v>2224</v>
      </c>
      <c r="D751" s="1" t="s">
        <v>477</v>
      </c>
      <c r="E751" s="2">
        <v>5.7003835479E11</v>
      </c>
      <c r="F751" s="1" t="s">
        <v>2225</v>
      </c>
      <c r="G751" s="1" t="s">
        <v>12</v>
      </c>
      <c r="H751" s="3" t="s">
        <v>1631</v>
      </c>
      <c r="I751" s="1"/>
    </row>
    <row r="752" ht="15.75" customHeight="1">
      <c r="A752" s="2">
        <v>751.0</v>
      </c>
      <c r="B752" s="1" t="s">
        <v>2226</v>
      </c>
      <c r="C752" s="1" t="s">
        <v>2227</v>
      </c>
      <c r="D752" s="1" t="s">
        <v>2228</v>
      </c>
      <c r="E752" s="2">
        <v>5.70038354791E11</v>
      </c>
      <c r="F752" s="1" t="s">
        <v>2229</v>
      </c>
      <c r="G752" s="1" t="s">
        <v>12</v>
      </c>
      <c r="H752" s="3" t="s">
        <v>1631</v>
      </c>
      <c r="I752" s="1"/>
    </row>
    <row r="753" ht="15.75" customHeight="1">
      <c r="A753" s="2">
        <v>752.0</v>
      </c>
      <c r="B753" s="1" t="s">
        <v>2230</v>
      </c>
      <c r="C753" s="1" t="s">
        <v>2231</v>
      </c>
      <c r="D753" s="1" t="s">
        <v>344</v>
      </c>
      <c r="E753" s="2">
        <v>5.70038354793E11</v>
      </c>
      <c r="F753" s="1" t="s">
        <v>2232</v>
      </c>
      <c r="G753" s="1" t="s">
        <v>12</v>
      </c>
      <c r="H753" s="3" t="s">
        <v>1631</v>
      </c>
      <c r="I753" s="1"/>
    </row>
    <row r="754" ht="15.75" customHeight="1">
      <c r="A754" s="2">
        <v>753.0</v>
      </c>
      <c r="B754" s="1" t="s">
        <v>543</v>
      </c>
      <c r="C754" s="1" t="s">
        <v>2233</v>
      </c>
      <c r="D754" s="1" t="s">
        <v>903</v>
      </c>
      <c r="E754" s="2">
        <v>5.70038354796E11</v>
      </c>
      <c r="F754" s="1" t="s">
        <v>2234</v>
      </c>
      <c r="G754" s="1" t="s">
        <v>12</v>
      </c>
      <c r="H754" s="3" t="s">
        <v>1631</v>
      </c>
      <c r="I754" s="1"/>
    </row>
    <row r="755" ht="15.75" customHeight="1">
      <c r="A755" s="2">
        <v>754.0</v>
      </c>
      <c r="B755" s="1" t="s">
        <v>2235</v>
      </c>
      <c r="C755" s="1" t="s">
        <v>2236</v>
      </c>
      <c r="D755" s="1" t="s">
        <v>2237</v>
      </c>
      <c r="E755" s="2">
        <v>5.70038354797E11</v>
      </c>
      <c r="F755" s="1" t="s">
        <v>2238</v>
      </c>
      <c r="G755" s="1" t="s">
        <v>12</v>
      </c>
      <c r="H755" s="3" t="s">
        <v>1631</v>
      </c>
      <c r="I755" s="1"/>
    </row>
    <row r="756" ht="15.75" customHeight="1">
      <c r="A756" s="2">
        <v>755.0</v>
      </c>
      <c r="B756" s="1" t="s">
        <v>1548</v>
      </c>
      <c r="C756" s="1" t="s">
        <v>2239</v>
      </c>
      <c r="D756" s="1" t="s">
        <v>2240</v>
      </c>
      <c r="E756" s="2">
        <v>5.700383548E11</v>
      </c>
      <c r="F756" s="1" t="s">
        <v>2241</v>
      </c>
      <c r="G756" s="1" t="s">
        <v>12</v>
      </c>
      <c r="H756" s="3" t="s">
        <v>1631</v>
      </c>
      <c r="I756" s="1"/>
    </row>
    <row r="757" ht="15.75" customHeight="1">
      <c r="A757" s="2">
        <v>756.0</v>
      </c>
      <c r="B757" s="1" t="s">
        <v>2242</v>
      </c>
      <c r="C757" s="1" t="s">
        <v>2243</v>
      </c>
      <c r="D757" s="1" t="s">
        <v>679</v>
      </c>
      <c r="E757" s="2">
        <v>5.70038354802E11</v>
      </c>
      <c r="F757" s="1" t="s">
        <v>2244</v>
      </c>
      <c r="G757" s="1" t="s">
        <v>12</v>
      </c>
      <c r="H757" s="3" t="s">
        <v>1631</v>
      </c>
      <c r="I757" s="1"/>
    </row>
    <row r="758" ht="15.75" customHeight="1">
      <c r="A758" s="2">
        <v>757.0</v>
      </c>
      <c r="B758" s="1" t="s">
        <v>812</v>
      </c>
      <c r="C758" s="1" t="s">
        <v>2245</v>
      </c>
      <c r="D758" s="1" t="s">
        <v>2246</v>
      </c>
      <c r="E758" s="2">
        <v>5.70038354805E11</v>
      </c>
      <c r="F758" s="1" t="s">
        <v>1799</v>
      </c>
      <c r="G758" s="1" t="s">
        <v>12</v>
      </c>
      <c r="H758" s="3" t="s">
        <v>1631</v>
      </c>
      <c r="I758" s="1"/>
    </row>
    <row r="759" ht="15.75" customHeight="1">
      <c r="A759" s="2">
        <v>758.0</v>
      </c>
      <c r="B759" s="1" t="s">
        <v>2247</v>
      </c>
      <c r="C759" s="1" t="s">
        <v>2248</v>
      </c>
      <c r="D759" s="1" t="s">
        <v>347</v>
      </c>
      <c r="E759" s="2">
        <v>5.70038354807E11</v>
      </c>
      <c r="F759" s="1" t="s">
        <v>2249</v>
      </c>
      <c r="G759" s="1" t="s">
        <v>12</v>
      </c>
      <c r="H759" s="3" t="s">
        <v>1631</v>
      </c>
      <c r="I759" s="1"/>
    </row>
    <row r="760" ht="15.75" customHeight="1">
      <c r="A760" s="2">
        <v>759.0</v>
      </c>
      <c r="B760" s="1" t="s">
        <v>2250</v>
      </c>
      <c r="C760" s="1" t="s">
        <v>2251</v>
      </c>
      <c r="D760" s="1" t="s">
        <v>2252</v>
      </c>
      <c r="E760" s="2">
        <v>5.70038354808E11</v>
      </c>
      <c r="F760" s="1" t="s">
        <v>2253</v>
      </c>
      <c r="G760" s="1" t="s">
        <v>12</v>
      </c>
      <c r="H760" s="3" t="s">
        <v>1631</v>
      </c>
      <c r="I760" s="1"/>
    </row>
    <row r="761" ht="15.75" customHeight="1">
      <c r="A761" s="2">
        <v>760.0</v>
      </c>
      <c r="B761" s="1" t="s">
        <v>1308</v>
      </c>
      <c r="C761" s="1" t="s">
        <v>2254</v>
      </c>
      <c r="D761" s="1" t="s">
        <v>2255</v>
      </c>
      <c r="E761" s="2">
        <v>5.70038354812E11</v>
      </c>
      <c r="F761" s="1" t="s">
        <v>21</v>
      </c>
      <c r="G761" s="1" t="s">
        <v>12</v>
      </c>
      <c r="H761" s="3" t="s">
        <v>1631</v>
      </c>
      <c r="I761" s="1"/>
    </row>
    <row r="762" ht="15.75" customHeight="1">
      <c r="A762" s="2">
        <v>761.0</v>
      </c>
      <c r="B762" s="1" t="s">
        <v>93</v>
      </c>
      <c r="C762" s="1" t="s">
        <v>2256</v>
      </c>
      <c r="D762" s="1" t="s">
        <v>2257</v>
      </c>
      <c r="E762" s="2">
        <v>5.70038354814E11</v>
      </c>
      <c r="F762" s="1" t="s">
        <v>2258</v>
      </c>
      <c r="G762" s="1" t="s">
        <v>12</v>
      </c>
      <c r="H762" s="3" t="s">
        <v>1631</v>
      </c>
      <c r="I762" s="1"/>
    </row>
    <row r="763" ht="15.75" customHeight="1">
      <c r="A763" s="2">
        <v>762.0</v>
      </c>
      <c r="B763" s="1" t="s">
        <v>679</v>
      </c>
      <c r="C763" s="1" t="s">
        <v>2259</v>
      </c>
      <c r="D763" s="1" t="s">
        <v>267</v>
      </c>
      <c r="E763" s="2">
        <v>5.70038354815E11</v>
      </c>
      <c r="F763" s="1" t="s">
        <v>2260</v>
      </c>
      <c r="G763" s="1" t="s">
        <v>12</v>
      </c>
      <c r="H763" s="3" t="s">
        <v>1631</v>
      </c>
      <c r="I763" s="1"/>
    </row>
    <row r="764" ht="15.75" customHeight="1">
      <c r="A764" s="2">
        <v>763.0</v>
      </c>
      <c r="B764" s="1" t="s">
        <v>42</v>
      </c>
      <c r="C764" s="1" t="s">
        <v>2261</v>
      </c>
      <c r="D764" s="1" t="s">
        <v>161</v>
      </c>
      <c r="E764" s="2">
        <v>5.70038354821E11</v>
      </c>
      <c r="F764" s="1" t="s">
        <v>2262</v>
      </c>
      <c r="G764" s="1" t="s">
        <v>12</v>
      </c>
      <c r="H764" s="3" t="s">
        <v>1631</v>
      </c>
      <c r="I764" s="1"/>
    </row>
    <row r="765" ht="15.75" customHeight="1">
      <c r="A765" s="2">
        <v>764.0</v>
      </c>
      <c r="B765" s="1" t="s">
        <v>10</v>
      </c>
      <c r="C765" s="1" t="s">
        <v>2263</v>
      </c>
      <c r="D765" s="1" t="s">
        <v>901</v>
      </c>
      <c r="E765" s="2">
        <v>5.70038354824E11</v>
      </c>
      <c r="F765" s="1" t="s">
        <v>2264</v>
      </c>
      <c r="G765" s="1" t="s">
        <v>12</v>
      </c>
      <c r="H765" s="3" t="s">
        <v>1631</v>
      </c>
      <c r="I765" s="1"/>
    </row>
    <row r="766" ht="15.75" customHeight="1">
      <c r="A766" s="2">
        <v>765.0</v>
      </c>
      <c r="B766" s="1" t="s">
        <v>2265</v>
      </c>
      <c r="C766" s="1" t="s">
        <v>2266</v>
      </c>
      <c r="D766" s="1" t="s">
        <v>347</v>
      </c>
      <c r="E766" s="2">
        <v>5.70038354826E11</v>
      </c>
      <c r="F766" s="1" t="s">
        <v>2267</v>
      </c>
      <c r="G766" s="1" t="s">
        <v>12</v>
      </c>
      <c r="H766" s="3" t="s">
        <v>1631</v>
      </c>
      <c r="I766" s="1"/>
    </row>
    <row r="767" ht="15.75" customHeight="1">
      <c r="A767" s="2">
        <v>766.0</v>
      </c>
      <c r="B767" s="1" t="s">
        <v>2268</v>
      </c>
      <c r="C767" s="1" t="s">
        <v>790</v>
      </c>
      <c r="D767" s="1" t="s">
        <v>2269</v>
      </c>
      <c r="E767" s="2">
        <v>5.70038354828E11</v>
      </c>
      <c r="F767" s="1" t="s">
        <v>2270</v>
      </c>
      <c r="G767" s="1" t="s">
        <v>12</v>
      </c>
      <c r="H767" s="3" t="s">
        <v>1631</v>
      </c>
      <c r="I767" s="1"/>
    </row>
    <row r="768" ht="15.75" customHeight="1">
      <c r="A768" s="2">
        <v>767.0</v>
      </c>
      <c r="B768" s="1" t="s">
        <v>1203</v>
      </c>
      <c r="C768" s="1" t="s">
        <v>2271</v>
      </c>
      <c r="D768" s="1" t="s">
        <v>2272</v>
      </c>
      <c r="E768" s="2">
        <v>5.70038354831E11</v>
      </c>
      <c r="F768" s="1" t="s">
        <v>2273</v>
      </c>
      <c r="G768" s="1" t="s">
        <v>12</v>
      </c>
      <c r="H768" s="3" t="s">
        <v>1631</v>
      </c>
      <c r="I768" s="1"/>
    </row>
    <row r="769" ht="15.75" customHeight="1">
      <c r="A769" s="2">
        <v>768.0</v>
      </c>
      <c r="B769" s="1" t="s">
        <v>313</v>
      </c>
      <c r="C769" s="1" t="s">
        <v>2274</v>
      </c>
      <c r="D769" s="1" t="s">
        <v>745</v>
      </c>
      <c r="E769" s="2">
        <v>5.70038354833E11</v>
      </c>
      <c r="F769" s="1" t="s">
        <v>2275</v>
      </c>
      <c r="G769" s="1" t="s">
        <v>12</v>
      </c>
      <c r="H769" s="3" t="s">
        <v>1631</v>
      </c>
      <c r="I769" s="1"/>
    </row>
    <row r="770" ht="15.75" customHeight="1">
      <c r="A770" s="2">
        <v>769.0</v>
      </c>
      <c r="B770" s="1" t="s">
        <v>34</v>
      </c>
      <c r="C770" s="1" t="s">
        <v>1782</v>
      </c>
      <c r="D770" s="1" t="s">
        <v>1248</v>
      </c>
      <c r="E770" s="2">
        <v>5.70038354835E11</v>
      </c>
      <c r="F770" s="1" t="s">
        <v>2276</v>
      </c>
      <c r="G770" s="1" t="s">
        <v>12</v>
      </c>
      <c r="H770" s="3" t="s">
        <v>1631</v>
      </c>
      <c r="I770" s="1"/>
    </row>
    <row r="771" ht="15.75" customHeight="1">
      <c r="A771" s="2">
        <v>770.0</v>
      </c>
      <c r="B771" s="1" t="s">
        <v>1243</v>
      </c>
      <c r="C771" s="1" t="s">
        <v>2277</v>
      </c>
      <c r="D771" s="1" t="s">
        <v>2278</v>
      </c>
      <c r="E771" s="2">
        <v>5.70038354837E11</v>
      </c>
      <c r="F771" s="1" t="s">
        <v>2279</v>
      </c>
      <c r="G771" s="1" t="s">
        <v>12</v>
      </c>
      <c r="H771" s="3" t="s">
        <v>1631</v>
      </c>
      <c r="I771" s="1"/>
    </row>
    <row r="772" ht="15.75" customHeight="1">
      <c r="A772" s="2">
        <v>771.0</v>
      </c>
      <c r="B772" s="1" t="s">
        <v>2280</v>
      </c>
      <c r="C772" s="1" t="s">
        <v>2281</v>
      </c>
      <c r="D772" s="1" t="s">
        <v>2282</v>
      </c>
      <c r="E772" s="2">
        <v>5.70038354841E11</v>
      </c>
      <c r="F772" s="1" t="s">
        <v>2283</v>
      </c>
      <c r="G772" s="1" t="s">
        <v>12</v>
      </c>
      <c r="H772" s="3" t="s">
        <v>1631</v>
      </c>
      <c r="I772" s="1"/>
    </row>
    <row r="773" ht="15.75" customHeight="1">
      <c r="A773" s="2">
        <v>772.0</v>
      </c>
      <c r="B773" s="1" t="s">
        <v>1302</v>
      </c>
      <c r="C773" s="1" t="s">
        <v>2284</v>
      </c>
      <c r="D773" s="1" t="s">
        <v>2285</v>
      </c>
      <c r="E773" s="2">
        <v>5.70038354843E11</v>
      </c>
      <c r="F773" s="1" t="s">
        <v>2286</v>
      </c>
      <c r="G773" s="1" t="s">
        <v>12</v>
      </c>
      <c r="H773" s="3" t="s">
        <v>1631</v>
      </c>
      <c r="I773" s="1"/>
    </row>
    <row r="774" ht="15.75" customHeight="1">
      <c r="A774" s="2">
        <v>773.0</v>
      </c>
      <c r="B774" s="1" t="s">
        <v>979</v>
      </c>
      <c r="C774" s="1" t="s">
        <v>2287</v>
      </c>
      <c r="D774" s="1" t="s">
        <v>2288</v>
      </c>
      <c r="E774" s="2">
        <v>5.70038354848E11</v>
      </c>
      <c r="F774" s="1" t="s">
        <v>2289</v>
      </c>
      <c r="G774" s="1" t="s">
        <v>12</v>
      </c>
      <c r="H774" s="3" t="s">
        <v>1631</v>
      </c>
      <c r="I774" s="1"/>
    </row>
    <row r="775" ht="15.75" customHeight="1">
      <c r="A775" s="2">
        <v>774.0</v>
      </c>
      <c r="B775" s="1" t="s">
        <v>2290</v>
      </c>
      <c r="C775" s="1" t="s">
        <v>2291</v>
      </c>
      <c r="D775" s="1" t="s">
        <v>611</v>
      </c>
      <c r="E775" s="2">
        <v>5.70038354851E11</v>
      </c>
      <c r="F775" s="1" t="s">
        <v>2292</v>
      </c>
      <c r="G775" s="1" t="s">
        <v>12</v>
      </c>
      <c r="H775" s="3" t="s">
        <v>1631</v>
      </c>
      <c r="I775" s="1"/>
    </row>
    <row r="776" ht="15.75" customHeight="1">
      <c r="A776" s="2">
        <v>775.0</v>
      </c>
      <c r="B776" s="1" t="s">
        <v>966</v>
      </c>
      <c r="C776" s="1" t="s">
        <v>2293</v>
      </c>
      <c r="D776" s="1" t="s">
        <v>1918</v>
      </c>
      <c r="E776" s="2">
        <v>5.70038354853E11</v>
      </c>
      <c r="F776" s="1" t="s">
        <v>2294</v>
      </c>
      <c r="G776" s="1" t="s">
        <v>12</v>
      </c>
      <c r="H776" s="3" t="s">
        <v>1631</v>
      </c>
      <c r="I776" s="1"/>
    </row>
    <row r="777" ht="15.75" customHeight="1">
      <c r="A777" s="2">
        <v>776.0</v>
      </c>
      <c r="B777" s="1" t="s">
        <v>2295</v>
      </c>
      <c r="C777" s="1" t="s">
        <v>1791</v>
      </c>
      <c r="D777" s="1" t="s">
        <v>2296</v>
      </c>
      <c r="E777" s="2">
        <v>5.70038354856E11</v>
      </c>
      <c r="F777" s="1" t="s">
        <v>646</v>
      </c>
      <c r="G777" s="1" t="s">
        <v>12</v>
      </c>
      <c r="H777" s="3" t="s">
        <v>1631</v>
      </c>
      <c r="I777" s="1"/>
    </row>
    <row r="778" ht="15.75" customHeight="1">
      <c r="A778" s="2">
        <v>777.0</v>
      </c>
      <c r="B778" s="1" t="s">
        <v>48</v>
      </c>
      <c r="C778" s="1" t="s">
        <v>2297</v>
      </c>
      <c r="D778" s="1" t="s">
        <v>2298</v>
      </c>
      <c r="E778" s="2">
        <v>5.70038354857E11</v>
      </c>
      <c r="F778" s="1" t="s">
        <v>2299</v>
      </c>
      <c r="G778" s="1" t="s">
        <v>12</v>
      </c>
      <c r="H778" s="3" t="s">
        <v>1631</v>
      </c>
      <c r="I778" s="1"/>
    </row>
    <row r="779" ht="15.75" customHeight="1">
      <c r="A779" s="2">
        <v>778.0</v>
      </c>
      <c r="B779" s="1" t="s">
        <v>2300</v>
      </c>
      <c r="C779" s="1" t="s">
        <v>2301</v>
      </c>
      <c r="D779" s="1" t="s">
        <v>2302</v>
      </c>
      <c r="E779" s="2">
        <v>5.70038354859E11</v>
      </c>
      <c r="F779" s="1" t="s">
        <v>1676</v>
      </c>
      <c r="G779" s="1" t="s">
        <v>12</v>
      </c>
      <c r="H779" s="3" t="s">
        <v>1631</v>
      </c>
      <c r="I779" s="1"/>
    </row>
    <row r="780" ht="15.75" customHeight="1">
      <c r="A780" s="2">
        <v>779.0</v>
      </c>
      <c r="B780" s="1" t="s">
        <v>324</v>
      </c>
      <c r="C780" s="1" t="s">
        <v>2303</v>
      </c>
      <c r="D780" s="1" t="s">
        <v>875</v>
      </c>
      <c r="E780" s="2">
        <v>5.70038354861E11</v>
      </c>
      <c r="F780" s="1" t="s">
        <v>646</v>
      </c>
      <c r="G780" s="1" t="s">
        <v>12</v>
      </c>
      <c r="H780" s="3" t="s">
        <v>1631</v>
      </c>
      <c r="I780" s="1"/>
    </row>
    <row r="781" ht="15.75" customHeight="1">
      <c r="A781" s="2">
        <v>780.0</v>
      </c>
      <c r="B781" s="1" t="s">
        <v>2304</v>
      </c>
      <c r="C781" s="1" t="s">
        <v>2305</v>
      </c>
      <c r="D781" s="1" t="s">
        <v>1694</v>
      </c>
      <c r="E781" s="2">
        <v>5.70038354863E11</v>
      </c>
      <c r="F781" s="1" t="s">
        <v>2306</v>
      </c>
      <c r="G781" s="1" t="s">
        <v>12</v>
      </c>
      <c r="H781" s="3" t="s">
        <v>1631</v>
      </c>
      <c r="I781" s="1"/>
    </row>
    <row r="782" ht="15.75" customHeight="1">
      <c r="A782" s="2">
        <v>781.0</v>
      </c>
      <c r="B782" s="1" t="s">
        <v>2307</v>
      </c>
      <c r="C782" s="1" t="s">
        <v>2308</v>
      </c>
      <c r="D782" s="1" t="s">
        <v>297</v>
      </c>
      <c r="E782" s="2">
        <v>5.70038354867E11</v>
      </c>
      <c r="F782" s="1" t="s">
        <v>2309</v>
      </c>
      <c r="G782" s="1" t="s">
        <v>12</v>
      </c>
      <c r="H782" s="3" t="s">
        <v>1631</v>
      </c>
      <c r="I782" s="1"/>
    </row>
    <row r="783" ht="15.75" customHeight="1">
      <c r="A783" s="2">
        <v>782.0</v>
      </c>
      <c r="B783" s="1" t="s">
        <v>2310</v>
      </c>
      <c r="C783" s="1" t="s">
        <v>2311</v>
      </c>
      <c r="D783" s="1" t="s">
        <v>2312</v>
      </c>
      <c r="E783" s="2">
        <v>5.70038354869E11</v>
      </c>
      <c r="F783" s="1" t="s">
        <v>2313</v>
      </c>
      <c r="G783" s="1" t="s">
        <v>12</v>
      </c>
      <c r="H783" s="3" t="s">
        <v>1631</v>
      </c>
      <c r="I783" s="1"/>
    </row>
    <row r="784" ht="15.75" customHeight="1">
      <c r="A784" s="2">
        <v>783.0</v>
      </c>
      <c r="B784" s="1" t="s">
        <v>2314</v>
      </c>
      <c r="C784" s="1" t="s">
        <v>1591</v>
      </c>
      <c r="D784" s="1" t="s">
        <v>1240</v>
      </c>
      <c r="E784" s="2">
        <v>5.70038354871E11</v>
      </c>
      <c r="F784" s="1" t="s">
        <v>2315</v>
      </c>
      <c r="G784" s="1" t="s">
        <v>12</v>
      </c>
      <c r="H784" s="3" t="s">
        <v>1631</v>
      </c>
      <c r="I784" s="1"/>
    </row>
    <row r="785" ht="15.75" customHeight="1">
      <c r="A785" s="2">
        <v>784.0</v>
      </c>
      <c r="B785" s="1" t="s">
        <v>534</v>
      </c>
      <c r="C785" s="1" t="s">
        <v>2316</v>
      </c>
      <c r="D785" s="1" t="s">
        <v>60</v>
      </c>
      <c r="E785" s="2">
        <v>5.70038354873E11</v>
      </c>
      <c r="F785" s="1" t="s">
        <v>2317</v>
      </c>
      <c r="G785" s="1" t="s">
        <v>12</v>
      </c>
      <c r="H785" s="3" t="s">
        <v>1631</v>
      </c>
      <c r="I785" s="1"/>
    </row>
    <row r="786" ht="15.75" customHeight="1">
      <c r="A786" s="2">
        <v>785.0</v>
      </c>
      <c r="B786" s="1" t="s">
        <v>281</v>
      </c>
      <c r="C786" s="1" t="s">
        <v>1758</v>
      </c>
      <c r="D786" s="1" t="s">
        <v>1759</v>
      </c>
      <c r="E786" s="2">
        <v>5.70038354875E11</v>
      </c>
      <c r="F786" s="1" t="s">
        <v>1305</v>
      </c>
      <c r="G786" s="1" t="s">
        <v>12</v>
      </c>
      <c r="H786" s="3" t="s">
        <v>1631</v>
      </c>
      <c r="I786" s="1"/>
    </row>
    <row r="787" ht="15.75" customHeight="1">
      <c r="A787" s="2">
        <v>786.0</v>
      </c>
      <c r="B787" s="1" t="s">
        <v>297</v>
      </c>
      <c r="C787" s="1" t="s">
        <v>2318</v>
      </c>
      <c r="D787" s="1" t="s">
        <v>281</v>
      </c>
      <c r="E787" s="2">
        <v>5.70038354876E11</v>
      </c>
      <c r="F787" s="1" t="s">
        <v>1534</v>
      </c>
      <c r="G787" s="1" t="s">
        <v>12</v>
      </c>
      <c r="H787" s="3" t="s">
        <v>1631</v>
      </c>
      <c r="I787" s="1"/>
    </row>
    <row r="788" ht="15.75" customHeight="1">
      <c r="A788" s="2">
        <v>787.0</v>
      </c>
      <c r="B788" s="1" t="s">
        <v>903</v>
      </c>
      <c r="C788" s="1" t="s">
        <v>2319</v>
      </c>
      <c r="D788" s="1" t="s">
        <v>77</v>
      </c>
      <c r="E788" s="2">
        <v>5.70038354878E11</v>
      </c>
      <c r="F788" s="1" t="s">
        <v>2320</v>
      </c>
      <c r="G788" s="1" t="s">
        <v>12</v>
      </c>
      <c r="H788" s="3" t="s">
        <v>1631</v>
      </c>
      <c r="I788" s="1"/>
    </row>
    <row r="789" ht="15.75" customHeight="1">
      <c r="A789" s="2">
        <v>788.0</v>
      </c>
      <c r="B789" s="1" t="s">
        <v>2321</v>
      </c>
      <c r="C789" s="1" t="s">
        <v>2322</v>
      </c>
      <c r="D789" s="1" t="s">
        <v>2323</v>
      </c>
      <c r="E789" s="2">
        <v>5.70038354879E11</v>
      </c>
      <c r="F789" s="1" t="s">
        <v>2324</v>
      </c>
      <c r="G789" s="1" t="s">
        <v>261</v>
      </c>
      <c r="H789" s="3" t="s">
        <v>1631</v>
      </c>
      <c r="I789" s="1"/>
    </row>
    <row r="790" ht="15.75" customHeight="1">
      <c r="A790" s="2">
        <v>789.0</v>
      </c>
      <c r="B790" s="1" t="s">
        <v>224</v>
      </c>
      <c r="C790" s="1" t="s">
        <v>2325</v>
      </c>
      <c r="D790" s="1" t="s">
        <v>324</v>
      </c>
      <c r="E790" s="2">
        <v>5.70038354884E11</v>
      </c>
      <c r="F790" s="1" t="s">
        <v>2326</v>
      </c>
      <c r="G790" s="1" t="s">
        <v>12</v>
      </c>
      <c r="H790" s="3" t="s">
        <v>1631</v>
      </c>
      <c r="I790" s="1"/>
    </row>
    <row r="791" ht="15.75" customHeight="1">
      <c r="A791" s="2">
        <v>790.0</v>
      </c>
      <c r="B791" s="1" t="s">
        <v>2327</v>
      </c>
      <c r="C791" s="1" t="s">
        <v>2328</v>
      </c>
      <c r="D791" s="1" t="s">
        <v>2329</v>
      </c>
      <c r="E791" s="2">
        <v>5.70038354885E11</v>
      </c>
      <c r="F791" s="1" t="s">
        <v>2330</v>
      </c>
      <c r="G791" s="1" t="s">
        <v>12</v>
      </c>
      <c r="H791" s="3" t="s">
        <v>1631</v>
      </c>
      <c r="I791" s="1"/>
    </row>
    <row r="792" ht="15.75" customHeight="1">
      <c r="A792" s="2">
        <v>791.0</v>
      </c>
      <c r="B792" s="1" t="s">
        <v>2331</v>
      </c>
      <c r="C792" s="1" t="s">
        <v>2332</v>
      </c>
      <c r="D792" s="1" t="s">
        <v>2333</v>
      </c>
      <c r="E792" s="2">
        <v>5.70038354887E11</v>
      </c>
      <c r="F792" s="1" t="s">
        <v>2334</v>
      </c>
      <c r="G792" s="1" t="s">
        <v>12</v>
      </c>
      <c r="H792" s="3" t="s">
        <v>1631</v>
      </c>
      <c r="I792" s="1"/>
    </row>
    <row r="793" ht="15.75" customHeight="1">
      <c r="A793" s="2">
        <v>792.0</v>
      </c>
      <c r="B793" s="1" t="s">
        <v>230</v>
      </c>
      <c r="C793" s="1" t="s">
        <v>2335</v>
      </c>
      <c r="D793" s="1" t="s">
        <v>2268</v>
      </c>
      <c r="E793" s="2">
        <v>5.70038354889E11</v>
      </c>
      <c r="F793" s="1" t="s">
        <v>2336</v>
      </c>
      <c r="G793" s="1" t="s">
        <v>12</v>
      </c>
      <c r="H793" s="3" t="s">
        <v>1631</v>
      </c>
      <c r="I793" s="1"/>
    </row>
    <row r="794" ht="15.75" customHeight="1">
      <c r="A794" s="2">
        <v>793.0</v>
      </c>
      <c r="B794" s="1" t="s">
        <v>2337</v>
      </c>
      <c r="C794" s="1" t="s">
        <v>2338</v>
      </c>
      <c r="D794" s="1" t="s">
        <v>2339</v>
      </c>
      <c r="E794" s="2">
        <v>5.7003835489E11</v>
      </c>
      <c r="F794" s="1" t="s">
        <v>2340</v>
      </c>
      <c r="G794" s="1" t="s">
        <v>12</v>
      </c>
      <c r="H794" s="3" t="s">
        <v>1631</v>
      </c>
      <c r="I794" s="1"/>
    </row>
    <row r="795" ht="15.75" customHeight="1">
      <c r="A795" s="2">
        <v>794.0</v>
      </c>
      <c r="B795" s="1" t="s">
        <v>269</v>
      </c>
      <c r="C795" s="1" t="s">
        <v>2341</v>
      </c>
      <c r="D795" s="1" t="s">
        <v>679</v>
      </c>
      <c r="E795" s="2">
        <v>5.70038354892E11</v>
      </c>
      <c r="F795" s="1" t="s">
        <v>2342</v>
      </c>
      <c r="G795" s="1" t="s">
        <v>12</v>
      </c>
      <c r="H795" s="3" t="s">
        <v>1631</v>
      </c>
      <c r="I795" s="1"/>
    </row>
    <row r="796" ht="15.75" customHeight="1">
      <c r="A796" s="2">
        <v>795.0</v>
      </c>
      <c r="B796" s="1" t="s">
        <v>335</v>
      </c>
      <c r="C796" s="1" t="s">
        <v>2343</v>
      </c>
      <c r="D796" s="1" t="s">
        <v>1159</v>
      </c>
      <c r="E796" s="2">
        <v>5.70038354894E11</v>
      </c>
      <c r="F796" s="1" t="s">
        <v>2344</v>
      </c>
      <c r="G796" s="1" t="s">
        <v>12</v>
      </c>
      <c r="H796" s="3" t="s">
        <v>1631</v>
      </c>
      <c r="I796" s="1"/>
    </row>
    <row r="797" ht="15.75" customHeight="1">
      <c r="A797" s="2">
        <v>796.0</v>
      </c>
      <c r="B797" s="1" t="s">
        <v>1652</v>
      </c>
      <c r="C797" s="1" t="s">
        <v>2345</v>
      </c>
      <c r="D797" s="1" t="s">
        <v>2346</v>
      </c>
      <c r="E797" s="2">
        <v>5.70038354896E11</v>
      </c>
      <c r="F797" s="1" t="s">
        <v>2347</v>
      </c>
      <c r="G797" s="1" t="s">
        <v>12</v>
      </c>
      <c r="H797" s="3" t="s">
        <v>1631</v>
      </c>
      <c r="I797" s="1"/>
    </row>
    <row r="798" ht="15.75" customHeight="1">
      <c r="A798" s="2">
        <v>797.0</v>
      </c>
      <c r="B798" s="1" t="s">
        <v>77</v>
      </c>
      <c r="C798" s="1" t="s">
        <v>1735</v>
      </c>
      <c r="D798" s="1" t="s">
        <v>2348</v>
      </c>
      <c r="E798" s="2">
        <v>5.70038354898E11</v>
      </c>
      <c r="F798" s="1" t="s">
        <v>2349</v>
      </c>
      <c r="G798" s="1" t="s">
        <v>12</v>
      </c>
      <c r="H798" s="3" t="s">
        <v>1631</v>
      </c>
      <c r="I798" s="1"/>
    </row>
    <row r="799" ht="15.75" customHeight="1">
      <c r="A799" s="2">
        <v>798.0</v>
      </c>
      <c r="B799" s="1" t="s">
        <v>2350</v>
      </c>
      <c r="C799" s="1" t="s">
        <v>2351</v>
      </c>
      <c r="D799" s="1" t="s">
        <v>2352</v>
      </c>
      <c r="E799" s="2">
        <v>5.700383549E11</v>
      </c>
      <c r="F799" s="1" t="s">
        <v>2353</v>
      </c>
      <c r="G799" s="1" t="s">
        <v>12</v>
      </c>
      <c r="H799" s="3" t="s">
        <v>1631</v>
      </c>
      <c r="I799" s="1"/>
    </row>
    <row r="800" ht="15.75" customHeight="1">
      <c r="A800" s="2">
        <v>799.0</v>
      </c>
      <c r="B800" s="1" t="s">
        <v>263</v>
      </c>
      <c r="C800" s="1" t="s">
        <v>1782</v>
      </c>
      <c r="D800" s="1" t="s">
        <v>1248</v>
      </c>
      <c r="E800" s="2">
        <v>5.70038354902E11</v>
      </c>
      <c r="F800" s="1" t="s">
        <v>2354</v>
      </c>
      <c r="G800" s="1" t="s">
        <v>12</v>
      </c>
      <c r="H800" s="3" t="s">
        <v>1631</v>
      </c>
      <c r="I800" s="1"/>
    </row>
    <row r="801" ht="15.75" customHeight="1">
      <c r="A801" s="2">
        <v>800.0</v>
      </c>
      <c r="B801" s="1" t="s">
        <v>2312</v>
      </c>
      <c r="C801" s="1" t="s">
        <v>1782</v>
      </c>
      <c r="D801" s="1" t="s">
        <v>2268</v>
      </c>
      <c r="E801" s="2">
        <v>5.70038354904E11</v>
      </c>
      <c r="F801" s="1" t="s">
        <v>2355</v>
      </c>
      <c r="G801" s="1" t="s">
        <v>12</v>
      </c>
      <c r="H801" s="3" t="s">
        <v>1631</v>
      </c>
      <c r="I801" s="1"/>
    </row>
    <row r="802" ht="15.75" customHeight="1">
      <c r="A802" s="2">
        <v>801.0</v>
      </c>
      <c r="B802" s="1" t="s">
        <v>2346</v>
      </c>
      <c r="C802" s="1" t="s">
        <v>2356</v>
      </c>
      <c r="D802" s="1" t="s">
        <v>2357</v>
      </c>
      <c r="E802" s="2">
        <v>5.70038354906E11</v>
      </c>
      <c r="F802" s="1" t="s">
        <v>2358</v>
      </c>
      <c r="G802" s="1" t="s">
        <v>12</v>
      </c>
      <c r="H802" s="3" t="s">
        <v>1631</v>
      </c>
      <c r="I802" s="1"/>
    </row>
    <row r="803" ht="15.75" customHeight="1">
      <c r="A803" s="2">
        <v>802.0</v>
      </c>
      <c r="B803" s="1" t="s">
        <v>2359</v>
      </c>
      <c r="C803" s="1" t="s">
        <v>2360</v>
      </c>
      <c r="D803" s="1" t="s">
        <v>2361</v>
      </c>
      <c r="E803" s="2">
        <v>5.7003835491E11</v>
      </c>
      <c r="F803" s="1" t="s">
        <v>2362</v>
      </c>
      <c r="G803" s="1" t="s">
        <v>12</v>
      </c>
      <c r="H803" s="3" t="s">
        <v>1631</v>
      </c>
      <c r="I803" s="1"/>
    </row>
    <row r="804" ht="15.75" customHeight="1">
      <c r="A804" s="2">
        <v>803.0</v>
      </c>
      <c r="B804" s="1" t="s">
        <v>1581</v>
      </c>
      <c r="C804" s="1" t="s">
        <v>2363</v>
      </c>
      <c r="D804" s="1" t="s">
        <v>2364</v>
      </c>
      <c r="E804" s="2">
        <v>5.70038354915E11</v>
      </c>
      <c r="F804" s="1" t="s">
        <v>2365</v>
      </c>
      <c r="G804" s="1" t="s">
        <v>12</v>
      </c>
      <c r="H804" s="3" t="s">
        <v>1631</v>
      </c>
      <c r="I804" s="1"/>
    </row>
    <row r="805" ht="15.75" customHeight="1">
      <c r="A805" s="2">
        <v>804.0</v>
      </c>
      <c r="B805" s="1" t="s">
        <v>2366</v>
      </c>
      <c r="C805" s="1" t="s">
        <v>2367</v>
      </c>
      <c r="D805" s="1" t="s">
        <v>2368</v>
      </c>
      <c r="E805" s="2">
        <v>5.70038354917E11</v>
      </c>
      <c r="F805" s="1" t="s">
        <v>2369</v>
      </c>
      <c r="G805" s="1" t="s">
        <v>12</v>
      </c>
      <c r="H805" s="3" t="s">
        <v>1631</v>
      </c>
      <c r="I805" s="1"/>
    </row>
    <row r="806" ht="15.75" customHeight="1">
      <c r="A806" s="2">
        <v>805.0</v>
      </c>
      <c r="B806" s="1" t="s">
        <v>2370</v>
      </c>
      <c r="C806" s="1" t="s">
        <v>2371</v>
      </c>
      <c r="D806" s="1" t="s">
        <v>2252</v>
      </c>
      <c r="E806" s="2">
        <v>5.70038354918E11</v>
      </c>
      <c r="F806" s="1" t="s">
        <v>1655</v>
      </c>
      <c r="G806" s="1" t="s">
        <v>12</v>
      </c>
      <c r="H806" s="3" t="s">
        <v>1631</v>
      </c>
      <c r="I806" s="1"/>
    </row>
    <row r="807" ht="15.75" customHeight="1">
      <c r="A807" s="2">
        <v>806.0</v>
      </c>
      <c r="B807" s="1" t="s">
        <v>263</v>
      </c>
      <c r="C807" s="1" t="s">
        <v>2372</v>
      </c>
      <c r="D807" s="1" t="s">
        <v>2373</v>
      </c>
      <c r="E807" s="2">
        <v>5.70038354921E11</v>
      </c>
      <c r="F807" s="1" t="s">
        <v>2374</v>
      </c>
      <c r="G807" s="1" t="s">
        <v>12</v>
      </c>
      <c r="H807" s="3" t="s">
        <v>1631</v>
      </c>
      <c r="I807" s="1"/>
    </row>
    <row r="808" ht="15.75" customHeight="1">
      <c r="A808" s="2">
        <v>807.0</v>
      </c>
      <c r="B808" s="1" t="s">
        <v>2375</v>
      </c>
      <c r="C808" s="1" t="s">
        <v>2376</v>
      </c>
      <c r="D808" s="1" t="s">
        <v>2377</v>
      </c>
      <c r="E808" s="2">
        <v>5.70038354923E11</v>
      </c>
      <c r="F808" s="1" t="s">
        <v>2378</v>
      </c>
      <c r="G808" s="1" t="s">
        <v>12</v>
      </c>
      <c r="H808" s="3" t="s">
        <v>1631</v>
      </c>
      <c r="I808" s="1"/>
    </row>
    <row r="809" ht="15.75" customHeight="1">
      <c r="A809" s="2">
        <v>808.0</v>
      </c>
      <c r="B809" s="1" t="s">
        <v>2379</v>
      </c>
      <c r="C809" s="1" t="s">
        <v>2380</v>
      </c>
      <c r="D809" s="1" t="s">
        <v>2381</v>
      </c>
      <c r="E809" s="2">
        <v>5.70038354926E11</v>
      </c>
      <c r="F809" s="1" t="s">
        <v>1563</v>
      </c>
      <c r="G809" s="1" t="s">
        <v>12</v>
      </c>
      <c r="H809" s="3" t="s">
        <v>1631</v>
      </c>
      <c r="I809" s="1"/>
    </row>
    <row r="810" ht="15.75" customHeight="1">
      <c r="A810" s="2">
        <v>809.0</v>
      </c>
      <c r="B810" s="1" t="s">
        <v>822</v>
      </c>
      <c r="C810" s="1" t="s">
        <v>2382</v>
      </c>
      <c r="D810" s="1" t="s">
        <v>2383</v>
      </c>
      <c r="E810" s="2">
        <v>5.70038354929E11</v>
      </c>
      <c r="F810" s="1" t="s">
        <v>2384</v>
      </c>
      <c r="G810" s="1" t="s">
        <v>12</v>
      </c>
      <c r="H810" s="3" t="s">
        <v>1631</v>
      </c>
      <c r="I810" s="1"/>
    </row>
    <row r="811" ht="15.75" customHeight="1">
      <c r="A811" s="2">
        <v>810.0</v>
      </c>
      <c r="B811" s="1" t="s">
        <v>2385</v>
      </c>
      <c r="C811" s="1" t="s">
        <v>2386</v>
      </c>
      <c r="D811" s="1" t="s">
        <v>60</v>
      </c>
      <c r="E811" s="2">
        <v>5.70038354931E11</v>
      </c>
      <c r="F811" s="1" t="s">
        <v>2387</v>
      </c>
      <c r="G811" s="1" t="s">
        <v>12</v>
      </c>
      <c r="H811" s="3" t="s">
        <v>1631</v>
      </c>
      <c r="I811" s="1"/>
    </row>
    <row r="812" ht="15.75" customHeight="1">
      <c r="A812" s="2">
        <v>811.0</v>
      </c>
      <c r="B812" s="1" t="s">
        <v>2388</v>
      </c>
      <c r="C812" s="1" t="s">
        <v>2389</v>
      </c>
      <c r="D812" s="1" t="s">
        <v>2390</v>
      </c>
      <c r="E812" s="2">
        <v>5.70038354933E11</v>
      </c>
      <c r="F812" s="1" t="s">
        <v>2391</v>
      </c>
      <c r="G812" s="1" t="s">
        <v>12</v>
      </c>
      <c r="H812" s="3" t="s">
        <v>1631</v>
      </c>
      <c r="I812" s="1"/>
    </row>
    <row r="813" ht="15.75" customHeight="1">
      <c r="A813" s="2">
        <v>812.0</v>
      </c>
      <c r="B813" s="1" t="s">
        <v>451</v>
      </c>
      <c r="C813" s="1" t="s">
        <v>2392</v>
      </c>
      <c r="D813" s="1" t="s">
        <v>384</v>
      </c>
      <c r="E813" s="2">
        <v>5.70038354935E11</v>
      </c>
      <c r="F813" s="1" t="s">
        <v>1856</v>
      </c>
      <c r="G813" s="1" t="s">
        <v>12</v>
      </c>
      <c r="H813" s="3" t="s">
        <v>1631</v>
      </c>
      <c r="I813" s="1"/>
    </row>
    <row r="814" ht="15.75" customHeight="1">
      <c r="A814" s="2">
        <v>813.0</v>
      </c>
      <c r="B814" s="1" t="s">
        <v>2393</v>
      </c>
      <c r="C814" s="1" t="s">
        <v>1970</v>
      </c>
      <c r="D814" s="1" t="s">
        <v>1694</v>
      </c>
      <c r="E814" s="2">
        <v>5.70038354937E11</v>
      </c>
      <c r="F814" s="1" t="s">
        <v>2394</v>
      </c>
      <c r="G814" s="1" t="s">
        <v>12</v>
      </c>
      <c r="H814" s="3" t="s">
        <v>1631</v>
      </c>
      <c r="I814" s="1"/>
    </row>
    <row r="815" ht="15.75" customHeight="1">
      <c r="A815" s="2">
        <v>814.0</v>
      </c>
      <c r="B815" s="1" t="s">
        <v>2395</v>
      </c>
      <c r="C815" s="1" t="s">
        <v>2396</v>
      </c>
      <c r="D815" s="1" t="s">
        <v>60</v>
      </c>
      <c r="E815" s="2">
        <v>5.70038354939E11</v>
      </c>
      <c r="F815" s="1" t="s">
        <v>2397</v>
      </c>
      <c r="G815" s="1" t="s">
        <v>12</v>
      </c>
      <c r="H815" s="3" t="s">
        <v>1631</v>
      </c>
      <c r="I815" s="1"/>
    </row>
    <row r="816" ht="15.75" customHeight="1">
      <c r="A816" s="2">
        <v>815.0</v>
      </c>
      <c r="B816" s="1" t="s">
        <v>60</v>
      </c>
      <c r="C816" s="1" t="s">
        <v>2398</v>
      </c>
      <c r="D816" s="1" t="s">
        <v>500</v>
      </c>
      <c r="E816" s="2">
        <v>5.70038354941E11</v>
      </c>
      <c r="F816" s="1" t="s">
        <v>2048</v>
      </c>
      <c r="G816" s="1" t="s">
        <v>12</v>
      </c>
      <c r="H816" s="3" t="s">
        <v>1631</v>
      </c>
      <c r="I816" s="1"/>
    </row>
    <row r="817" ht="15.75" customHeight="1">
      <c r="A817" s="2">
        <v>816.0</v>
      </c>
      <c r="B817" s="1" t="s">
        <v>1694</v>
      </c>
      <c r="C817" s="1" t="s">
        <v>2399</v>
      </c>
      <c r="D817" s="1" t="s">
        <v>2400</v>
      </c>
      <c r="E817" s="2">
        <v>5.70038354942E11</v>
      </c>
      <c r="F817" s="1" t="s">
        <v>2401</v>
      </c>
      <c r="G817" s="1" t="s">
        <v>12</v>
      </c>
      <c r="H817" s="3" t="s">
        <v>1631</v>
      </c>
      <c r="I817" s="1"/>
    </row>
    <row r="818" ht="15.75" customHeight="1">
      <c r="A818" s="2">
        <v>817.0</v>
      </c>
      <c r="B818" s="1" t="s">
        <v>1052</v>
      </c>
      <c r="C818" s="1" t="s">
        <v>2068</v>
      </c>
      <c r="D818" s="1" t="s">
        <v>2402</v>
      </c>
      <c r="E818" s="2">
        <v>5.70038354944E11</v>
      </c>
      <c r="F818" s="1" t="s">
        <v>2403</v>
      </c>
      <c r="G818" s="1" t="s">
        <v>12</v>
      </c>
      <c r="H818" s="3" t="s">
        <v>1631</v>
      </c>
      <c r="I818" s="1"/>
    </row>
    <row r="819" ht="15.75" customHeight="1">
      <c r="A819" s="2">
        <v>818.0</v>
      </c>
      <c r="B819" s="1" t="s">
        <v>2404</v>
      </c>
      <c r="C819" s="1" t="s">
        <v>2405</v>
      </c>
      <c r="D819" s="1" t="s">
        <v>2406</v>
      </c>
      <c r="E819" s="2">
        <v>5.70038354945E11</v>
      </c>
      <c r="F819" s="1" t="s">
        <v>2407</v>
      </c>
      <c r="G819" s="1" t="s">
        <v>12</v>
      </c>
      <c r="H819" s="3" t="s">
        <v>1631</v>
      </c>
      <c r="I819" s="1"/>
    </row>
    <row r="820" ht="15.75" customHeight="1">
      <c r="A820" s="2">
        <v>819.0</v>
      </c>
      <c r="B820" s="1" t="s">
        <v>205</v>
      </c>
      <c r="C820" s="1" t="s">
        <v>2408</v>
      </c>
      <c r="D820" s="1" t="s">
        <v>1777</v>
      </c>
      <c r="E820" s="2">
        <v>5.70038354947E11</v>
      </c>
      <c r="F820" s="1" t="s">
        <v>2317</v>
      </c>
      <c r="G820" s="1" t="s">
        <v>12</v>
      </c>
      <c r="H820" s="3" t="s">
        <v>1631</v>
      </c>
      <c r="I820" s="1"/>
    </row>
    <row r="821" ht="15.75" customHeight="1">
      <c r="A821" s="2">
        <v>820.0</v>
      </c>
      <c r="B821" s="1" t="s">
        <v>1458</v>
      </c>
      <c r="C821" s="1" t="s">
        <v>2409</v>
      </c>
      <c r="D821" s="1" t="s">
        <v>2410</v>
      </c>
      <c r="E821" s="2">
        <v>5.70038354949E11</v>
      </c>
      <c r="F821" s="1" t="s">
        <v>2411</v>
      </c>
      <c r="G821" s="1" t="s">
        <v>12</v>
      </c>
      <c r="H821" s="3" t="s">
        <v>1631</v>
      </c>
      <c r="I821" s="1"/>
    </row>
    <row r="822" ht="15.75" customHeight="1">
      <c r="A822" s="2">
        <v>821.0</v>
      </c>
      <c r="B822" s="1" t="s">
        <v>1523</v>
      </c>
      <c r="C822" s="1" t="s">
        <v>2412</v>
      </c>
      <c r="D822" s="1" t="s">
        <v>1248</v>
      </c>
      <c r="E822" s="2">
        <v>5.70038354951E11</v>
      </c>
      <c r="F822" s="1" t="s">
        <v>2413</v>
      </c>
      <c r="G822" s="1" t="s">
        <v>12</v>
      </c>
      <c r="H822" s="3" t="s">
        <v>1631</v>
      </c>
      <c r="I822" s="1"/>
    </row>
    <row r="823" ht="15.75" customHeight="1">
      <c r="A823" s="2">
        <v>822.0</v>
      </c>
      <c r="B823" s="1" t="s">
        <v>433</v>
      </c>
      <c r="C823" s="1" t="s">
        <v>2414</v>
      </c>
      <c r="D823" s="1" t="s">
        <v>362</v>
      </c>
      <c r="E823" s="2">
        <v>5.70038354953E11</v>
      </c>
      <c r="F823" s="1" t="s">
        <v>2415</v>
      </c>
      <c r="G823" s="1" t="s">
        <v>12</v>
      </c>
      <c r="H823" s="3" t="s">
        <v>1631</v>
      </c>
      <c r="I823" s="1"/>
    </row>
    <row r="824" ht="15.75" customHeight="1">
      <c r="A824" s="2">
        <v>823.0</v>
      </c>
      <c r="B824" s="1" t="s">
        <v>2416</v>
      </c>
      <c r="C824" s="1" t="s">
        <v>2417</v>
      </c>
      <c r="D824" s="1" t="s">
        <v>295</v>
      </c>
      <c r="E824" s="2">
        <v>5.70038354955E11</v>
      </c>
      <c r="F824" s="1" t="s">
        <v>2418</v>
      </c>
      <c r="G824" s="1" t="s">
        <v>12</v>
      </c>
      <c r="H824" s="3" t="s">
        <v>1631</v>
      </c>
      <c r="I824" s="1"/>
    </row>
    <row r="825" ht="15.75" customHeight="1">
      <c r="A825" s="2">
        <v>824.0</v>
      </c>
      <c r="B825" s="1" t="s">
        <v>2419</v>
      </c>
      <c r="C825" s="1" t="s">
        <v>2420</v>
      </c>
      <c r="D825" s="1" t="s">
        <v>1979</v>
      </c>
      <c r="E825" s="2">
        <v>5.70038354957E11</v>
      </c>
      <c r="F825" s="1" t="s">
        <v>2421</v>
      </c>
      <c r="G825" s="1" t="s">
        <v>12</v>
      </c>
      <c r="H825" s="3" t="s">
        <v>1631</v>
      </c>
      <c r="I825" s="1"/>
    </row>
    <row r="826" ht="15.75" customHeight="1">
      <c r="A826" s="2">
        <v>825.0</v>
      </c>
      <c r="B826" s="1" t="s">
        <v>1248</v>
      </c>
      <c r="C826" s="1" t="s">
        <v>2422</v>
      </c>
      <c r="D826" s="1" t="s">
        <v>2370</v>
      </c>
      <c r="E826" s="2">
        <v>5.70038354959E11</v>
      </c>
      <c r="F826" s="1" t="s">
        <v>126</v>
      </c>
      <c r="G826" s="1" t="s">
        <v>12</v>
      </c>
      <c r="H826" s="3" t="s">
        <v>1631</v>
      </c>
      <c r="I826" s="1"/>
    </row>
    <row r="827" ht="15.75" customHeight="1">
      <c r="A827" s="2">
        <v>826.0</v>
      </c>
      <c r="B827" s="1" t="s">
        <v>2423</v>
      </c>
      <c r="C827" s="1" t="s">
        <v>2424</v>
      </c>
      <c r="D827" s="1" t="s">
        <v>77</v>
      </c>
      <c r="E827" s="2">
        <v>5.7003835496E11</v>
      </c>
      <c r="F827" s="1" t="s">
        <v>646</v>
      </c>
      <c r="G827" s="1" t="s">
        <v>12</v>
      </c>
      <c r="H827" s="3" t="s">
        <v>13</v>
      </c>
      <c r="I827" s="1"/>
    </row>
    <row r="828" ht="15.75" customHeight="1">
      <c r="A828" s="2">
        <v>827.0</v>
      </c>
      <c r="B828" s="1" t="s">
        <v>60</v>
      </c>
      <c r="C828" s="1" t="s">
        <v>2425</v>
      </c>
      <c r="D828" s="1" t="s">
        <v>2269</v>
      </c>
      <c r="E828" s="2">
        <v>5.70038354961E11</v>
      </c>
      <c r="F828" s="1" t="s">
        <v>2426</v>
      </c>
      <c r="G828" s="1" t="s">
        <v>12</v>
      </c>
      <c r="H828" s="3" t="s">
        <v>13</v>
      </c>
      <c r="I828" s="1"/>
    </row>
    <row r="829" ht="15.75" customHeight="1">
      <c r="A829" s="2">
        <v>828.0</v>
      </c>
      <c r="B829" s="1" t="s">
        <v>153</v>
      </c>
      <c r="C829" s="1" t="s">
        <v>2427</v>
      </c>
      <c r="D829" s="1" t="s">
        <v>2428</v>
      </c>
      <c r="E829" s="2">
        <v>5.70038354963E11</v>
      </c>
      <c r="F829" s="1" t="s">
        <v>2429</v>
      </c>
      <c r="G829" s="1" t="s">
        <v>12</v>
      </c>
      <c r="H829" s="3" t="s">
        <v>13</v>
      </c>
      <c r="I829" s="1"/>
    </row>
    <row r="830" ht="15.75" customHeight="1">
      <c r="A830" s="2">
        <v>829.0</v>
      </c>
      <c r="B830" s="1" t="s">
        <v>2430</v>
      </c>
      <c r="C830" s="1" t="s">
        <v>2431</v>
      </c>
      <c r="D830" s="1" t="s">
        <v>2393</v>
      </c>
      <c r="E830" s="2">
        <v>5.70038354964E11</v>
      </c>
      <c r="F830" s="1" t="s">
        <v>2432</v>
      </c>
      <c r="G830" s="1" t="s">
        <v>12</v>
      </c>
      <c r="H830" s="3" t="s">
        <v>13</v>
      </c>
      <c r="I830" s="1"/>
    </row>
    <row r="831" ht="15.75" customHeight="1">
      <c r="A831" s="2">
        <v>830.0</v>
      </c>
      <c r="B831" s="1" t="s">
        <v>2370</v>
      </c>
      <c r="C831" s="1" t="s">
        <v>2433</v>
      </c>
      <c r="D831" s="1" t="s">
        <v>321</v>
      </c>
      <c r="E831" s="2">
        <v>5.70038354966E11</v>
      </c>
      <c r="F831" s="1" t="s">
        <v>2434</v>
      </c>
      <c r="G831" s="1" t="s">
        <v>12</v>
      </c>
      <c r="H831" s="3" t="s">
        <v>13</v>
      </c>
      <c r="I831" s="1"/>
    </row>
    <row r="832" ht="15.75" customHeight="1">
      <c r="A832" s="2">
        <v>831.0</v>
      </c>
      <c r="B832" s="1" t="s">
        <v>1521</v>
      </c>
      <c r="C832" s="1" t="s">
        <v>2435</v>
      </c>
      <c r="D832" s="1" t="s">
        <v>1477</v>
      </c>
      <c r="E832" s="2">
        <v>5.70038354968E11</v>
      </c>
      <c r="F832" s="1" t="s">
        <v>1576</v>
      </c>
      <c r="G832" s="1" t="s">
        <v>12</v>
      </c>
      <c r="H832" s="3" t="s">
        <v>13</v>
      </c>
      <c r="I832" s="1"/>
    </row>
    <row r="833" ht="15.75" customHeight="1">
      <c r="A833" s="2">
        <v>832.0</v>
      </c>
      <c r="B833" s="1" t="s">
        <v>2436</v>
      </c>
      <c r="C833" s="1" t="s">
        <v>2437</v>
      </c>
      <c r="D833" s="1" t="s">
        <v>2438</v>
      </c>
      <c r="E833" s="2">
        <v>5.70038354969E11</v>
      </c>
      <c r="F833" s="1" t="s">
        <v>2439</v>
      </c>
      <c r="G833" s="1" t="s">
        <v>12</v>
      </c>
      <c r="H833" s="3" t="s">
        <v>13</v>
      </c>
      <c r="I833" s="1"/>
    </row>
    <row r="834" ht="15.75" customHeight="1">
      <c r="A834" s="2">
        <v>833.0</v>
      </c>
      <c r="B834" s="1" t="s">
        <v>2440</v>
      </c>
      <c r="C834" s="1" t="s">
        <v>320</v>
      </c>
      <c r="D834" s="1" t="s">
        <v>60</v>
      </c>
      <c r="E834" s="2">
        <v>5.70038355001E11</v>
      </c>
      <c r="F834" s="1" t="s">
        <v>2441</v>
      </c>
      <c r="G834" s="1" t="s">
        <v>12</v>
      </c>
      <c r="H834" s="3" t="s">
        <v>13</v>
      </c>
      <c r="I834" s="1"/>
    </row>
    <row r="835" ht="15.75" customHeight="1">
      <c r="A835" s="2">
        <v>834.0</v>
      </c>
      <c r="B835" s="1" t="s">
        <v>60</v>
      </c>
      <c r="C835" s="1" t="s">
        <v>2442</v>
      </c>
      <c r="D835" s="1" t="s">
        <v>2443</v>
      </c>
      <c r="E835" s="2">
        <v>5.70038355002E11</v>
      </c>
      <c r="F835" s="1" t="s">
        <v>2444</v>
      </c>
      <c r="G835" s="1" t="s">
        <v>12</v>
      </c>
      <c r="H835" s="3" t="s">
        <v>13</v>
      </c>
      <c r="I835" s="1"/>
    </row>
    <row r="836" ht="15.75" customHeight="1">
      <c r="A836" s="2">
        <v>835.0</v>
      </c>
      <c r="B836" s="1" t="s">
        <v>2445</v>
      </c>
      <c r="C836" s="1" t="s">
        <v>2446</v>
      </c>
      <c r="D836" s="1" t="s">
        <v>2447</v>
      </c>
      <c r="E836" s="2">
        <v>5.70038355006E11</v>
      </c>
      <c r="F836" s="1" t="s">
        <v>17</v>
      </c>
      <c r="G836" s="1" t="s">
        <v>12</v>
      </c>
      <c r="H836" s="3" t="s">
        <v>13</v>
      </c>
      <c r="I836" s="1"/>
    </row>
    <row r="837" ht="15.75" customHeight="1">
      <c r="A837" s="2">
        <v>836.0</v>
      </c>
      <c r="B837" s="1" t="s">
        <v>1232</v>
      </c>
      <c r="C837" s="1" t="s">
        <v>456</v>
      </c>
      <c r="D837" s="1" t="s">
        <v>2448</v>
      </c>
      <c r="E837" s="2">
        <v>5.70038355008E11</v>
      </c>
      <c r="F837" s="1" t="s">
        <v>2449</v>
      </c>
      <c r="G837" s="1" t="s">
        <v>12</v>
      </c>
      <c r="H837" s="3" t="s">
        <v>13</v>
      </c>
      <c r="I837" s="1"/>
    </row>
    <row r="838" ht="15.75" customHeight="1">
      <c r="A838" s="2">
        <v>837.0</v>
      </c>
      <c r="B838" s="1" t="s">
        <v>532</v>
      </c>
      <c r="C838" s="1" t="s">
        <v>2450</v>
      </c>
      <c r="D838" s="1" t="s">
        <v>2237</v>
      </c>
      <c r="E838" s="2">
        <v>5.70038355009E11</v>
      </c>
      <c r="F838" s="1" t="s">
        <v>2451</v>
      </c>
      <c r="G838" s="1" t="s">
        <v>12</v>
      </c>
      <c r="H838" s="3" t="s">
        <v>13</v>
      </c>
      <c r="I838" s="1"/>
    </row>
    <row r="839" ht="15.75" customHeight="1">
      <c r="A839" s="2">
        <v>838.0</v>
      </c>
      <c r="B839" s="1" t="s">
        <v>2452</v>
      </c>
      <c r="C839" s="1" t="s">
        <v>2453</v>
      </c>
      <c r="D839" s="1" t="s">
        <v>2454</v>
      </c>
      <c r="E839" s="2">
        <v>5.7003835501E11</v>
      </c>
      <c r="F839" s="1" t="s">
        <v>2455</v>
      </c>
      <c r="G839" s="1" t="s">
        <v>12</v>
      </c>
      <c r="H839" s="3" t="s">
        <v>13</v>
      </c>
      <c r="I839" s="1"/>
    </row>
    <row r="840" ht="15.75" customHeight="1">
      <c r="A840" s="2">
        <v>839.0</v>
      </c>
      <c r="B840" s="1" t="s">
        <v>482</v>
      </c>
      <c r="C840" s="1" t="s">
        <v>2456</v>
      </c>
      <c r="D840" s="1" t="s">
        <v>2457</v>
      </c>
      <c r="E840" s="2">
        <v>5.70038355011E11</v>
      </c>
      <c r="F840" s="1" t="s">
        <v>2458</v>
      </c>
      <c r="G840" s="1" t="s">
        <v>12</v>
      </c>
      <c r="H840" s="3" t="s">
        <v>13</v>
      </c>
      <c r="I840" s="1"/>
    </row>
    <row r="841" ht="15.75" customHeight="1">
      <c r="A841" s="2">
        <v>840.0</v>
      </c>
      <c r="B841" s="1" t="s">
        <v>42</v>
      </c>
      <c r="C841" s="1" t="s">
        <v>1570</v>
      </c>
      <c r="D841" s="1" t="s">
        <v>2459</v>
      </c>
      <c r="E841" s="2">
        <v>5.70038355013E11</v>
      </c>
      <c r="F841" s="1" t="s">
        <v>2460</v>
      </c>
      <c r="G841" s="1" t="s">
        <v>12</v>
      </c>
      <c r="H841" s="3" t="s">
        <v>13</v>
      </c>
      <c r="I841" s="1"/>
    </row>
    <row r="842" ht="15.75" customHeight="1">
      <c r="A842" s="2">
        <v>841.0</v>
      </c>
      <c r="B842" s="1" t="s">
        <v>384</v>
      </c>
      <c r="C842" s="1" t="s">
        <v>2461</v>
      </c>
      <c r="D842" s="1" t="s">
        <v>2462</v>
      </c>
      <c r="E842" s="2">
        <v>5.70038355014E11</v>
      </c>
      <c r="F842" s="1" t="s">
        <v>2463</v>
      </c>
      <c r="G842" s="1" t="s">
        <v>12</v>
      </c>
      <c r="H842" s="3" t="s">
        <v>13</v>
      </c>
      <c r="I842" s="1"/>
    </row>
    <row r="843" ht="15.75" customHeight="1">
      <c r="A843" s="2">
        <v>842.0</v>
      </c>
      <c r="B843" s="1" t="s">
        <v>2074</v>
      </c>
      <c r="C843" s="1" t="s">
        <v>2464</v>
      </c>
      <c r="D843" s="1" t="s">
        <v>2290</v>
      </c>
      <c r="E843" s="2">
        <v>5.70038355016E11</v>
      </c>
      <c r="F843" s="1" t="s">
        <v>2465</v>
      </c>
      <c r="G843" s="1" t="s">
        <v>12</v>
      </c>
      <c r="H843" s="3" t="s">
        <v>13</v>
      </c>
      <c r="I843" s="1"/>
    </row>
    <row r="844" ht="15.75" customHeight="1">
      <c r="A844" s="2">
        <v>843.0</v>
      </c>
      <c r="B844" s="1" t="s">
        <v>1197</v>
      </c>
      <c r="C844" s="1" t="s">
        <v>2466</v>
      </c>
      <c r="D844" s="1" t="s">
        <v>2467</v>
      </c>
      <c r="E844" s="2">
        <v>5.70038355018E11</v>
      </c>
      <c r="F844" s="1" t="s">
        <v>2468</v>
      </c>
      <c r="G844" s="1" t="s">
        <v>417</v>
      </c>
      <c r="H844" s="3" t="s">
        <v>13</v>
      </c>
      <c r="I844" s="1"/>
    </row>
    <row r="845" ht="15.75" customHeight="1">
      <c r="A845" s="2">
        <v>844.0</v>
      </c>
      <c r="B845" s="1" t="s">
        <v>2469</v>
      </c>
      <c r="C845" s="1" t="s">
        <v>2470</v>
      </c>
      <c r="D845" s="1" t="s">
        <v>875</v>
      </c>
      <c r="E845" s="2">
        <v>5.70038355019E11</v>
      </c>
      <c r="F845" s="1" t="s">
        <v>2471</v>
      </c>
      <c r="G845" s="1" t="s">
        <v>12</v>
      </c>
      <c r="H845" s="3" t="s">
        <v>13</v>
      </c>
      <c r="I845" s="1"/>
    </row>
    <row r="846" ht="15.75" customHeight="1">
      <c r="A846" s="2">
        <v>845.0</v>
      </c>
      <c r="B846" s="1" t="s">
        <v>210</v>
      </c>
      <c r="C846" s="1" t="s">
        <v>1885</v>
      </c>
      <c r="D846" s="1" t="s">
        <v>2472</v>
      </c>
      <c r="E846" s="2">
        <v>5.7003835502E11</v>
      </c>
      <c r="F846" s="1" t="s">
        <v>2473</v>
      </c>
      <c r="G846" s="1" t="s">
        <v>12</v>
      </c>
      <c r="H846" s="3" t="s">
        <v>13</v>
      </c>
      <c r="I846" s="1"/>
    </row>
    <row r="847" ht="15.75" customHeight="1">
      <c r="A847" s="2">
        <v>846.0</v>
      </c>
      <c r="B847" s="1" t="s">
        <v>1102</v>
      </c>
      <c r="C847" s="1" t="s">
        <v>2474</v>
      </c>
      <c r="D847" s="1" t="s">
        <v>2475</v>
      </c>
      <c r="E847" s="2">
        <v>5.70038355021E11</v>
      </c>
      <c r="F847" s="1" t="s">
        <v>2476</v>
      </c>
      <c r="G847" s="1" t="s">
        <v>12</v>
      </c>
      <c r="H847" s="3" t="s">
        <v>13</v>
      </c>
      <c r="I847" s="1"/>
    </row>
    <row r="848" ht="15.75" customHeight="1">
      <c r="A848" s="2">
        <v>847.0</v>
      </c>
      <c r="B848" s="1" t="s">
        <v>2477</v>
      </c>
      <c r="C848" s="1" t="s">
        <v>2478</v>
      </c>
      <c r="D848" s="1" t="s">
        <v>26</v>
      </c>
      <c r="E848" s="2">
        <v>5.70038355022E11</v>
      </c>
      <c r="F848" s="1" t="s">
        <v>2479</v>
      </c>
      <c r="G848" s="1" t="s">
        <v>12</v>
      </c>
      <c r="H848" s="3" t="s">
        <v>13</v>
      </c>
      <c r="I848" s="1"/>
    </row>
    <row r="849" ht="15.75" customHeight="1">
      <c r="A849" s="2">
        <v>848.0</v>
      </c>
      <c r="B849" s="1" t="s">
        <v>743</v>
      </c>
      <c r="C849" s="1" t="s">
        <v>2480</v>
      </c>
      <c r="D849" s="1" t="s">
        <v>2481</v>
      </c>
      <c r="E849" s="2">
        <v>5.70038355023E11</v>
      </c>
      <c r="F849" s="1" t="s">
        <v>2482</v>
      </c>
      <c r="G849" s="1" t="s">
        <v>12</v>
      </c>
      <c r="H849" s="3" t="s">
        <v>13</v>
      </c>
      <c r="I849" s="1"/>
    </row>
    <row r="850" ht="15.75" customHeight="1">
      <c r="A850" s="2">
        <v>849.0</v>
      </c>
      <c r="B850" s="1" t="s">
        <v>2483</v>
      </c>
      <c r="C850" s="1" t="s">
        <v>2484</v>
      </c>
      <c r="D850" s="1" t="s">
        <v>2485</v>
      </c>
      <c r="E850" s="2">
        <v>5.70038355024E11</v>
      </c>
      <c r="F850" s="1" t="s">
        <v>2486</v>
      </c>
      <c r="G850" s="1" t="s">
        <v>12</v>
      </c>
      <c r="H850" s="3" t="s">
        <v>13</v>
      </c>
      <c r="I850" s="1"/>
    </row>
    <row r="851" ht="15.75" customHeight="1">
      <c r="A851" s="2">
        <v>850.0</v>
      </c>
      <c r="B851" s="1" t="s">
        <v>297</v>
      </c>
      <c r="C851" s="1" t="s">
        <v>2487</v>
      </c>
      <c r="D851" s="1" t="s">
        <v>2488</v>
      </c>
      <c r="E851" s="2">
        <v>5.70038355026E11</v>
      </c>
      <c r="F851" s="1" t="s">
        <v>2489</v>
      </c>
      <c r="G851" s="1" t="s">
        <v>12</v>
      </c>
      <c r="H851" s="3" t="s">
        <v>13</v>
      </c>
      <c r="I851" s="1"/>
    </row>
    <row r="852" ht="15.75" customHeight="1">
      <c r="A852" s="2">
        <v>851.0</v>
      </c>
      <c r="B852" s="1" t="s">
        <v>2490</v>
      </c>
      <c r="C852" s="1" t="s">
        <v>2491</v>
      </c>
      <c r="D852" s="1" t="s">
        <v>1977</v>
      </c>
      <c r="E852" s="2">
        <v>5.70038355027E11</v>
      </c>
      <c r="F852" s="1" t="s">
        <v>2492</v>
      </c>
      <c r="G852" s="1" t="s">
        <v>12</v>
      </c>
      <c r="H852" s="3" t="s">
        <v>13</v>
      </c>
      <c r="I852" s="1"/>
    </row>
    <row r="853" ht="15.75" customHeight="1">
      <c r="A853" s="2">
        <v>852.0</v>
      </c>
      <c r="B853" s="1" t="s">
        <v>362</v>
      </c>
      <c r="C853" s="1" t="s">
        <v>1570</v>
      </c>
      <c r="D853" s="1" t="s">
        <v>1191</v>
      </c>
      <c r="E853" s="2">
        <v>5.70038355029E11</v>
      </c>
      <c r="F853" s="1" t="s">
        <v>2493</v>
      </c>
      <c r="G853" s="1" t="s">
        <v>12</v>
      </c>
      <c r="H853" s="3" t="s">
        <v>13</v>
      </c>
      <c r="I853" s="1"/>
    </row>
    <row r="854" ht="15.75" customHeight="1">
      <c r="A854" s="2">
        <v>853.0</v>
      </c>
      <c r="B854" s="1" t="s">
        <v>97</v>
      </c>
      <c r="C854" s="1" t="s">
        <v>2494</v>
      </c>
      <c r="D854" s="1" t="s">
        <v>230</v>
      </c>
      <c r="E854" s="2">
        <v>5.70038355033E11</v>
      </c>
      <c r="F854" s="1" t="s">
        <v>65</v>
      </c>
      <c r="G854" s="1" t="s">
        <v>12</v>
      </c>
      <c r="H854" s="3" t="s">
        <v>13</v>
      </c>
      <c r="I854" s="1"/>
    </row>
    <row r="855" ht="15.75" customHeight="1">
      <c r="A855" s="2">
        <v>854.0</v>
      </c>
      <c r="B855" s="1" t="s">
        <v>1911</v>
      </c>
      <c r="C855" s="1" t="s">
        <v>2495</v>
      </c>
      <c r="D855" s="1" t="s">
        <v>2496</v>
      </c>
      <c r="E855" s="2">
        <v>5.70038355036E11</v>
      </c>
      <c r="F855" s="1" t="s">
        <v>2492</v>
      </c>
      <c r="G855" s="1" t="s">
        <v>12</v>
      </c>
      <c r="H855" s="3" t="s">
        <v>13</v>
      </c>
      <c r="I855" s="1"/>
    </row>
    <row r="856" ht="15.75" customHeight="1">
      <c r="A856" s="2">
        <v>855.0</v>
      </c>
      <c r="B856" s="1" t="s">
        <v>1477</v>
      </c>
      <c r="C856" s="1" t="s">
        <v>2497</v>
      </c>
      <c r="D856" s="1" t="s">
        <v>2498</v>
      </c>
      <c r="E856" s="2">
        <v>5.70038355037E11</v>
      </c>
      <c r="F856" s="1" t="s">
        <v>2499</v>
      </c>
      <c r="G856" s="1" t="s">
        <v>12</v>
      </c>
      <c r="H856" s="3" t="s">
        <v>13</v>
      </c>
      <c r="I856" s="1"/>
    </row>
    <row r="857" ht="15.75" customHeight="1">
      <c r="A857" s="2">
        <v>856.0</v>
      </c>
      <c r="B857" s="1" t="s">
        <v>2500</v>
      </c>
      <c r="C857" s="1" t="s">
        <v>2501</v>
      </c>
      <c r="D857" s="1" t="s">
        <v>875</v>
      </c>
      <c r="E857" s="2">
        <v>5.70038355039E11</v>
      </c>
      <c r="F857" s="1" t="s">
        <v>2502</v>
      </c>
      <c r="G857" s="1" t="s">
        <v>12</v>
      </c>
      <c r="H857" s="3" t="s">
        <v>13</v>
      </c>
      <c r="I857" s="1"/>
    </row>
    <row r="858" ht="15.75" customHeight="1">
      <c r="A858" s="2">
        <v>857.0</v>
      </c>
      <c r="B858" s="1" t="s">
        <v>2503</v>
      </c>
      <c r="C858" s="1" t="s">
        <v>752</v>
      </c>
      <c r="D858" s="1" t="s">
        <v>2504</v>
      </c>
      <c r="E858" s="2">
        <v>5.70038355045E11</v>
      </c>
      <c r="F858" s="1" t="s">
        <v>2505</v>
      </c>
      <c r="G858" s="1" t="s">
        <v>12</v>
      </c>
      <c r="H858" s="3" t="s">
        <v>13</v>
      </c>
      <c r="I858" s="1"/>
    </row>
    <row r="859" ht="15.75" customHeight="1">
      <c r="A859" s="2">
        <v>858.0</v>
      </c>
      <c r="B859" s="1" t="s">
        <v>2506</v>
      </c>
      <c r="C859" s="1" t="s">
        <v>2507</v>
      </c>
      <c r="D859" s="1" t="s">
        <v>2447</v>
      </c>
      <c r="E859" s="2">
        <v>5.70038355047E11</v>
      </c>
      <c r="F859" s="1" t="s">
        <v>2508</v>
      </c>
      <c r="G859" s="1" t="s">
        <v>12</v>
      </c>
      <c r="H859" s="3" t="s">
        <v>13</v>
      </c>
      <c r="I859" s="1"/>
    </row>
    <row r="860" ht="15.75" customHeight="1">
      <c r="A860" s="2">
        <v>859.0</v>
      </c>
      <c r="B860" s="1" t="s">
        <v>1114</v>
      </c>
      <c r="C860" s="1" t="s">
        <v>2509</v>
      </c>
      <c r="D860" s="1" t="s">
        <v>2510</v>
      </c>
      <c r="E860" s="2">
        <v>5.70038355048E11</v>
      </c>
      <c r="F860" s="1" t="s">
        <v>2511</v>
      </c>
      <c r="G860" s="1" t="s">
        <v>12</v>
      </c>
      <c r="H860" s="3" t="s">
        <v>13</v>
      </c>
      <c r="I860" s="1"/>
    </row>
    <row r="861" ht="15.75" customHeight="1">
      <c r="A861" s="2">
        <v>860.0</v>
      </c>
      <c r="B861" s="1" t="s">
        <v>44</v>
      </c>
      <c r="C861" s="1" t="s">
        <v>2512</v>
      </c>
      <c r="D861" s="1" t="s">
        <v>2513</v>
      </c>
      <c r="E861" s="2">
        <v>5.70038355049E11</v>
      </c>
      <c r="F861" s="1" t="s">
        <v>2514</v>
      </c>
      <c r="G861" s="1" t="s">
        <v>12</v>
      </c>
      <c r="H861" s="3" t="s">
        <v>13</v>
      </c>
      <c r="I861" s="1"/>
    </row>
    <row r="862" ht="15.75" customHeight="1">
      <c r="A862" s="2">
        <v>861.0</v>
      </c>
      <c r="B862" s="1" t="s">
        <v>295</v>
      </c>
      <c r="C862" s="1" t="s">
        <v>2515</v>
      </c>
      <c r="D862" s="1" t="s">
        <v>951</v>
      </c>
      <c r="E862" s="2">
        <v>5.7003835505E11</v>
      </c>
      <c r="F862" s="1" t="s">
        <v>2516</v>
      </c>
      <c r="G862" s="1" t="s">
        <v>12</v>
      </c>
      <c r="H862" s="3" t="s">
        <v>13</v>
      </c>
      <c r="I862" s="1"/>
    </row>
    <row r="863" ht="15.75" customHeight="1">
      <c r="A863" s="2">
        <v>862.0</v>
      </c>
      <c r="B863" s="1" t="s">
        <v>362</v>
      </c>
      <c r="C863" s="1" t="s">
        <v>2517</v>
      </c>
      <c r="D863" s="1" t="s">
        <v>2518</v>
      </c>
      <c r="E863" s="2">
        <v>5.70038355052E11</v>
      </c>
      <c r="F863" s="1" t="s">
        <v>2519</v>
      </c>
      <c r="G863" s="1" t="s">
        <v>12</v>
      </c>
      <c r="H863" s="3" t="s">
        <v>13</v>
      </c>
      <c r="I863" s="1"/>
    </row>
    <row r="864" ht="15.75" customHeight="1">
      <c r="A864" s="2">
        <v>863.0</v>
      </c>
      <c r="B864" s="1" t="s">
        <v>2520</v>
      </c>
      <c r="C864" s="1" t="s">
        <v>2521</v>
      </c>
      <c r="D864" s="1" t="s">
        <v>230</v>
      </c>
      <c r="E864" s="2">
        <v>5.70038355053E11</v>
      </c>
      <c r="F864" s="1" t="s">
        <v>2522</v>
      </c>
      <c r="G864" s="1" t="s">
        <v>12</v>
      </c>
      <c r="H864" s="3" t="s">
        <v>13</v>
      </c>
      <c r="I864" s="1"/>
    </row>
    <row r="865" ht="15.75" customHeight="1">
      <c r="A865" s="2">
        <v>864.0</v>
      </c>
      <c r="B865" s="1" t="s">
        <v>2523</v>
      </c>
      <c r="C865" s="1" t="s">
        <v>2524</v>
      </c>
      <c r="D865" s="1" t="s">
        <v>1285</v>
      </c>
      <c r="E865" s="2">
        <v>5.70038355055E11</v>
      </c>
      <c r="F865" s="1" t="s">
        <v>2525</v>
      </c>
      <c r="G865" s="1" t="s">
        <v>12</v>
      </c>
      <c r="H865" s="3" t="s">
        <v>13</v>
      </c>
      <c r="I865" s="1"/>
    </row>
    <row r="866" ht="15.75" customHeight="1">
      <c r="A866" s="2">
        <v>865.0</v>
      </c>
      <c r="B866" s="1" t="s">
        <v>52</v>
      </c>
      <c r="C866" s="1" t="s">
        <v>2526</v>
      </c>
      <c r="D866" s="1" t="s">
        <v>1891</v>
      </c>
      <c r="E866" s="2">
        <v>5.70038355056E11</v>
      </c>
      <c r="F866" s="1" t="s">
        <v>2527</v>
      </c>
      <c r="G866" s="1" t="s">
        <v>12</v>
      </c>
      <c r="H866" s="3" t="s">
        <v>13</v>
      </c>
      <c r="I866" s="1"/>
    </row>
    <row r="867" ht="15.75" customHeight="1">
      <c r="A867" s="2">
        <v>866.0</v>
      </c>
      <c r="B867" s="1" t="s">
        <v>153</v>
      </c>
      <c r="C867" s="1" t="s">
        <v>2528</v>
      </c>
      <c r="D867" s="1" t="s">
        <v>2529</v>
      </c>
      <c r="E867" s="2">
        <v>5.70038355057E11</v>
      </c>
      <c r="F867" s="1" t="s">
        <v>2530</v>
      </c>
      <c r="G867" s="1" t="s">
        <v>12</v>
      </c>
      <c r="H867" s="3" t="s">
        <v>13</v>
      </c>
      <c r="I867" s="1"/>
    </row>
    <row r="868" ht="15.75" customHeight="1">
      <c r="A868" s="2">
        <v>867.0</v>
      </c>
      <c r="B868" s="1" t="s">
        <v>1191</v>
      </c>
      <c r="C868" s="1" t="s">
        <v>2531</v>
      </c>
      <c r="D868" s="1" t="s">
        <v>228</v>
      </c>
      <c r="E868" s="2">
        <v>5.70038355058E11</v>
      </c>
      <c r="F868" s="1" t="s">
        <v>2532</v>
      </c>
      <c r="G868" s="1" t="s">
        <v>12</v>
      </c>
      <c r="H868" s="3" t="s">
        <v>13</v>
      </c>
      <c r="I868" s="1"/>
    </row>
    <row r="869" ht="15.75" customHeight="1">
      <c r="A869" s="2">
        <v>868.0</v>
      </c>
      <c r="B869" s="1" t="s">
        <v>2533</v>
      </c>
      <c r="C869" s="1" t="s">
        <v>2534</v>
      </c>
      <c r="D869" s="1" t="s">
        <v>168</v>
      </c>
      <c r="E869" s="2">
        <v>5.70038355061E11</v>
      </c>
      <c r="F869" s="1" t="s">
        <v>2535</v>
      </c>
      <c r="G869" s="1" t="s">
        <v>12</v>
      </c>
      <c r="H869" s="3" t="s">
        <v>13</v>
      </c>
      <c r="I869" s="1"/>
    </row>
    <row r="870" ht="15.75" customHeight="1">
      <c r="A870" s="2">
        <v>869.0</v>
      </c>
      <c r="B870" s="1" t="s">
        <v>307</v>
      </c>
      <c r="C870" s="1" t="s">
        <v>2536</v>
      </c>
      <c r="D870" s="1" t="s">
        <v>2030</v>
      </c>
      <c r="E870" s="2">
        <v>5.70038355064E11</v>
      </c>
      <c r="F870" s="1" t="s">
        <v>2537</v>
      </c>
      <c r="G870" s="1" t="s">
        <v>12</v>
      </c>
      <c r="H870" s="3" t="s">
        <v>13</v>
      </c>
      <c r="I870" s="1"/>
    </row>
    <row r="871" ht="15.75" customHeight="1">
      <c r="A871" s="2">
        <v>870.0</v>
      </c>
      <c r="B871" s="1" t="s">
        <v>1765</v>
      </c>
      <c r="C871" s="1" t="s">
        <v>200</v>
      </c>
      <c r="D871" s="1" t="s">
        <v>2459</v>
      </c>
      <c r="E871" s="2">
        <v>5.70038355065E11</v>
      </c>
      <c r="F871" s="1" t="s">
        <v>713</v>
      </c>
      <c r="G871" s="1" t="s">
        <v>12</v>
      </c>
      <c r="H871" s="3" t="s">
        <v>13</v>
      </c>
      <c r="I871" s="1"/>
    </row>
    <row r="872" ht="15.75" customHeight="1">
      <c r="A872" s="2">
        <v>871.0</v>
      </c>
      <c r="B872" s="1" t="s">
        <v>552</v>
      </c>
      <c r="C872" s="1" t="s">
        <v>697</v>
      </c>
      <c r="D872" s="1" t="s">
        <v>2538</v>
      </c>
      <c r="E872" s="2">
        <v>5.70038355067E11</v>
      </c>
      <c r="F872" s="1" t="s">
        <v>2539</v>
      </c>
      <c r="G872" s="1" t="s">
        <v>12</v>
      </c>
      <c r="H872" s="3" t="s">
        <v>13</v>
      </c>
      <c r="I872" s="1"/>
    </row>
    <row r="873" ht="15.75" customHeight="1">
      <c r="A873" s="2">
        <v>872.0</v>
      </c>
      <c r="B873" s="1" t="s">
        <v>515</v>
      </c>
      <c r="C873" s="1" t="s">
        <v>204</v>
      </c>
      <c r="D873" s="1" t="s">
        <v>1581</v>
      </c>
      <c r="E873" s="2">
        <v>5.70038355068E11</v>
      </c>
      <c r="F873" s="1" t="s">
        <v>2492</v>
      </c>
      <c r="G873" s="1" t="s">
        <v>12</v>
      </c>
      <c r="H873" s="3" t="s">
        <v>13</v>
      </c>
      <c r="I873" s="1"/>
    </row>
    <row r="874" ht="15.75" customHeight="1">
      <c r="A874" s="2">
        <v>873.0</v>
      </c>
      <c r="B874" s="1" t="s">
        <v>415</v>
      </c>
      <c r="C874" s="1" t="s">
        <v>2540</v>
      </c>
      <c r="D874" s="1" t="s">
        <v>321</v>
      </c>
      <c r="E874" s="2">
        <v>5.7003835507E11</v>
      </c>
      <c r="F874" s="1" t="s">
        <v>2541</v>
      </c>
      <c r="G874" s="1" t="s">
        <v>12</v>
      </c>
      <c r="H874" s="3" t="s">
        <v>13</v>
      </c>
      <c r="I874" s="1"/>
    </row>
    <row r="875" ht="15.75" customHeight="1">
      <c r="A875" s="2">
        <v>874.0</v>
      </c>
      <c r="B875" s="1" t="s">
        <v>157</v>
      </c>
      <c r="C875" s="1" t="s">
        <v>639</v>
      </c>
      <c r="D875" s="1" t="s">
        <v>2542</v>
      </c>
      <c r="E875" s="2">
        <v>5.70038355071E11</v>
      </c>
      <c r="F875" s="1" t="s">
        <v>2543</v>
      </c>
      <c r="G875" s="1" t="s">
        <v>12</v>
      </c>
      <c r="H875" s="3" t="s">
        <v>13</v>
      </c>
      <c r="I875" s="1"/>
    </row>
    <row r="876" ht="15.75" customHeight="1">
      <c r="A876" s="2">
        <v>875.0</v>
      </c>
      <c r="B876" s="1" t="s">
        <v>42</v>
      </c>
      <c r="C876" s="1" t="s">
        <v>2544</v>
      </c>
      <c r="D876" s="1" t="s">
        <v>2545</v>
      </c>
      <c r="E876" s="2">
        <v>5.70038355072E11</v>
      </c>
      <c r="F876" s="1" t="s">
        <v>2546</v>
      </c>
      <c r="G876" s="1" t="s">
        <v>12</v>
      </c>
      <c r="H876" s="3" t="s">
        <v>13</v>
      </c>
      <c r="I876" s="1"/>
    </row>
    <row r="877" ht="15.75" customHeight="1">
      <c r="A877" s="2">
        <v>876.0</v>
      </c>
      <c r="B877" s="1" t="s">
        <v>477</v>
      </c>
      <c r="C877" s="1" t="s">
        <v>2547</v>
      </c>
      <c r="D877" s="1" t="s">
        <v>875</v>
      </c>
      <c r="E877" s="2">
        <v>5.70038355073E11</v>
      </c>
      <c r="F877" s="1" t="s">
        <v>2492</v>
      </c>
      <c r="G877" s="1" t="s">
        <v>12</v>
      </c>
      <c r="H877" s="3" t="s">
        <v>13</v>
      </c>
      <c r="I877" s="1"/>
    </row>
    <row r="878" ht="15.75" customHeight="1">
      <c r="A878" s="2">
        <v>877.0</v>
      </c>
      <c r="B878" s="1" t="s">
        <v>1682</v>
      </c>
      <c r="C878" s="1" t="s">
        <v>2548</v>
      </c>
      <c r="D878" s="1" t="s">
        <v>2549</v>
      </c>
      <c r="E878" s="2">
        <v>5.70038355075E11</v>
      </c>
      <c r="F878" s="1" t="s">
        <v>2550</v>
      </c>
      <c r="G878" s="1" t="s">
        <v>12</v>
      </c>
      <c r="H878" s="3" t="s">
        <v>2551</v>
      </c>
      <c r="I878" s="1"/>
    </row>
    <row r="879" ht="15.75" customHeight="1">
      <c r="A879" s="2">
        <v>878.0</v>
      </c>
      <c r="B879" s="1" t="s">
        <v>552</v>
      </c>
      <c r="C879" s="1" t="s">
        <v>2552</v>
      </c>
      <c r="D879" s="1" t="s">
        <v>951</v>
      </c>
      <c r="E879" s="2">
        <v>5.70038355078E11</v>
      </c>
      <c r="F879" s="1" t="s">
        <v>2553</v>
      </c>
      <c r="G879" s="1" t="s">
        <v>12</v>
      </c>
      <c r="H879" s="3" t="s">
        <v>13</v>
      </c>
      <c r="I879" s="1"/>
    </row>
    <row r="880" ht="15.75" customHeight="1">
      <c r="A880" s="2">
        <v>879.0</v>
      </c>
      <c r="B880" s="1" t="s">
        <v>346</v>
      </c>
      <c r="C880" s="1" t="s">
        <v>2554</v>
      </c>
      <c r="D880" s="1" t="s">
        <v>2555</v>
      </c>
      <c r="E880" s="2">
        <v>5.70038355079E11</v>
      </c>
      <c r="F880" s="1" t="s">
        <v>2556</v>
      </c>
      <c r="G880" s="1" t="s">
        <v>12</v>
      </c>
      <c r="H880" s="3" t="s">
        <v>13</v>
      </c>
      <c r="I880" s="1"/>
    </row>
    <row r="881" ht="15.75" customHeight="1">
      <c r="A881" s="2">
        <v>880.0</v>
      </c>
      <c r="B881" s="1" t="s">
        <v>10</v>
      </c>
      <c r="C881" s="1" t="s">
        <v>1236</v>
      </c>
      <c r="D881" s="1" t="s">
        <v>415</v>
      </c>
      <c r="E881" s="2">
        <v>5.70038355082E11</v>
      </c>
      <c r="F881" s="1" t="s">
        <v>2557</v>
      </c>
      <c r="G881" s="1" t="s">
        <v>12</v>
      </c>
      <c r="H881" s="3" t="s">
        <v>13</v>
      </c>
      <c r="I881" s="1"/>
    </row>
    <row r="882" ht="15.75" customHeight="1">
      <c r="A882" s="2">
        <v>881.0</v>
      </c>
      <c r="B882" s="1" t="s">
        <v>52</v>
      </c>
      <c r="C882" s="1" t="s">
        <v>2558</v>
      </c>
      <c r="D882" s="1" t="s">
        <v>2559</v>
      </c>
      <c r="E882" s="2">
        <v>5.70038355084E11</v>
      </c>
      <c r="F882" s="1" t="s">
        <v>2560</v>
      </c>
      <c r="G882" s="1" t="s">
        <v>12</v>
      </c>
      <c r="H882" s="3" t="s">
        <v>13</v>
      </c>
      <c r="I882" s="1"/>
    </row>
    <row r="883" ht="15.75" customHeight="1">
      <c r="A883" s="2">
        <v>882.0</v>
      </c>
      <c r="B883" s="1" t="s">
        <v>179</v>
      </c>
      <c r="C883" s="1" t="s">
        <v>314</v>
      </c>
      <c r="D883" s="1" t="s">
        <v>2561</v>
      </c>
      <c r="E883" s="2">
        <v>5.70038355086E11</v>
      </c>
      <c r="F883" s="1" t="s">
        <v>2562</v>
      </c>
      <c r="G883" s="1" t="s">
        <v>12</v>
      </c>
      <c r="H883" s="3" t="s">
        <v>13</v>
      </c>
      <c r="I883" s="1"/>
    </row>
    <row r="884" ht="15.75" customHeight="1">
      <c r="A884" s="2">
        <v>883.0</v>
      </c>
      <c r="B884" s="1" t="s">
        <v>290</v>
      </c>
      <c r="C884" s="1" t="s">
        <v>1570</v>
      </c>
      <c r="D884" s="1" t="s">
        <v>1191</v>
      </c>
      <c r="E884" s="2">
        <v>5.70038355096E11</v>
      </c>
      <c r="F884" s="1" t="s">
        <v>2563</v>
      </c>
      <c r="G884" s="1" t="s">
        <v>12</v>
      </c>
      <c r="H884" s="3" t="s">
        <v>13</v>
      </c>
      <c r="I884" s="1"/>
    </row>
    <row r="885" ht="15.75" customHeight="1">
      <c r="A885" s="2">
        <v>884.0</v>
      </c>
      <c r="B885" s="1" t="s">
        <v>775</v>
      </c>
      <c r="C885" s="1" t="s">
        <v>2564</v>
      </c>
      <c r="D885" s="1" t="s">
        <v>2565</v>
      </c>
      <c r="E885" s="2">
        <v>5.70038355105E11</v>
      </c>
      <c r="F885" s="1" t="s">
        <v>2566</v>
      </c>
      <c r="G885" s="1" t="s">
        <v>12</v>
      </c>
      <c r="H885" s="3" t="s">
        <v>13</v>
      </c>
      <c r="I885" s="1"/>
    </row>
    <row r="886" ht="15.75" customHeight="1">
      <c r="A886" s="2">
        <v>885.0</v>
      </c>
      <c r="B886" s="1" t="s">
        <v>1219</v>
      </c>
      <c r="C886" s="1" t="s">
        <v>2567</v>
      </c>
      <c r="D886" s="1" t="s">
        <v>2568</v>
      </c>
      <c r="E886" s="2">
        <v>5.70038355109E11</v>
      </c>
      <c r="F886" s="1" t="s">
        <v>2569</v>
      </c>
      <c r="G886" s="1" t="s">
        <v>12</v>
      </c>
      <c r="H886" s="3" t="s">
        <v>13</v>
      </c>
      <c r="I886" s="1"/>
    </row>
    <row r="887" ht="15.75" customHeight="1">
      <c r="A887" s="2">
        <v>886.0</v>
      </c>
      <c r="B887" s="1" t="s">
        <v>2570</v>
      </c>
      <c r="C887" s="1" t="s">
        <v>2571</v>
      </c>
      <c r="D887" s="1" t="s">
        <v>193</v>
      </c>
      <c r="E887" s="2">
        <v>5.70038355113E11</v>
      </c>
      <c r="F887" s="1" t="s">
        <v>2572</v>
      </c>
      <c r="G887" s="1" t="s">
        <v>12</v>
      </c>
      <c r="H887" s="3" t="s">
        <v>13</v>
      </c>
      <c r="I887" s="1"/>
    </row>
    <row r="888" ht="15.75" customHeight="1">
      <c r="A888" s="2">
        <v>887.0</v>
      </c>
      <c r="B888" s="1" t="s">
        <v>2573</v>
      </c>
      <c r="C888" s="1" t="s">
        <v>2574</v>
      </c>
      <c r="D888" s="1" t="s">
        <v>421</v>
      </c>
      <c r="E888" s="2">
        <v>5.70038355115E11</v>
      </c>
      <c r="F888" s="1" t="s">
        <v>1271</v>
      </c>
      <c r="G888" s="1" t="s">
        <v>12</v>
      </c>
      <c r="H888" s="3" t="s">
        <v>13</v>
      </c>
      <c r="I888" s="1"/>
    </row>
    <row r="889" ht="15.75" customHeight="1">
      <c r="A889" s="2">
        <v>888.0</v>
      </c>
      <c r="B889" s="1" t="s">
        <v>738</v>
      </c>
      <c r="C889" s="1" t="s">
        <v>1735</v>
      </c>
      <c r="D889" s="1" t="s">
        <v>168</v>
      </c>
      <c r="E889" s="2">
        <v>5.70038355116E11</v>
      </c>
      <c r="F889" s="1" t="s">
        <v>2575</v>
      </c>
      <c r="G889" s="1" t="s">
        <v>12</v>
      </c>
      <c r="H889" s="3" t="s">
        <v>13</v>
      </c>
      <c r="I889" s="1"/>
    </row>
    <row r="890" ht="15.75" customHeight="1">
      <c r="A890" s="2">
        <v>889.0</v>
      </c>
      <c r="B890" s="1" t="s">
        <v>83</v>
      </c>
      <c r="C890" s="1" t="s">
        <v>2576</v>
      </c>
      <c r="D890" s="1" t="s">
        <v>2577</v>
      </c>
      <c r="E890" s="2">
        <v>5.70038355118E11</v>
      </c>
      <c r="F890" s="1" t="s">
        <v>88</v>
      </c>
      <c r="G890" s="1" t="s">
        <v>12</v>
      </c>
      <c r="H890" s="3" t="s">
        <v>13</v>
      </c>
      <c r="I890" s="1"/>
    </row>
    <row r="891" ht="15.75" customHeight="1">
      <c r="A891" s="2">
        <v>890.0</v>
      </c>
      <c r="B891" s="1" t="s">
        <v>875</v>
      </c>
      <c r="C891" s="1" t="s">
        <v>2578</v>
      </c>
      <c r="D891" s="1" t="s">
        <v>2579</v>
      </c>
      <c r="E891" s="2">
        <v>5.70038355119E11</v>
      </c>
      <c r="F891" s="1" t="s">
        <v>2580</v>
      </c>
      <c r="G891" s="1" t="s">
        <v>12</v>
      </c>
      <c r="H891" s="3" t="s">
        <v>13</v>
      </c>
      <c r="I891" s="1"/>
    </row>
    <row r="892" ht="15.75" customHeight="1">
      <c r="A892" s="2">
        <v>891.0</v>
      </c>
      <c r="B892" s="1" t="s">
        <v>1708</v>
      </c>
      <c r="C892" s="1" t="s">
        <v>2581</v>
      </c>
      <c r="D892" s="1" t="s">
        <v>2582</v>
      </c>
      <c r="E892" s="2">
        <v>5.70038355122E11</v>
      </c>
      <c r="F892" s="1" t="s">
        <v>2583</v>
      </c>
      <c r="G892" s="1" t="s">
        <v>12</v>
      </c>
      <c r="H892" s="3" t="s">
        <v>13</v>
      </c>
      <c r="I892" s="1"/>
    </row>
    <row r="893" ht="15.75" customHeight="1">
      <c r="A893" s="2">
        <v>892.0</v>
      </c>
      <c r="B893" s="1" t="s">
        <v>384</v>
      </c>
      <c r="C893" s="1" t="s">
        <v>2584</v>
      </c>
      <c r="D893" s="1" t="s">
        <v>2585</v>
      </c>
      <c r="E893" s="2">
        <v>5.70038355124E11</v>
      </c>
      <c r="F893" s="1" t="s">
        <v>2586</v>
      </c>
      <c r="G893" s="1" t="s">
        <v>12</v>
      </c>
      <c r="H893" s="3" t="s">
        <v>13</v>
      </c>
      <c r="I893" s="1"/>
    </row>
    <row r="894" ht="15.75" customHeight="1">
      <c r="A894" s="2">
        <v>893.0</v>
      </c>
      <c r="B894" s="1" t="s">
        <v>1765</v>
      </c>
      <c r="C894" s="1" t="s">
        <v>2587</v>
      </c>
      <c r="D894" s="1" t="s">
        <v>2588</v>
      </c>
      <c r="E894" s="2">
        <v>5.70038355125E11</v>
      </c>
      <c r="F894" s="1" t="s">
        <v>2589</v>
      </c>
      <c r="G894" s="1" t="s">
        <v>12</v>
      </c>
      <c r="H894" s="3" t="s">
        <v>13</v>
      </c>
      <c r="I894" s="1"/>
    </row>
    <row r="895" ht="15.75" customHeight="1">
      <c r="A895" s="2">
        <v>894.0</v>
      </c>
      <c r="B895" s="1" t="s">
        <v>105</v>
      </c>
      <c r="C895" s="1" t="s">
        <v>2590</v>
      </c>
      <c r="D895" s="1" t="s">
        <v>1907</v>
      </c>
      <c r="E895" s="2">
        <v>5.70038355126E11</v>
      </c>
      <c r="F895" s="1" t="s">
        <v>2591</v>
      </c>
      <c r="G895" s="1" t="s">
        <v>12</v>
      </c>
      <c r="H895" s="3" t="s">
        <v>13</v>
      </c>
      <c r="I895" s="1"/>
    </row>
    <row r="896" ht="15.75" customHeight="1">
      <c r="A896" s="2">
        <v>895.0</v>
      </c>
      <c r="B896" s="1" t="s">
        <v>773</v>
      </c>
      <c r="C896" s="1" t="s">
        <v>2592</v>
      </c>
      <c r="D896" s="1" t="s">
        <v>2593</v>
      </c>
      <c r="E896" s="2">
        <v>5.7003835513E11</v>
      </c>
      <c r="F896" s="1" t="s">
        <v>2594</v>
      </c>
      <c r="G896" s="1" t="s">
        <v>417</v>
      </c>
      <c r="H896" s="3" t="s">
        <v>13</v>
      </c>
      <c r="I896" s="1"/>
    </row>
    <row r="897" ht="15.75" customHeight="1">
      <c r="A897" s="2">
        <v>896.0</v>
      </c>
      <c r="B897" s="1" t="s">
        <v>2595</v>
      </c>
      <c r="C897" s="1" t="s">
        <v>2596</v>
      </c>
      <c r="D897" s="1" t="s">
        <v>2597</v>
      </c>
      <c r="E897" s="2">
        <v>5.70038355141E11</v>
      </c>
      <c r="F897" s="1" t="s">
        <v>2598</v>
      </c>
      <c r="G897" s="1" t="s">
        <v>12</v>
      </c>
      <c r="H897" s="3" t="s">
        <v>13</v>
      </c>
      <c r="I897" s="1"/>
    </row>
    <row r="898" ht="15.75" customHeight="1">
      <c r="A898" s="2">
        <v>897.0</v>
      </c>
      <c r="B898" s="1" t="s">
        <v>1209</v>
      </c>
      <c r="C898" s="1" t="s">
        <v>2599</v>
      </c>
      <c r="D898" s="1" t="s">
        <v>2600</v>
      </c>
      <c r="E898" s="2">
        <v>5.70038355142E11</v>
      </c>
      <c r="F898" s="1" t="s">
        <v>2601</v>
      </c>
      <c r="G898" s="1" t="s">
        <v>12</v>
      </c>
      <c r="H898" s="3" t="s">
        <v>13</v>
      </c>
      <c r="I898" s="1"/>
    </row>
    <row r="899" ht="15.75" customHeight="1">
      <c r="A899" s="2">
        <v>898.0</v>
      </c>
      <c r="B899" s="1" t="s">
        <v>2600</v>
      </c>
      <c r="C899" s="1" t="s">
        <v>2602</v>
      </c>
      <c r="D899" s="1" t="s">
        <v>2603</v>
      </c>
      <c r="E899" s="2">
        <v>5.70038355143E11</v>
      </c>
      <c r="F899" s="1" t="s">
        <v>2604</v>
      </c>
      <c r="G899" s="1" t="s">
        <v>12</v>
      </c>
      <c r="H899" s="3" t="s">
        <v>13</v>
      </c>
      <c r="I899" s="1"/>
    </row>
    <row r="900" ht="15.75" customHeight="1">
      <c r="A900" s="2">
        <v>899.0</v>
      </c>
      <c r="B900" s="1" t="s">
        <v>228</v>
      </c>
      <c r="C900" s="1" t="s">
        <v>356</v>
      </c>
      <c r="D900" s="1" t="s">
        <v>2605</v>
      </c>
      <c r="E900" s="2">
        <v>5.70038355144E11</v>
      </c>
      <c r="F900" s="1" t="s">
        <v>2606</v>
      </c>
      <c r="G900" s="1" t="s">
        <v>12</v>
      </c>
      <c r="H900" s="3" t="s">
        <v>13</v>
      </c>
      <c r="I900" s="1"/>
    </row>
    <row r="901" ht="15.75" customHeight="1">
      <c r="A901" s="2">
        <v>900.0</v>
      </c>
      <c r="B901" s="1" t="s">
        <v>838</v>
      </c>
      <c r="C901" s="1" t="s">
        <v>2607</v>
      </c>
      <c r="D901" s="1" t="s">
        <v>2608</v>
      </c>
      <c r="E901" s="2">
        <v>5.70038355145E11</v>
      </c>
      <c r="F901" s="1" t="s">
        <v>2609</v>
      </c>
      <c r="G901" s="1" t="s">
        <v>12</v>
      </c>
      <c r="H901" s="3" t="s">
        <v>13</v>
      </c>
      <c r="I901" s="1"/>
    </row>
    <row r="902" ht="15.75" customHeight="1">
      <c r="A902" s="2">
        <v>901.0</v>
      </c>
      <c r="B902" s="1" t="s">
        <v>1458</v>
      </c>
      <c r="C902" s="1" t="s">
        <v>2610</v>
      </c>
      <c r="D902" s="1" t="s">
        <v>2611</v>
      </c>
      <c r="E902" s="2">
        <v>5.70038355146E11</v>
      </c>
      <c r="F902" s="1" t="s">
        <v>361</v>
      </c>
      <c r="G902" s="1" t="s">
        <v>12</v>
      </c>
      <c r="H902" s="3" t="s">
        <v>13</v>
      </c>
      <c r="I902" s="1"/>
    </row>
    <row r="903" ht="15.75" customHeight="1">
      <c r="A903" s="2">
        <v>902.0</v>
      </c>
      <c r="B903" s="1" t="s">
        <v>2612</v>
      </c>
      <c r="C903" s="1" t="s">
        <v>2613</v>
      </c>
      <c r="D903" s="1" t="s">
        <v>2614</v>
      </c>
      <c r="E903" s="2">
        <v>5.70038355147E11</v>
      </c>
      <c r="F903" s="1" t="s">
        <v>2604</v>
      </c>
      <c r="G903" s="1" t="s">
        <v>12</v>
      </c>
      <c r="H903" s="3" t="s">
        <v>13</v>
      </c>
      <c r="I903" s="1"/>
    </row>
    <row r="904" ht="15.75" customHeight="1">
      <c r="A904" s="2">
        <v>903.0</v>
      </c>
      <c r="B904" s="1" t="s">
        <v>2615</v>
      </c>
      <c r="C904" s="1" t="s">
        <v>877</v>
      </c>
      <c r="D904" s="1" t="s">
        <v>2616</v>
      </c>
      <c r="E904" s="2">
        <v>5.70038355149E11</v>
      </c>
      <c r="F904" s="1" t="s">
        <v>2617</v>
      </c>
      <c r="G904" s="1" t="s">
        <v>12</v>
      </c>
      <c r="H904" s="3" t="s">
        <v>13</v>
      </c>
      <c r="I904" s="1"/>
    </row>
    <row r="905" ht="15.75" customHeight="1">
      <c r="A905" s="2">
        <v>904.0</v>
      </c>
      <c r="B905" s="1" t="s">
        <v>153</v>
      </c>
      <c r="C905" s="1" t="s">
        <v>2013</v>
      </c>
      <c r="D905" s="1" t="s">
        <v>2585</v>
      </c>
      <c r="E905" s="2">
        <v>5.70038355152E11</v>
      </c>
      <c r="F905" s="1" t="s">
        <v>2618</v>
      </c>
      <c r="G905" s="1" t="s">
        <v>12</v>
      </c>
      <c r="H905" s="3" t="s">
        <v>13</v>
      </c>
      <c r="I905" s="1"/>
    </row>
    <row r="906" ht="15.75" customHeight="1">
      <c r="A906" s="2">
        <v>905.0</v>
      </c>
      <c r="B906" s="1" t="s">
        <v>2619</v>
      </c>
      <c r="C906" s="1" t="s">
        <v>2620</v>
      </c>
      <c r="D906" s="1" t="s">
        <v>621</v>
      </c>
      <c r="E906" s="2">
        <v>5.70038355154E11</v>
      </c>
      <c r="F906" s="1" t="s">
        <v>1827</v>
      </c>
      <c r="G906" s="1" t="s">
        <v>12</v>
      </c>
      <c r="H906" s="3" t="s">
        <v>13</v>
      </c>
      <c r="I906" s="1"/>
    </row>
    <row r="907" ht="15.75" customHeight="1">
      <c r="A907" s="2">
        <v>906.0</v>
      </c>
      <c r="B907" s="1" t="s">
        <v>360</v>
      </c>
      <c r="C907" s="1" t="s">
        <v>2621</v>
      </c>
      <c r="D907" s="1" t="s">
        <v>2622</v>
      </c>
      <c r="E907" s="2">
        <v>5.70038355155E11</v>
      </c>
      <c r="F907" s="1" t="s">
        <v>2623</v>
      </c>
      <c r="G907" s="1" t="s">
        <v>12</v>
      </c>
      <c r="H907" s="3" t="s">
        <v>13</v>
      </c>
      <c r="I907" s="1"/>
    </row>
    <row r="908" ht="15.75" customHeight="1">
      <c r="A908" s="2">
        <v>907.0</v>
      </c>
      <c r="B908" s="1" t="s">
        <v>793</v>
      </c>
      <c r="C908" s="1" t="s">
        <v>2624</v>
      </c>
      <c r="D908" s="1" t="s">
        <v>2196</v>
      </c>
      <c r="E908" s="2">
        <v>5.70038355156E11</v>
      </c>
      <c r="F908" s="1" t="s">
        <v>2625</v>
      </c>
      <c r="G908" s="1" t="s">
        <v>12</v>
      </c>
      <c r="H908" s="3" t="s">
        <v>13</v>
      </c>
      <c r="I908" s="1"/>
    </row>
    <row r="909" ht="15.75" customHeight="1">
      <c r="A909" s="2">
        <v>908.0</v>
      </c>
      <c r="B909" s="1" t="s">
        <v>384</v>
      </c>
      <c r="C909" s="1" t="s">
        <v>2626</v>
      </c>
      <c r="D909" s="1" t="s">
        <v>2627</v>
      </c>
      <c r="E909" s="2">
        <v>5.70038355158E11</v>
      </c>
      <c r="F909" s="1" t="s">
        <v>2628</v>
      </c>
      <c r="G909" s="1" t="s">
        <v>12</v>
      </c>
      <c r="H909" s="3" t="s">
        <v>13</v>
      </c>
      <c r="I909" s="1"/>
    </row>
    <row r="910" ht="15.75" customHeight="1">
      <c r="A910" s="2">
        <v>909.0</v>
      </c>
      <c r="B910" s="1" t="s">
        <v>2533</v>
      </c>
      <c r="C910" s="1" t="s">
        <v>752</v>
      </c>
      <c r="D910" s="1" t="s">
        <v>2629</v>
      </c>
      <c r="E910" s="2">
        <v>5.70038355159E11</v>
      </c>
      <c r="F910" s="1" t="s">
        <v>2460</v>
      </c>
      <c r="G910" s="1" t="s">
        <v>12</v>
      </c>
      <c r="H910" s="3" t="s">
        <v>13</v>
      </c>
      <c r="I910" s="1"/>
    </row>
    <row r="911" ht="15.75" customHeight="1">
      <c r="A911" s="2">
        <v>910.0</v>
      </c>
      <c r="B911" s="1" t="s">
        <v>2630</v>
      </c>
      <c r="C911" s="1" t="s">
        <v>2613</v>
      </c>
      <c r="D911" s="1" t="s">
        <v>2631</v>
      </c>
      <c r="E911" s="2">
        <v>5.7003835516E11</v>
      </c>
      <c r="F911" s="1" t="s">
        <v>2086</v>
      </c>
      <c r="G911" s="1" t="s">
        <v>12</v>
      </c>
      <c r="H911" s="3" t="s">
        <v>13</v>
      </c>
      <c r="I911" s="1"/>
    </row>
    <row r="912" ht="15.75" customHeight="1">
      <c r="A912" s="2">
        <v>911.0</v>
      </c>
      <c r="B912" s="1" t="s">
        <v>2632</v>
      </c>
      <c r="C912" s="1" t="s">
        <v>2633</v>
      </c>
      <c r="D912" s="1" t="s">
        <v>725</v>
      </c>
      <c r="E912" s="2">
        <v>5.70038355161E11</v>
      </c>
      <c r="F912" s="1" t="s">
        <v>2634</v>
      </c>
      <c r="G912" s="1" t="s">
        <v>12</v>
      </c>
      <c r="H912" s="3" t="s">
        <v>13</v>
      </c>
      <c r="I912" s="1"/>
    </row>
    <row r="913" ht="15.75" customHeight="1">
      <c r="A913" s="2">
        <v>912.0</v>
      </c>
      <c r="B913" s="1" t="s">
        <v>2635</v>
      </c>
      <c r="C913" s="1" t="s">
        <v>2495</v>
      </c>
      <c r="D913" s="1" t="s">
        <v>2007</v>
      </c>
      <c r="E913" s="2">
        <v>5.70038355163E11</v>
      </c>
      <c r="F913" s="1" t="s">
        <v>1271</v>
      </c>
      <c r="G913" s="1" t="s">
        <v>12</v>
      </c>
      <c r="H913" s="3" t="s">
        <v>13</v>
      </c>
      <c r="I913" s="1"/>
    </row>
    <row r="914" ht="15.75" customHeight="1">
      <c r="A914" s="2">
        <v>913.0</v>
      </c>
      <c r="B914" s="1" t="s">
        <v>2007</v>
      </c>
      <c r="C914" s="1" t="s">
        <v>2636</v>
      </c>
      <c r="D914" s="1" t="s">
        <v>2637</v>
      </c>
      <c r="E914" s="2">
        <v>5.70038355164E11</v>
      </c>
      <c r="F914" s="1" t="s">
        <v>2638</v>
      </c>
      <c r="G914" s="1" t="s">
        <v>12</v>
      </c>
      <c r="H914" s="3" t="s">
        <v>13</v>
      </c>
      <c r="I914" s="1"/>
    </row>
    <row r="915" ht="15.75" customHeight="1">
      <c r="A915" s="2">
        <v>914.0</v>
      </c>
      <c r="B915" s="1" t="s">
        <v>2452</v>
      </c>
      <c r="C915" s="1" t="s">
        <v>2639</v>
      </c>
      <c r="D915" s="1" t="s">
        <v>2640</v>
      </c>
      <c r="E915" s="2">
        <v>5.70038355169E11</v>
      </c>
      <c r="F915" s="1" t="s">
        <v>2641</v>
      </c>
      <c r="G915" s="1" t="s">
        <v>12</v>
      </c>
      <c r="H915" s="3" t="s">
        <v>13</v>
      </c>
      <c r="I915" s="1"/>
    </row>
    <row r="916" ht="15.75" customHeight="1">
      <c r="A916" s="2">
        <v>915.0</v>
      </c>
      <c r="B916" s="1" t="s">
        <v>1521</v>
      </c>
      <c r="C916" s="1" t="s">
        <v>948</v>
      </c>
      <c r="D916" s="1" t="s">
        <v>2642</v>
      </c>
      <c r="E916" s="2">
        <v>5.7003835517E11</v>
      </c>
      <c r="F916" s="1" t="s">
        <v>2572</v>
      </c>
      <c r="G916" s="1" t="s">
        <v>12</v>
      </c>
      <c r="H916" s="3" t="s">
        <v>13</v>
      </c>
      <c r="I916" s="1"/>
    </row>
    <row r="917" ht="15.75" customHeight="1">
      <c r="A917" s="2">
        <v>916.0</v>
      </c>
      <c r="B917" s="1" t="s">
        <v>2643</v>
      </c>
      <c r="C917" s="1" t="s">
        <v>2644</v>
      </c>
      <c r="D917" s="1" t="s">
        <v>362</v>
      </c>
      <c r="E917" s="2">
        <v>5.70038355174E11</v>
      </c>
      <c r="F917" s="1" t="s">
        <v>2645</v>
      </c>
      <c r="G917" s="1" t="s">
        <v>12</v>
      </c>
      <c r="H917" s="3" t="s">
        <v>13</v>
      </c>
      <c r="I917" s="1"/>
    </row>
    <row r="918" ht="15.75" customHeight="1">
      <c r="A918" s="2">
        <v>917.0</v>
      </c>
      <c r="B918" s="1" t="s">
        <v>875</v>
      </c>
      <c r="C918" s="1" t="s">
        <v>2646</v>
      </c>
      <c r="D918" s="1" t="s">
        <v>2647</v>
      </c>
      <c r="E918" s="2">
        <v>5.70038355175E11</v>
      </c>
      <c r="F918" s="1" t="s">
        <v>2511</v>
      </c>
      <c r="G918" s="1" t="s">
        <v>12</v>
      </c>
      <c r="H918" s="3" t="s">
        <v>13</v>
      </c>
      <c r="I918" s="1"/>
    </row>
    <row r="919" ht="15.75" customHeight="1">
      <c r="A919" s="2">
        <v>918.0</v>
      </c>
      <c r="B919" s="1" t="s">
        <v>2648</v>
      </c>
      <c r="C919" s="1" t="s">
        <v>2649</v>
      </c>
      <c r="D919" s="1" t="s">
        <v>482</v>
      </c>
      <c r="E919" s="2">
        <v>5.70038355176E11</v>
      </c>
      <c r="F919" s="1" t="s">
        <v>2650</v>
      </c>
      <c r="G919" s="1" t="s">
        <v>12</v>
      </c>
      <c r="H919" s="3" t="s">
        <v>13</v>
      </c>
      <c r="I919" s="1"/>
    </row>
    <row r="920" ht="15.75" customHeight="1">
      <c r="A920" s="2">
        <v>919.0</v>
      </c>
      <c r="B920" s="1" t="s">
        <v>2651</v>
      </c>
      <c r="C920" s="1" t="s">
        <v>2652</v>
      </c>
      <c r="D920" s="1" t="s">
        <v>58</v>
      </c>
      <c r="E920" s="2">
        <v>5.70038355177E11</v>
      </c>
      <c r="F920" s="1" t="s">
        <v>2653</v>
      </c>
      <c r="G920" s="1" t="s">
        <v>12</v>
      </c>
      <c r="H920" s="3" t="s">
        <v>13</v>
      </c>
      <c r="I920" s="1"/>
    </row>
    <row r="921" ht="15.75" customHeight="1">
      <c r="A921" s="2">
        <v>920.0</v>
      </c>
      <c r="B921" s="1" t="s">
        <v>498</v>
      </c>
      <c r="C921" s="1" t="s">
        <v>2654</v>
      </c>
      <c r="D921" s="1" t="s">
        <v>2655</v>
      </c>
      <c r="E921" s="2">
        <v>5.70038355185E11</v>
      </c>
      <c r="F921" s="1" t="s">
        <v>2656</v>
      </c>
      <c r="G921" s="1" t="s">
        <v>12</v>
      </c>
      <c r="H921" s="3" t="s">
        <v>13</v>
      </c>
      <c r="I921" s="1"/>
    </row>
    <row r="922" ht="15.75" customHeight="1">
      <c r="A922" s="2">
        <v>921.0</v>
      </c>
      <c r="B922" s="1" t="s">
        <v>2657</v>
      </c>
      <c r="C922" s="1" t="s">
        <v>1230</v>
      </c>
      <c r="D922" s="1" t="s">
        <v>313</v>
      </c>
      <c r="E922" s="2">
        <v>5.70038355187E11</v>
      </c>
      <c r="F922" s="1" t="s">
        <v>2658</v>
      </c>
      <c r="G922" s="1" t="s">
        <v>12</v>
      </c>
      <c r="H922" s="3" t="s">
        <v>13</v>
      </c>
      <c r="I922" s="1"/>
    </row>
    <row r="923" ht="15.75" customHeight="1">
      <c r="A923" s="2">
        <v>922.0</v>
      </c>
      <c r="B923" s="1" t="s">
        <v>2659</v>
      </c>
      <c r="C923" s="1" t="s">
        <v>2660</v>
      </c>
      <c r="D923" s="1" t="s">
        <v>52</v>
      </c>
      <c r="E923" s="2">
        <v>5.70038355189E11</v>
      </c>
      <c r="F923" s="1" t="s">
        <v>2661</v>
      </c>
      <c r="G923" s="1" t="s">
        <v>12</v>
      </c>
      <c r="H923" s="3" t="s">
        <v>13</v>
      </c>
      <c r="I923" s="1"/>
    </row>
    <row r="924" ht="15.75" customHeight="1">
      <c r="A924" s="2">
        <v>923.0</v>
      </c>
      <c r="B924" s="1" t="s">
        <v>384</v>
      </c>
      <c r="C924" s="1" t="s">
        <v>2662</v>
      </c>
      <c r="D924" s="1" t="s">
        <v>2663</v>
      </c>
      <c r="E924" s="2">
        <v>5.7003835519E11</v>
      </c>
      <c r="F924" s="1" t="s">
        <v>2664</v>
      </c>
      <c r="G924" s="1" t="s">
        <v>12</v>
      </c>
      <c r="H924" s="3" t="s">
        <v>13</v>
      </c>
      <c r="I924" s="1"/>
    </row>
    <row r="925" ht="15.75" customHeight="1">
      <c r="A925" s="2">
        <v>924.0</v>
      </c>
      <c r="B925" s="1" t="s">
        <v>1191</v>
      </c>
      <c r="C925" s="1" t="s">
        <v>2466</v>
      </c>
      <c r="D925" s="1" t="s">
        <v>1771</v>
      </c>
      <c r="E925" s="2">
        <v>5.70038355193E11</v>
      </c>
      <c r="F925" s="1" t="s">
        <v>2665</v>
      </c>
      <c r="G925" s="1" t="s">
        <v>12</v>
      </c>
      <c r="H925" s="3" t="s">
        <v>13</v>
      </c>
      <c r="I925" s="1"/>
    </row>
    <row r="926" ht="15.75" customHeight="1">
      <c r="A926" s="2">
        <v>925.0</v>
      </c>
      <c r="B926" s="1" t="s">
        <v>97</v>
      </c>
      <c r="C926" s="1" t="s">
        <v>2666</v>
      </c>
      <c r="D926" s="1" t="s">
        <v>384</v>
      </c>
      <c r="E926" s="2">
        <v>5.70038355197E11</v>
      </c>
      <c r="F926" s="1" t="s">
        <v>2667</v>
      </c>
      <c r="G926" s="1" t="s">
        <v>12</v>
      </c>
      <c r="H926" s="3" t="s">
        <v>13</v>
      </c>
      <c r="I926" s="1"/>
    </row>
    <row r="927" ht="15.75" customHeight="1">
      <c r="A927" s="2">
        <v>926.0</v>
      </c>
      <c r="B927" s="1" t="s">
        <v>97</v>
      </c>
      <c r="C927" s="1" t="s">
        <v>2668</v>
      </c>
      <c r="D927" s="1" t="s">
        <v>157</v>
      </c>
      <c r="E927" s="2">
        <v>5.70038355198E11</v>
      </c>
      <c r="F927" s="1" t="s">
        <v>2669</v>
      </c>
      <c r="G927" s="1" t="s">
        <v>12</v>
      </c>
      <c r="H927" s="3" t="s">
        <v>13</v>
      </c>
      <c r="I927" s="1"/>
    </row>
    <row r="928" ht="15.75" customHeight="1">
      <c r="A928" s="2">
        <v>927.0</v>
      </c>
      <c r="B928" s="1" t="s">
        <v>331</v>
      </c>
      <c r="C928" s="1" t="s">
        <v>2670</v>
      </c>
      <c r="D928" s="1" t="s">
        <v>564</v>
      </c>
      <c r="E928" s="2">
        <v>5.700383552E11</v>
      </c>
      <c r="F928" s="1" t="s">
        <v>2671</v>
      </c>
      <c r="G928" s="1" t="s">
        <v>12</v>
      </c>
      <c r="H928" s="3" t="s">
        <v>13</v>
      </c>
      <c r="I928" s="1"/>
    </row>
    <row r="929" ht="15.75" customHeight="1">
      <c r="A929" s="2">
        <v>928.0</v>
      </c>
      <c r="B929" s="1" t="s">
        <v>2672</v>
      </c>
      <c r="C929" s="1" t="s">
        <v>2673</v>
      </c>
      <c r="D929" s="1" t="s">
        <v>2674</v>
      </c>
      <c r="E929" s="2">
        <v>5.70038355202E11</v>
      </c>
      <c r="F929" s="1" t="s">
        <v>2562</v>
      </c>
      <c r="G929" s="1" t="s">
        <v>12</v>
      </c>
      <c r="H929" s="3" t="s">
        <v>13</v>
      </c>
      <c r="I929" s="1"/>
    </row>
    <row r="930" ht="15.75" customHeight="1">
      <c r="A930" s="2">
        <v>929.0</v>
      </c>
      <c r="B930" s="1" t="s">
        <v>2675</v>
      </c>
      <c r="C930" s="1" t="s">
        <v>2676</v>
      </c>
      <c r="D930" s="1" t="s">
        <v>559</v>
      </c>
      <c r="E930" s="2">
        <v>5.70038355203E11</v>
      </c>
      <c r="F930" s="1" t="s">
        <v>2677</v>
      </c>
      <c r="G930" s="1" t="s">
        <v>12</v>
      </c>
      <c r="H930" s="3" t="s">
        <v>13</v>
      </c>
      <c r="I930" s="1"/>
    </row>
    <row r="931" ht="15.75" customHeight="1">
      <c r="A931" s="2">
        <v>930.0</v>
      </c>
      <c r="B931" s="1" t="s">
        <v>2659</v>
      </c>
      <c r="C931" s="1" t="s">
        <v>2678</v>
      </c>
      <c r="D931" s="1" t="s">
        <v>269</v>
      </c>
      <c r="E931" s="2">
        <v>5.70038355204E11</v>
      </c>
      <c r="F931" s="1" t="s">
        <v>2679</v>
      </c>
      <c r="G931" s="1" t="s">
        <v>12</v>
      </c>
      <c r="H931" s="3" t="s">
        <v>13</v>
      </c>
      <c r="I931" s="1"/>
    </row>
    <row r="932" ht="15.75" customHeight="1">
      <c r="A932" s="2">
        <v>931.0</v>
      </c>
      <c r="B932" s="1" t="s">
        <v>97</v>
      </c>
      <c r="C932" s="1" t="s">
        <v>2680</v>
      </c>
      <c r="D932" s="1" t="s">
        <v>2681</v>
      </c>
      <c r="E932" s="2">
        <v>5.70038355205E11</v>
      </c>
      <c r="F932" s="1" t="s">
        <v>2682</v>
      </c>
      <c r="G932" s="1" t="s">
        <v>12</v>
      </c>
      <c r="H932" s="3" t="s">
        <v>13</v>
      </c>
      <c r="I932" s="1"/>
    </row>
    <row r="933" ht="15.75" customHeight="1">
      <c r="A933" s="2">
        <v>932.0</v>
      </c>
      <c r="B933" s="1" t="s">
        <v>2683</v>
      </c>
      <c r="C933" s="1" t="s">
        <v>2684</v>
      </c>
      <c r="D933" s="1" t="s">
        <v>60</v>
      </c>
      <c r="E933" s="2">
        <v>5.70038355206E11</v>
      </c>
      <c r="F933" s="1" t="s">
        <v>2685</v>
      </c>
      <c r="G933" s="1" t="s">
        <v>12</v>
      </c>
      <c r="H933" s="3" t="s">
        <v>13</v>
      </c>
      <c r="I933" s="1"/>
    </row>
    <row r="934" ht="15.75" customHeight="1">
      <c r="A934" s="2">
        <v>933.0</v>
      </c>
      <c r="B934" s="1" t="s">
        <v>2230</v>
      </c>
      <c r="C934" s="1" t="s">
        <v>2686</v>
      </c>
      <c r="D934" s="1" t="s">
        <v>2687</v>
      </c>
      <c r="E934" s="2">
        <v>5.70038355212E11</v>
      </c>
      <c r="F934" s="1" t="s">
        <v>1549</v>
      </c>
      <c r="G934" s="1" t="s">
        <v>12</v>
      </c>
      <c r="H934" s="3" t="s">
        <v>13</v>
      </c>
      <c r="I934" s="1"/>
    </row>
    <row r="935" ht="15.75" customHeight="1">
      <c r="A935" s="2">
        <v>934.0</v>
      </c>
      <c r="B935" s="1" t="s">
        <v>2688</v>
      </c>
      <c r="C935" s="1" t="s">
        <v>2689</v>
      </c>
      <c r="D935" s="1" t="s">
        <v>2690</v>
      </c>
      <c r="E935" s="2">
        <v>5.70038355214E11</v>
      </c>
      <c r="F935" s="1" t="s">
        <v>2691</v>
      </c>
      <c r="G935" s="1" t="s">
        <v>12</v>
      </c>
      <c r="H935" s="3" t="s">
        <v>13</v>
      </c>
      <c r="I935" s="1"/>
    </row>
    <row r="936" ht="15.75" customHeight="1">
      <c r="A936" s="2">
        <v>935.0</v>
      </c>
      <c r="B936" s="1" t="s">
        <v>2692</v>
      </c>
      <c r="C936" s="1" t="s">
        <v>2693</v>
      </c>
      <c r="D936" s="1" t="s">
        <v>384</v>
      </c>
      <c r="E936" s="2">
        <v>5.70038355215E11</v>
      </c>
      <c r="F936" s="1" t="s">
        <v>2694</v>
      </c>
      <c r="G936" s="1" t="s">
        <v>12</v>
      </c>
      <c r="H936" s="3" t="s">
        <v>13</v>
      </c>
      <c r="I936" s="1"/>
    </row>
    <row r="937" ht="15.75" customHeight="1">
      <c r="A937" s="2">
        <v>936.0</v>
      </c>
      <c r="B937" s="1" t="s">
        <v>1052</v>
      </c>
      <c r="C937" s="1" t="s">
        <v>2695</v>
      </c>
      <c r="D937" s="1" t="s">
        <v>2696</v>
      </c>
      <c r="E937" s="2">
        <v>5.70038355218E11</v>
      </c>
      <c r="F937" s="1" t="s">
        <v>2697</v>
      </c>
      <c r="G937" s="1" t="s">
        <v>12</v>
      </c>
      <c r="H937" s="3" t="s">
        <v>13</v>
      </c>
      <c r="I937" s="1"/>
    </row>
    <row r="938" ht="15.75" customHeight="1">
      <c r="A938" s="2">
        <v>937.0</v>
      </c>
      <c r="B938" s="1" t="s">
        <v>48</v>
      </c>
      <c r="C938" s="1" t="s">
        <v>2698</v>
      </c>
      <c r="D938" s="1" t="s">
        <v>2699</v>
      </c>
      <c r="E938" s="2">
        <v>5.70038355221E11</v>
      </c>
      <c r="F938" s="1" t="s">
        <v>2700</v>
      </c>
      <c r="G938" s="1" t="s">
        <v>12</v>
      </c>
      <c r="H938" s="3" t="s">
        <v>13</v>
      </c>
      <c r="I938" s="1"/>
    </row>
    <row r="939" ht="15.75" customHeight="1">
      <c r="A939" s="2">
        <v>938.0</v>
      </c>
      <c r="B939" s="1" t="s">
        <v>141</v>
      </c>
      <c r="C939" s="1" t="s">
        <v>2701</v>
      </c>
      <c r="D939" s="1" t="s">
        <v>2702</v>
      </c>
      <c r="E939" s="2">
        <v>5.70038355223E11</v>
      </c>
      <c r="F939" s="1" t="s">
        <v>2703</v>
      </c>
      <c r="G939" s="1" t="s">
        <v>12</v>
      </c>
      <c r="H939" s="3" t="s">
        <v>13</v>
      </c>
      <c r="I939" s="1"/>
    </row>
    <row r="940" ht="15.75" customHeight="1">
      <c r="A940" s="2">
        <v>939.0</v>
      </c>
      <c r="B940" s="1" t="s">
        <v>1312</v>
      </c>
      <c r="C940" s="1" t="s">
        <v>593</v>
      </c>
      <c r="D940" s="1" t="s">
        <v>157</v>
      </c>
      <c r="E940" s="2">
        <v>5.70038355224E11</v>
      </c>
      <c r="F940" s="1" t="s">
        <v>2704</v>
      </c>
      <c r="G940" s="1" t="s">
        <v>12</v>
      </c>
      <c r="H940" s="3" t="s">
        <v>13</v>
      </c>
      <c r="I940" s="1"/>
    </row>
    <row r="941" ht="15.75" customHeight="1">
      <c r="A941" s="2">
        <v>940.0</v>
      </c>
      <c r="B941" s="1" t="s">
        <v>2705</v>
      </c>
      <c r="C941" s="1" t="s">
        <v>2706</v>
      </c>
      <c r="D941" s="1" t="s">
        <v>1891</v>
      </c>
      <c r="E941" s="2">
        <v>5.70038355225E11</v>
      </c>
      <c r="F941" s="1" t="s">
        <v>2707</v>
      </c>
      <c r="G941" s="1" t="s">
        <v>12</v>
      </c>
      <c r="H941" s="3" t="s">
        <v>13</v>
      </c>
      <c r="I941" s="1"/>
    </row>
    <row r="942" ht="15.75" customHeight="1">
      <c r="A942" s="2">
        <v>941.0</v>
      </c>
      <c r="B942" s="1" t="s">
        <v>2708</v>
      </c>
      <c r="C942" s="1" t="s">
        <v>2709</v>
      </c>
      <c r="D942" s="1" t="s">
        <v>1855</v>
      </c>
      <c r="E942" s="2">
        <v>5.70038355226E11</v>
      </c>
      <c r="F942" s="1" t="s">
        <v>402</v>
      </c>
      <c r="G942" s="1" t="s">
        <v>12</v>
      </c>
      <c r="H942" s="3" t="s">
        <v>13</v>
      </c>
      <c r="I942" s="1"/>
    </row>
    <row r="943" ht="15.75" customHeight="1">
      <c r="A943" s="2">
        <v>942.0</v>
      </c>
      <c r="B943" s="1" t="s">
        <v>2390</v>
      </c>
      <c r="C943" s="1" t="s">
        <v>2710</v>
      </c>
      <c r="D943" s="1" t="s">
        <v>341</v>
      </c>
      <c r="E943" s="2">
        <v>5.70038355228E11</v>
      </c>
      <c r="F943" s="1" t="s">
        <v>2711</v>
      </c>
      <c r="G943" s="1" t="s">
        <v>12</v>
      </c>
      <c r="H943" s="3" t="s">
        <v>13</v>
      </c>
      <c r="I943" s="1"/>
    </row>
    <row r="944" ht="15.75" customHeight="1">
      <c r="A944" s="2">
        <v>943.0</v>
      </c>
      <c r="B944" s="1" t="s">
        <v>2712</v>
      </c>
      <c r="C944" s="1" t="s">
        <v>2713</v>
      </c>
      <c r="D944" s="1" t="s">
        <v>552</v>
      </c>
      <c r="E944" s="2">
        <v>5.70038355236E11</v>
      </c>
      <c r="F944" s="1" t="s">
        <v>2028</v>
      </c>
      <c r="G944" s="1" t="s">
        <v>12</v>
      </c>
      <c r="H944" s="3" t="s">
        <v>13</v>
      </c>
      <c r="I944" s="1"/>
    </row>
    <row r="945" ht="15.75" customHeight="1">
      <c r="A945" s="2">
        <v>944.0</v>
      </c>
      <c r="B945" s="1" t="s">
        <v>2714</v>
      </c>
      <c r="C945" s="1" t="s">
        <v>2715</v>
      </c>
      <c r="D945" s="1" t="s">
        <v>2716</v>
      </c>
      <c r="E945" s="2">
        <v>5.70038355239E11</v>
      </c>
      <c r="F945" s="1" t="s">
        <v>2717</v>
      </c>
      <c r="G945" s="1" t="s">
        <v>12</v>
      </c>
      <c r="H945" s="3" t="s">
        <v>13</v>
      </c>
      <c r="I945" s="1"/>
    </row>
    <row r="946" ht="15.75" customHeight="1">
      <c r="A946" s="2">
        <v>945.0</v>
      </c>
      <c r="B946" s="1" t="s">
        <v>906</v>
      </c>
      <c r="C946" s="1" t="s">
        <v>2718</v>
      </c>
      <c r="D946" s="1" t="s">
        <v>875</v>
      </c>
      <c r="E946" s="2">
        <v>5.70038355243E11</v>
      </c>
      <c r="F946" s="1" t="s">
        <v>715</v>
      </c>
      <c r="G946" s="1" t="s">
        <v>12</v>
      </c>
      <c r="H946" s="3" t="s">
        <v>13</v>
      </c>
      <c r="I946" s="1"/>
    </row>
    <row r="947" ht="15.75" customHeight="1">
      <c r="A947" s="2">
        <v>946.0</v>
      </c>
      <c r="B947" s="1" t="s">
        <v>734</v>
      </c>
      <c r="C947" s="1" t="s">
        <v>976</v>
      </c>
      <c r="D947" s="1" t="s">
        <v>263</v>
      </c>
      <c r="E947" s="2">
        <v>5.70038355251E11</v>
      </c>
      <c r="F947" s="1" t="s">
        <v>2719</v>
      </c>
      <c r="G947" s="1" t="s">
        <v>12</v>
      </c>
      <c r="H947" s="3" t="s">
        <v>13</v>
      </c>
      <c r="I947" s="1"/>
    </row>
    <row r="948" ht="15.75" customHeight="1">
      <c r="A948" s="2">
        <v>947.0</v>
      </c>
      <c r="B948" s="1" t="s">
        <v>2720</v>
      </c>
      <c r="C948" s="1" t="s">
        <v>1908</v>
      </c>
      <c r="D948" s="1" t="s">
        <v>2721</v>
      </c>
      <c r="E948" s="2">
        <v>5.70038355258E11</v>
      </c>
      <c r="F948" s="1" t="s">
        <v>2722</v>
      </c>
      <c r="G948" s="1" t="s">
        <v>12</v>
      </c>
      <c r="H948" s="3" t="s">
        <v>13</v>
      </c>
      <c r="I948" s="1"/>
    </row>
    <row r="949" ht="15.75" customHeight="1">
      <c r="A949" s="2">
        <v>948.0</v>
      </c>
      <c r="B949" s="1" t="s">
        <v>723</v>
      </c>
      <c r="C949" s="1" t="s">
        <v>2723</v>
      </c>
      <c r="D949" s="1" t="s">
        <v>2720</v>
      </c>
      <c r="E949" s="2">
        <v>5.7003835526E11</v>
      </c>
      <c r="F949" s="1" t="s">
        <v>2724</v>
      </c>
      <c r="G949" s="1" t="s">
        <v>12</v>
      </c>
      <c r="H949" s="3" t="s">
        <v>13</v>
      </c>
      <c r="I949" s="1"/>
    </row>
    <row r="950" ht="15.75" customHeight="1">
      <c r="A950" s="2">
        <v>949.0</v>
      </c>
      <c r="B950" s="1" t="s">
        <v>2725</v>
      </c>
      <c r="C950" s="1" t="s">
        <v>2726</v>
      </c>
      <c r="D950" s="1" t="s">
        <v>1499</v>
      </c>
      <c r="E950" s="2">
        <v>5.70038355262E11</v>
      </c>
      <c r="F950" s="1" t="s">
        <v>1839</v>
      </c>
      <c r="G950" s="1" t="s">
        <v>12</v>
      </c>
      <c r="H950" s="3" t="s">
        <v>13</v>
      </c>
      <c r="I950" s="1"/>
    </row>
    <row r="951" ht="15.75" customHeight="1">
      <c r="A951" s="4">
        <v>950.0</v>
      </c>
      <c r="B951" s="1" t="s">
        <v>594</v>
      </c>
      <c r="C951" s="1" t="s">
        <v>2727</v>
      </c>
      <c r="D951" s="1" t="s">
        <v>1161</v>
      </c>
      <c r="E951" s="2">
        <v>5.70038355264E11</v>
      </c>
      <c r="F951" s="1" t="s">
        <v>2728</v>
      </c>
      <c r="G951" s="1" t="s">
        <v>12</v>
      </c>
      <c r="H951" s="3" t="s">
        <v>13</v>
      </c>
      <c r="I951" s="1"/>
    </row>
    <row r="952" ht="15.75" customHeight="1">
      <c r="A952" s="2">
        <v>951.0</v>
      </c>
      <c r="B952" s="1" t="s">
        <v>2729</v>
      </c>
      <c r="C952" s="1" t="s">
        <v>2730</v>
      </c>
      <c r="D952" s="1" t="s">
        <v>263</v>
      </c>
      <c r="E952" s="2">
        <v>5.70038355268E11</v>
      </c>
      <c r="F952" s="1" t="s">
        <v>2731</v>
      </c>
      <c r="G952" s="1" t="s">
        <v>12</v>
      </c>
      <c r="H952" s="3" t="s">
        <v>13</v>
      </c>
      <c r="I952" s="1"/>
    </row>
    <row r="953" ht="15.75" customHeight="1">
      <c r="A953" s="2">
        <v>952.0</v>
      </c>
      <c r="B953" s="1" t="s">
        <v>431</v>
      </c>
      <c r="C953" s="1" t="s">
        <v>2684</v>
      </c>
      <c r="D953" s="1" t="s">
        <v>2732</v>
      </c>
      <c r="E953" s="2">
        <v>5.70038355269E11</v>
      </c>
      <c r="F953" s="1" t="s">
        <v>2733</v>
      </c>
      <c r="G953" s="1" t="s">
        <v>12</v>
      </c>
      <c r="H953" s="3" t="s">
        <v>13</v>
      </c>
      <c r="I953" s="1"/>
    </row>
    <row r="954" ht="15.75" customHeight="1">
      <c r="A954" s="2">
        <v>953.0</v>
      </c>
      <c r="B954" s="1" t="s">
        <v>2734</v>
      </c>
      <c r="C954" s="1" t="s">
        <v>936</v>
      </c>
      <c r="D954" s="1" t="s">
        <v>611</v>
      </c>
      <c r="E954" s="2">
        <v>5.70038355271E11</v>
      </c>
      <c r="F954" s="1" t="s">
        <v>2735</v>
      </c>
      <c r="G954" s="1" t="s">
        <v>12</v>
      </c>
      <c r="H954" s="3" t="s">
        <v>13</v>
      </c>
      <c r="I954" s="1"/>
    </row>
    <row r="955" ht="15.75" customHeight="1">
      <c r="A955" s="2">
        <v>954.0</v>
      </c>
      <c r="B955" s="1" t="s">
        <v>2533</v>
      </c>
      <c r="C955" s="1" t="s">
        <v>2736</v>
      </c>
      <c r="D955" s="1" t="s">
        <v>1159</v>
      </c>
      <c r="E955" s="2">
        <v>5.70038355275E11</v>
      </c>
      <c r="F955" s="1" t="s">
        <v>2737</v>
      </c>
      <c r="G955" s="1" t="s">
        <v>12</v>
      </c>
      <c r="H955" s="3" t="s">
        <v>13</v>
      </c>
      <c r="I955" s="1"/>
    </row>
    <row r="956" ht="15.75" customHeight="1">
      <c r="A956" s="2">
        <v>955.0</v>
      </c>
      <c r="B956" s="1" t="s">
        <v>42</v>
      </c>
      <c r="C956" s="1" t="s">
        <v>2738</v>
      </c>
      <c r="D956" s="1" t="s">
        <v>48</v>
      </c>
      <c r="E956" s="2">
        <v>5.70038355276E11</v>
      </c>
      <c r="F956" s="1" t="s">
        <v>2739</v>
      </c>
      <c r="G956" s="1" t="s">
        <v>12</v>
      </c>
      <c r="H956" s="3" t="s">
        <v>13</v>
      </c>
      <c r="I956" s="1"/>
    </row>
    <row r="957" ht="15.75" customHeight="1">
      <c r="A957" s="2">
        <v>956.0</v>
      </c>
      <c r="B957" s="1" t="s">
        <v>2740</v>
      </c>
      <c r="C957" s="1" t="s">
        <v>2741</v>
      </c>
      <c r="D957" s="1" t="s">
        <v>2221</v>
      </c>
      <c r="E957" s="2">
        <v>5.70038355277E11</v>
      </c>
      <c r="F957" s="1" t="s">
        <v>2742</v>
      </c>
      <c r="G957" s="1" t="s">
        <v>12</v>
      </c>
      <c r="H957" s="3" t="s">
        <v>13</v>
      </c>
      <c r="I957" s="1"/>
    </row>
    <row r="958" ht="15.75" customHeight="1">
      <c r="A958" s="2">
        <v>957.0</v>
      </c>
      <c r="B958" s="1" t="s">
        <v>2743</v>
      </c>
      <c r="C958" s="1" t="s">
        <v>2744</v>
      </c>
      <c r="D958" s="1" t="s">
        <v>1756</v>
      </c>
      <c r="E958" s="2">
        <v>5.70038355278E11</v>
      </c>
      <c r="F958" s="1" t="s">
        <v>572</v>
      </c>
      <c r="G958" s="1" t="s">
        <v>12</v>
      </c>
      <c r="H958" s="3" t="s">
        <v>13</v>
      </c>
      <c r="I958" s="1"/>
    </row>
    <row r="959" ht="15.75" customHeight="1">
      <c r="A959" s="2">
        <v>958.0</v>
      </c>
      <c r="B959" s="1" t="s">
        <v>397</v>
      </c>
      <c r="C959" s="1" t="s">
        <v>2745</v>
      </c>
      <c r="D959" s="1" t="s">
        <v>1477</v>
      </c>
      <c r="E959" s="2">
        <v>5.70038355279E11</v>
      </c>
      <c r="F959" s="1" t="s">
        <v>2746</v>
      </c>
      <c r="G959" s="1" t="s">
        <v>12</v>
      </c>
      <c r="H959" s="3" t="s">
        <v>13</v>
      </c>
      <c r="I959" s="1"/>
    </row>
    <row r="960" ht="15.75" customHeight="1">
      <c r="A960" s="2">
        <v>959.0</v>
      </c>
      <c r="B960" s="1" t="s">
        <v>42</v>
      </c>
      <c r="C960" s="1" t="s">
        <v>2747</v>
      </c>
      <c r="D960" s="1" t="s">
        <v>2748</v>
      </c>
      <c r="E960" s="2">
        <v>5.7003835528E11</v>
      </c>
      <c r="F960" s="1" t="s">
        <v>2749</v>
      </c>
      <c r="G960" s="1" t="s">
        <v>12</v>
      </c>
      <c r="H960" s="3" t="s">
        <v>13</v>
      </c>
      <c r="I960" s="1"/>
    </row>
    <row r="961" ht="15.75" customHeight="1">
      <c r="A961" s="2">
        <v>960.0</v>
      </c>
      <c r="B961" s="1" t="s">
        <v>2750</v>
      </c>
      <c r="C961" s="1" t="s">
        <v>2751</v>
      </c>
      <c r="D961" s="1" t="s">
        <v>210</v>
      </c>
      <c r="E961" s="2">
        <v>5.70038355281E11</v>
      </c>
      <c r="F961" s="1" t="s">
        <v>2752</v>
      </c>
      <c r="G961" s="1" t="s">
        <v>12</v>
      </c>
      <c r="H961" s="3" t="s">
        <v>13</v>
      </c>
      <c r="I961" s="1"/>
    </row>
    <row r="962" ht="15.75" customHeight="1">
      <c r="A962" s="2">
        <v>961.0</v>
      </c>
      <c r="B962" s="1" t="s">
        <v>2753</v>
      </c>
      <c r="C962" s="1" t="s">
        <v>731</v>
      </c>
      <c r="D962" s="1" t="s">
        <v>2754</v>
      </c>
      <c r="E962" s="2">
        <v>5.70038355282E11</v>
      </c>
      <c r="F962" s="1" t="s">
        <v>2755</v>
      </c>
      <c r="G962" s="1" t="s">
        <v>12</v>
      </c>
      <c r="H962" s="3" t="s">
        <v>13</v>
      </c>
      <c r="I962" s="1"/>
    </row>
    <row r="963" ht="15.75" customHeight="1">
      <c r="A963" s="2">
        <v>962.0</v>
      </c>
      <c r="B963" s="1" t="s">
        <v>413</v>
      </c>
      <c r="C963" s="1" t="s">
        <v>2756</v>
      </c>
      <c r="D963" s="1" t="s">
        <v>233</v>
      </c>
      <c r="E963" s="2">
        <v>5.70038355285E11</v>
      </c>
      <c r="F963" s="1" t="s">
        <v>2757</v>
      </c>
      <c r="G963" s="1" t="s">
        <v>2758</v>
      </c>
      <c r="H963" s="3" t="s">
        <v>13</v>
      </c>
      <c r="I963" s="1"/>
    </row>
    <row r="964" ht="15.75" customHeight="1">
      <c r="A964" s="2">
        <v>963.0</v>
      </c>
      <c r="B964" s="1" t="s">
        <v>2759</v>
      </c>
      <c r="C964" s="1" t="s">
        <v>518</v>
      </c>
      <c r="D964" s="1" t="s">
        <v>2760</v>
      </c>
      <c r="E964" s="2">
        <v>5.70038355287E11</v>
      </c>
      <c r="F964" s="1" t="s">
        <v>2761</v>
      </c>
      <c r="G964" s="1" t="s">
        <v>12</v>
      </c>
      <c r="H964" s="3" t="s">
        <v>13</v>
      </c>
      <c r="I964" s="1"/>
    </row>
    <row r="965" ht="15.75" customHeight="1">
      <c r="A965" s="2">
        <v>964.0</v>
      </c>
      <c r="B965" s="1" t="s">
        <v>1285</v>
      </c>
      <c r="C965" s="1" t="s">
        <v>2747</v>
      </c>
      <c r="D965" s="1" t="s">
        <v>2762</v>
      </c>
      <c r="E965" s="2">
        <v>5.70038355288E11</v>
      </c>
      <c r="F965" s="1" t="s">
        <v>2763</v>
      </c>
      <c r="G965" s="1" t="s">
        <v>12</v>
      </c>
      <c r="H965" s="3" t="s">
        <v>13</v>
      </c>
      <c r="I965" s="1"/>
    </row>
    <row r="966" ht="15.75" customHeight="1">
      <c r="A966" s="2">
        <v>965.0</v>
      </c>
      <c r="B966" s="1" t="s">
        <v>48</v>
      </c>
      <c r="C966" s="1" t="s">
        <v>2764</v>
      </c>
      <c r="D966" s="1" t="s">
        <v>2765</v>
      </c>
      <c r="E966" s="2">
        <v>5.70038355289E11</v>
      </c>
      <c r="F966" s="1" t="s">
        <v>2766</v>
      </c>
      <c r="G966" s="1" t="s">
        <v>12</v>
      </c>
      <c r="H966" s="3" t="s">
        <v>13</v>
      </c>
      <c r="I966" s="1"/>
    </row>
    <row r="967" ht="15.75" customHeight="1">
      <c r="A967" s="2">
        <v>966.0</v>
      </c>
      <c r="B967" s="1" t="s">
        <v>725</v>
      </c>
      <c r="C967" s="1" t="s">
        <v>731</v>
      </c>
      <c r="D967" s="1" t="s">
        <v>295</v>
      </c>
      <c r="E967" s="2">
        <v>5.70038355293E11</v>
      </c>
      <c r="F967" s="1" t="s">
        <v>2767</v>
      </c>
      <c r="G967" s="1" t="s">
        <v>12</v>
      </c>
      <c r="H967" s="3" t="s">
        <v>13</v>
      </c>
      <c r="I967" s="1"/>
    </row>
    <row r="968" ht="15.75" customHeight="1">
      <c r="A968" s="2">
        <v>967.0</v>
      </c>
      <c r="B968" s="1" t="s">
        <v>2768</v>
      </c>
      <c r="C968" s="1" t="s">
        <v>2769</v>
      </c>
      <c r="D968" s="1" t="s">
        <v>118</v>
      </c>
      <c r="E968" s="2">
        <v>5.70038355294E11</v>
      </c>
      <c r="F968" s="1" t="s">
        <v>2770</v>
      </c>
      <c r="G968" s="1" t="s">
        <v>12</v>
      </c>
      <c r="H968" s="3" t="s">
        <v>13</v>
      </c>
      <c r="I968" s="1"/>
    </row>
    <row r="969" ht="15.75" customHeight="1">
      <c r="A969" s="2">
        <v>968.0</v>
      </c>
      <c r="B969" s="1" t="s">
        <v>2771</v>
      </c>
      <c r="C969" s="1" t="s">
        <v>2772</v>
      </c>
      <c r="D969" s="1" t="s">
        <v>2773</v>
      </c>
      <c r="E969" s="2">
        <v>5.70038355295E11</v>
      </c>
      <c r="F969" s="1" t="s">
        <v>2774</v>
      </c>
      <c r="G969" s="1" t="s">
        <v>12</v>
      </c>
      <c r="H969" s="3" t="s">
        <v>13</v>
      </c>
      <c r="I969" s="1"/>
    </row>
    <row r="970" ht="15.75" customHeight="1">
      <c r="A970" s="2">
        <v>969.0</v>
      </c>
      <c r="B970" s="1" t="s">
        <v>1599</v>
      </c>
      <c r="C970" s="1" t="s">
        <v>2775</v>
      </c>
      <c r="D970" s="1" t="s">
        <v>441</v>
      </c>
      <c r="E970" s="2">
        <v>5.70038355296E11</v>
      </c>
      <c r="F970" s="1" t="s">
        <v>1662</v>
      </c>
      <c r="G970" s="1" t="s">
        <v>12</v>
      </c>
      <c r="H970" s="3" t="s">
        <v>13</v>
      </c>
      <c r="I970" s="1"/>
    </row>
    <row r="971" ht="15.75" customHeight="1">
      <c r="A971" s="2">
        <v>970.0</v>
      </c>
      <c r="B971" s="1" t="s">
        <v>600</v>
      </c>
      <c r="C971" s="1" t="s">
        <v>1989</v>
      </c>
      <c r="D971" s="1" t="s">
        <v>1161</v>
      </c>
      <c r="E971" s="2">
        <v>5.70038355297E11</v>
      </c>
      <c r="F971" s="1" t="s">
        <v>2776</v>
      </c>
      <c r="G971" s="1" t="s">
        <v>12</v>
      </c>
      <c r="H971" s="3" t="s">
        <v>13</v>
      </c>
      <c r="I971" s="1"/>
    </row>
    <row r="972" ht="15.75" customHeight="1">
      <c r="A972" s="2">
        <v>971.0</v>
      </c>
      <c r="B972" s="1" t="s">
        <v>2777</v>
      </c>
      <c r="C972" s="1" t="s">
        <v>1415</v>
      </c>
      <c r="D972" s="1" t="s">
        <v>712</v>
      </c>
      <c r="E972" s="2">
        <v>5.70038355301E11</v>
      </c>
      <c r="F972" s="1" t="s">
        <v>2778</v>
      </c>
      <c r="G972" s="1" t="s">
        <v>12</v>
      </c>
      <c r="H972" s="3" t="s">
        <v>13</v>
      </c>
      <c r="I972" s="1"/>
    </row>
    <row r="973" ht="15.75" customHeight="1">
      <c r="A973" s="2">
        <v>972.0</v>
      </c>
      <c r="B973" s="1" t="s">
        <v>1458</v>
      </c>
      <c r="C973" s="1" t="s">
        <v>2779</v>
      </c>
      <c r="D973" s="1" t="s">
        <v>2777</v>
      </c>
      <c r="E973" s="2">
        <v>5.70038355302E11</v>
      </c>
      <c r="F973" s="1" t="s">
        <v>2780</v>
      </c>
      <c r="G973" s="1" t="s">
        <v>2781</v>
      </c>
      <c r="H973" s="3" t="s">
        <v>13</v>
      </c>
      <c r="I973" s="1"/>
    </row>
    <row r="974" ht="15.75" customHeight="1">
      <c r="A974" s="2">
        <v>973.0</v>
      </c>
      <c r="B974" s="1" t="s">
        <v>2782</v>
      </c>
      <c r="C974" s="1" t="s">
        <v>759</v>
      </c>
      <c r="D974" s="1" t="s">
        <v>384</v>
      </c>
      <c r="E974" s="2">
        <v>5.70038355305E11</v>
      </c>
      <c r="F974" s="1" t="s">
        <v>2783</v>
      </c>
      <c r="G974" s="1" t="s">
        <v>12</v>
      </c>
      <c r="H974" s="3" t="s">
        <v>13</v>
      </c>
      <c r="I974" s="1"/>
    </row>
    <row r="975" ht="15.75" customHeight="1">
      <c r="A975" s="2">
        <v>974.0</v>
      </c>
      <c r="B975" s="1" t="s">
        <v>77</v>
      </c>
      <c r="C975" s="1" t="s">
        <v>2779</v>
      </c>
      <c r="D975" s="1" t="s">
        <v>2784</v>
      </c>
      <c r="E975" s="2">
        <v>5.70038355307E11</v>
      </c>
      <c r="F975" s="1" t="s">
        <v>2785</v>
      </c>
      <c r="G975" s="1" t="s">
        <v>12</v>
      </c>
      <c r="H975" s="3" t="s">
        <v>13</v>
      </c>
      <c r="I975" s="1"/>
    </row>
    <row r="976" ht="15.75" customHeight="1">
      <c r="A976" s="2">
        <v>975.0</v>
      </c>
      <c r="B976" s="1" t="s">
        <v>2786</v>
      </c>
      <c r="C976" s="1" t="s">
        <v>2787</v>
      </c>
      <c r="D976" s="1" t="s">
        <v>2410</v>
      </c>
      <c r="E976" s="2">
        <v>5.70038355309E11</v>
      </c>
      <c r="F976" s="1" t="s">
        <v>2788</v>
      </c>
      <c r="G976" s="1" t="s">
        <v>2758</v>
      </c>
      <c r="H976" s="3" t="s">
        <v>13</v>
      </c>
      <c r="I976" s="1"/>
    </row>
    <row r="977" ht="15.75" customHeight="1">
      <c r="A977" s="2">
        <v>976.0</v>
      </c>
      <c r="B977" s="1" t="s">
        <v>2789</v>
      </c>
      <c r="C977" s="1" t="s">
        <v>2790</v>
      </c>
      <c r="D977" s="1" t="s">
        <v>2791</v>
      </c>
      <c r="E977" s="2">
        <v>5.70038355326E11</v>
      </c>
      <c r="F977" s="1" t="s">
        <v>2792</v>
      </c>
      <c r="G977" s="1" t="s">
        <v>12</v>
      </c>
      <c r="H977" s="3" t="s">
        <v>13</v>
      </c>
      <c r="I977" s="1"/>
    </row>
    <row r="978" ht="15.75" customHeight="1">
      <c r="A978" s="2">
        <v>977.0</v>
      </c>
      <c r="B978" s="1" t="s">
        <v>2793</v>
      </c>
      <c r="C978" s="1" t="s">
        <v>2794</v>
      </c>
      <c r="D978" s="1" t="s">
        <v>2795</v>
      </c>
      <c r="E978" s="2">
        <v>5.70038355328E11</v>
      </c>
      <c r="F978" s="1" t="s">
        <v>2796</v>
      </c>
      <c r="G978" s="1" t="s">
        <v>12</v>
      </c>
      <c r="H978" s="3" t="s">
        <v>13</v>
      </c>
      <c r="I978" s="1"/>
    </row>
    <row r="979" ht="15.75" customHeight="1">
      <c r="A979" s="2">
        <v>978.0</v>
      </c>
      <c r="B979" s="1" t="s">
        <v>42</v>
      </c>
      <c r="C979" s="1" t="s">
        <v>2797</v>
      </c>
      <c r="D979" s="1" t="s">
        <v>2798</v>
      </c>
      <c r="E979" s="2">
        <v>5.7003835533E11</v>
      </c>
      <c r="F979" s="1" t="s">
        <v>2799</v>
      </c>
      <c r="G979" s="1" t="s">
        <v>12</v>
      </c>
      <c r="H979" s="3" t="s">
        <v>13</v>
      </c>
      <c r="I979" s="1"/>
    </row>
    <row r="980" ht="15.75" customHeight="1">
      <c r="A980" s="2">
        <v>979.0</v>
      </c>
      <c r="B980" s="1" t="s">
        <v>48</v>
      </c>
      <c r="C980" s="1" t="s">
        <v>1908</v>
      </c>
      <c r="D980" s="1" t="s">
        <v>1920</v>
      </c>
      <c r="E980" s="2">
        <v>5.70038355331E11</v>
      </c>
      <c r="F980" s="1" t="s">
        <v>2800</v>
      </c>
      <c r="G980" s="1" t="s">
        <v>12</v>
      </c>
      <c r="H980" s="3" t="s">
        <v>13</v>
      </c>
      <c r="I980" s="1"/>
    </row>
    <row r="981" ht="15.75" customHeight="1">
      <c r="A981" s="2">
        <v>980.0</v>
      </c>
      <c r="B981" s="1" t="s">
        <v>2801</v>
      </c>
      <c r="C981" s="1" t="s">
        <v>2802</v>
      </c>
      <c r="D981" s="1" t="s">
        <v>77</v>
      </c>
      <c r="E981" s="2">
        <v>5.70038355332E11</v>
      </c>
      <c r="F981" s="1" t="s">
        <v>2803</v>
      </c>
      <c r="G981" s="1" t="s">
        <v>12</v>
      </c>
      <c r="H981" s="3" t="s">
        <v>13</v>
      </c>
      <c r="I981" s="1"/>
    </row>
    <row r="982" ht="15.75" customHeight="1">
      <c r="A982" s="2">
        <v>981.0</v>
      </c>
      <c r="B982" s="1" t="s">
        <v>1521</v>
      </c>
      <c r="C982" s="1" t="s">
        <v>2804</v>
      </c>
      <c r="D982" s="1" t="s">
        <v>2805</v>
      </c>
      <c r="E982" s="2">
        <v>5.70038355333E11</v>
      </c>
      <c r="F982" s="1" t="s">
        <v>1378</v>
      </c>
      <c r="G982" s="1" t="s">
        <v>12</v>
      </c>
      <c r="H982" s="3" t="s">
        <v>13</v>
      </c>
      <c r="I982" s="1"/>
    </row>
    <row r="983" ht="15.75" customHeight="1">
      <c r="A983" s="2">
        <v>982.0</v>
      </c>
      <c r="B983" s="1" t="s">
        <v>1771</v>
      </c>
      <c r="C983" s="1" t="s">
        <v>2806</v>
      </c>
      <c r="D983" s="1" t="s">
        <v>2807</v>
      </c>
      <c r="E983" s="2">
        <v>5.70038355334E11</v>
      </c>
      <c r="F983" s="1" t="s">
        <v>2808</v>
      </c>
      <c r="G983" s="1" t="s">
        <v>12</v>
      </c>
      <c r="H983" s="3" t="s">
        <v>13</v>
      </c>
      <c r="I983" s="1"/>
    </row>
    <row r="984" ht="15.75" customHeight="1">
      <c r="A984" s="2">
        <v>983.0</v>
      </c>
      <c r="B984" s="1" t="s">
        <v>2809</v>
      </c>
      <c r="C984" s="1" t="s">
        <v>2810</v>
      </c>
      <c r="D984" s="1" t="s">
        <v>113</v>
      </c>
      <c r="E984" s="2">
        <v>5.70038355336E11</v>
      </c>
      <c r="F984" s="1" t="s">
        <v>2811</v>
      </c>
      <c r="G984" s="1" t="s">
        <v>12</v>
      </c>
      <c r="H984" s="3" t="s">
        <v>13</v>
      </c>
      <c r="I984" s="1"/>
    </row>
    <row r="985" ht="15.75" customHeight="1">
      <c r="A985" s="2">
        <v>984.0</v>
      </c>
      <c r="B985" s="1" t="s">
        <v>133</v>
      </c>
      <c r="C985" s="1" t="s">
        <v>2812</v>
      </c>
      <c r="D985" s="1" t="s">
        <v>600</v>
      </c>
      <c r="E985" s="2">
        <v>5.70038355337E11</v>
      </c>
      <c r="F985" s="1" t="s">
        <v>2813</v>
      </c>
      <c r="G985" s="1" t="s">
        <v>12</v>
      </c>
      <c r="H985" s="3" t="s">
        <v>13</v>
      </c>
      <c r="I985" s="1"/>
    </row>
    <row r="986" ht="15.75" customHeight="1">
      <c r="A986" s="2">
        <v>985.0</v>
      </c>
      <c r="B986" s="1" t="s">
        <v>2814</v>
      </c>
      <c r="C986" s="1" t="s">
        <v>2620</v>
      </c>
      <c r="D986" s="1" t="s">
        <v>621</v>
      </c>
      <c r="E986" s="2">
        <v>5.70038355338E11</v>
      </c>
      <c r="F986" s="1" t="s">
        <v>2815</v>
      </c>
      <c r="G986" s="1" t="s">
        <v>12</v>
      </c>
      <c r="H986" s="3" t="s">
        <v>13</v>
      </c>
      <c r="I986" s="1"/>
    </row>
    <row r="987" ht="15.75" customHeight="1">
      <c r="A987" s="2">
        <v>986.0</v>
      </c>
      <c r="B987" s="1" t="s">
        <v>789</v>
      </c>
      <c r="C987" s="1" t="s">
        <v>2816</v>
      </c>
      <c r="D987" s="1" t="s">
        <v>2817</v>
      </c>
      <c r="E987" s="2">
        <v>5.70038355339E11</v>
      </c>
      <c r="F987" s="1" t="s">
        <v>514</v>
      </c>
      <c r="G987" s="1" t="s">
        <v>12</v>
      </c>
      <c r="H987" s="3" t="s">
        <v>13</v>
      </c>
      <c r="I987" s="1"/>
    </row>
    <row r="988" ht="15.75" customHeight="1">
      <c r="A988" s="2">
        <v>987.0</v>
      </c>
      <c r="B988" s="1" t="s">
        <v>2818</v>
      </c>
      <c r="C988" s="1" t="s">
        <v>2819</v>
      </c>
      <c r="D988" s="1" t="s">
        <v>2820</v>
      </c>
      <c r="E988" s="2">
        <v>5.7003835534E11</v>
      </c>
      <c r="F988" s="1" t="s">
        <v>2821</v>
      </c>
      <c r="G988" s="1" t="s">
        <v>12</v>
      </c>
      <c r="H988" s="3" t="s">
        <v>13</v>
      </c>
      <c r="I988" s="1"/>
    </row>
    <row r="989" ht="15.75" customHeight="1">
      <c r="A989" s="2">
        <v>988.0</v>
      </c>
      <c r="B989" s="1" t="s">
        <v>362</v>
      </c>
      <c r="C989" s="1" t="s">
        <v>2822</v>
      </c>
      <c r="D989" s="1" t="s">
        <v>20</v>
      </c>
      <c r="E989" s="2">
        <v>5.70038355341E11</v>
      </c>
      <c r="F989" s="1" t="s">
        <v>2823</v>
      </c>
      <c r="G989" s="1" t="s">
        <v>12</v>
      </c>
      <c r="H989" s="3" t="s">
        <v>13</v>
      </c>
      <c r="I989" s="1"/>
    </row>
    <row r="990" ht="15.75" customHeight="1">
      <c r="A990" s="2">
        <v>989.0</v>
      </c>
      <c r="B990" s="1" t="s">
        <v>1080</v>
      </c>
      <c r="C990" s="1" t="s">
        <v>2824</v>
      </c>
      <c r="D990" s="1" t="s">
        <v>1552</v>
      </c>
      <c r="E990" s="2">
        <v>5.70038355343E11</v>
      </c>
      <c r="F990" s="1" t="s">
        <v>2825</v>
      </c>
      <c r="G990" s="1" t="s">
        <v>12</v>
      </c>
      <c r="H990" s="3" t="s">
        <v>13</v>
      </c>
      <c r="I990" s="1"/>
    </row>
    <row r="991" ht="15.75" customHeight="1">
      <c r="A991" s="2">
        <v>990.0</v>
      </c>
      <c r="B991" s="1" t="s">
        <v>2826</v>
      </c>
      <c r="C991" s="1" t="s">
        <v>2824</v>
      </c>
      <c r="D991" s="1" t="s">
        <v>2818</v>
      </c>
      <c r="E991" s="2">
        <v>5.70038355344E11</v>
      </c>
      <c r="F991" s="1" t="s">
        <v>2827</v>
      </c>
      <c r="G991" s="1" t="s">
        <v>12</v>
      </c>
      <c r="H991" s="3" t="s">
        <v>13</v>
      </c>
      <c r="I991" s="1"/>
    </row>
    <row r="992" ht="15.75" customHeight="1">
      <c r="A992" s="2">
        <v>991.0</v>
      </c>
      <c r="B992" s="1" t="s">
        <v>852</v>
      </c>
      <c r="C992" s="1" t="s">
        <v>2828</v>
      </c>
      <c r="D992" s="1" t="s">
        <v>2829</v>
      </c>
      <c r="E992" s="2">
        <v>5.70038355345E11</v>
      </c>
      <c r="F992" s="1" t="s">
        <v>2830</v>
      </c>
      <c r="G992" s="1" t="s">
        <v>12</v>
      </c>
      <c r="H992" s="3" t="s">
        <v>13</v>
      </c>
      <c r="I992" s="1"/>
    </row>
    <row r="993" ht="15.75" customHeight="1">
      <c r="A993" s="2">
        <v>992.0</v>
      </c>
      <c r="B993" s="1" t="s">
        <v>2831</v>
      </c>
      <c r="C993" s="1" t="s">
        <v>1926</v>
      </c>
      <c r="D993" s="1" t="s">
        <v>2832</v>
      </c>
      <c r="E993" s="2">
        <v>5.70038355347E11</v>
      </c>
      <c r="F993" s="1" t="s">
        <v>2833</v>
      </c>
      <c r="G993" s="1" t="s">
        <v>12</v>
      </c>
      <c r="H993" s="3" t="s">
        <v>13</v>
      </c>
      <c r="I993" s="1"/>
    </row>
    <row r="994" ht="15.75" customHeight="1">
      <c r="A994" s="2">
        <v>993.0</v>
      </c>
      <c r="B994" s="1" t="s">
        <v>534</v>
      </c>
      <c r="C994" s="1" t="s">
        <v>1926</v>
      </c>
      <c r="D994" s="1" t="s">
        <v>2832</v>
      </c>
      <c r="E994" s="2">
        <v>5.70038355348E11</v>
      </c>
      <c r="F994" s="1" t="s">
        <v>2757</v>
      </c>
      <c r="G994" s="1" t="s">
        <v>12</v>
      </c>
      <c r="H994" s="3" t="s">
        <v>13</v>
      </c>
      <c r="I994" s="1"/>
    </row>
    <row r="995" ht="15.75" customHeight="1">
      <c r="A995" s="2">
        <v>994.0</v>
      </c>
      <c r="B995" s="1" t="s">
        <v>10</v>
      </c>
      <c r="C995" s="1" t="s">
        <v>2834</v>
      </c>
      <c r="D995" s="1" t="s">
        <v>1632</v>
      </c>
      <c r="E995" s="2">
        <v>5.70038355349E11</v>
      </c>
      <c r="F995" s="1" t="s">
        <v>2835</v>
      </c>
      <c r="G995" s="1" t="s">
        <v>12</v>
      </c>
      <c r="H995" s="3" t="s">
        <v>13</v>
      </c>
      <c r="I995" s="1"/>
    </row>
    <row r="996" ht="15.75" customHeight="1">
      <c r="A996" s="2">
        <v>995.0</v>
      </c>
      <c r="B996" s="1" t="s">
        <v>2836</v>
      </c>
      <c r="C996" s="1" t="s">
        <v>2837</v>
      </c>
      <c r="D996" s="1" t="s">
        <v>2818</v>
      </c>
      <c r="E996" s="2">
        <v>5.7003835535E11</v>
      </c>
      <c r="F996" s="1" t="s">
        <v>2838</v>
      </c>
      <c r="G996" s="1" t="s">
        <v>12</v>
      </c>
      <c r="H996" s="3" t="s">
        <v>13</v>
      </c>
      <c r="I996" s="1"/>
    </row>
    <row r="997" ht="15.75" customHeight="1">
      <c r="A997" s="2">
        <v>996.0</v>
      </c>
      <c r="B997" s="1" t="s">
        <v>2077</v>
      </c>
      <c r="C997" s="1" t="s">
        <v>2839</v>
      </c>
      <c r="D997" s="1" t="s">
        <v>1243</v>
      </c>
      <c r="E997" s="2">
        <v>5.70038355351E11</v>
      </c>
      <c r="F997" s="1" t="s">
        <v>2840</v>
      </c>
      <c r="G997" s="1" t="s">
        <v>12</v>
      </c>
      <c r="H997" s="3" t="s">
        <v>13</v>
      </c>
      <c r="I997" s="1"/>
    </row>
    <row r="998" ht="15.75" customHeight="1">
      <c r="A998" s="2">
        <v>997.0</v>
      </c>
      <c r="B998" s="1" t="s">
        <v>1649</v>
      </c>
      <c r="C998" s="1" t="s">
        <v>2841</v>
      </c>
      <c r="D998" s="1" t="s">
        <v>2842</v>
      </c>
      <c r="E998" s="2">
        <v>5.70038355352E11</v>
      </c>
      <c r="F998" s="1" t="s">
        <v>2843</v>
      </c>
      <c r="G998" s="1" t="s">
        <v>12</v>
      </c>
      <c r="H998" s="3" t="s">
        <v>13</v>
      </c>
      <c r="I998" s="1"/>
    </row>
    <row r="999" ht="15.75" customHeight="1">
      <c r="A999" s="2">
        <v>998.0</v>
      </c>
      <c r="B999" s="1" t="s">
        <v>1052</v>
      </c>
      <c r="C999" s="1" t="s">
        <v>2844</v>
      </c>
      <c r="D999" s="1" t="s">
        <v>1652</v>
      </c>
      <c r="E999" s="2">
        <v>5.70038355353E11</v>
      </c>
      <c r="F999" s="1" t="s">
        <v>2845</v>
      </c>
      <c r="G999" s="1" t="s">
        <v>12</v>
      </c>
      <c r="H999" s="3" t="s">
        <v>13</v>
      </c>
      <c r="I999" s="1"/>
    </row>
    <row r="1000" ht="15.75" customHeight="1">
      <c r="A1000" s="2">
        <v>999.0</v>
      </c>
      <c r="B1000" s="1" t="s">
        <v>2846</v>
      </c>
      <c r="C1000" s="1" t="s">
        <v>1587</v>
      </c>
      <c r="D1000" s="1" t="s">
        <v>2847</v>
      </c>
      <c r="E1000" s="2">
        <v>5.70038355354E11</v>
      </c>
      <c r="F1000" s="1" t="s">
        <v>2848</v>
      </c>
      <c r="G1000" s="1" t="s">
        <v>12</v>
      </c>
      <c r="H1000" s="3" t="s">
        <v>13</v>
      </c>
      <c r="I1000" s="1"/>
    </row>
    <row r="1001" ht="15.75" customHeight="1">
      <c r="A1001" s="2">
        <v>1000.0</v>
      </c>
      <c r="B1001" s="1" t="s">
        <v>2849</v>
      </c>
      <c r="C1001" s="1" t="s">
        <v>2850</v>
      </c>
      <c r="D1001" s="1" t="s">
        <v>2851</v>
      </c>
      <c r="E1001" s="2">
        <v>5.70038355357E11</v>
      </c>
      <c r="F1001" s="1" t="s">
        <v>2852</v>
      </c>
      <c r="G1001" s="1" t="s">
        <v>12</v>
      </c>
      <c r="H1001" s="3" t="s">
        <v>13</v>
      </c>
      <c r="I1001" s="1"/>
    </row>
    <row r="1002" ht="15.75" customHeight="1">
      <c r="A1002" s="2">
        <v>1001.0</v>
      </c>
      <c r="B1002" s="1" t="s">
        <v>1455</v>
      </c>
      <c r="C1002" s="1" t="s">
        <v>755</v>
      </c>
      <c r="D1002" s="1" t="s">
        <v>2370</v>
      </c>
      <c r="E1002" s="2">
        <v>5.7003835536E11</v>
      </c>
      <c r="F1002" s="1" t="s">
        <v>1717</v>
      </c>
      <c r="G1002" s="1" t="s">
        <v>12</v>
      </c>
      <c r="H1002" s="3" t="s">
        <v>13</v>
      </c>
      <c r="I1002" s="1"/>
    </row>
    <row r="1003" ht="15.75" customHeight="1">
      <c r="A1003" s="2">
        <v>1002.0</v>
      </c>
      <c r="B1003" s="1" t="s">
        <v>2786</v>
      </c>
      <c r="C1003" s="1" t="s">
        <v>755</v>
      </c>
      <c r="D1003" s="1" t="s">
        <v>2370</v>
      </c>
      <c r="E1003" s="2">
        <v>5.70038355361E11</v>
      </c>
      <c r="F1003" s="1" t="s">
        <v>2853</v>
      </c>
      <c r="G1003" s="1" t="s">
        <v>12</v>
      </c>
      <c r="H1003" s="3" t="s">
        <v>13</v>
      </c>
      <c r="I1003" s="1"/>
    </row>
    <row r="1004" ht="15.75" customHeight="1">
      <c r="A1004" s="2">
        <v>1003.0</v>
      </c>
      <c r="B1004" s="1" t="s">
        <v>2410</v>
      </c>
      <c r="C1004" s="1" t="s">
        <v>2854</v>
      </c>
      <c r="D1004" s="1" t="s">
        <v>2855</v>
      </c>
      <c r="E1004" s="2">
        <v>5.70038355365E11</v>
      </c>
      <c r="F1004" s="1" t="s">
        <v>2856</v>
      </c>
      <c r="G1004" s="1" t="s">
        <v>12</v>
      </c>
      <c r="H1004" s="3" t="s">
        <v>13</v>
      </c>
      <c r="I1004" s="1"/>
    </row>
    <row r="1005" ht="15.75" customHeight="1">
      <c r="A1005" s="2">
        <v>1004.0</v>
      </c>
      <c r="B1005" s="1" t="s">
        <v>2857</v>
      </c>
      <c r="C1005" s="1" t="s">
        <v>2744</v>
      </c>
      <c r="D1005" s="1" t="s">
        <v>2858</v>
      </c>
      <c r="E1005" s="2">
        <v>5.70038355366E11</v>
      </c>
      <c r="F1005" s="1" t="s">
        <v>2859</v>
      </c>
      <c r="G1005" s="1" t="s">
        <v>261</v>
      </c>
      <c r="H1005" s="3" t="s">
        <v>13</v>
      </c>
      <c r="I1005" s="1"/>
    </row>
    <row r="1006" ht="15.75" customHeight="1">
      <c r="A1006" s="2">
        <v>1005.0</v>
      </c>
      <c r="B1006" s="1" t="s">
        <v>2860</v>
      </c>
      <c r="C1006" s="1" t="s">
        <v>2861</v>
      </c>
      <c r="D1006" s="1" t="s">
        <v>2862</v>
      </c>
      <c r="E1006" s="2">
        <v>5.70038355367E11</v>
      </c>
      <c r="F1006" s="1" t="s">
        <v>2863</v>
      </c>
      <c r="G1006" s="1" t="s">
        <v>12</v>
      </c>
      <c r="H1006" s="3" t="s">
        <v>13</v>
      </c>
      <c r="I1006" s="1"/>
    </row>
    <row r="1007" ht="15.75" customHeight="1">
      <c r="A1007" s="2">
        <v>1006.0</v>
      </c>
      <c r="B1007" s="1" t="s">
        <v>2864</v>
      </c>
      <c r="C1007" s="1" t="s">
        <v>752</v>
      </c>
      <c r="D1007" s="1" t="s">
        <v>48</v>
      </c>
      <c r="E1007" s="2">
        <v>5.70038355368E11</v>
      </c>
      <c r="F1007" s="1" t="s">
        <v>2865</v>
      </c>
      <c r="G1007" s="1" t="s">
        <v>12</v>
      </c>
      <c r="H1007" s="3" t="s">
        <v>13</v>
      </c>
      <c r="I1007" s="1"/>
    </row>
    <row r="1008" ht="15.75" customHeight="1">
      <c r="A1008" s="2">
        <v>1007.0</v>
      </c>
      <c r="B1008" s="1" t="s">
        <v>2866</v>
      </c>
      <c r="C1008" s="1" t="s">
        <v>2867</v>
      </c>
      <c r="D1008" s="1" t="s">
        <v>228</v>
      </c>
      <c r="E1008" s="2">
        <v>5.70038355377E11</v>
      </c>
      <c r="F1008" s="1" t="s">
        <v>2868</v>
      </c>
      <c r="G1008" s="1" t="s">
        <v>12</v>
      </c>
      <c r="H1008" s="3" t="s">
        <v>13</v>
      </c>
      <c r="I1008" s="1"/>
    </row>
    <row r="1009" ht="15.75" customHeight="1">
      <c r="A1009" s="2">
        <v>1008.0</v>
      </c>
      <c r="B1009" s="1" t="s">
        <v>48</v>
      </c>
      <c r="C1009" s="1" t="s">
        <v>2869</v>
      </c>
      <c r="D1009" s="1" t="s">
        <v>2870</v>
      </c>
      <c r="E1009" s="2">
        <v>5.70038355378E11</v>
      </c>
      <c r="F1009" s="1" t="s">
        <v>2871</v>
      </c>
      <c r="G1009" s="1" t="s">
        <v>2758</v>
      </c>
      <c r="H1009" s="3" t="s">
        <v>13</v>
      </c>
      <c r="I1009" s="1"/>
    </row>
    <row r="1010" ht="15.75" customHeight="1">
      <c r="A1010" s="2">
        <v>1009.0</v>
      </c>
      <c r="B1010" s="1" t="s">
        <v>1308</v>
      </c>
      <c r="C1010" s="1" t="s">
        <v>2872</v>
      </c>
      <c r="D1010" s="1" t="s">
        <v>2873</v>
      </c>
      <c r="E1010" s="2">
        <v>5.70038355379E11</v>
      </c>
      <c r="F1010" s="1" t="s">
        <v>2874</v>
      </c>
      <c r="G1010" s="1" t="s">
        <v>12</v>
      </c>
      <c r="H1010" s="3" t="s">
        <v>13</v>
      </c>
      <c r="I1010" s="1"/>
    </row>
    <row r="1011" ht="15.75" customHeight="1">
      <c r="A1011" s="2">
        <v>1010.0</v>
      </c>
      <c r="B1011" s="1" t="s">
        <v>609</v>
      </c>
      <c r="C1011" s="1" t="s">
        <v>2190</v>
      </c>
      <c r="D1011" s="1" t="s">
        <v>2875</v>
      </c>
      <c r="E1011" s="2">
        <v>5.70038355383E11</v>
      </c>
      <c r="F1011" s="1" t="s">
        <v>2876</v>
      </c>
      <c r="G1011" s="1" t="s">
        <v>12</v>
      </c>
      <c r="H1011" s="3" t="s">
        <v>13</v>
      </c>
      <c r="I1011" s="1"/>
    </row>
    <row r="1012" ht="15.75" customHeight="1">
      <c r="A1012" s="2">
        <v>1011.0</v>
      </c>
      <c r="B1012" s="1" t="s">
        <v>50</v>
      </c>
      <c r="C1012" s="1" t="s">
        <v>1158</v>
      </c>
      <c r="D1012" s="1" t="s">
        <v>48</v>
      </c>
      <c r="E1012" s="2">
        <v>5.70038355386E11</v>
      </c>
      <c r="F1012" s="1" t="s">
        <v>2877</v>
      </c>
      <c r="G1012" s="1" t="s">
        <v>12</v>
      </c>
      <c r="H1012" s="3" t="s">
        <v>13</v>
      </c>
      <c r="I1012" s="1"/>
    </row>
    <row r="1013" ht="15.75" customHeight="1">
      <c r="A1013" s="2">
        <v>1012.0</v>
      </c>
      <c r="B1013" s="1" t="s">
        <v>2878</v>
      </c>
      <c r="C1013" s="1" t="s">
        <v>794</v>
      </c>
      <c r="D1013" s="1" t="s">
        <v>1193</v>
      </c>
      <c r="E1013" s="2">
        <v>5.70038355398E11</v>
      </c>
      <c r="F1013" s="1" t="s">
        <v>1181</v>
      </c>
      <c r="G1013" s="1" t="s">
        <v>12</v>
      </c>
      <c r="H1013" s="3" t="s">
        <v>13</v>
      </c>
      <c r="I1013" s="1"/>
    </row>
    <row r="1014" ht="15.75" customHeight="1">
      <c r="A1014" s="2">
        <v>1013.0</v>
      </c>
      <c r="B1014" s="1" t="s">
        <v>1477</v>
      </c>
      <c r="C1014" s="1" t="s">
        <v>2879</v>
      </c>
      <c r="D1014" s="1" t="s">
        <v>2880</v>
      </c>
      <c r="E1014" s="2">
        <v>5.7003835541E11</v>
      </c>
      <c r="F1014" s="1" t="s">
        <v>2881</v>
      </c>
      <c r="G1014" s="1" t="s">
        <v>12</v>
      </c>
      <c r="H1014" s="3" t="s">
        <v>13</v>
      </c>
      <c r="I1014" s="1"/>
    </row>
    <row r="1015" ht="15.75" customHeight="1">
      <c r="A1015" s="2">
        <v>1014.0</v>
      </c>
      <c r="B1015" s="1" t="s">
        <v>455</v>
      </c>
      <c r="C1015" s="1" t="s">
        <v>2882</v>
      </c>
      <c r="D1015" s="1" t="s">
        <v>187</v>
      </c>
      <c r="E1015" s="2">
        <v>5.70038355413E11</v>
      </c>
      <c r="F1015" s="1" t="s">
        <v>474</v>
      </c>
      <c r="G1015" s="1" t="s">
        <v>12</v>
      </c>
      <c r="H1015" s="3" t="s">
        <v>13</v>
      </c>
      <c r="I1015" s="1"/>
    </row>
    <row r="1016" ht="15.75" customHeight="1">
      <c r="A1016" s="2">
        <v>1015.0</v>
      </c>
      <c r="B1016" s="1" t="s">
        <v>2883</v>
      </c>
      <c r="C1016" s="1" t="s">
        <v>2884</v>
      </c>
      <c r="D1016" s="1" t="s">
        <v>2885</v>
      </c>
      <c r="E1016" s="2">
        <v>5.70038355414E11</v>
      </c>
      <c r="F1016" s="1" t="s">
        <v>2886</v>
      </c>
      <c r="G1016" s="1" t="s">
        <v>12</v>
      </c>
      <c r="H1016" s="3" t="s">
        <v>13</v>
      </c>
      <c r="I1016" s="1"/>
    </row>
    <row r="1017" ht="15.75" customHeight="1">
      <c r="A1017" s="2">
        <v>1016.0</v>
      </c>
      <c r="B1017" s="1" t="s">
        <v>2887</v>
      </c>
      <c r="C1017" s="1" t="s">
        <v>2888</v>
      </c>
      <c r="D1017" s="1" t="s">
        <v>1386</v>
      </c>
      <c r="E1017" s="2">
        <v>5.70038355417E11</v>
      </c>
      <c r="F1017" s="1" t="s">
        <v>2697</v>
      </c>
      <c r="G1017" s="1" t="s">
        <v>12</v>
      </c>
      <c r="H1017" s="3" t="s">
        <v>13</v>
      </c>
      <c r="I1017" s="1"/>
    </row>
    <row r="1018" ht="15.75" customHeight="1">
      <c r="A1018" s="2">
        <v>1017.0</v>
      </c>
      <c r="B1018" s="1" t="s">
        <v>2753</v>
      </c>
      <c r="C1018" s="1" t="s">
        <v>140</v>
      </c>
      <c r="D1018" s="1" t="s">
        <v>233</v>
      </c>
      <c r="E1018" s="2">
        <v>5.70038355418E11</v>
      </c>
      <c r="F1018" s="1" t="s">
        <v>2889</v>
      </c>
      <c r="G1018" s="1" t="s">
        <v>417</v>
      </c>
      <c r="H1018" s="3" t="s">
        <v>13</v>
      </c>
      <c r="I1018" s="1"/>
    </row>
    <row r="1019" ht="15.75" customHeight="1">
      <c r="A1019" s="2">
        <v>1018.0</v>
      </c>
      <c r="B1019" s="1" t="s">
        <v>2890</v>
      </c>
      <c r="C1019" s="1" t="s">
        <v>2891</v>
      </c>
      <c r="D1019" s="1" t="s">
        <v>2892</v>
      </c>
      <c r="E1019" s="2">
        <v>5.7003835542E11</v>
      </c>
      <c r="F1019" s="1" t="s">
        <v>2893</v>
      </c>
      <c r="G1019" s="1" t="s">
        <v>12</v>
      </c>
      <c r="H1019" s="3" t="s">
        <v>13</v>
      </c>
      <c r="I1019" s="1"/>
    </row>
    <row r="1020" ht="15.75" customHeight="1">
      <c r="A1020" s="2">
        <v>1019.0</v>
      </c>
      <c r="B1020" s="1" t="s">
        <v>199</v>
      </c>
      <c r="C1020" s="1" t="s">
        <v>2894</v>
      </c>
      <c r="D1020" s="1" t="s">
        <v>2895</v>
      </c>
      <c r="E1020" s="2">
        <v>5.70038355422E11</v>
      </c>
      <c r="F1020" s="1" t="s">
        <v>2896</v>
      </c>
      <c r="G1020" s="1" t="s">
        <v>12</v>
      </c>
      <c r="H1020" s="3" t="s">
        <v>13</v>
      </c>
      <c r="I1020" s="1"/>
    </row>
    <row r="1021" ht="15.75" customHeight="1">
      <c r="A1021" s="2">
        <v>1020.0</v>
      </c>
      <c r="B1021" s="1" t="s">
        <v>133</v>
      </c>
      <c r="C1021" s="1" t="s">
        <v>2897</v>
      </c>
      <c r="D1021" s="1" t="s">
        <v>2898</v>
      </c>
      <c r="E1021" s="2">
        <v>5.70038355423E11</v>
      </c>
      <c r="F1021" s="1" t="s">
        <v>2899</v>
      </c>
      <c r="G1021" s="1" t="s">
        <v>12</v>
      </c>
      <c r="H1021" s="3" t="s">
        <v>13</v>
      </c>
      <c r="I1021" s="1"/>
    </row>
    <row r="1022" ht="15.75" customHeight="1">
      <c r="A1022" s="2">
        <v>1021.0</v>
      </c>
      <c r="B1022" s="1" t="s">
        <v>2900</v>
      </c>
      <c r="C1022" s="1" t="s">
        <v>2901</v>
      </c>
      <c r="D1022" s="1" t="s">
        <v>2902</v>
      </c>
      <c r="E1022" s="2">
        <v>5.70038355424E11</v>
      </c>
      <c r="F1022" s="1" t="s">
        <v>2903</v>
      </c>
      <c r="G1022" s="1" t="s">
        <v>12</v>
      </c>
      <c r="H1022" s="3" t="s">
        <v>13</v>
      </c>
      <c r="I1022" s="1"/>
    </row>
    <row r="1023" ht="15.75" customHeight="1">
      <c r="A1023" s="2">
        <v>1022.0</v>
      </c>
      <c r="B1023" s="1" t="s">
        <v>18</v>
      </c>
      <c r="C1023" s="1" t="s">
        <v>631</v>
      </c>
      <c r="D1023" s="1" t="s">
        <v>161</v>
      </c>
      <c r="E1023" s="2">
        <v>5.70038355425E11</v>
      </c>
      <c r="F1023" s="1" t="s">
        <v>2904</v>
      </c>
      <c r="G1023" s="1" t="s">
        <v>12</v>
      </c>
      <c r="H1023" s="3" t="s">
        <v>13</v>
      </c>
      <c r="I1023" s="1"/>
    </row>
    <row r="1024" ht="15.75" customHeight="1">
      <c r="A1024" s="2">
        <v>1023.0</v>
      </c>
      <c r="B1024" s="1" t="s">
        <v>2905</v>
      </c>
      <c r="C1024" s="1" t="s">
        <v>2906</v>
      </c>
      <c r="D1024" s="1" t="s">
        <v>2907</v>
      </c>
      <c r="E1024" s="2">
        <v>5.70038355426E11</v>
      </c>
      <c r="F1024" s="1" t="s">
        <v>2908</v>
      </c>
      <c r="G1024" s="1" t="s">
        <v>12</v>
      </c>
      <c r="H1024" s="3" t="s">
        <v>13</v>
      </c>
      <c r="I1024" s="1"/>
    </row>
    <row r="1025" ht="15.75" customHeight="1">
      <c r="A1025" s="2">
        <v>1024.0</v>
      </c>
      <c r="B1025" s="1" t="s">
        <v>1152</v>
      </c>
      <c r="C1025" s="1" t="s">
        <v>446</v>
      </c>
      <c r="D1025" s="1" t="s">
        <v>168</v>
      </c>
      <c r="E1025" s="2">
        <v>5.70038355428E11</v>
      </c>
      <c r="F1025" s="1" t="s">
        <v>2909</v>
      </c>
      <c r="G1025" s="1" t="s">
        <v>12</v>
      </c>
      <c r="H1025" s="3" t="s">
        <v>13</v>
      </c>
      <c r="I1025" s="1"/>
    </row>
    <row r="1026" ht="15.75" customHeight="1">
      <c r="A1026" s="2">
        <v>1025.0</v>
      </c>
      <c r="B1026" s="1" t="s">
        <v>641</v>
      </c>
      <c r="C1026" s="1" t="s">
        <v>2910</v>
      </c>
      <c r="D1026" s="1" t="s">
        <v>331</v>
      </c>
      <c r="E1026" s="2">
        <v>5.70038355431E11</v>
      </c>
      <c r="F1026" s="1" t="s">
        <v>2911</v>
      </c>
      <c r="G1026" s="1" t="s">
        <v>12</v>
      </c>
      <c r="H1026" s="3" t="s">
        <v>13</v>
      </c>
      <c r="I1026" s="1"/>
    </row>
    <row r="1027" ht="15.75" customHeight="1">
      <c r="A1027" s="2">
        <v>1026.0</v>
      </c>
      <c r="B1027" s="1" t="s">
        <v>77</v>
      </c>
      <c r="C1027" s="1" t="s">
        <v>2912</v>
      </c>
      <c r="D1027" s="1" t="s">
        <v>2913</v>
      </c>
      <c r="E1027" s="2">
        <v>5.70038355433E11</v>
      </c>
      <c r="F1027" s="1" t="s">
        <v>2914</v>
      </c>
      <c r="G1027" s="1" t="s">
        <v>12</v>
      </c>
      <c r="H1027" s="3" t="s">
        <v>13</v>
      </c>
      <c r="I1027" s="1"/>
    </row>
    <row r="1028" ht="15.75" customHeight="1">
      <c r="A1028" s="2">
        <v>1027.0</v>
      </c>
      <c r="B1028" s="1" t="s">
        <v>2915</v>
      </c>
      <c r="C1028" s="1" t="s">
        <v>2916</v>
      </c>
      <c r="D1028" s="1" t="s">
        <v>2917</v>
      </c>
      <c r="E1028" s="2">
        <v>5.70038355435E11</v>
      </c>
      <c r="F1028" s="1" t="s">
        <v>2918</v>
      </c>
      <c r="G1028" s="1" t="s">
        <v>12</v>
      </c>
      <c r="H1028" s="3" t="s">
        <v>13</v>
      </c>
      <c r="I1028" s="1"/>
    </row>
    <row r="1029" ht="15.75" customHeight="1">
      <c r="A1029" s="2">
        <v>1028.0</v>
      </c>
      <c r="B1029" s="1" t="s">
        <v>629</v>
      </c>
      <c r="C1029" s="1" t="s">
        <v>2919</v>
      </c>
      <c r="D1029" s="1" t="s">
        <v>2920</v>
      </c>
      <c r="E1029" s="2">
        <v>5.70038355436E11</v>
      </c>
      <c r="F1029" s="1" t="s">
        <v>2921</v>
      </c>
      <c r="G1029" s="1" t="s">
        <v>12</v>
      </c>
      <c r="H1029" s="3" t="s">
        <v>13</v>
      </c>
      <c r="I1029" s="1"/>
    </row>
    <row r="1030" ht="15.75" customHeight="1">
      <c r="A1030" s="2">
        <v>1029.0</v>
      </c>
      <c r="B1030" s="1" t="s">
        <v>523</v>
      </c>
      <c r="C1030" s="1" t="s">
        <v>2922</v>
      </c>
      <c r="D1030" s="1" t="s">
        <v>2923</v>
      </c>
      <c r="E1030" s="2">
        <v>5.70038355438E11</v>
      </c>
      <c r="F1030" s="1" t="s">
        <v>2924</v>
      </c>
      <c r="G1030" s="1" t="s">
        <v>12</v>
      </c>
      <c r="H1030" s="3" t="s">
        <v>13</v>
      </c>
      <c r="I1030" s="1"/>
    </row>
    <row r="1031" ht="15.75" customHeight="1">
      <c r="A1031" s="2">
        <v>1030.0</v>
      </c>
      <c r="B1031" s="1" t="s">
        <v>2925</v>
      </c>
      <c r="C1031" s="1" t="s">
        <v>2926</v>
      </c>
      <c r="D1031" s="1" t="s">
        <v>2927</v>
      </c>
      <c r="E1031" s="2">
        <v>5.70038355439E11</v>
      </c>
      <c r="F1031" s="1" t="s">
        <v>2928</v>
      </c>
      <c r="G1031" s="1" t="s">
        <v>12</v>
      </c>
      <c r="H1031" s="3" t="s">
        <v>13</v>
      </c>
      <c r="I1031" s="1"/>
    </row>
    <row r="1032" ht="15.75" customHeight="1">
      <c r="A1032" s="2">
        <v>1031.0</v>
      </c>
      <c r="B1032" s="1" t="s">
        <v>2929</v>
      </c>
      <c r="C1032" s="1" t="s">
        <v>140</v>
      </c>
      <c r="D1032" s="1" t="s">
        <v>2930</v>
      </c>
      <c r="E1032" s="1" t="s">
        <v>2931</v>
      </c>
      <c r="F1032" s="1" t="s">
        <v>2932</v>
      </c>
      <c r="G1032" s="1" t="s">
        <v>12</v>
      </c>
      <c r="H1032" s="3" t="s">
        <v>13</v>
      </c>
      <c r="I1032" s="1"/>
    </row>
    <row r="1033" ht="15.75" customHeight="1">
      <c r="A1033" s="2">
        <v>1032.0</v>
      </c>
      <c r="B1033" s="1" t="s">
        <v>2933</v>
      </c>
      <c r="C1033" s="1" t="s">
        <v>2934</v>
      </c>
      <c r="D1033" s="1" t="s">
        <v>2935</v>
      </c>
      <c r="E1033" s="2">
        <v>5.70038355447E11</v>
      </c>
      <c r="F1033" s="1" t="s">
        <v>2936</v>
      </c>
      <c r="G1033" s="1" t="s">
        <v>12</v>
      </c>
      <c r="H1033" s="3" t="s">
        <v>13</v>
      </c>
      <c r="I1033" s="1"/>
    </row>
    <row r="1034" ht="15.75" customHeight="1">
      <c r="A1034" s="2">
        <v>1033.0</v>
      </c>
      <c r="B1034" s="1" t="s">
        <v>484</v>
      </c>
      <c r="C1034" s="1" t="s">
        <v>2937</v>
      </c>
      <c r="D1034" s="1" t="s">
        <v>2938</v>
      </c>
      <c r="E1034" s="2">
        <v>5.70038355458E11</v>
      </c>
      <c r="F1034" s="1" t="s">
        <v>2939</v>
      </c>
      <c r="G1034" s="1" t="s">
        <v>12</v>
      </c>
      <c r="H1034" s="3" t="s">
        <v>13</v>
      </c>
      <c r="I1034" s="1"/>
    </row>
    <row r="1035" ht="15.75" customHeight="1">
      <c r="A1035" s="2">
        <v>1034.0</v>
      </c>
      <c r="B1035" s="1" t="s">
        <v>789</v>
      </c>
      <c r="C1035" s="1" t="s">
        <v>1313</v>
      </c>
      <c r="D1035" s="1" t="s">
        <v>1314</v>
      </c>
      <c r="E1035" s="2">
        <v>5.70038355461E11</v>
      </c>
      <c r="F1035" s="1" t="s">
        <v>2940</v>
      </c>
      <c r="G1035" s="1" t="s">
        <v>12</v>
      </c>
      <c r="H1035" s="3" t="s">
        <v>13</v>
      </c>
      <c r="I1035" s="1"/>
    </row>
    <row r="1036" ht="15.75" customHeight="1">
      <c r="A1036" s="2">
        <v>1035.0</v>
      </c>
      <c r="B1036" s="1" t="s">
        <v>621</v>
      </c>
      <c r="C1036" s="1" t="s">
        <v>2673</v>
      </c>
      <c r="D1036" s="1" t="s">
        <v>2941</v>
      </c>
      <c r="E1036" s="2">
        <v>5.70038355471E11</v>
      </c>
      <c r="F1036" s="1" t="s">
        <v>1878</v>
      </c>
      <c r="G1036" s="1" t="s">
        <v>12</v>
      </c>
      <c r="H1036" s="3" t="s">
        <v>13</v>
      </c>
      <c r="I1036" s="1"/>
    </row>
    <row r="1037" ht="15.75" customHeight="1">
      <c r="A1037" s="2">
        <v>1036.0</v>
      </c>
      <c r="B1037" s="1" t="s">
        <v>360</v>
      </c>
      <c r="C1037" s="1" t="s">
        <v>1332</v>
      </c>
      <c r="D1037" s="1" t="s">
        <v>1354</v>
      </c>
      <c r="E1037" s="2">
        <v>5.70038354873E11</v>
      </c>
      <c r="F1037" s="1" t="s">
        <v>1000</v>
      </c>
      <c r="G1037" s="1" t="s">
        <v>12</v>
      </c>
      <c r="H1037" s="3" t="s">
        <v>13</v>
      </c>
      <c r="I1037" s="1"/>
    </row>
    <row r="1038" ht="15.75" customHeight="1">
      <c r="A1038" s="2">
        <v>1037.0</v>
      </c>
      <c r="B1038" s="1" t="s">
        <v>2942</v>
      </c>
      <c r="C1038" s="1" t="s">
        <v>2943</v>
      </c>
      <c r="D1038" s="1" t="s">
        <v>2944</v>
      </c>
      <c r="E1038" s="1" t="s">
        <v>2945</v>
      </c>
      <c r="F1038" s="1" t="s">
        <v>1019</v>
      </c>
      <c r="G1038" s="1" t="s">
        <v>12</v>
      </c>
      <c r="H1038" s="3" t="s">
        <v>13</v>
      </c>
      <c r="I1038" s="1"/>
    </row>
    <row r="1039" ht="15.75" customHeight="1">
      <c r="A1039" s="2">
        <v>1038.0</v>
      </c>
      <c r="B1039" s="1" t="s">
        <v>2946</v>
      </c>
      <c r="C1039" s="1" t="s">
        <v>2947</v>
      </c>
      <c r="D1039" s="1" t="s">
        <v>2948</v>
      </c>
      <c r="E1039" s="1" t="s">
        <v>2949</v>
      </c>
      <c r="F1039" s="1" t="s">
        <v>2950</v>
      </c>
      <c r="G1039" s="1" t="s">
        <v>12</v>
      </c>
      <c r="H1039" s="3" t="s">
        <v>13</v>
      </c>
      <c r="I1039" s="1"/>
    </row>
    <row r="1040" ht="15.75" customHeight="1">
      <c r="A1040" s="2">
        <v>1039.0</v>
      </c>
      <c r="B1040" s="1" t="s">
        <v>513</v>
      </c>
      <c r="C1040" s="1" t="s">
        <v>2951</v>
      </c>
      <c r="D1040" s="1" t="s">
        <v>789</v>
      </c>
      <c r="E1040" s="1" t="s">
        <v>2952</v>
      </c>
      <c r="F1040" s="1" t="s">
        <v>2953</v>
      </c>
      <c r="G1040" s="1" t="s">
        <v>12</v>
      </c>
      <c r="H1040" s="3" t="s">
        <v>13</v>
      </c>
      <c r="I1040" s="1"/>
    </row>
    <row r="1041" ht="15.75" customHeight="1">
      <c r="A1041" s="2">
        <v>1040.0</v>
      </c>
      <c r="B1041" s="1" t="s">
        <v>2954</v>
      </c>
      <c r="C1041" s="1" t="s">
        <v>2916</v>
      </c>
      <c r="D1041" s="1" t="s">
        <v>2917</v>
      </c>
      <c r="E1041" s="1" t="s">
        <v>2955</v>
      </c>
      <c r="F1041" s="1" t="s">
        <v>2956</v>
      </c>
      <c r="G1041" s="1" t="s">
        <v>12</v>
      </c>
      <c r="H1041" s="3" t="s">
        <v>13</v>
      </c>
      <c r="I1041" s="1"/>
    </row>
    <row r="1042" ht="15.75" customHeight="1">
      <c r="A1042" s="2">
        <v>1041.0</v>
      </c>
      <c r="B1042" s="1" t="s">
        <v>566</v>
      </c>
      <c r="C1042" s="1" t="s">
        <v>351</v>
      </c>
      <c r="D1042" s="1" t="s">
        <v>172</v>
      </c>
      <c r="E1042" s="1" t="s">
        <v>2957</v>
      </c>
      <c r="F1042" s="1" t="s">
        <v>2958</v>
      </c>
      <c r="G1042" s="1" t="s">
        <v>12</v>
      </c>
      <c r="H1042" s="3" t="s">
        <v>13</v>
      </c>
      <c r="I1042" s="1"/>
    </row>
    <row r="1043" ht="15.75" customHeight="1">
      <c r="A1043" s="2">
        <v>1042.0</v>
      </c>
      <c r="B1043" s="1" t="s">
        <v>793</v>
      </c>
      <c r="C1043" s="1" t="s">
        <v>2959</v>
      </c>
      <c r="D1043" s="1" t="s">
        <v>1515</v>
      </c>
      <c r="E1043" s="1" t="s">
        <v>2960</v>
      </c>
      <c r="F1043" s="1" t="s">
        <v>2961</v>
      </c>
      <c r="G1043" s="1" t="s">
        <v>12</v>
      </c>
      <c r="H1043" s="3" t="s">
        <v>13</v>
      </c>
      <c r="I1043" s="1"/>
    </row>
    <row r="1044" ht="15.75" customHeight="1">
      <c r="A1044" s="2">
        <v>1043.0</v>
      </c>
      <c r="B1044" s="1" t="s">
        <v>513</v>
      </c>
      <c r="C1044" s="1" t="s">
        <v>74</v>
      </c>
      <c r="D1044" s="1" t="s">
        <v>789</v>
      </c>
      <c r="E1044" s="2">
        <v>5.7003835548E11</v>
      </c>
      <c r="F1044" s="1" t="s">
        <v>2962</v>
      </c>
      <c r="G1044" s="1" t="s">
        <v>12</v>
      </c>
      <c r="H1044" s="3" t="s">
        <v>13</v>
      </c>
      <c r="I1044" s="1"/>
    </row>
    <row r="1045" ht="15.75" customHeight="1">
      <c r="A1045" s="2">
        <v>1044.0</v>
      </c>
      <c r="B1045" s="1" t="s">
        <v>966</v>
      </c>
      <c r="C1045" s="1" t="s">
        <v>2963</v>
      </c>
      <c r="D1045" s="1" t="s">
        <v>2964</v>
      </c>
      <c r="E1045" s="2">
        <v>5.70038355481E11</v>
      </c>
      <c r="F1045" s="1" t="s">
        <v>2965</v>
      </c>
      <c r="G1045" s="1" t="s">
        <v>12</v>
      </c>
      <c r="H1045" s="3" t="s">
        <v>13</v>
      </c>
      <c r="I1045" s="1"/>
    </row>
    <row r="1046" ht="15.75" customHeight="1">
      <c r="A1046" s="2">
        <v>1045.0</v>
      </c>
      <c r="B1046" s="1" t="s">
        <v>131</v>
      </c>
      <c r="C1046" s="1" t="s">
        <v>323</v>
      </c>
      <c r="D1046" s="1" t="s">
        <v>362</v>
      </c>
      <c r="E1046" s="2">
        <v>5.70038355483E11</v>
      </c>
      <c r="F1046" s="1" t="s">
        <v>2174</v>
      </c>
      <c r="G1046" s="1" t="s">
        <v>12</v>
      </c>
      <c r="H1046" s="3" t="s">
        <v>13</v>
      </c>
      <c r="I1046" s="1"/>
    </row>
    <row r="1047" ht="15.75" customHeight="1">
      <c r="A1047" s="2">
        <v>1046.0</v>
      </c>
      <c r="B1047" s="1" t="s">
        <v>161</v>
      </c>
      <c r="C1047" s="1" t="s">
        <v>2966</v>
      </c>
      <c r="D1047" s="1" t="s">
        <v>230</v>
      </c>
      <c r="E1047" s="2">
        <v>5.70038355484E11</v>
      </c>
      <c r="F1047" s="1" t="s">
        <v>2967</v>
      </c>
      <c r="G1047" s="1" t="s">
        <v>12</v>
      </c>
      <c r="H1047" s="3" t="s">
        <v>13</v>
      </c>
      <c r="I1047" s="1"/>
    </row>
    <row r="1048" ht="15.75" customHeight="1">
      <c r="A1048" s="2">
        <v>1047.0</v>
      </c>
      <c r="B1048" s="1" t="s">
        <v>781</v>
      </c>
      <c r="C1048" s="1" t="s">
        <v>2968</v>
      </c>
      <c r="D1048" s="1" t="s">
        <v>2969</v>
      </c>
      <c r="E1048" s="2">
        <v>5.70038355486E11</v>
      </c>
      <c r="F1048" s="1" t="s">
        <v>2970</v>
      </c>
      <c r="G1048" s="1" t="s">
        <v>12</v>
      </c>
      <c r="H1048" s="3" t="s">
        <v>13</v>
      </c>
      <c r="I1048" s="1"/>
    </row>
    <row r="1049" ht="15.75" customHeight="1">
      <c r="A1049" s="2">
        <v>1048.0</v>
      </c>
      <c r="B1049" s="1" t="s">
        <v>205</v>
      </c>
      <c r="C1049" s="1" t="s">
        <v>2971</v>
      </c>
      <c r="D1049" s="1" t="s">
        <v>295</v>
      </c>
      <c r="E1049" s="2">
        <v>5.70038355488E11</v>
      </c>
      <c r="F1049" s="1" t="s">
        <v>2972</v>
      </c>
      <c r="G1049" s="1" t="s">
        <v>12</v>
      </c>
      <c r="H1049" s="3" t="s">
        <v>13</v>
      </c>
      <c r="I1049" s="1"/>
    </row>
    <row r="1050" ht="15.75" customHeight="1">
      <c r="A1050" s="2">
        <v>1049.0</v>
      </c>
      <c r="B1050" s="1" t="s">
        <v>2973</v>
      </c>
      <c r="C1050" s="1" t="s">
        <v>2974</v>
      </c>
      <c r="D1050" s="1" t="s">
        <v>2181</v>
      </c>
      <c r="E1050" s="2">
        <v>5.7003835549E11</v>
      </c>
      <c r="F1050" s="1" t="s">
        <v>2975</v>
      </c>
      <c r="G1050" s="1" t="s">
        <v>12</v>
      </c>
      <c r="H1050" s="3" t="s">
        <v>13</v>
      </c>
      <c r="I1050" s="1"/>
    </row>
    <row r="1051" ht="15.75" customHeight="1">
      <c r="A1051" s="2">
        <v>1050.0</v>
      </c>
      <c r="B1051" s="1" t="s">
        <v>1047</v>
      </c>
      <c r="C1051" s="1" t="s">
        <v>162</v>
      </c>
      <c r="D1051" s="1" t="s">
        <v>60</v>
      </c>
      <c r="E1051" s="2">
        <v>5.70038355492E11</v>
      </c>
      <c r="F1051" s="1" t="s">
        <v>1463</v>
      </c>
      <c r="G1051" s="1" t="s">
        <v>12</v>
      </c>
      <c r="H1051" s="3" t="s">
        <v>13</v>
      </c>
      <c r="I1051" s="1"/>
    </row>
    <row r="1052" ht="15.75" customHeight="1">
      <c r="A1052" s="2">
        <v>1051.0</v>
      </c>
      <c r="B1052" s="1" t="s">
        <v>2976</v>
      </c>
      <c r="C1052" s="1" t="s">
        <v>2977</v>
      </c>
      <c r="D1052" s="1" t="s">
        <v>600</v>
      </c>
      <c r="E1052" s="2">
        <v>5.70038355493E11</v>
      </c>
      <c r="F1052" s="1" t="s">
        <v>2978</v>
      </c>
      <c r="G1052" s="1" t="s">
        <v>2758</v>
      </c>
      <c r="H1052" s="3" t="s">
        <v>13</v>
      </c>
      <c r="I1052" s="1"/>
    </row>
    <row r="1053" ht="15.75" customHeight="1">
      <c r="A1053" s="2">
        <v>1052.0</v>
      </c>
      <c r="B1053" s="1" t="s">
        <v>258</v>
      </c>
      <c r="C1053" s="1" t="s">
        <v>945</v>
      </c>
      <c r="D1053" s="1" t="s">
        <v>210</v>
      </c>
      <c r="E1053" s="2">
        <v>5.70038355494E11</v>
      </c>
      <c r="F1053" s="1" t="s">
        <v>2776</v>
      </c>
      <c r="G1053" s="1" t="s">
        <v>12</v>
      </c>
      <c r="H1053" s="3" t="s">
        <v>13</v>
      </c>
      <c r="I1053" s="1"/>
    </row>
    <row r="1054" ht="15.75" customHeight="1">
      <c r="A1054" s="2">
        <v>1053.0</v>
      </c>
      <c r="B1054" s="1" t="s">
        <v>319</v>
      </c>
      <c r="C1054" s="1" t="s">
        <v>2979</v>
      </c>
      <c r="D1054" s="1" t="s">
        <v>2269</v>
      </c>
      <c r="E1054" s="2">
        <v>5.70038355495E11</v>
      </c>
      <c r="F1054" s="1" t="s">
        <v>2980</v>
      </c>
      <c r="G1054" s="1" t="s">
        <v>12</v>
      </c>
      <c r="H1054" s="3" t="s">
        <v>13</v>
      </c>
      <c r="I1054" s="1"/>
    </row>
    <row r="1055" ht="15.75" customHeight="1">
      <c r="A1055" s="2">
        <v>1054.0</v>
      </c>
      <c r="B1055" s="1" t="s">
        <v>2312</v>
      </c>
      <c r="C1055" s="1" t="s">
        <v>765</v>
      </c>
      <c r="D1055" s="1" t="s">
        <v>2595</v>
      </c>
      <c r="E1055" s="2">
        <v>5.70038355496E11</v>
      </c>
      <c r="F1055" s="1" t="s">
        <v>2981</v>
      </c>
      <c r="G1055" s="1" t="s">
        <v>12</v>
      </c>
      <c r="H1055" s="3" t="s">
        <v>13</v>
      </c>
      <c r="I1055" s="1"/>
    </row>
    <row r="1056" ht="15.75" customHeight="1">
      <c r="A1056" s="2">
        <v>1055.0</v>
      </c>
      <c r="B1056" s="1" t="s">
        <v>2982</v>
      </c>
      <c r="C1056" s="1" t="s">
        <v>2983</v>
      </c>
      <c r="D1056" s="1" t="s">
        <v>2765</v>
      </c>
      <c r="E1056" s="2">
        <v>5.70038355497E11</v>
      </c>
      <c r="F1056" s="1" t="s">
        <v>2984</v>
      </c>
      <c r="G1056" s="1" t="s">
        <v>12</v>
      </c>
      <c r="H1056" s="3" t="s">
        <v>13</v>
      </c>
      <c r="I1056" s="1"/>
    </row>
    <row r="1057" ht="15.75" customHeight="1">
      <c r="A1057" s="2">
        <v>1056.0</v>
      </c>
      <c r="B1057" s="1" t="s">
        <v>179</v>
      </c>
      <c r="C1057" s="1" t="s">
        <v>2453</v>
      </c>
      <c r="D1057" s="1" t="s">
        <v>2985</v>
      </c>
      <c r="E1057" s="2">
        <v>5.70038355498E11</v>
      </c>
      <c r="F1057" s="1" t="s">
        <v>2853</v>
      </c>
      <c r="G1057" s="1" t="s">
        <v>12</v>
      </c>
      <c r="H1057" s="3" t="s">
        <v>13</v>
      </c>
      <c r="I1057" s="1"/>
    </row>
    <row r="1058" ht="15.75" customHeight="1">
      <c r="A1058" s="2">
        <v>1057.0</v>
      </c>
      <c r="B1058" s="1" t="s">
        <v>2777</v>
      </c>
      <c r="C1058" s="1" t="s">
        <v>2986</v>
      </c>
      <c r="D1058" s="1" t="s">
        <v>118</v>
      </c>
      <c r="E1058" s="2">
        <v>5.70038355499E11</v>
      </c>
      <c r="F1058" s="1" t="s">
        <v>2987</v>
      </c>
      <c r="G1058" s="1" t="s">
        <v>12</v>
      </c>
      <c r="H1058" s="3" t="s">
        <v>13</v>
      </c>
      <c r="I1058" s="1"/>
    </row>
    <row r="1059" ht="15.75" customHeight="1">
      <c r="A1059" s="2">
        <v>1058.0</v>
      </c>
      <c r="B1059" s="1" t="s">
        <v>324</v>
      </c>
      <c r="C1059" s="1" t="s">
        <v>2988</v>
      </c>
      <c r="D1059" s="1" t="s">
        <v>2929</v>
      </c>
      <c r="E1059" s="2">
        <v>5.700383555E11</v>
      </c>
      <c r="F1059" s="1" t="s">
        <v>2865</v>
      </c>
      <c r="G1059" s="1" t="s">
        <v>12</v>
      </c>
      <c r="H1059" s="3" t="s">
        <v>13</v>
      </c>
      <c r="I1059" s="1"/>
    </row>
    <row r="1060" ht="15.75" customHeight="1">
      <c r="A1060" s="2">
        <v>1059.0</v>
      </c>
      <c r="B1060" s="1" t="s">
        <v>738</v>
      </c>
      <c r="C1060" s="1" t="s">
        <v>2236</v>
      </c>
      <c r="D1060" s="1" t="s">
        <v>58</v>
      </c>
      <c r="E1060" s="2">
        <v>5.70038355501E11</v>
      </c>
      <c r="F1060" s="1" t="s">
        <v>2989</v>
      </c>
      <c r="G1060" s="1" t="s">
        <v>12</v>
      </c>
      <c r="H1060" s="3" t="s">
        <v>13</v>
      </c>
      <c r="I1060" s="1"/>
    </row>
    <row r="1061" ht="15.75" customHeight="1">
      <c r="A1061" s="2">
        <v>1060.0</v>
      </c>
      <c r="B1061" s="1" t="s">
        <v>486</v>
      </c>
      <c r="C1061" s="1" t="s">
        <v>2990</v>
      </c>
      <c r="D1061" s="1" t="s">
        <v>2991</v>
      </c>
      <c r="E1061" s="2">
        <v>5.70038355505E11</v>
      </c>
      <c r="F1061" s="1" t="s">
        <v>2992</v>
      </c>
      <c r="G1061" s="1" t="s">
        <v>12</v>
      </c>
      <c r="H1061" s="3" t="s">
        <v>13</v>
      </c>
      <c r="I1061" s="1"/>
    </row>
    <row r="1062" ht="15.75" customHeight="1">
      <c r="A1062" s="2">
        <v>1061.0</v>
      </c>
      <c r="B1062" s="1" t="s">
        <v>2993</v>
      </c>
      <c r="C1062" s="1" t="s">
        <v>2994</v>
      </c>
      <c r="D1062" s="1" t="s">
        <v>2995</v>
      </c>
      <c r="E1062" s="2">
        <v>5.70038355507E11</v>
      </c>
      <c r="F1062" s="1" t="s">
        <v>2996</v>
      </c>
      <c r="G1062" s="1" t="s">
        <v>12</v>
      </c>
      <c r="H1062" s="3" t="s">
        <v>13</v>
      </c>
      <c r="I1062" s="1"/>
    </row>
    <row r="1063" ht="15.75" customHeight="1">
      <c r="A1063" s="2">
        <v>1062.0</v>
      </c>
      <c r="B1063" s="1" t="s">
        <v>2997</v>
      </c>
      <c r="C1063" s="1" t="s">
        <v>2998</v>
      </c>
      <c r="D1063" s="1" t="s">
        <v>2181</v>
      </c>
      <c r="E1063" s="2">
        <v>5.70038355509E11</v>
      </c>
      <c r="F1063" s="1" t="s">
        <v>1939</v>
      </c>
      <c r="G1063" s="1" t="s">
        <v>12</v>
      </c>
      <c r="H1063" s="3" t="s">
        <v>13</v>
      </c>
      <c r="I1063" s="1"/>
    </row>
    <row r="1064" ht="15.75" customHeight="1">
      <c r="A1064" s="2">
        <v>1063.0</v>
      </c>
      <c r="B1064" s="1" t="s">
        <v>875</v>
      </c>
      <c r="C1064" s="1" t="s">
        <v>2999</v>
      </c>
      <c r="D1064" s="1" t="s">
        <v>1444</v>
      </c>
      <c r="E1064" s="2">
        <v>5.70038355511E11</v>
      </c>
      <c r="F1064" s="1" t="s">
        <v>3000</v>
      </c>
      <c r="G1064" s="1" t="s">
        <v>12</v>
      </c>
      <c r="H1064" s="3" t="s">
        <v>13</v>
      </c>
      <c r="I1064" s="1"/>
    </row>
    <row r="1065" ht="15.75" customHeight="1">
      <c r="A1065" s="2">
        <v>1064.0</v>
      </c>
      <c r="B1065" s="1" t="s">
        <v>2390</v>
      </c>
      <c r="C1065" s="1" t="s">
        <v>3001</v>
      </c>
      <c r="D1065" s="1" t="s">
        <v>2559</v>
      </c>
      <c r="E1065" s="2">
        <v>5.70038355513E11</v>
      </c>
      <c r="F1065" s="1" t="s">
        <v>3002</v>
      </c>
      <c r="G1065" s="1" t="s">
        <v>12</v>
      </c>
      <c r="H1065" s="3" t="s">
        <v>13</v>
      </c>
      <c r="I1065" s="1"/>
    </row>
    <row r="1066" ht="15.75" customHeight="1">
      <c r="A1066" s="2">
        <v>1065.0</v>
      </c>
      <c r="B1066" s="1" t="s">
        <v>3003</v>
      </c>
      <c r="C1066" s="1" t="s">
        <v>3004</v>
      </c>
      <c r="D1066" s="1" t="s">
        <v>107</v>
      </c>
      <c r="E1066" s="2">
        <v>5.70038355517E11</v>
      </c>
      <c r="F1066" s="1" t="s">
        <v>3005</v>
      </c>
      <c r="G1066" s="1" t="s">
        <v>12</v>
      </c>
      <c r="H1066" s="3" t="s">
        <v>13</v>
      </c>
      <c r="I1066" s="1"/>
    </row>
    <row r="1067" ht="15.75" customHeight="1">
      <c r="A1067" s="2">
        <v>1066.0</v>
      </c>
      <c r="B1067" s="1" t="s">
        <v>127</v>
      </c>
      <c r="C1067" s="1" t="s">
        <v>1415</v>
      </c>
      <c r="D1067" s="1" t="s">
        <v>455</v>
      </c>
      <c r="E1067" s="2">
        <v>5.70038355519E11</v>
      </c>
      <c r="F1067" s="1" t="s">
        <v>3006</v>
      </c>
      <c r="G1067" s="1" t="s">
        <v>12</v>
      </c>
      <c r="H1067" s="3" t="s">
        <v>13</v>
      </c>
      <c r="I1067" s="1"/>
    </row>
    <row r="1068" ht="15.75" customHeight="1">
      <c r="A1068" s="2">
        <v>1067.0</v>
      </c>
      <c r="B1068" s="1" t="s">
        <v>3007</v>
      </c>
      <c r="C1068" s="1" t="s">
        <v>3008</v>
      </c>
      <c r="D1068" s="1" t="s">
        <v>396</v>
      </c>
      <c r="E1068" s="2">
        <v>5.70038355521E11</v>
      </c>
      <c r="F1068" s="1" t="s">
        <v>3009</v>
      </c>
      <c r="G1068" s="1" t="s">
        <v>12</v>
      </c>
      <c r="H1068" s="3" t="s">
        <v>13</v>
      </c>
      <c r="I1068" s="1"/>
    </row>
    <row r="1069" ht="15.75" customHeight="1">
      <c r="A1069" s="2">
        <v>1068.0</v>
      </c>
      <c r="B1069" s="1" t="s">
        <v>324</v>
      </c>
      <c r="C1069" s="1" t="s">
        <v>3010</v>
      </c>
      <c r="D1069" s="1" t="s">
        <v>2732</v>
      </c>
      <c r="E1069" s="2">
        <v>5.70038355522E11</v>
      </c>
      <c r="F1069" s="1" t="s">
        <v>3011</v>
      </c>
      <c r="G1069" s="1" t="s">
        <v>12</v>
      </c>
      <c r="H1069" s="3" t="s">
        <v>13</v>
      </c>
      <c r="I1069" s="1"/>
    </row>
    <row r="1070" ht="15.75" customHeight="1">
      <c r="A1070" s="2">
        <v>1069.0</v>
      </c>
      <c r="B1070" s="1" t="s">
        <v>58</v>
      </c>
      <c r="C1070" s="1" t="s">
        <v>3012</v>
      </c>
      <c r="D1070" s="1" t="s">
        <v>875</v>
      </c>
      <c r="E1070" s="2">
        <v>5.70038355523E11</v>
      </c>
      <c r="F1070" s="1" t="s">
        <v>3013</v>
      </c>
      <c r="G1070" s="1" t="s">
        <v>12</v>
      </c>
      <c r="H1070" s="3" t="s">
        <v>13</v>
      </c>
      <c r="I1070" s="1"/>
    </row>
    <row r="1071" ht="15.75" customHeight="1">
      <c r="A1071" s="2">
        <v>1070.0</v>
      </c>
      <c r="B1071" s="1" t="s">
        <v>3014</v>
      </c>
      <c r="C1071" s="1" t="s">
        <v>3015</v>
      </c>
      <c r="D1071" s="1" t="s">
        <v>3016</v>
      </c>
      <c r="E1071" s="2">
        <v>5.70038355525E11</v>
      </c>
      <c r="F1071" s="1" t="s">
        <v>3017</v>
      </c>
      <c r="G1071" s="1" t="s">
        <v>12</v>
      </c>
      <c r="H1071" s="3" t="s">
        <v>13</v>
      </c>
      <c r="I1071" s="1"/>
    </row>
    <row r="1072" ht="15.75" customHeight="1">
      <c r="A1072" s="2">
        <v>1071.0</v>
      </c>
      <c r="B1072" s="1" t="s">
        <v>3018</v>
      </c>
      <c r="C1072" s="1" t="s">
        <v>1415</v>
      </c>
      <c r="D1072" s="1" t="s">
        <v>313</v>
      </c>
      <c r="E1072" s="2">
        <v>5.70038355527E11</v>
      </c>
      <c r="F1072" s="1" t="s">
        <v>3019</v>
      </c>
      <c r="G1072" s="1" t="s">
        <v>12</v>
      </c>
      <c r="H1072" s="3" t="s">
        <v>13</v>
      </c>
      <c r="I1072" s="1"/>
    </row>
    <row r="1073" ht="15.75" customHeight="1">
      <c r="A1073" s="2">
        <v>1072.0</v>
      </c>
      <c r="B1073" s="1" t="s">
        <v>362</v>
      </c>
      <c r="C1073" s="1" t="s">
        <v>3020</v>
      </c>
      <c r="D1073" s="1" t="s">
        <v>2504</v>
      </c>
      <c r="E1073" s="2">
        <v>5.70038355531E11</v>
      </c>
      <c r="F1073" s="1" t="s">
        <v>3021</v>
      </c>
      <c r="G1073" s="1" t="s">
        <v>12</v>
      </c>
      <c r="H1073" s="3" t="s">
        <v>13</v>
      </c>
      <c r="I1073" s="1"/>
    </row>
    <row r="1074" ht="15.75" customHeight="1">
      <c r="A1074" s="2">
        <v>1073.0</v>
      </c>
      <c r="B1074" s="1" t="s">
        <v>3022</v>
      </c>
      <c r="C1074" s="1" t="s">
        <v>3023</v>
      </c>
      <c r="D1074" s="1" t="s">
        <v>60</v>
      </c>
      <c r="E1074" s="2">
        <v>5.70038355534E11</v>
      </c>
      <c r="F1074" s="1" t="s">
        <v>3024</v>
      </c>
      <c r="G1074" s="1" t="s">
        <v>12</v>
      </c>
      <c r="H1074" s="3" t="s">
        <v>13</v>
      </c>
      <c r="I1074" s="1"/>
    </row>
    <row r="1075" ht="15.75" customHeight="1">
      <c r="A1075" s="2">
        <v>1074.0</v>
      </c>
      <c r="B1075" s="1" t="s">
        <v>290</v>
      </c>
      <c r="C1075" s="1" t="s">
        <v>3025</v>
      </c>
      <c r="D1075" s="1" t="s">
        <v>168</v>
      </c>
      <c r="E1075" s="2">
        <v>5.70038355535E11</v>
      </c>
      <c r="F1075" s="1" t="s">
        <v>3026</v>
      </c>
      <c r="G1075" s="1" t="s">
        <v>12</v>
      </c>
      <c r="H1075" s="3" t="s">
        <v>13</v>
      </c>
      <c r="I1075" s="1"/>
    </row>
    <row r="1076" ht="15.75" customHeight="1">
      <c r="A1076" s="2">
        <v>1075.0</v>
      </c>
      <c r="B1076" s="1" t="s">
        <v>2753</v>
      </c>
      <c r="C1076" s="1" t="s">
        <v>3027</v>
      </c>
      <c r="D1076" s="1" t="s">
        <v>2846</v>
      </c>
      <c r="E1076" s="2">
        <v>5.70038355536E11</v>
      </c>
      <c r="F1076" s="1" t="s">
        <v>1830</v>
      </c>
      <c r="G1076" s="1" t="s">
        <v>12</v>
      </c>
      <c r="H1076" s="3" t="s">
        <v>13</v>
      </c>
      <c r="I1076" s="1"/>
    </row>
    <row r="1077" ht="15.75" customHeight="1">
      <c r="A1077" s="2">
        <v>1076.0</v>
      </c>
      <c r="B1077" s="1" t="s">
        <v>3028</v>
      </c>
      <c r="C1077" s="1" t="s">
        <v>3029</v>
      </c>
      <c r="D1077" s="1" t="s">
        <v>3030</v>
      </c>
      <c r="E1077" s="2">
        <v>5.70038355538E11</v>
      </c>
      <c r="F1077" s="1" t="s">
        <v>2125</v>
      </c>
      <c r="G1077" s="1" t="s">
        <v>12</v>
      </c>
      <c r="H1077" s="3" t="s">
        <v>13</v>
      </c>
      <c r="I1077" s="1"/>
    </row>
    <row r="1078" ht="15.75" customHeight="1">
      <c r="A1078" s="2">
        <v>1077.0</v>
      </c>
      <c r="B1078" s="1" t="s">
        <v>10</v>
      </c>
      <c r="C1078" s="1" t="s">
        <v>3031</v>
      </c>
      <c r="D1078" s="1" t="s">
        <v>3032</v>
      </c>
      <c r="E1078" s="2">
        <v>5.7003835554E11</v>
      </c>
      <c r="F1078" s="1" t="s">
        <v>3033</v>
      </c>
      <c r="G1078" s="1" t="s">
        <v>12</v>
      </c>
      <c r="H1078" s="3" t="s">
        <v>13</v>
      </c>
      <c r="I1078" s="1"/>
    </row>
    <row r="1079" ht="15.75" customHeight="1">
      <c r="A1079" s="2">
        <v>1078.0</v>
      </c>
      <c r="B1079" s="1" t="s">
        <v>3034</v>
      </c>
      <c r="C1079" s="1" t="s">
        <v>516</v>
      </c>
      <c r="D1079" s="1" t="s">
        <v>3035</v>
      </c>
      <c r="E1079" s="2">
        <v>5.70038355542E11</v>
      </c>
      <c r="F1079" s="1" t="s">
        <v>3036</v>
      </c>
      <c r="G1079" s="1" t="s">
        <v>12</v>
      </c>
      <c r="H1079" s="3" t="s">
        <v>3037</v>
      </c>
      <c r="I1079" s="1" t="s">
        <v>3038</v>
      </c>
      <c r="J1079" s="5" t="s">
        <v>3039</v>
      </c>
    </row>
    <row r="1080" ht="15.75" customHeight="1">
      <c r="A1080" s="2">
        <v>1079.0</v>
      </c>
      <c r="B1080" s="1" t="s">
        <v>552</v>
      </c>
      <c r="C1080" s="1" t="s">
        <v>970</v>
      </c>
      <c r="D1080" s="1" t="s">
        <v>3040</v>
      </c>
      <c r="E1080" s="2">
        <v>5.70038355543E11</v>
      </c>
      <c r="F1080" s="1" t="s">
        <v>3041</v>
      </c>
      <c r="G1080" s="1" t="s">
        <v>12</v>
      </c>
      <c r="H1080" s="3" t="s">
        <v>3037</v>
      </c>
      <c r="I1080" s="1" t="s">
        <v>3038</v>
      </c>
      <c r="J1080" s="5" t="s">
        <v>3039</v>
      </c>
    </row>
    <row r="1081" ht="15.75" customHeight="1">
      <c r="A1081" s="2">
        <v>1080.0</v>
      </c>
      <c r="B1081" s="1" t="s">
        <v>3042</v>
      </c>
      <c r="C1081" s="1" t="s">
        <v>3043</v>
      </c>
      <c r="D1081" s="1" t="s">
        <v>875</v>
      </c>
      <c r="E1081" s="2">
        <v>5.70038355545E11</v>
      </c>
      <c r="F1081" s="1" t="s">
        <v>3044</v>
      </c>
      <c r="G1081" s="1" t="s">
        <v>12</v>
      </c>
      <c r="H1081" s="3" t="s">
        <v>3037</v>
      </c>
      <c r="I1081" s="1" t="s">
        <v>3038</v>
      </c>
      <c r="J1081" s="5" t="s">
        <v>3039</v>
      </c>
    </row>
    <row r="1082" ht="15.75" customHeight="1">
      <c r="A1082" s="2">
        <v>1081.0</v>
      </c>
      <c r="B1082" s="1" t="s">
        <v>3045</v>
      </c>
      <c r="C1082" s="1" t="s">
        <v>3046</v>
      </c>
      <c r="D1082" s="1" t="s">
        <v>3047</v>
      </c>
      <c r="E1082" s="2">
        <v>5.70038355547E11</v>
      </c>
      <c r="F1082" s="1" t="s">
        <v>3048</v>
      </c>
      <c r="G1082" s="1" t="s">
        <v>12</v>
      </c>
      <c r="H1082" s="3" t="s">
        <v>3037</v>
      </c>
      <c r="I1082" s="1" t="s">
        <v>3038</v>
      </c>
      <c r="J1082" s="5" t="s">
        <v>3039</v>
      </c>
    </row>
    <row r="1083" ht="15.75" customHeight="1">
      <c r="A1083" s="2">
        <v>1082.0</v>
      </c>
      <c r="B1083" s="1" t="s">
        <v>313</v>
      </c>
      <c r="C1083" s="1" t="s">
        <v>3049</v>
      </c>
      <c r="D1083" s="1" t="s">
        <v>3050</v>
      </c>
      <c r="E1083" s="2">
        <v>5.70038355549E11</v>
      </c>
      <c r="F1083" s="1" t="s">
        <v>3051</v>
      </c>
      <c r="G1083" s="1" t="s">
        <v>12</v>
      </c>
      <c r="H1083" s="3" t="s">
        <v>3037</v>
      </c>
      <c r="I1083" s="1" t="s">
        <v>3038</v>
      </c>
      <c r="J1083" s="5" t="s">
        <v>3039</v>
      </c>
    </row>
    <row r="1084" ht="15.75" customHeight="1">
      <c r="A1084" s="2">
        <v>1083.0</v>
      </c>
      <c r="B1084" s="1" t="s">
        <v>58</v>
      </c>
      <c r="C1084" s="1" t="s">
        <v>1880</v>
      </c>
      <c r="D1084" s="1" t="s">
        <v>562</v>
      </c>
      <c r="E1084" s="2">
        <v>5.70038355551E11</v>
      </c>
      <c r="F1084" s="1" t="s">
        <v>3052</v>
      </c>
      <c r="G1084" s="1" t="s">
        <v>12</v>
      </c>
      <c r="H1084" s="3" t="s">
        <v>3037</v>
      </c>
      <c r="I1084" s="1" t="s">
        <v>3038</v>
      </c>
      <c r="J1084" s="5" t="s">
        <v>3039</v>
      </c>
    </row>
    <row r="1085" ht="15.75" customHeight="1">
      <c r="A1085" s="2">
        <v>1084.0</v>
      </c>
      <c r="B1085" s="1" t="s">
        <v>940</v>
      </c>
      <c r="C1085" s="1" t="s">
        <v>3053</v>
      </c>
      <c r="D1085" s="1" t="s">
        <v>3054</v>
      </c>
      <c r="E1085" s="2">
        <v>5.70038355553E11</v>
      </c>
      <c r="F1085" s="1" t="s">
        <v>3055</v>
      </c>
      <c r="G1085" s="1" t="s">
        <v>12</v>
      </c>
      <c r="H1085" s="3" t="s">
        <v>3037</v>
      </c>
      <c r="I1085" s="1" t="s">
        <v>3038</v>
      </c>
      <c r="J1085" s="5" t="s">
        <v>3039</v>
      </c>
    </row>
    <row r="1086" ht="15.75" customHeight="1">
      <c r="A1086" s="2">
        <v>1085.0</v>
      </c>
      <c r="B1086" s="1" t="s">
        <v>3056</v>
      </c>
      <c r="C1086" s="1" t="s">
        <v>3057</v>
      </c>
      <c r="D1086" s="1" t="s">
        <v>3058</v>
      </c>
      <c r="E1086" s="2">
        <v>5.70038355557E11</v>
      </c>
      <c r="F1086" s="1" t="s">
        <v>3059</v>
      </c>
      <c r="G1086" s="1" t="s">
        <v>12</v>
      </c>
      <c r="H1086" s="3" t="s">
        <v>3037</v>
      </c>
      <c r="I1086" s="1" t="s">
        <v>3038</v>
      </c>
      <c r="J1086" s="5" t="s">
        <v>3039</v>
      </c>
    </row>
    <row r="1087" ht="15.75" customHeight="1">
      <c r="A1087" s="2">
        <v>1086.0</v>
      </c>
      <c r="B1087" s="1" t="s">
        <v>2846</v>
      </c>
      <c r="C1087" s="1" t="s">
        <v>1701</v>
      </c>
      <c r="D1087" s="1" t="s">
        <v>3060</v>
      </c>
      <c r="E1087" s="2">
        <v>5.70038355558E11</v>
      </c>
      <c r="F1087" s="1" t="s">
        <v>3061</v>
      </c>
      <c r="G1087" s="1" t="s">
        <v>12</v>
      </c>
      <c r="H1087" s="3" t="s">
        <v>3037</v>
      </c>
      <c r="I1087" s="1" t="s">
        <v>3038</v>
      </c>
      <c r="J1087" s="5" t="s">
        <v>3039</v>
      </c>
    </row>
    <row r="1088" ht="15.75" customHeight="1">
      <c r="A1088" s="2">
        <v>1087.0</v>
      </c>
      <c r="B1088" s="1" t="s">
        <v>3062</v>
      </c>
      <c r="C1088" s="1" t="s">
        <v>3063</v>
      </c>
      <c r="D1088" s="1" t="s">
        <v>569</v>
      </c>
      <c r="E1088" s="2">
        <v>5.70038355559E11</v>
      </c>
      <c r="F1088" s="1" t="s">
        <v>3064</v>
      </c>
      <c r="G1088" s="1" t="s">
        <v>12</v>
      </c>
      <c r="H1088" s="3" t="s">
        <v>3037</v>
      </c>
      <c r="I1088" s="1" t="s">
        <v>3038</v>
      </c>
      <c r="J1088" s="5" t="s">
        <v>3039</v>
      </c>
    </row>
    <row r="1089" ht="15.75" customHeight="1">
      <c r="A1089" s="2">
        <v>1088.0</v>
      </c>
      <c r="B1089" s="1" t="s">
        <v>1904</v>
      </c>
      <c r="C1089" s="1" t="s">
        <v>3065</v>
      </c>
      <c r="D1089" s="1" t="s">
        <v>290</v>
      </c>
      <c r="E1089" s="2">
        <v>5.70038355562E11</v>
      </c>
      <c r="F1089" s="1" t="s">
        <v>3066</v>
      </c>
      <c r="G1089" s="1" t="s">
        <v>12</v>
      </c>
      <c r="H1089" s="3" t="s">
        <v>3037</v>
      </c>
      <c r="I1089" s="1" t="s">
        <v>3038</v>
      </c>
      <c r="J1089" s="5" t="s">
        <v>3039</v>
      </c>
    </row>
    <row r="1090" ht="15.75" customHeight="1">
      <c r="A1090" s="2">
        <v>1089.0</v>
      </c>
      <c r="B1090" s="1" t="s">
        <v>3067</v>
      </c>
      <c r="C1090" s="1" t="s">
        <v>3068</v>
      </c>
      <c r="D1090" s="1" t="s">
        <v>3069</v>
      </c>
      <c r="E1090" s="2">
        <v>5.70038355563E11</v>
      </c>
      <c r="F1090" s="1" t="s">
        <v>3070</v>
      </c>
      <c r="G1090" s="1" t="s">
        <v>12</v>
      </c>
      <c r="H1090" s="3" t="s">
        <v>3037</v>
      </c>
      <c r="I1090" s="1" t="s">
        <v>3038</v>
      </c>
      <c r="J1090" s="5" t="s">
        <v>3039</v>
      </c>
    </row>
    <row r="1091" ht="15.75" customHeight="1">
      <c r="A1091" s="2">
        <v>1090.0</v>
      </c>
      <c r="B1091" s="1" t="s">
        <v>183</v>
      </c>
      <c r="C1091" s="1" t="s">
        <v>3071</v>
      </c>
      <c r="D1091" s="1" t="s">
        <v>3072</v>
      </c>
      <c r="E1091" s="2">
        <v>5.70038355565E11</v>
      </c>
      <c r="F1091" s="1" t="s">
        <v>3073</v>
      </c>
      <c r="G1091" s="1" t="s">
        <v>12</v>
      </c>
      <c r="H1091" s="3" t="s">
        <v>3037</v>
      </c>
      <c r="I1091" s="1" t="s">
        <v>3038</v>
      </c>
      <c r="J1091" s="5" t="s">
        <v>3039</v>
      </c>
    </row>
    <row r="1092" ht="15.75" customHeight="1">
      <c r="A1092" s="2">
        <v>1091.0</v>
      </c>
      <c r="B1092" s="1" t="s">
        <v>58</v>
      </c>
      <c r="C1092" s="1" t="s">
        <v>3074</v>
      </c>
      <c r="D1092" s="1" t="s">
        <v>3075</v>
      </c>
      <c r="E1092" s="2">
        <v>5.7003835557E11</v>
      </c>
      <c r="F1092" s="1" t="s">
        <v>3076</v>
      </c>
      <c r="G1092" s="1" t="s">
        <v>12</v>
      </c>
      <c r="H1092" s="3" t="s">
        <v>3037</v>
      </c>
      <c r="I1092" s="1" t="s">
        <v>3038</v>
      </c>
      <c r="J1092" s="5" t="s">
        <v>3039</v>
      </c>
    </row>
    <row r="1093" ht="15.75" customHeight="1">
      <c r="A1093" s="2">
        <v>1092.0</v>
      </c>
      <c r="B1093" s="1" t="s">
        <v>3077</v>
      </c>
      <c r="C1093" s="1" t="s">
        <v>51</v>
      </c>
      <c r="D1093" s="1" t="s">
        <v>3078</v>
      </c>
      <c r="E1093" s="2">
        <v>5.70038355571E11</v>
      </c>
      <c r="F1093" s="1" t="s">
        <v>3079</v>
      </c>
      <c r="G1093" s="1" t="s">
        <v>12</v>
      </c>
      <c r="H1093" s="3" t="s">
        <v>3037</v>
      </c>
      <c r="I1093" s="1" t="s">
        <v>3038</v>
      </c>
      <c r="J1093" s="5" t="s">
        <v>3039</v>
      </c>
    </row>
    <row r="1094" ht="15.75" customHeight="1">
      <c r="A1094" s="2">
        <v>1093.0</v>
      </c>
      <c r="B1094" s="1" t="s">
        <v>1774</v>
      </c>
      <c r="C1094" s="1" t="s">
        <v>3080</v>
      </c>
      <c r="D1094" s="1" t="s">
        <v>433</v>
      </c>
      <c r="E1094" s="2">
        <v>5.70038355573E11</v>
      </c>
      <c r="F1094" s="1" t="s">
        <v>3081</v>
      </c>
      <c r="G1094" s="1" t="s">
        <v>12</v>
      </c>
      <c r="H1094" s="3" t="s">
        <v>3037</v>
      </c>
      <c r="I1094" s="1" t="s">
        <v>3038</v>
      </c>
      <c r="J1094" s="5" t="s">
        <v>3039</v>
      </c>
    </row>
    <row r="1095" ht="15.75" customHeight="1">
      <c r="A1095" s="2">
        <v>1094.0</v>
      </c>
      <c r="B1095" s="1" t="s">
        <v>97</v>
      </c>
      <c r="C1095" s="1" t="s">
        <v>3082</v>
      </c>
      <c r="D1095" s="1" t="s">
        <v>2237</v>
      </c>
      <c r="E1095" s="2">
        <v>5.70038355574E11</v>
      </c>
      <c r="F1095" s="1" t="s">
        <v>3083</v>
      </c>
      <c r="G1095" s="1" t="s">
        <v>12</v>
      </c>
      <c r="H1095" s="3" t="s">
        <v>3037</v>
      </c>
      <c r="I1095" s="1" t="s">
        <v>3038</v>
      </c>
      <c r="J1095" s="5" t="s">
        <v>3039</v>
      </c>
    </row>
    <row r="1096" ht="15.75" customHeight="1">
      <c r="A1096" s="2">
        <v>1095.0</v>
      </c>
      <c r="B1096" s="1" t="s">
        <v>3084</v>
      </c>
      <c r="C1096" s="1" t="s">
        <v>3085</v>
      </c>
      <c r="D1096" s="1" t="s">
        <v>307</v>
      </c>
      <c r="E1096" s="2">
        <v>5.70038355576E11</v>
      </c>
      <c r="F1096" s="1" t="s">
        <v>3086</v>
      </c>
      <c r="G1096" s="1" t="s">
        <v>12</v>
      </c>
      <c r="H1096" s="3" t="s">
        <v>3037</v>
      </c>
      <c r="I1096" s="1" t="s">
        <v>3038</v>
      </c>
      <c r="J1096" s="5" t="s">
        <v>3039</v>
      </c>
    </row>
    <row r="1097" ht="15.75" customHeight="1">
      <c r="A1097" s="2">
        <v>1096.0</v>
      </c>
      <c r="B1097" s="1" t="s">
        <v>3087</v>
      </c>
      <c r="C1097" s="1" t="s">
        <v>3088</v>
      </c>
      <c r="D1097" s="1" t="s">
        <v>3089</v>
      </c>
      <c r="E1097" s="2">
        <v>5.70038355577E11</v>
      </c>
      <c r="F1097" s="1" t="s">
        <v>3090</v>
      </c>
      <c r="G1097" s="1" t="s">
        <v>12</v>
      </c>
      <c r="H1097" s="3" t="s">
        <v>3037</v>
      </c>
      <c r="I1097" s="1" t="s">
        <v>3038</v>
      </c>
      <c r="J1097" s="5" t="s">
        <v>3039</v>
      </c>
    </row>
    <row r="1098" ht="15.75" customHeight="1">
      <c r="A1098" s="2">
        <v>1097.0</v>
      </c>
      <c r="B1098" s="1" t="s">
        <v>455</v>
      </c>
      <c r="C1098" s="1" t="s">
        <v>3091</v>
      </c>
      <c r="D1098" s="1" t="s">
        <v>3092</v>
      </c>
      <c r="E1098" s="2">
        <v>5.70038355578E11</v>
      </c>
      <c r="F1098" s="1" t="s">
        <v>3093</v>
      </c>
      <c r="G1098" s="1" t="s">
        <v>12</v>
      </c>
      <c r="H1098" s="3" t="s">
        <v>3037</v>
      </c>
      <c r="I1098" s="1" t="s">
        <v>3038</v>
      </c>
      <c r="J1098" s="5" t="s">
        <v>3039</v>
      </c>
    </row>
    <row r="1099" ht="15.75" customHeight="1">
      <c r="A1099" s="2">
        <v>1098.0</v>
      </c>
      <c r="B1099" s="1" t="s">
        <v>427</v>
      </c>
      <c r="C1099" s="1" t="s">
        <v>3094</v>
      </c>
      <c r="D1099" s="1" t="s">
        <v>3095</v>
      </c>
      <c r="E1099" s="2">
        <v>5.70038355579E11</v>
      </c>
      <c r="F1099" s="1" t="s">
        <v>3096</v>
      </c>
      <c r="G1099" s="1" t="s">
        <v>12</v>
      </c>
      <c r="H1099" s="3" t="s">
        <v>3037</v>
      </c>
      <c r="I1099" s="1" t="s">
        <v>3038</v>
      </c>
      <c r="J1099" s="5" t="s">
        <v>3039</v>
      </c>
    </row>
    <row r="1100" ht="15.75" customHeight="1">
      <c r="A1100" s="2">
        <v>1099.0</v>
      </c>
      <c r="B1100" s="1" t="s">
        <v>3097</v>
      </c>
      <c r="C1100" s="1" t="s">
        <v>3098</v>
      </c>
      <c r="D1100" s="1" t="s">
        <v>3087</v>
      </c>
      <c r="E1100" s="2">
        <v>5.70038355581E11</v>
      </c>
      <c r="F1100" s="1" t="s">
        <v>3099</v>
      </c>
      <c r="G1100" s="1" t="s">
        <v>12</v>
      </c>
      <c r="H1100" s="3" t="s">
        <v>3037</v>
      </c>
      <c r="I1100" s="1" t="s">
        <v>3038</v>
      </c>
      <c r="J1100" s="5" t="s">
        <v>3039</v>
      </c>
    </row>
    <row r="1101" ht="15.75" customHeight="1">
      <c r="A1101" s="2">
        <v>1100.0</v>
      </c>
      <c r="B1101" s="1" t="s">
        <v>60</v>
      </c>
      <c r="C1101" s="1" t="s">
        <v>3100</v>
      </c>
      <c r="D1101" s="1" t="s">
        <v>3101</v>
      </c>
      <c r="E1101" s="2">
        <v>5.70038355585E11</v>
      </c>
      <c r="F1101" s="1" t="s">
        <v>3102</v>
      </c>
      <c r="G1101" s="1" t="s">
        <v>12</v>
      </c>
      <c r="H1101" s="3" t="s">
        <v>3037</v>
      </c>
      <c r="I1101" s="1" t="s">
        <v>3038</v>
      </c>
      <c r="J1101" s="5" t="s">
        <v>3039</v>
      </c>
    </row>
    <row r="1102" ht="15.75" customHeight="1">
      <c r="A1102" s="2">
        <v>1101.0</v>
      </c>
      <c r="B1102" s="1" t="s">
        <v>3103</v>
      </c>
      <c r="C1102" s="1" t="s">
        <v>3104</v>
      </c>
      <c r="D1102" s="1" t="s">
        <v>58</v>
      </c>
      <c r="E1102" s="2">
        <v>5.70038355588E11</v>
      </c>
      <c r="F1102" s="1" t="s">
        <v>3105</v>
      </c>
      <c r="G1102" s="1" t="s">
        <v>12</v>
      </c>
      <c r="H1102" s="3" t="s">
        <v>3037</v>
      </c>
      <c r="I1102" s="1" t="s">
        <v>3038</v>
      </c>
      <c r="J1102" s="5" t="s">
        <v>3039</v>
      </c>
    </row>
    <row r="1103" ht="15.75" customHeight="1">
      <c r="A1103" s="2">
        <v>1102.0</v>
      </c>
      <c r="B1103" s="1" t="s">
        <v>3106</v>
      </c>
      <c r="C1103" s="1" t="s">
        <v>3107</v>
      </c>
      <c r="D1103" s="1" t="s">
        <v>3108</v>
      </c>
      <c r="E1103" s="2">
        <v>5.70038355591E11</v>
      </c>
      <c r="F1103" s="1" t="s">
        <v>3109</v>
      </c>
      <c r="G1103" s="1" t="s">
        <v>12</v>
      </c>
      <c r="H1103" s="3" t="s">
        <v>3037</v>
      </c>
      <c r="I1103" s="1" t="s">
        <v>3038</v>
      </c>
      <c r="J1103" s="5" t="s">
        <v>3039</v>
      </c>
    </row>
    <row r="1104" ht="15.75" customHeight="1">
      <c r="A1104" s="2">
        <v>1103.0</v>
      </c>
      <c r="B1104" s="1" t="s">
        <v>445</v>
      </c>
      <c r="C1104" s="1" t="s">
        <v>1156</v>
      </c>
      <c r="D1104" s="1" t="s">
        <v>3110</v>
      </c>
      <c r="E1104" s="2">
        <v>5.70038355592E11</v>
      </c>
      <c r="F1104" s="1" t="s">
        <v>3111</v>
      </c>
      <c r="G1104" s="1" t="s">
        <v>12</v>
      </c>
      <c r="H1104" s="3" t="s">
        <v>3037</v>
      </c>
      <c r="I1104" s="1" t="s">
        <v>3038</v>
      </c>
      <c r="J1104" s="5" t="s">
        <v>3039</v>
      </c>
    </row>
    <row r="1105" ht="15.75" customHeight="1">
      <c r="A1105" s="2">
        <v>1104.0</v>
      </c>
      <c r="B1105" s="1" t="s">
        <v>2648</v>
      </c>
      <c r="C1105" s="1" t="s">
        <v>3112</v>
      </c>
      <c r="D1105" s="1" t="s">
        <v>3106</v>
      </c>
      <c r="E1105" s="2">
        <v>5.70038355593E11</v>
      </c>
      <c r="F1105" s="1" t="s">
        <v>3113</v>
      </c>
      <c r="G1105" s="1" t="s">
        <v>12</v>
      </c>
      <c r="H1105" s="3" t="s">
        <v>3037</v>
      </c>
      <c r="I1105" s="1" t="s">
        <v>3038</v>
      </c>
      <c r="J1105" s="5" t="s">
        <v>3039</v>
      </c>
    </row>
    <row r="1106" ht="15.75" customHeight="1">
      <c r="A1106" s="2">
        <v>1105.0</v>
      </c>
      <c r="B1106" s="1" t="s">
        <v>1191</v>
      </c>
      <c r="C1106" s="1" t="s">
        <v>3114</v>
      </c>
      <c r="D1106" s="1" t="s">
        <v>48</v>
      </c>
      <c r="E1106" s="2">
        <v>5.70038355594E11</v>
      </c>
      <c r="F1106" s="1" t="s">
        <v>3115</v>
      </c>
      <c r="G1106" s="1" t="s">
        <v>12</v>
      </c>
      <c r="H1106" s="3" t="s">
        <v>3037</v>
      </c>
      <c r="I1106" s="1" t="s">
        <v>3038</v>
      </c>
      <c r="J1106" s="5" t="s">
        <v>3039</v>
      </c>
    </row>
    <row r="1107" ht="15.75" customHeight="1">
      <c r="A1107" s="2">
        <v>1106.0</v>
      </c>
      <c r="B1107" s="1" t="s">
        <v>290</v>
      </c>
      <c r="C1107" s="1" t="s">
        <v>3116</v>
      </c>
      <c r="D1107" s="1" t="s">
        <v>3117</v>
      </c>
      <c r="E1107" s="2">
        <v>5.70038355595E11</v>
      </c>
      <c r="F1107" s="1" t="s">
        <v>3118</v>
      </c>
      <c r="G1107" s="1" t="s">
        <v>12</v>
      </c>
      <c r="H1107" s="3" t="s">
        <v>3037</v>
      </c>
      <c r="I1107" s="1" t="s">
        <v>3038</v>
      </c>
      <c r="J1107" s="5" t="s">
        <v>3039</v>
      </c>
    </row>
    <row r="1108" ht="15.75" customHeight="1">
      <c r="A1108" s="2">
        <v>1107.0</v>
      </c>
      <c r="B1108" s="1" t="s">
        <v>957</v>
      </c>
      <c r="C1108" s="1" t="s">
        <v>3119</v>
      </c>
      <c r="D1108" s="1" t="s">
        <v>3120</v>
      </c>
      <c r="E1108" s="2">
        <v>5.70038355597E11</v>
      </c>
      <c r="F1108" s="1" t="s">
        <v>3121</v>
      </c>
      <c r="G1108" s="1" t="s">
        <v>12</v>
      </c>
      <c r="H1108" s="3" t="s">
        <v>3037</v>
      </c>
      <c r="I1108" s="1" t="s">
        <v>3038</v>
      </c>
      <c r="J1108" s="5" t="s">
        <v>3039</v>
      </c>
    </row>
    <row r="1109" ht="15.75" customHeight="1">
      <c r="A1109" s="2">
        <v>1108.0</v>
      </c>
      <c r="B1109" s="1" t="s">
        <v>52</v>
      </c>
      <c r="C1109" s="1" t="s">
        <v>3112</v>
      </c>
      <c r="D1109" s="1" t="s">
        <v>3106</v>
      </c>
      <c r="E1109" s="2">
        <v>5.700383556E11</v>
      </c>
      <c r="F1109" s="1" t="s">
        <v>318</v>
      </c>
      <c r="G1109" s="1" t="s">
        <v>12</v>
      </c>
      <c r="H1109" s="3" t="s">
        <v>3037</v>
      </c>
      <c r="I1109" s="1" t="s">
        <v>3038</v>
      </c>
      <c r="J1109" s="5" t="s">
        <v>3039</v>
      </c>
    </row>
    <row r="1110" ht="15.75" customHeight="1">
      <c r="A1110" s="2">
        <v>1109.0</v>
      </c>
      <c r="B1110" s="1" t="s">
        <v>3122</v>
      </c>
      <c r="C1110" s="1" t="s">
        <v>3123</v>
      </c>
      <c r="D1110" s="1" t="s">
        <v>48</v>
      </c>
      <c r="E1110" s="2">
        <v>5.70038355601E11</v>
      </c>
      <c r="F1110" s="1" t="s">
        <v>3124</v>
      </c>
      <c r="G1110" s="1" t="s">
        <v>12</v>
      </c>
      <c r="H1110" s="3" t="s">
        <v>3037</v>
      </c>
      <c r="I1110" s="1" t="s">
        <v>3038</v>
      </c>
      <c r="J1110" s="5" t="s">
        <v>3039</v>
      </c>
    </row>
    <row r="1111" ht="15.75" customHeight="1">
      <c r="A1111" s="2">
        <v>1110.0</v>
      </c>
      <c r="B1111" s="1" t="s">
        <v>433</v>
      </c>
      <c r="C1111" s="1" t="s">
        <v>3125</v>
      </c>
      <c r="D1111" s="1" t="s">
        <v>1060</v>
      </c>
      <c r="E1111" s="2">
        <v>5.70038355606E11</v>
      </c>
      <c r="F1111" s="1" t="s">
        <v>3126</v>
      </c>
      <c r="G1111" s="1" t="s">
        <v>12</v>
      </c>
      <c r="H1111" s="3" t="s">
        <v>3037</v>
      </c>
      <c r="I1111" s="1" t="s">
        <v>3038</v>
      </c>
      <c r="J1111" s="5" t="s">
        <v>3039</v>
      </c>
    </row>
    <row r="1112" ht="15.75" customHeight="1">
      <c r="A1112" s="2">
        <v>1111.0</v>
      </c>
      <c r="B1112" s="1" t="s">
        <v>3127</v>
      </c>
      <c r="C1112" s="1" t="s">
        <v>3128</v>
      </c>
      <c r="D1112" s="1" t="s">
        <v>3129</v>
      </c>
      <c r="E1112" s="2">
        <v>5.70038355608E11</v>
      </c>
      <c r="F1112" s="1" t="s">
        <v>3130</v>
      </c>
      <c r="G1112" s="1" t="s">
        <v>12</v>
      </c>
      <c r="H1112" s="3" t="s">
        <v>3037</v>
      </c>
      <c r="I1112" s="1" t="s">
        <v>3038</v>
      </c>
      <c r="J1112" s="5" t="s">
        <v>3039</v>
      </c>
    </row>
    <row r="1113" ht="15.75" customHeight="1">
      <c r="A1113" s="2">
        <v>1112.0</v>
      </c>
      <c r="B1113" s="1" t="s">
        <v>2230</v>
      </c>
      <c r="C1113" s="1" t="s">
        <v>3131</v>
      </c>
      <c r="D1113" s="1" t="s">
        <v>1222</v>
      </c>
      <c r="E1113" s="2">
        <v>5.70038355609E11</v>
      </c>
      <c r="F1113" s="1" t="s">
        <v>2080</v>
      </c>
      <c r="G1113" s="1" t="s">
        <v>12</v>
      </c>
      <c r="H1113" s="3" t="s">
        <v>3037</v>
      </c>
      <c r="I1113" s="1" t="s">
        <v>3038</v>
      </c>
      <c r="J1113" s="5" t="s">
        <v>3039</v>
      </c>
    </row>
    <row r="1114" ht="15.75" customHeight="1">
      <c r="A1114" s="2">
        <v>1113.0</v>
      </c>
      <c r="B1114" s="1" t="s">
        <v>3132</v>
      </c>
      <c r="C1114" s="1" t="s">
        <v>3133</v>
      </c>
      <c r="D1114" s="1" t="s">
        <v>362</v>
      </c>
      <c r="E1114" s="2">
        <v>5.70038355627E11</v>
      </c>
      <c r="F1114" s="1" t="s">
        <v>3134</v>
      </c>
      <c r="G1114" s="1" t="s">
        <v>12</v>
      </c>
      <c r="H1114" s="3" t="s">
        <v>3037</v>
      </c>
      <c r="I1114" s="1" t="s">
        <v>3038</v>
      </c>
      <c r="J1114" s="5" t="s">
        <v>3039</v>
      </c>
    </row>
    <row r="1115" ht="15.75" customHeight="1">
      <c r="A1115" s="2">
        <v>1114.0</v>
      </c>
      <c r="B1115" s="1" t="s">
        <v>3135</v>
      </c>
      <c r="C1115" s="1" t="s">
        <v>3136</v>
      </c>
      <c r="D1115" s="1" t="s">
        <v>20</v>
      </c>
      <c r="E1115" s="2">
        <v>5.7003835563E11</v>
      </c>
      <c r="F1115" s="1" t="s">
        <v>3137</v>
      </c>
      <c r="G1115" s="1" t="s">
        <v>12</v>
      </c>
      <c r="H1115" s="1" t="s">
        <v>3037</v>
      </c>
      <c r="I1115" s="1" t="s">
        <v>3038</v>
      </c>
      <c r="J1115" s="1" t="s">
        <v>3039</v>
      </c>
    </row>
    <row r="1116" ht="15.75" customHeight="1">
      <c r="A1116" s="2">
        <v>1115.0</v>
      </c>
      <c r="B1116" s="1" t="s">
        <v>552</v>
      </c>
      <c r="C1116" s="1" t="s">
        <v>3138</v>
      </c>
      <c r="D1116" s="1" t="s">
        <v>433</v>
      </c>
      <c r="E1116" s="2">
        <v>5.70038355631E11</v>
      </c>
      <c r="F1116" s="1" t="s">
        <v>3139</v>
      </c>
      <c r="G1116" s="1" t="s">
        <v>12</v>
      </c>
      <c r="H1116" s="1" t="s">
        <v>3037</v>
      </c>
      <c r="I1116" s="1" t="s">
        <v>3038</v>
      </c>
      <c r="J1116" s="1" t="s">
        <v>3039</v>
      </c>
    </row>
    <row r="1117" ht="15.75" customHeight="1">
      <c r="A1117" s="2">
        <v>1116.0</v>
      </c>
      <c r="B1117" s="1" t="s">
        <v>3140</v>
      </c>
      <c r="C1117" s="1" t="s">
        <v>3141</v>
      </c>
      <c r="D1117" s="1" t="s">
        <v>513</v>
      </c>
      <c r="E1117" s="2">
        <v>5.70038355632E11</v>
      </c>
      <c r="F1117" s="1" t="s">
        <v>3142</v>
      </c>
      <c r="G1117" s="1" t="s">
        <v>12</v>
      </c>
      <c r="H1117" s="1" t="s">
        <v>3037</v>
      </c>
      <c r="I1117" s="1" t="s">
        <v>3038</v>
      </c>
      <c r="J1117" s="1" t="s">
        <v>3039</v>
      </c>
    </row>
    <row r="1118" ht="15.75" customHeight="1">
      <c r="A1118" s="2">
        <v>1117.0</v>
      </c>
      <c r="B1118" s="1" t="s">
        <v>3143</v>
      </c>
      <c r="C1118" s="1" t="s">
        <v>3144</v>
      </c>
      <c r="D1118" s="1" t="s">
        <v>3145</v>
      </c>
      <c r="E1118" s="2">
        <v>5.70038355633E11</v>
      </c>
      <c r="F1118" s="1" t="s">
        <v>3146</v>
      </c>
      <c r="G1118" s="1" t="s">
        <v>12</v>
      </c>
      <c r="H1118" s="1" t="s">
        <v>3037</v>
      </c>
      <c r="I1118" s="1" t="s">
        <v>3038</v>
      </c>
      <c r="J1118" s="1" t="s">
        <v>3039</v>
      </c>
    </row>
    <row r="1119" ht="15.75" customHeight="1">
      <c r="A1119" s="2">
        <v>1118.0</v>
      </c>
      <c r="B1119" s="1" t="s">
        <v>3147</v>
      </c>
      <c r="C1119" s="1" t="s">
        <v>3148</v>
      </c>
      <c r="D1119" s="1" t="s">
        <v>552</v>
      </c>
      <c r="E1119" s="2">
        <v>5.70038355635E11</v>
      </c>
      <c r="F1119" s="1" t="s">
        <v>3149</v>
      </c>
      <c r="G1119" s="1" t="s">
        <v>12</v>
      </c>
      <c r="H1119" s="1" t="s">
        <v>3037</v>
      </c>
      <c r="I1119" s="1" t="s">
        <v>3038</v>
      </c>
      <c r="J1119" s="1" t="s">
        <v>3039</v>
      </c>
    </row>
    <row r="1120" ht="15.75" customHeight="1">
      <c r="A1120" s="2">
        <v>1119.0</v>
      </c>
      <c r="B1120" s="1" t="s">
        <v>1292</v>
      </c>
      <c r="C1120" s="1" t="s">
        <v>495</v>
      </c>
      <c r="D1120" s="1" t="s">
        <v>1774</v>
      </c>
      <c r="E1120" s="2">
        <v>5.7003835564E11</v>
      </c>
      <c r="F1120" s="1" t="s">
        <v>1903</v>
      </c>
      <c r="G1120" s="1" t="s">
        <v>12</v>
      </c>
      <c r="H1120" s="1" t="s">
        <v>3037</v>
      </c>
      <c r="I1120" s="1" t="s">
        <v>3038</v>
      </c>
      <c r="J1120" s="1" t="s">
        <v>3039</v>
      </c>
    </row>
    <row r="1121" ht="15.75" customHeight="1">
      <c r="A1121" s="2">
        <v>1120.0</v>
      </c>
      <c r="B1121" s="1" t="s">
        <v>118</v>
      </c>
      <c r="C1121" s="1" t="s">
        <v>3150</v>
      </c>
      <c r="D1121" s="1" t="s">
        <v>2510</v>
      </c>
      <c r="E1121" s="2">
        <v>5.70038355643E11</v>
      </c>
      <c r="F1121" s="1" t="s">
        <v>3151</v>
      </c>
      <c r="G1121" s="1" t="s">
        <v>12</v>
      </c>
      <c r="H1121" s="1" t="s">
        <v>3037</v>
      </c>
      <c r="I1121" s="1" t="s">
        <v>3038</v>
      </c>
      <c r="J1121" s="1" t="s">
        <v>3039</v>
      </c>
    </row>
    <row r="1122" ht="15.75" customHeight="1">
      <c r="A1122" s="2">
        <v>1121.0</v>
      </c>
      <c r="B1122" s="1" t="s">
        <v>40</v>
      </c>
      <c r="C1122" s="1" t="s">
        <v>3152</v>
      </c>
      <c r="D1122" s="1" t="s">
        <v>263</v>
      </c>
      <c r="E1122" s="2">
        <v>5.70038355644E11</v>
      </c>
      <c r="F1122" s="1" t="s">
        <v>3153</v>
      </c>
      <c r="G1122" s="1" t="s">
        <v>12</v>
      </c>
      <c r="H1122" s="1" t="s">
        <v>3037</v>
      </c>
      <c r="I1122" s="1" t="s">
        <v>3038</v>
      </c>
      <c r="J1122" s="1" t="s">
        <v>3039</v>
      </c>
    </row>
    <row r="1123" ht="15.75" customHeight="1">
      <c r="A1123" s="2">
        <v>1122.0</v>
      </c>
      <c r="B1123" s="1" t="s">
        <v>44</v>
      </c>
      <c r="C1123" s="1" t="s">
        <v>3154</v>
      </c>
      <c r="D1123" s="1" t="s">
        <v>3155</v>
      </c>
      <c r="E1123" s="2">
        <v>5.70038355645E11</v>
      </c>
      <c r="F1123" s="1" t="s">
        <v>3156</v>
      </c>
      <c r="G1123" s="1" t="s">
        <v>12</v>
      </c>
      <c r="H1123" s="1" t="s">
        <v>3037</v>
      </c>
      <c r="I1123" s="1" t="s">
        <v>3038</v>
      </c>
      <c r="J1123" s="1" t="s">
        <v>3039</v>
      </c>
    </row>
    <row r="1124" ht="15.75" customHeight="1">
      <c r="A1124" s="2">
        <v>1123.0</v>
      </c>
      <c r="B1124" s="1" t="s">
        <v>419</v>
      </c>
      <c r="C1124" s="1" t="s">
        <v>3157</v>
      </c>
      <c r="D1124" s="1" t="s">
        <v>58</v>
      </c>
      <c r="E1124" s="2">
        <v>5.70038355648E11</v>
      </c>
      <c r="F1124" s="1" t="s">
        <v>3158</v>
      </c>
      <c r="G1124" s="1" t="s">
        <v>12</v>
      </c>
      <c r="H1124" s="1" t="s">
        <v>3037</v>
      </c>
      <c r="I1124" s="1" t="s">
        <v>3038</v>
      </c>
      <c r="J1124" s="1" t="s">
        <v>3039</v>
      </c>
    </row>
    <row r="1125" ht="15.75" customHeight="1">
      <c r="A1125" s="2">
        <v>1124.0</v>
      </c>
      <c r="B1125" s="1" t="s">
        <v>3159</v>
      </c>
      <c r="C1125" s="1" t="s">
        <v>3160</v>
      </c>
      <c r="D1125" s="1" t="s">
        <v>3161</v>
      </c>
      <c r="E1125" s="2">
        <v>5.70038355659E11</v>
      </c>
      <c r="F1125" s="1" t="s">
        <v>3162</v>
      </c>
      <c r="G1125" s="1" t="s">
        <v>12</v>
      </c>
      <c r="H1125" s="1" t="s">
        <v>3037</v>
      </c>
      <c r="I1125" s="1" t="s">
        <v>3038</v>
      </c>
      <c r="J1125" s="1" t="s">
        <v>3039</v>
      </c>
    </row>
    <row r="1126" ht="15.75" customHeight="1">
      <c r="A1126" s="2">
        <v>1125.0</v>
      </c>
      <c r="B1126" s="1" t="s">
        <v>1979</v>
      </c>
      <c r="C1126" s="1" t="s">
        <v>3163</v>
      </c>
      <c r="D1126" s="1" t="s">
        <v>3164</v>
      </c>
      <c r="E1126" s="2">
        <v>5.70038355662E11</v>
      </c>
      <c r="F1126" s="1" t="s">
        <v>2961</v>
      </c>
      <c r="G1126" s="1" t="s">
        <v>12</v>
      </c>
      <c r="H1126" s="1" t="s">
        <v>3037</v>
      </c>
      <c r="I1126" s="1" t="s">
        <v>3038</v>
      </c>
      <c r="J1126" s="1" t="s">
        <v>3039</v>
      </c>
    </row>
    <row r="1127" ht="15.75" customHeight="1">
      <c r="A1127" s="2">
        <v>1126.0</v>
      </c>
      <c r="B1127" s="1" t="s">
        <v>40</v>
      </c>
      <c r="C1127" s="1" t="s">
        <v>3165</v>
      </c>
      <c r="D1127" s="1" t="s">
        <v>3166</v>
      </c>
      <c r="E1127" s="2">
        <v>5.70038355663E11</v>
      </c>
      <c r="F1127" s="1" t="s">
        <v>3167</v>
      </c>
      <c r="G1127" s="1" t="s">
        <v>12</v>
      </c>
      <c r="H1127" s="1" t="s">
        <v>3037</v>
      </c>
      <c r="I1127" s="1" t="s">
        <v>3038</v>
      </c>
      <c r="J1127" s="1" t="s">
        <v>3039</v>
      </c>
    </row>
    <row r="1128" ht="15.75" customHeight="1">
      <c r="A1128" s="2">
        <v>1127.0</v>
      </c>
      <c r="B1128" s="1" t="s">
        <v>3127</v>
      </c>
      <c r="C1128" s="1" t="s">
        <v>3168</v>
      </c>
      <c r="D1128" s="1" t="s">
        <v>3169</v>
      </c>
      <c r="E1128" s="2">
        <v>5.70038355667E11</v>
      </c>
      <c r="F1128" s="1" t="s">
        <v>3170</v>
      </c>
      <c r="G1128" s="1" t="s">
        <v>12</v>
      </c>
      <c r="H1128" s="1" t="s">
        <v>3037</v>
      </c>
      <c r="I1128" s="1" t="s">
        <v>3038</v>
      </c>
      <c r="J1128" s="1" t="s">
        <v>3039</v>
      </c>
    </row>
    <row r="1129" ht="15.75" customHeight="1">
      <c r="A1129" s="2">
        <v>1128.0</v>
      </c>
      <c r="B1129" s="1" t="s">
        <v>660</v>
      </c>
      <c r="C1129" s="1" t="s">
        <v>3171</v>
      </c>
      <c r="D1129" s="1" t="s">
        <v>3172</v>
      </c>
      <c r="E1129" s="2">
        <v>5.70038355668E11</v>
      </c>
      <c r="F1129" s="1" t="s">
        <v>3173</v>
      </c>
      <c r="G1129" s="1" t="s">
        <v>12</v>
      </c>
      <c r="H1129" s="1" t="s">
        <v>3037</v>
      </c>
      <c r="I1129" s="1" t="s">
        <v>3038</v>
      </c>
      <c r="J1129" s="1" t="s">
        <v>3039</v>
      </c>
    </row>
    <row r="1130" ht="15.75" customHeight="1">
      <c r="A1130" s="2">
        <v>1129.0</v>
      </c>
      <c r="B1130" s="1" t="s">
        <v>3174</v>
      </c>
      <c r="C1130" s="1" t="s">
        <v>3175</v>
      </c>
      <c r="D1130" s="1" t="s">
        <v>3176</v>
      </c>
      <c r="E1130" s="2">
        <v>5.70038355669E11</v>
      </c>
      <c r="F1130" s="1" t="s">
        <v>3177</v>
      </c>
      <c r="G1130" s="1" t="s">
        <v>12</v>
      </c>
      <c r="H1130" s="1" t="s">
        <v>3037</v>
      </c>
      <c r="I1130" s="1" t="s">
        <v>3038</v>
      </c>
      <c r="J1130" s="1" t="s">
        <v>3039</v>
      </c>
    </row>
    <row r="1131" ht="15.75" customHeight="1">
      <c r="A1131" s="2">
        <v>1130.0</v>
      </c>
      <c r="B1131" s="1" t="s">
        <v>267</v>
      </c>
      <c r="C1131" s="1" t="s">
        <v>3138</v>
      </c>
      <c r="D1131" s="1" t="s">
        <v>3178</v>
      </c>
      <c r="E1131" s="2">
        <v>5.70038355671E11</v>
      </c>
      <c r="F1131" s="1" t="s">
        <v>3179</v>
      </c>
      <c r="G1131" s="1" t="s">
        <v>12</v>
      </c>
      <c r="H1131" s="1" t="s">
        <v>3037</v>
      </c>
      <c r="I1131" s="1" t="s">
        <v>3038</v>
      </c>
      <c r="J1131" s="1" t="s">
        <v>3039</v>
      </c>
    </row>
    <row r="1132" ht="15.75" customHeight="1">
      <c r="A1132" s="2">
        <v>1131.0</v>
      </c>
      <c r="B1132" s="1" t="s">
        <v>2198</v>
      </c>
      <c r="C1132" s="1" t="s">
        <v>3138</v>
      </c>
      <c r="D1132" s="1" t="s">
        <v>433</v>
      </c>
      <c r="E1132" s="2">
        <v>5.70038355672E11</v>
      </c>
      <c r="F1132" s="1" t="s">
        <v>3180</v>
      </c>
      <c r="G1132" s="1" t="s">
        <v>12</v>
      </c>
      <c r="H1132" s="1" t="s">
        <v>3037</v>
      </c>
      <c r="I1132" s="1" t="s">
        <v>3038</v>
      </c>
      <c r="J1132" s="1" t="s">
        <v>3039</v>
      </c>
    </row>
    <row r="1133" ht="15.75" customHeight="1">
      <c r="A1133" s="2">
        <v>1132.0</v>
      </c>
      <c r="B1133" s="1" t="s">
        <v>97</v>
      </c>
      <c r="C1133" s="1" t="s">
        <v>3181</v>
      </c>
      <c r="D1133" s="1" t="s">
        <v>48</v>
      </c>
      <c r="E1133" s="2">
        <v>5.70038355673E11</v>
      </c>
      <c r="F1133" s="1" t="s">
        <v>3182</v>
      </c>
      <c r="G1133" s="1" t="s">
        <v>12</v>
      </c>
      <c r="H1133" s="1" t="s">
        <v>3037</v>
      </c>
      <c r="I1133" s="1" t="s">
        <v>3038</v>
      </c>
      <c r="J1133" s="1" t="s">
        <v>3039</v>
      </c>
    </row>
    <row r="1134" ht="15.75" customHeight="1">
      <c r="A1134" s="2">
        <v>1133.0</v>
      </c>
      <c r="B1134" s="1" t="s">
        <v>3183</v>
      </c>
      <c r="C1134" s="1" t="s">
        <v>2861</v>
      </c>
      <c r="D1134" s="1" t="s">
        <v>3184</v>
      </c>
      <c r="E1134" s="2">
        <v>5.70038355674E11</v>
      </c>
      <c r="F1134" s="1" t="s">
        <v>3185</v>
      </c>
      <c r="G1134" s="1" t="s">
        <v>12</v>
      </c>
      <c r="H1134" s="1" t="s">
        <v>3037</v>
      </c>
      <c r="I1134" s="1" t="s">
        <v>3038</v>
      </c>
      <c r="J1134" s="1" t="s">
        <v>3039</v>
      </c>
    </row>
    <row r="1135" ht="15.75" customHeight="1">
      <c r="A1135" s="2">
        <v>1134.0</v>
      </c>
      <c r="B1135" s="1" t="s">
        <v>18</v>
      </c>
      <c r="C1135" s="1" t="s">
        <v>3186</v>
      </c>
      <c r="D1135" s="1" t="s">
        <v>3187</v>
      </c>
      <c r="E1135" s="2">
        <v>5.70038355675E11</v>
      </c>
      <c r="F1135" s="1" t="s">
        <v>3188</v>
      </c>
      <c r="G1135" s="1" t="s">
        <v>12</v>
      </c>
      <c r="H1135" s="1" t="s">
        <v>3037</v>
      </c>
      <c r="I1135" s="1" t="s">
        <v>3038</v>
      </c>
      <c r="J1135" s="1" t="s">
        <v>3039</v>
      </c>
    </row>
    <row r="1136" ht="15.75" customHeight="1">
      <c r="A1136" s="2">
        <v>1135.0</v>
      </c>
      <c r="B1136" s="1" t="s">
        <v>46</v>
      </c>
      <c r="C1136" s="1" t="s">
        <v>970</v>
      </c>
      <c r="D1136" s="1" t="s">
        <v>77</v>
      </c>
      <c r="E1136" s="2">
        <v>5.70038355679E11</v>
      </c>
      <c r="F1136" s="1" t="s">
        <v>3189</v>
      </c>
      <c r="G1136" s="1" t="s">
        <v>12</v>
      </c>
      <c r="H1136" s="1" t="s">
        <v>3037</v>
      </c>
      <c r="I1136" s="1" t="s">
        <v>3038</v>
      </c>
      <c r="J1136" s="1" t="s">
        <v>3039</v>
      </c>
    </row>
    <row r="1137" ht="15.75" customHeight="1">
      <c r="A1137" s="2">
        <v>1136.0</v>
      </c>
      <c r="B1137" s="1" t="s">
        <v>2237</v>
      </c>
      <c r="C1137" s="1" t="s">
        <v>3190</v>
      </c>
      <c r="D1137" s="1" t="s">
        <v>3191</v>
      </c>
      <c r="E1137" s="2">
        <v>5.7003835568E11</v>
      </c>
      <c r="F1137" s="1" t="s">
        <v>3192</v>
      </c>
      <c r="G1137" s="1" t="s">
        <v>12</v>
      </c>
      <c r="H1137" s="1" t="s">
        <v>3037</v>
      </c>
      <c r="I1137" s="1" t="s">
        <v>3038</v>
      </c>
      <c r="J1137" s="1" t="s">
        <v>3039</v>
      </c>
    </row>
    <row r="1138" ht="15.75" customHeight="1">
      <c r="A1138" s="2">
        <v>1137.0</v>
      </c>
      <c r="B1138" s="1" t="s">
        <v>3193</v>
      </c>
      <c r="C1138" s="1" t="s">
        <v>3194</v>
      </c>
      <c r="D1138" s="1" t="s">
        <v>3195</v>
      </c>
      <c r="E1138" s="2">
        <v>5.70038355682E11</v>
      </c>
      <c r="F1138" s="1" t="s">
        <v>3196</v>
      </c>
      <c r="G1138" s="1" t="s">
        <v>12</v>
      </c>
      <c r="H1138" s="1" t="s">
        <v>3037</v>
      </c>
      <c r="I1138" s="1" t="s">
        <v>3038</v>
      </c>
      <c r="J1138" s="1" t="s">
        <v>3039</v>
      </c>
    </row>
    <row r="1139" ht="15.75" customHeight="1">
      <c r="A1139" s="2">
        <v>1138.0</v>
      </c>
      <c r="B1139" s="1" t="s">
        <v>3197</v>
      </c>
      <c r="C1139" s="1" t="s">
        <v>1522</v>
      </c>
      <c r="D1139" s="1" t="s">
        <v>60</v>
      </c>
      <c r="E1139" s="2">
        <v>5.70038355683E11</v>
      </c>
      <c r="F1139" s="1" t="s">
        <v>3198</v>
      </c>
      <c r="G1139" s="1" t="s">
        <v>12</v>
      </c>
      <c r="H1139" s="1" t="s">
        <v>3037</v>
      </c>
      <c r="I1139" s="1" t="s">
        <v>3038</v>
      </c>
      <c r="J1139" s="1" t="s">
        <v>3039</v>
      </c>
    </row>
    <row r="1140" ht="15.75" customHeight="1">
      <c r="A1140" s="2">
        <v>1139.0</v>
      </c>
      <c r="B1140" s="1" t="s">
        <v>3199</v>
      </c>
      <c r="C1140" s="1" t="s">
        <v>3012</v>
      </c>
      <c r="D1140" s="1" t="s">
        <v>875</v>
      </c>
      <c r="E1140" s="2">
        <v>5.70038355686E11</v>
      </c>
      <c r="F1140" s="1" t="s">
        <v>3200</v>
      </c>
      <c r="G1140" s="1" t="s">
        <v>12</v>
      </c>
      <c r="H1140" s="1" t="s">
        <v>3037</v>
      </c>
      <c r="I1140" s="1" t="s">
        <v>3038</v>
      </c>
      <c r="J1140" s="1" t="s">
        <v>3039</v>
      </c>
    </row>
    <row r="1141" ht="15.75" customHeight="1">
      <c r="A1141" s="2">
        <v>1140.0</v>
      </c>
      <c r="B1141" s="1" t="s">
        <v>1904</v>
      </c>
      <c r="C1141" s="1" t="s">
        <v>3201</v>
      </c>
      <c r="D1141" s="1" t="s">
        <v>3202</v>
      </c>
      <c r="E1141" s="2">
        <v>5.70038355687E11</v>
      </c>
      <c r="F1141" s="1" t="s">
        <v>3203</v>
      </c>
      <c r="G1141" s="1" t="s">
        <v>12</v>
      </c>
      <c r="H1141" s="1" t="s">
        <v>3037</v>
      </c>
      <c r="I1141" s="1" t="s">
        <v>3038</v>
      </c>
      <c r="J1141" s="1" t="s">
        <v>3039</v>
      </c>
    </row>
    <row r="1142" ht="15.75" customHeight="1">
      <c r="A1142" s="2">
        <v>1141.0</v>
      </c>
      <c r="B1142" s="1" t="s">
        <v>324</v>
      </c>
      <c r="C1142" s="1" t="s">
        <v>3204</v>
      </c>
      <c r="D1142" s="1" t="s">
        <v>3205</v>
      </c>
      <c r="E1142" s="2">
        <v>5.70038355689E11</v>
      </c>
      <c r="F1142" s="1" t="s">
        <v>3206</v>
      </c>
      <c r="G1142" s="1" t="s">
        <v>12</v>
      </c>
      <c r="H1142" s="1" t="s">
        <v>3037</v>
      </c>
      <c r="I1142" s="1" t="s">
        <v>3038</v>
      </c>
      <c r="J1142" s="1" t="s">
        <v>3039</v>
      </c>
    </row>
    <row r="1143" ht="15.75" customHeight="1">
      <c r="A1143" s="2">
        <v>1142.0</v>
      </c>
      <c r="B1143" s="1" t="s">
        <v>1308</v>
      </c>
      <c r="C1143" s="1" t="s">
        <v>3207</v>
      </c>
      <c r="D1143" s="1" t="s">
        <v>1232</v>
      </c>
      <c r="E1143" s="2">
        <v>5.7003835569E11</v>
      </c>
      <c r="F1143" s="1" t="s">
        <v>3208</v>
      </c>
      <c r="G1143" s="1" t="s">
        <v>12</v>
      </c>
      <c r="H1143" s="1" t="s">
        <v>3037</v>
      </c>
      <c r="I1143" s="1" t="s">
        <v>3038</v>
      </c>
      <c r="J1143" s="1" t="s">
        <v>3039</v>
      </c>
    </row>
    <row r="1144" ht="15.75" customHeight="1">
      <c r="A1144" s="2">
        <v>1143.0</v>
      </c>
      <c r="B1144" s="1" t="s">
        <v>1627</v>
      </c>
      <c r="C1144" s="1" t="s">
        <v>3209</v>
      </c>
      <c r="D1144" s="1" t="s">
        <v>3210</v>
      </c>
      <c r="E1144" s="2">
        <v>5.70038355691E11</v>
      </c>
      <c r="F1144" s="1" t="s">
        <v>3211</v>
      </c>
      <c r="G1144" s="1" t="s">
        <v>12</v>
      </c>
      <c r="H1144" s="1" t="s">
        <v>3037</v>
      </c>
      <c r="I1144" s="1" t="s">
        <v>3038</v>
      </c>
      <c r="J1144" s="1" t="s">
        <v>3039</v>
      </c>
    </row>
    <row r="1145" ht="15.75" customHeight="1">
      <c r="A1145" s="2">
        <v>1144.0</v>
      </c>
      <c r="B1145" s="1" t="s">
        <v>3212</v>
      </c>
      <c r="C1145" s="1" t="s">
        <v>3213</v>
      </c>
      <c r="D1145" s="1" t="s">
        <v>3214</v>
      </c>
      <c r="E1145" s="2">
        <v>5.70038355694E11</v>
      </c>
      <c r="F1145" s="1" t="s">
        <v>3215</v>
      </c>
      <c r="G1145" s="1" t="s">
        <v>12</v>
      </c>
      <c r="H1145" s="1" t="s">
        <v>3037</v>
      </c>
      <c r="I1145" s="1" t="s">
        <v>3038</v>
      </c>
      <c r="J1145" s="1" t="s">
        <v>3039</v>
      </c>
    </row>
    <row r="1146" ht="15.75" customHeight="1">
      <c r="A1146" s="2">
        <v>1145.0</v>
      </c>
      <c r="B1146" s="1" t="s">
        <v>3216</v>
      </c>
      <c r="C1146" s="1" t="s">
        <v>3217</v>
      </c>
      <c r="D1146" s="1" t="s">
        <v>457</v>
      </c>
      <c r="E1146" s="2">
        <v>5.70038355699E11</v>
      </c>
      <c r="F1146" s="1" t="s">
        <v>3218</v>
      </c>
      <c r="G1146" s="1" t="s">
        <v>12</v>
      </c>
      <c r="H1146" s="1" t="s">
        <v>3037</v>
      </c>
      <c r="I1146" s="1" t="s">
        <v>3038</v>
      </c>
      <c r="J1146" s="1" t="s">
        <v>3039</v>
      </c>
    </row>
    <row r="1147" ht="15.75" customHeight="1">
      <c r="A1147" s="2">
        <v>1146.0</v>
      </c>
      <c r="B1147" s="1" t="s">
        <v>3219</v>
      </c>
      <c r="C1147" s="1" t="s">
        <v>3220</v>
      </c>
      <c r="D1147" s="1" t="s">
        <v>1649</v>
      </c>
      <c r="E1147" s="2">
        <v>5.70038355705E11</v>
      </c>
      <c r="F1147" s="1" t="s">
        <v>3221</v>
      </c>
      <c r="G1147" s="1" t="s">
        <v>12</v>
      </c>
      <c r="H1147" s="1" t="s">
        <v>3037</v>
      </c>
      <c r="I1147" s="1" t="s">
        <v>3038</v>
      </c>
      <c r="J1147" s="1" t="s">
        <v>3039</v>
      </c>
    </row>
    <row r="1148" ht="15.75" customHeight="1">
      <c r="A1148" s="2">
        <v>1147.0</v>
      </c>
      <c r="B1148" s="1" t="s">
        <v>3222</v>
      </c>
      <c r="C1148" s="1" t="s">
        <v>3223</v>
      </c>
      <c r="D1148" s="1" t="s">
        <v>3224</v>
      </c>
      <c r="E1148" s="2">
        <v>5.70038355706E11</v>
      </c>
      <c r="F1148" s="1" t="s">
        <v>2031</v>
      </c>
      <c r="G1148" s="1" t="s">
        <v>12</v>
      </c>
      <c r="H1148" s="1" t="s">
        <v>3037</v>
      </c>
      <c r="I1148" s="1" t="s">
        <v>3038</v>
      </c>
      <c r="J1148" s="1" t="s">
        <v>3039</v>
      </c>
    </row>
    <row r="1149" ht="15.75" customHeight="1">
      <c r="A1149" s="2">
        <v>1148.0</v>
      </c>
      <c r="B1149" s="1" t="s">
        <v>3225</v>
      </c>
      <c r="C1149" s="1" t="s">
        <v>516</v>
      </c>
      <c r="D1149" s="1" t="s">
        <v>3226</v>
      </c>
      <c r="E1149" s="2">
        <v>5.7003835571E11</v>
      </c>
      <c r="F1149" s="1" t="s">
        <v>3227</v>
      </c>
      <c r="G1149" s="1" t="s">
        <v>12</v>
      </c>
      <c r="H1149" s="1" t="s">
        <v>3037</v>
      </c>
      <c r="I1149" s="1" t="s">
        <v>3038</v>
      </c>
      <c r="J1149" s="1" t="s">
        <v>3039</v>
      </c>
    </row>
    <row r="1150" ht="15.75" customHeight="1">
      <c r="A1150" s="2">
        <v>1149.0</v>
      </c>
      <c r="B1150" s="1" t="s">
        <v>1581</v>
      </c>
      <c r="C1150" s="1" t="s">
        <v>3228</v>
      </c>
      <c r="D1150" s="1" t="s">
        <v>496</v>
      </c>
      <c r="E1150" s="2">
        <v>5.70038355718E11</v>
      </c>
      <c r="F1150" s="1" t="s">
        <v>3229</v>
      </c>
      <c r="G1150" s="1" t="s">
        <v>12</v>
      </c>
      <c r="H1150" s="1" t="s">
        <v>3037</v>
      </c>
      <c r="I1150" s="1" t="s">
        <v>3038</v>
      </c>
      <c r="J1150" s="1" t="s">
        <v>3039</v>
      </c>
    </row>
    <row r="1151" ht="15.75" customHeight="1">
      <c r="A1151" s="2">
        <v>1150.0</v>
      </c>
      <c r="B1151" s="1" t="s">
        <v>3230</v>
      </c>
      <c r="C1151" s="1" t="s">
        <v>3231</v>
      </c>
      <c r="D1151" s="1" t="s">
        <v>3232</v>
      </c>
      <c r="E1151" s="2">
        <v>5.70038355719E11</v>
      </c>
      <c r="F1151" s="1" t="s">
        <v>3233</v>
      </c>
      <c r="G1151" s="1" t="s">
        <v>12</v>
      </c>
      <c r="H1151" s="1" t="s">
        <v>3037</v>
      </c>
      <c r="I1151" s="1" t="s">
        <v>3038</v>
      </c>
      <c r="J1151" s="1" t="s">
        <v>3039</v>
      </c>
    </row>
    <row r="1152" ht="15.75" customHeight="1">
      <c r="A1152" s="2">
        <v>1151.0</v>
      </c>
      <c r="B1152" s="1" t="s">
        <v>1975</v>
      </c>
      <c r="C1152" s="1" t="s">
        <v>3234</v>
      </c>
      <c r="D1152" s="1" t="s">
        <v>3235</v>
      </c>
      <c r="E1152" s="2">
        <v>5.7003835572E11</v>
      </c>
      <c r="F1152" s="1" t="s">
        <v>3236</v>
      </c>
      <c r="G1152" s="1" t="s">
        <v>12</v>
      </c>
      <c r="H1152" s="1" t="s">
        <v>3037</v>
      </c>
      <c r="I1152" s="1" t="s">
        <v>3038</v>
      </c>
      <c r="J1152" s="1" t="s">
        <v>3039</v>
      </c>
    </row>
    <row r="1153" ht="15.75" customHeight="1">
      <c r="A1153" s="2">
        <v>1152.0</v>
      </c>
      <c r="B1153" s="1" t="s">
        <v>3230</v>
      </c>
      <c r="C1153" s="1" t="s">
        <v>2861</v>
      </c>
      <c r="D1153" s="1" t="s">
        <v>433</v>
      </c>
      <c r="E1153" s="2">
        <v>5.70038355721E11</v>
      </c>
      <c r="F1153" s="1" t="s">
        <v>3237</v>
      </c>
      <c r="G1153" s="1" t="s">
        <v>12</v>
      </c>
      <c r="H1153" s="1" t="s">
        <v>3037</v>
      </c>
      <c r="I1153" s="1" t="s">
        <v>3038</v>
      </c>
      <c r="J1153" s="1" t="s">
        <v>3039</v>
      </c>
    </row>
    <row r="1154" ht="15.75" customHeight="1">
      <c r="A1154" s="2">
        <v>1153.0</v>
      </c>
      <c r="B1154" s="1" t="s">
        <v>3238</v>
      </c>
      <c r="C1154" s="1" t="s">
        <v>1042</v>
      </c>
      <c r="D1154" s="1" t="s">
        <v>3199</v>
      </c>
      <c r="E1154" s="2">
        <v>5.70038355722E11</v>
      </c>
      <c r="F1154" s="1" t="s">
        <v>3239</v>
      </c>
      <c r="G1154" s="1" t="s">
        <v>12</v>
      </c>
      <c r="H1154" s="1" t="s">
        <v>3037</v>
      </c>
      <c r="I1154" s="1" t="s">
        <v>3038</v>
      </c>
      <c r="J1154" s="1" t="s">
        <v>3039</v>
      </c>
    </row>
    <row r="1155" ht="15.75" customHeight="1">
      <c r="A1155" s="2">
        <v>1154.0</v>
      </c>
      <c r="B1155" s="1" t="s">
        <v>1581</v>
      </c>
      <c r="C1155" s="1" t="s">
        <v>1042</v>
      </c>
      <c r="D1155" s="1" t="s">
        <v>3240</v>
      </c>
      <c r="E1155" s="2">
        <v>5.70038355725E11</v>
      </c>
      <c r="F1155" s="1" t="s">
        <v>3241</v>
      </c>
      <c r="G1155" s="1" t="s">
        <v>12</v>
      </c>
      <c r="H1155" s="1" t="s">
        <v>3037</v>
      </c>
      <c r="I1155" s="1" t="s">
        <v>3038</v>
      </c>
      <c r="J1155" s="1" t="s">
        <v>3039</v>
      </c>
    </row>
    <row r="1156" ht="15.75" customHeight="1">
      <c r="A1156" s="2">
        <v>1155.0</v>
      </c>
      <c r="B1156" s="1" t="s">
        <v>396</v>
      </c>
      <c r="C1156" s="1" t="s">
        <v>3242</v>
      </c>
      <c r="D1156" s="1" t="s">
        <v>901</v>
      </c>
      <c r="E1156" s="2">
        <v>5.7003835573E11</v>
      </c>
      <c r="F1156" s="1" t="s">
        <v>3243</v>
      </c>
      <c r="G1156" s="1" t="s">
        <v>12</v>
      </c>
      <c r="H1156" s="1" t="s">
        <v>3037</v>
      </c>
      <c r="I1156" s="1" t="s">
        <v>3038</v>
      </c>
      <c r="J1156" s="1" t="s">
        <v>3039</v>
      </c>
    </row>
    <row r="1157" ht="15.75" customHeight="1">
      <c r="A1157" s="2">
        <v>1156.0</v>
      </c>
      <c r="B1157" s="1" t="s">
        <v>3244</v>
      </c>
      <c r="C1157" s="1" t="s">
        <v>3245</v>
      </c>
      <c r="D1157" s="1" t="s">
        <v>1102</v>
      </c>
      <c r="E1157" s="2">
        <v>5.70038355731E11</v>
      </c>
      <c r="F1157" s="1" t="s">
        <v>2634</v>
      </c>
      <c r="G1157" s="1" t="s">
        <v>12</v>
      </c>
      <c r="H1157" s="1" t="s">
        <v>3037</v>
      </c>
      <c r="I1157" s="1" t="s">
        <v>3038</v>
      </c>
      <c r="J1157" s="1" t="s">
        <v>3039</v>
      </c>
    </row>
    <row r="1158" ht="15.75" customHeight="1">
      <c r="A1158" s="2">
        <v>1157.0</v>
      </c>
      <c r="B1158" s="1" t="s">
        <v>3246</v>
      </c>
      <c r="C1158" s="1" t="s">
        <v>3228</v>
      </c>
      <c r="D1158" s="1" t="s">
        <v>3247</v>
      </c>
      <c r="E1158" s="2">
        <v>5.70038355732E11</v>
      </c>
      <c r="F1158" s="1" t="s">
        <v>3248</v>
      </c>
      <c r="G1158" s="1" t="s">
        <v>12</v>
      </c>
      <c r="H1158" s="1" t="s">
        <v>3037</v>
      </c>
      <c r="I1158" s="1" t="s">
        <v>3038</v>
      </c>
      <c r="J1158" s="1" t="s">
        <v>3039</v>
      </c>
    </row>
    <row r="1159" ht="15.75" customHeight="1">
      <c r="A1159" s="2">
        <v>1158.0</v>
      </c>
      <c r="B1159" s="1" t="s">
        <v>3249</v>
      </c>
      <c r="C1159" s="1" t="s">
        <v>3250</v>
      </c>
      <c r="D1159" s="1" t="s">
        <v>3251</v>
      </c>
      <c r="E1159" s="2">
        <v>5.70038355743E11</v>
      </c>
      <c r="F1159" s="1" t="s">
        <v>3252</v>
      </c>
      <c r="G1159" s="1" t="s">
        <v>12</v>
      </c>
      <c r="H1159" s="1" t="s">
        <v>3037</v>
      </c>
      <c r="I1159" s="1" t="s">
        <v>3038</v>
      </c>
      <c r="J1159" s="1" t="s">
        <v>3039</v>
      </c>
    </row>
    <row r="1160" ht="15.75" customHeight="1">
      <c r="A1160" s="2">
        <v>1159.0</v>
      </c>
      <c r="B1160" s="1" t="s">
        <v>3253</v>
      </c>
      <c r="C1160" s="1" t="s">
        <v>2822</v>
      </c>
      <c r="D1160" s="1" t="s">
        <v>3254</v>
      </c>
      <c r="E1160" s="2">
        <v>5.70038355746E11</v>
      </c>
      <c r="F1160" s="1" t="s">
        <v>3255</v>
      </c>
      <c r="G1160" s="1" t="s">
        <v>12</v>
      </c>
      <c r="H1160" s="1" t="s">
        <v>3037</v>
      </c>
      <c r="I1160" s="1" t="s">
        <v>3038</v>
      </c>
      <c r="J1160" s="1" t="s">
        <v>3039</v>
      </c>
    </row>
    <row r="1161" ht="15.75" customHeight="1">
      <c r="A1161" s="2">
        <v>1160.0</v>
      </c>
      <c r="B1161" s="1" t="s">
        <v>210</v>
      </c>
      <c r="C1161" s="1" t="s">
        <v>3256</v>
      </c>
      <c r="D1161" s="1" t="s">
        <v>3257</v>
      </c>
      <c r="E1161" s="2">
        <v>5.70038355751E11</v>
      </c>
      <c r="F1161" s="1" t="s">
        <v>3258</v>
      </c>
      <c r="G1161" s="1" t="s">
        <v>12</v>
      </c>
      <c r="H1161" s="1" t="s">
        <v>3037</v>
      </c>
      <c r="I1161" s="1" t="s">
        <v>3038</v>
      </c>
      <c r="J1161" s="1" t="s">
        <v>3039</v>
      </c>
    </row>
    <row r="1162" ht="15.75" customHeight="1">
      <c r="A1162" s="2">
        <v>1161.0</v>
      </c>
      <c r="B1162" s="1" t="s">
        <v>758</v>
      </c>
      <c r="C1162" s="1" t="s">
        <v>3259</v>
      </c>
      <c r="D1162" s="1" t="s">
        <v>1112</v>
      </c>
      <c r="E1162" s="2">
        <v>5.70038355752E11</v>
      </c>
      <c r="F1162" s="1" t="s">
        <v>3260</v>
      </c>
      <c r="G1162" s="1" t="s">
        <v>12</v>
      </c>
      <c r="H1162" s="1" t="s">
        <v>3037</v>
      </c>
      <c r="I1162" s="1" t="s">
        <v>3038</v>
      </c>
      <c r="J1162" s="1" t="s">
        <v>3039</v>
      </c>
    </row>
    <row r="1163" ht="15.75" customHeight="1">
      <c r="A1163" s="2">
        <v>1162.0</v>
      </c>
      <c r="B1163" s="1" t="s">
        <v>3261</v>
      </c>
      <c r="C1163" s="1" t="s">
        <v>169</v>
      </c>
      <c r="D1163" s="1" t="s">
        <v>341</v>
      </c>
      <c r="E1163" s="2">
        <v>5.70038355753E11</v>
      </c>
      <c r="F1163" s="1" t="s">
        <v>3262</v>
      </c>
      <c r="G1163" s="1" t="s">
        <v>12</v>
      </c>
      <c r="H1163" s="1" t="s">
        <v>3037</v>
      </c>
      <c r="I1163" s="1" t="s">
        <v>3038</v>
      </c>
      <c r="J1163" s="1" t="s">
        <v>3039</v>
      </c>
    </row>
    <row r="1164" ht="15.75" customHeight="1">
      <c r="A1164" s="2">
        <v>1163.0</v>
      </c>
      <c r="B1164" s="1" t="s">
        <v>773</v>
      </c>
      <c r="C1164" s="1" t="s">
        <v>3263</v>
      </c>
      <c r="D1164" s="1" t="s">
        <v>3264</v>
      </c>
      <c r="E1164" s="2">
        <v>5.70038355754E11</v>
      </c>
      <c r="F1164" s="1" t="s">
        <v>886</v>
      </c>
      <c r="G1164" s="1" t="s">
        <v>135</v>
      </c>
      <c r="H1164" s="1" t="s">
        <v>3037</v>
      </c>
      <c r="I1164" s="1" t="s">
        <v>3038</v>
      </c>
      <c r="J1164" s="1" t="s">
        <v>3039</v>
      </c>
    </row>
    <row r="1165" ht="15.75" customHeight="1">
      <c r="A1165" s="2">
        <v>1164.0</v>
      </c>
      <c r="B1165" s="1" t="s">
        <v>903</v>
      </c>
      <c r="C1165" s="1" t="s">
        <v>3265</v>
      </c>
      <c r="D1165" s="1" t="s">
        <v>2237</v>
      </c>
      <c r="E1165" s="2">
        <v>5.70038355761E11</v>
      </c>
      <c r="F1165" s="1" t="s">
        <v>3266</v>
      </c>
      <c r="G1165" s="1" t="s">
        <v>12</v>
      </c>
      <c r="H1165" s="1" t="s">
        <v>3037</v>
      </c>
      <c r="I1165" s="1" t="s">
        <v>3038</v>
      </c>
      <c r="J1165" s="1" t="s">
        <v>3039</v>
      </c>
    </row>
    <row r="1166" ht="15.75" customHeight="1">
      <c r="A1166" s="2">
        <v>1165.0</v>
      </c>
      <c r="B1166" s="1" t="s">
        <v>2829</v>
      </c>
      <c r="C1166" s="1" t="s">
        <v>3267</v>
      </c>
      <c r="D1166" s="1" t="s">
        <v>2018</v>
      </c>
      <c r="E1166" s="2">
        <v>5.70038355762E11</v>
      </c>
      <c r="F1166" s="1" t="s">
        <v>703</v>
      </c>
      <c r="G1166" s="1" t="s">
        <v>12</v>
      </c>
      <c r="H1166" s="1" t="s">
        <v>3037</v>
      </c>
      <c r="I1166" s="1" t="s">
        <v>3038</v>
      </c>
      <c r="J1166" s="1" t="s">
        <v>3039</v>
      </c>
    </row>
    <row r="1167" ht="15.75" customHeight="1">
      <c r="A1167" s="2">
        <v>1166.0</v>
      </c>
      <c r="B1167" s="1" t="s">
        <v>3268</v>
      </c>
      <c r="C1167" s="1" t="s">
        <v>3269</v>
      </c>
      <c r="D1167" s="1" t="s">
        <v>3270</v>
      </c>
      <c r="E1167" s="2">
        <v>5.70038355763E11</v>
      </c>
      <c r="F1167" s="1" t="s">
        <v>3271</v>
      </c>
      <c r="G1167" s="1" t="s">
        <v>12</v>
      </c>
      <c r="H1167" s="1" t="s">
        <v>3037</v>
      </c>
      <c r="I1167" s="1" t="s">
        <v>3038</v>
      </c>
      <c r="J1167" s="1" t="s">
        <v>3039</v>
      </c>
    </row>
    <row r="1168" ht="15.75" customHeight="1">
      <c r="A1168" s="2">
        <v>1167.0</v>
      </c>
      <c r="B1168" s="1" t="s">
        <v>2151</v>
      </c>
      <c r="C1168" s="1" t="s">
        <v>3272</v>
      </c>
      <c r="D1168" s="1" t="s">
        <v>1557</v>
      </c>
      <c r="E1168" s="2">
        <v>5.70038355764E11</v>
      </c>
      <c r="F1168" s="1" t="s">
        <v>3273</v>
      </c>
      <c r="G1168" s="1" t="s">
        <v>12</v>
      </c>
      <c r="H1168" s="1" t="s">
        <v>3037</v>
      </c>
      <c r="I1168" s="1" t="s">
        <v>3038</v>
      </c>
      <c r="J1168" s="1" t="s">
        <v>3039</v>
      </c>
    </row>
    <row r="1169" ht="15.75" customHeight="1">
      <c r="A1169" s="2">
        <v>1168.0</v>
      </c>
      <c r="B1169" s="1" t="s">
        <v>1308</v>
      </c>
      <c r="C1169" s="1" t="s">
        <v>3274</v>
      </c>
      <c r="D1169" s="1" t="s">
        <v>3275</v>
      </c>
      <c r="E1169" s="2">
        <v>5.70038355765E11</v>
      </c>
      <c r="F1169" s="1" t="s">
        <v>3276</v>
      </c>
      <c r="G1169" s="1" t="s">
        <v>12</v>
      </c>
      <c r="H1169" s="1" t="s">
        <v>3037</v>
      </c>
      <c r="I1169" s="1" t="s">
        <v>3038</v>
      </c>
      <c r="J1169" s="1" t="s">
        <v>3039</v>
      </c>
    </row>
    <row r="1170" ht="15.75" customHeight="1">
      <c r="A1170" s="2">
        <v>1169.0</v>
      </c>
      <c r="B1170" s="1" t="s">
        <v>3277</v>
      </c>
      <c r="C1170" s="1" t="s">
        <v>3278</v>
      </c>
      <c r="D1170" s="1" t="s">
        <v>401</v>
      </c>
      <c r="E1170" s="2">
        <v>5.70038355766E11</v>
      </c>
      <c r="F1170" s="1" t="s">
        <v>736</v>
      </c>
      <c r="G1170" s="1" t="s">
        <v>12</v>
      </c>
      <c r="H1170" s="1" t="s">
        <v>3037</v>
      </c>
      <c r="I1170" s="1" t="s">
        <v>3038</v>
      </c>
      <c r="J1170" s="1" t="s">
        <v>3039</v>
      </c>
    </row>
    <row r="1171" ht="15.75" customHeight="1">
      <c r="A1171" s="2">
        <v>1170.0</v>
      </c>
      <c r="B1171" s="1" t="s">
        <v>865</v>
      </c>
      <c r="C1171" s="1" t="s">
        <v>3279</v>
      </c>
      <c r="D1171" s="1" t="s">
        <v>3280</v>
      </c>
      <c r="E1171" s="2">
        <v>5.70038355769E11</v>
      </c>
      <c r="F1171" s="1" t="s">
        <v>148</v>
      </c>
      <c r="G1171" s="1" t="s">
        <v>12</v>
      </c>
      <c r="H1171" s="1" t="s">
        <v>3037</v>
      </c>
      <c r="I1171" s="1" t="s">
        <v>3038</v>
      </c>
      <c r="J1171" s="1" t="s">
        <v>3039</v>
      </c>
    </row>
    <row r="1172" ht="15.75" customHeight="1">
      <c r="A1172" s="2">
        <v>1171.0</v>
      </c>
      <c r="B1172" s="1" t="s">
        <v>942</v>
      </c>
      <c r="C1172" s="1" t="s">
        <v>3281</v>
      </c>
      <c r="D1172" s="1" t="s">
        <v>3282</v>
      </c>
      <c r="E1172" s="2">
        <v>5.7003835577E11</v>
      </c>
      <c r="F1172" s="1" t="s">
        <v>3283</v>
      </c>
      <c r="G1172" s="1" t="s">
        <v>12</v>
      </c>
      <c r="H1172" s="1" t="s">
        <v>3037</v>
      </c>
      <c r="I1172" s="1" t="s">
        <v>3038</v>
      </c>
      <c r="J1172" s="1" t="s">
        <v>3039</v>
      </c>
    </row>
    <row r="1173" ht="15.75" customHeight="1">
      <c r="A1173" s="2">
        <v>1172.0</v>
      </c>
      <c r="B1173" s="1" t="s">
        <v>83</v>
      </c>
      <c r="C1173" s="1" t="s">
        <v>3284</v>
      </c>
      <c r="D1173" s="1" t="s">
        <v>3285</v>
      </c>
      <c r="E1173" s="2">
        <v>5.70038355772E11</v>
      </c>
      <c r="F1173" s="1" t="s">
        <v>3286</v>
      </c>
      <c r="G1173" s="1" t="s">
        <v>12</v>
      </c>
      <c r="H1173" s="1" t="s">
        <v>3037</v>
      </c>
      <c r="I1173" s="1" t="s">
        <v>3038</v>
      </c>
      <c r="J1173" s="1" t="s">
        <v>3039</v>
      </c>
    </row>
    <row r="1174" ht="15.75" customHeight="1">
      <c r="A1174" s="2">
        <v>1173.0</v>
      </c>
      <c r="B1174" s="1" t="s">
        <v>3285</v>
      </c>
      <c r="C1174" s="1" t="s">
        <v>3287</v>
      </c>
      <c r="D1174" s="1" t="s">
        <v>1754</v>
      </c>
      <c r="E1174" s="2">
        <v>5.70038355773E11</v>
      </c>
      <c r="F1174" s="1" t="s">
        <v>2731</v>
      </c>
      <c r="G1174" s="1" t="s">
        <v>12</v>
      </c>
      <c r="H1174" s="1" t="s">
        <v>3037</v>
      </c>
      <c r="I1174" s="1" t="s">
        <v>3038</v>
      </c>
      <c r="J1174" s="1" t="s">
        <v>3039</v>
      </c>
    </row>
    <row r="1175" ht="15.75" customHeight="1">
      <c r="A1175" s="2">
        <v>1174.0</v>
      </c>
      <c r="B1175" s="1" t="s">
        <v>3288</v>
      </c>
      <c r="C1175" s="1" t="s">
        <v>3289</v>
      </c>
      <c r="D1175" s="1" t="s">
        <v>324</v>
      </c>
      <c r="E1175" s="2">
        <v>5.70038355774E11</v>
      </c>
      <c r="F1175" s="1" t="s">
        <v>3290</v>
      </c>
      <c r="G1175" s="1" t="s">
        <v>135</v>
      </c>
      <c r="H1175" s="1" t="s">
        <v>3037</v>
      </c>
      <c r="I1175" s="1" t="s">
        <v>3038</v>
      </c>
      <c r="J1175" s="1" t="s">
        <v>3039</v>
      </c>
    </row>
    <row r="1176" ht="15.75" customHeight="1">
      <c r="A1176" s="2">
        <v>1175.0</v>
      </c>
      <c r="B1176" s="1" t="s">
        <v>324</v>
      </c>
      <c r="C1176" s="1" t="s">
        <v>3291</v>
      </c>
      <c r="D1176" s="1" t="s">
        <v>3292</v>
      </c>
      <c r="E1176" s="2">
        <v>5.70038355778E11</v>
      </c>
      <c r="F1176" s="1" t="s">
        <v>3293</v>
      </c>
      <c r="G1176" s="1" t="s">
        <v>12</v>
      </c>
      <c r="H1176" s="1" t="s">
        <v>3037</v>
      </c>
      <c r="I1176" s="1" t="s">
        <v>3038</v>
      </c>
      <c r="J1176" s="1" t="s">
        <v>3039</v>
      </c>
    </row>
    <row r="1177" ht="15.75" customHeight="1">
      <c r="A1177" s="2">
        <v>1176.0</v>
      </c>
      <c r="B1177" s="1" t="s">
        <v>3294</v>
      </c>
      <c r="C1177" s="1" t="s">
        <v>3295</v>
      </c>
      <c r="D1177" s="1" t="s">
        <v>60</v>
      </c>
      <c r="E1177" s="2">
        <v>5.7003835578E11</v>
      </c>
      <c r="F1177" s="1" t="s">
        <v>3296</v>
      </c>
      <c r="G1177" s="1" t="s">
        <v>417</v>
      </c>
      <c r="H1177" s="1" t="s">
        <v>3037</v>
      </c>
      <c r="I1177" s="1" t="s">
        <v>3038</v>
      </c>
      <c r="J1177" s="1" t="s">
        <v>3039</v>
      </c>
    </row>
    <row r="1178" ht="15.75" customHeight="1">
      <c r="A1178" s="2">
        <v>1177.0</v>
      </c>
      <c r="B1178" s="1" t="s">
        <v>773</v>
      </c>
      <c r="C1178" s="1" t="s">
        <v>3297</v>
      </c>
      <c r="D1178" s="1" t="s">
        <v>16</v>
      </c>
      <c r="E1178" s="2">
        <v>5.70038355783E11</v>
      </c>
      <c r="F1178" s="1" t="s">
        <v>3298</v>
      </c>
      <c r="G1178" s="1" t="s">
        <v>135</v>
      </c>
      <c r="H1178" s="1" t="s">
        <v>3037</v>
      </c>
      <c r="I1178" s="1" t="s">
        <v>3038</v>
      </c>
      <c r="J1178" s="1" t="s">
        <v>3039</v>
      </c>
    </row>
    <row r="1179" ht="15.75" customHeight="1">
      <c r="A1179" s="2">
        <v>1178.0</v>
      </c>
      <c r="B1179" s="1" t="s">
        <v>1227</v>
      </c>
      <c r="C1179" s="1" t="s">
        <v>3299</v>
      </c>
      <c r="D1179" s="1" t="s">
        <v>10</v>
      </c>
      <c r="E1179" s="2">
        <v>5.70038355787E11</v>
      </c>
      <c r="F1179" s="1" t="s">
        <v>3300</v>
      </c>
      <c r="G1179" s="1" t="s">
        <v>12</v>
      </c>
      <c r="H1179" s="1" t="s">
        <v>3037</v>
      </c>
      <c r="I1179" s="1" t="s">
        <v>3038</v>
      </c>
      <c r="J1179" s="1" t="s">
        <v>3039</v>
      </c>
    </row>
    <row r="1180" ht="15.75" customHeight="1">
      <c r="A1180" s="2">
        <v>1179.0</v>
      </c>
      <c r="B1180" s="1" t="s">
        <v>149</v>
      </c>
      <c r="C1180" s="1" t="s">
        <v>3301</v>
      </c>
      <c r="D1180" s="1" t="s">
        <v>2500</v>
      </c>
      <c r="E1180" s="2">
        <v>5.70038355788E11</v>
      </c>
      <c r="F1180" s="1" t="s">
        <v>3302</v>
      </c>
      <c r="G1180" s="1" t="s">
        <v>12</v>
      </c>
      <c r="H1180" s="1" t="s">
        <v>3037</v>
      </c>
      <c r="I1180" s="1" t="s">
        <v>3038</v>
      </c>
      <c r="J1180" s="1" t="s">
        <v>3039</v>
      </c>
    </row>
    <row r="1181" ht="15.75" customHeight="1">
      <c r="A1181" s="2">
        <v>1180.0</v>
      </c>
      <c r="B1181" s="1" t="s">
        <v>3303</v>
      </c>
      <c r="C1181" s="1" t="s">
        <v>3297</v>
      </c>
      <c r="D1181" s="1" t="s">
        <v>16</v>
      </c>
      <c r="E1181" s="2">
        <v>5.70038355789E11</v>
      </c>
      <c r="F1181" s="1" t="s">
        <v>3304</v>
      </c>
      <c r="G1181" s="1" t="s">
        <v>12</v>
      </c>
      <c r="H1181" s="1" t="s">
        <v>3037</v>
      </c>
      <c r="I1181" s="1" t="s">
        <v>3038</v>
      </c>
      <c r="J1181" s="1" t="s">
        <v>3039</v>
      </c>
    </row>
    <row r="1182" ht="15.75" customHeight="1">
      <c r="A1182" s="2">
        <v>1181.0</v>
      </c>
      <c r="B1182" s="1" t="s">
        <v>3305</v>
      </c>
      <c r="C1182" s="1" t="s">
        <v>3306</v>
      </c>
      <c r="D1182" s="1" t="s">
        <v>3307</v>
      </c>
      <c r="E1182" s="2">
        <v>5.70038355791E11</v>
      </c>
      <c r="F1182" s="1" t="s">
        <v>3308</v>
      </c>
      <c r="G1182" s="1" t="s">
        <v>12</v>
      </c>
      <c r="H1182" s="1" t="s">
        <v>3037</v>
      </c>
      <c r="I1182" s="1" t="s">
        <v>3038</v>
      </c>
      <c r="J1182" s="1" t="s">
        <v>3039</v>
      </c>
    </row>
    <row r="1183" ht="15.75" customHeight="1">
      <c r="A1183" s="2">
        <v>1182.0</v>
      </c>
      <c r="B1183" s="1" t="s">
        <v>3309</v>
      </c>
      <c r="C1183" s="1" t="s">
        <v>3310</v>
      </c>
      <c r="D1183" s="1" t="s">
        <v>1132</v>
      </c>
      <c r="E1183" s="2">
        <v>5.70038355793E11</v>
      </c>
      <c r="F1183" s="1" t="s">
        <v>3311</v>
      </c>
      <c r="G1183" s="1" t="s">
        <v>12</v>
      </c>
      <c r="H1183" s="1" t="s">
        <v>3037</v>
      </c>
      <c r="I1183" s="1" t="s">
        <v>3038</v>
      </c>
      <c r="J1183" s="1" t="s">
        <v>3039</v>
      </c>
    </row>
    <row r="1184" ht="15.75" customHeight="1">
      <c r="A1184" s="2">
        <v>1183.0</v>
      </c>
      <c r="B1184" s="1" t="s">
        <v>1397</v>
      </c>
      <c r="C1184" s="1" t="s">
        <v>3312</v>
      </c>
      <c r="D1184" s="1" t="s">
        <v>3313</v>
      </c>
      <c r="E1184" s="2">
        <v>5.70038355795E11</v>
      </c>
      <c r="F1184" s="1" t="s">
        <v>3314</v>
      </c>
      <c r="G1184" s="1" t="s">
        <v>12</v>
      </c>
      <c r="H1184" s="1" t="s">
        <v>3037</v>
      </c>
      <c r="I1184" s="1" t="s">
        <v>3038</v>
      </c>
      <c r="J1184" s="1" t="s">
        <v>3039</v>
      </c>
    </row>
    <row r="1185" ht="15.75" customHeight="1">
      <c r="A1185" s="2">
        <v>1184.0</v>
      </c>
      <c r="B1185" s="1" t="s">
        <v>557</v>
      </c>
      <c r="C1185" s="1" t="s">
        <v>1578</v>
      </c>
      <c r="D1185" s="1" t="s">
        <v>1397</v>
      </c>
      <c r="E1185" s="2">
        <v>5.70038355796E11</v>
      </c>
      <c r="F1185" s="1" t="s">
        <v>3315</v>
      </c>
      <c r="G1185" s="1" t="s">
        <v>12</v>
      </c>
      <c r="H1185" s="1" t="s">
        <v>3037</v>
      </c>
      <c r="I1185" s="1" t="s">
        <v>3038</v>
      </c>
      <c r="J1185" s="1" t="s">
        <v>3039</v>
      </c>
    </row>
    <row r="1186" ht="15.75" customHeight="1">
      <c r="A1186" s="2">
        <v>1185.0</v>
      </c>
      <c r="B1186" s="1" t="s">
        <v>16</v>
      </c>
      <c r="C1186" s="1" t="s">
        <v>3316</v>
      </c>
      <c r="D1186" s="1" t="s">
        <v>3317</v>
      </c>
      <c r="E1186" s="2">
        <v>5.70038355801E11</v>
      </c>
      <c r="F1186" s="1" t="s">
        <v>2000</v>
      </c>
      <c r="G1186" s="1" t="s">
        <v>12</v>
      </c>
      <c r="H1186" s="1" t="s">
        <v>3037</v>
      </c>
      <c r="I1186" s="1" t="s">
        <v>3038</v>
      </c>
      <c r="J1186" s="1" t="s">
        <v>3039</v>
      </c>
    </row>
    <row r="1187" ht="15.75" customHeight="1">
      <c r="A1187" s="2">
        <v>1186.0</v>
      </c>
      <c r="B1187" s="1" t="s">
        <v>307</v>
      </c>
      <c r="C1187" s="1" t="s">
        <v>3318</v>
      </c>
      <c r="D1187" s="1" t="s">
        <v>3319</v>
      </c>
      <c r="E1187" s="2">
        <v>5.70038355804E11</v>
      </c>
      <c r="F1187" s="1" t="s">
        <v>3320</v>
      </c>
      <c r="G1187" s="1" t="s">
        <v>12</v>
      </c>
      <c r="H1187" s="1" t="s">
        <v>3037</v>
      </c>
      <c r="I1187" s="1" t="s">
        <v>3038</v>
      </c>
      <c r="J1187" s="1" t="s">
        <v>3039</v>
      </c>
    </row>
    <row r="1188" ht="15.75" customHeight="1">
      <c r="A1188" s="2">
        <v>1187.0</v>
      </c>
      <c r="B1188" s="1" t="s">
        <v>3321</v>
      </c>
      <c r="C1188" s="1" t="s">
        <v>3322</v>
      </c>
      <c r="D1188" s="1" t="s">
        <v>770</v>
      </c>
      <c r="E1188" s="2">
        <v>5.70038355805E11</v>
      </c>
      <c r="F1188" s="1" t="s">
        <v>3323</v>
      </c>
      <c r="G1188" s="1" t="s">
        <v>12</v>
      </c>
      <c r="H1188" s="1" t="s">
        <v>3037</v>
      </c>
      <c r="I1188" s="1" t="s">
        <v>3038</v>
      </c>
      <c r="J1188" s="1" t="s">
        <v>3039</v>
      </c>
    </row>
    <row r="1189" ht="15.75" customHeight="1">
      <c r="A1189" s="2">
        <v>1188.0</v>
      </c>
      <c r="B1189" s="1" t="s">
        <v>324</v>
      </c>
      <c r="C1189" s="1" t="s">
        <v>1783</v>
      </c>
      <c r="D1189" s="1" t="s">
        <v>789</v>
      </c>
      <c r="E1189" s="2">
        <v>5.70038355806E11</v>
      </c>
      <c r="F1189" s="1" t="s">
        <v>3324</v>
      </c>
      <c r="G1189" s="1" t="s">
        <v>12</v>
      </c>
      <c r="H1189" s="1" t="s">
        <v>3037</v>
      </c>
      <c r="I1189" s="1" t="s">
        <v>3038</v>
      </c>
      <c r="J1189" s="1" t="s">
        <v>3039</v>
      </c>
    </row>
    <row r="1190" ht="15.75" customHeight="1">
      <c r="A1190" s="2">
        <v>1189.0</v>
      </c>
      <c r="B1190" s="1" t="s">
        <v>738</v>
      </c>
      <c r="C1190" s="1" t="s">
        <v>3325</v>
      </c>
      <c r="D1190" s="1" t="s">
        <v>3326</v>
      </c>
      <c r="E1190" s="2">
        <v>5.70038355807E11</v>
      </c>
      <c r="F1190" s="1" t="s">
        <v>3327</v>
      </c>
      <c r="G1190" s="1" t="s">
        <v>12</v>
      </c>
      <c r="H1190" s="1" t="s">
        <v>3037</v>
      </c>
      <c r="I1190" s="1" t="s">
        <v>3038</v>
      </c>
      <c r="J1190" s="1" t="s">
        <v>3039</v>
      </c>
    </row>
    <row r="1191" ht="15.75" customHeight="1">
      <c r="A1191" s="2">
        <v>1190.0</v>
      </c>
      <c r="B1191" s="1" t="s">
        <v>313</v>
      </c>
      <c r="C1191" s="1" t="s">
        <v>1570</v>
      </c>
      <c r="D1191" s="1" t="s">
        <v>3328</v>
      </c>
      <c r="E1191" s="2">
        <v>5.7003835581E11</v>
      </c>
      <c r="F1191" s="1" t="s">
        <v>3329</v>
      </c>
      <c r="G1191" s="1" t="s">
        <v>261</v>
      </c>
      <c r="H1191" s="1" t="s">
        <v>3037</v>
      </c>
      <c r="I1191" s="1" t="s">
        <v>3038</v>
      </c>
      <c r="J1191" s="1" t="s">
        <v>3039</v>
      </c>
    </row>
    <row r="1192" ht="15.75" customHeight="1">
      <c r="A1192" s="2">
        <v>1191.0</v>
      </c>
      <c r="B1192" s="1" t="s">
        <v>3330</v>
      </c>
      <c r="C1192" s="1" t="s">
        <v>3331</v>
      </c>
      <c r="D1192" s="1" t="s">
        <v>344</v>
      </c>
      <c r="E1192" s="2">
        <v>5.70038355822E11</v>
      </c>
      <c r="F1192" s="1" t="s">
        <v>3332</v>
      </c>
      <c r="G1192" s="1" t="s">
        <v>12</v>
      </c>
      <c r="H1192" s="1" t="s">
        <v>3037</v>
      </c>
      <c r="I1192" s="1" t="s">
        <v>3038</v>
      </c>
      <c r="J1192" s="1" t="s">
        <v>3039</v>
      </c>
    </row>
    <row r="1193" ht="15.75" customHeight="1">
      <c r="A1193" s="2">
        <v>1192.0</v>
      </c>
      <c r="B1193" s="1" t="s">
        <v>3333</v>
      </c>
      <c r="C1193" s="1" t="s">
        <v>3334</v>
      </c>
      <c r="D1193" s="1" t="s">
        <v>3335</v>
      </c>
      <c r="E1193" s="2">
        <v>5.70038355834E11</v>
      </c>
      <c r="F1193" s="1" t="s">
        <v>3336</v>
      </c>
      <c r="G1193" s="1" t="s">
        <v>12</v>
      </c>
      <c r="H1193" s="1" t="s">
        <v>3037</v>
      </c>
      <c r="I1193" s="1" t="s">
        <v>3038</v>
      </c>
      <c r="J1193" s="1" t="s">
        <v>3039</v>
      </c>
    </row>
    <row r="1194" ht="15.75" customHeight="1">
      <c r="A1194" s="2">
        <v>1193.0</v>
      </c>
      <c r="B1194" s="1" t="s">
        <v>2079</v>
      </c>
      <c r="C1194" s="1" t="s">
        <v>3337</v>
      </c>
      <c r="D1194" s="1" t="s">
        <v>3338</v>
      </c>
      <c r="E1194" s="2">
        <v>5.70038355835E11</v>
      </c>
      <c r="F1194" s="1" t="s">
        <v>3339</v>
      </c>
      <c r="G1194" s="1" t="s">
        <v>12</v>
      </c>
      <c r="H1194" s="1" t="s">
        <v>3037</v>
      </c>
      <c r="I1194" s="1" t="s">
        <v>3038</v>
      </c>
      <c r="J1194" s="1" t="s">
        <v>3039</v>
      </c>
    </row>
    <row r="1195" ht="15.75" customHeight="1">
      <c r="A1195" s="2">
        <v>1194.0</v>
      </c>
      <c r="B1195" s="1" t="s">
        <v>147</v>
      </c>
      <c r="C1195" s="1" t="s">
        <v>3340</v>
      </c>
      <c r="D1195" s="1" t="s">
        <v>615</v>
      </c>
      <c r="E1195" s="2">
        <v>5.70038355836E11</v>
      </c>
      <c r="F1195" s="1" t="s">
        <v>3341</v>
      </c>
      <c r="G1195" s="1" t="s">
        <v>12</v>
      </c>
      <c r="H1195" s="1" t="s">
        <v>3037</v>
      </c>
      <c r="I1195" s="1" t="s">
        <v>3038</v>
      </c>
      <c r="J1195" s="1" t="s">
        <v>3039</v>
      </c>
    </row>
    <row r="1196" ht="15.75" customHeight="1">
      <c r="A1196" s="2">
        <v>1195.0</v>
      </c>
      <c r="B1196" s="1" t="s">
        <v>3342</v>
      </c>
      <c r="C1196" s="1" t="s">
        <v>3343</v>
      </c>
      <c r="D1196" s="1" t="s">
        <v>3344</v>
      </c>
      <c r="E1196" s="2">
        <v>5.70038355837E11</v>
      </c>
      <c r="F1196" s="1" t="s">
        <v>3345</v>
      </c>
      <c r="G1196" s="1" t="s">
        <v>12</v>
      </c>
      <c r="H1196" s="1" t="s">
        <v>3037</v>
      </c>
      <c r="I1196" s="1" t="s">
        <v>3038</v>
      </c>
      <c r="J1196" s="1" t="s">
        <v>3039</v>
      </c>
    </row>
    <row r="1197" ht="15.75" customHeight="1">
      <c r="A1197" s="2">
        <v>1196.0</v>
      </c>
      <c r="B1197" s="1" t="s">
        <v>3346</v>
      </c>
      <c r="C1197" s="1" t="s">
        <v>3347</v>
      </c>
      <c r="D1197" s="1" t="s">
        <v>3348</v>
      </c>
      <c r="E1197" s="2">
        <v>5.70038355839E11</v>
      </c>
      <c r="F1197" s="1" t="s">
        <v>3349</v>
      </c>
      <c r="G1197" s="1" t="s">
        <v>12</v>
      </c>
      <c r="H1197" s="1" t="s">
        <v>3037</v>
      </c>
      <c r="I1197" s="1" t="s">
        <v>3038</v>
      </c>
      <c r="J1197" s="1" t="s">
        <v>3039</v>
      </c>
    </row>
    <row r="1198" ht="15.75" customHeight="1">
      <c r="A1198" s="2">
        <v>1197.0</v>
      </c>
      <c r="B1198" s="1" t="s">
        <v>3350</v>
      </c>
      <c r="C1198" s="1" t="s">
        <v>2581</v>
      </c>
      <c r="D1198" s="1" t="s">
        <v>3351</v>
      </c>
      <c r="E1198" s="2">
        <v>5.7003835584E11</v>
      </c>
      <c r="F1198" s="1" t="s">
        <v>3352</v>
      </c>
      <c r="G1198" s="1" t="s">
        <v>12</v>
      </c>
      <c r="H1198" s="1" t="s">
        <v>3037</v>
      </c>
      <c r="I1198" s="1" t="s">
        <v>3038</v>
      </c>
      <c r="J1198" s="1" t="s">
        <v>3039</v>
      </c>
    </row>
    <row r="1199" ht="15.75" customHeight="1">
      <c r="A1199" s="2">
        <v>1198.0</v>
      </c>
      <c r="B1199" s="1" t="s">
        <v>3353</v>
      </c>
      <c r="C1199" s="1" t="s">
        <v>3354</v>
      </c>
      <c r="D1199" s="1" t="s">
        <v>547</v>
      </c>
      <c r="E1199" s="2">
        <v>5.70038355844E11</v>
      </c>
      <c r="F1199" s="1" t="s">
        <v>3355</v>
      </c>
      <c r="G1199" s="1" t="s">
        <v>12</v>
      </c>
      <c r="H1199" s="1" t="s">
        <v>3037</v>
      </c>
      <c r="I1199" s="1" t="s">
        <v>3038</v>
      </c>
      <c r="J1199" s="1" t="s">
        <v>3039</v>
      </c>
    </row>
    <row r="1200" ht="15.75" customHeight="1">
      <c r="A1200" s="2">
        <v>1199.0</v>
      </c>
      <c r="B1200" s="1" t="s">
        <v>3356</v>
      </c>
      <c r="C1200" s="1" t="s">
        <v>3357</v>
      </c>
      <c r="D1200" s="1" t="s">
        <v>779</v>
      </c>
      <c r="E1200" s="2">
        <v>5.70038355846E11</v>
      </c>
      <c r="F1200" s="1" t="s">
        <v>3358</v>
      </c>
      <c r="G1200" s="1" t="s">
        <v>12</v>
      </c>
      <c r="H1200" s="1" t="s">
        <v>3037</v>
      </c>
      <c r="I1200" s="1" t="s">
        <v>3038</v>
      </c>
      <c r="J1200" s="1" t="s">
        <v>3039</v>
      </c>
    </row>
    <row r="1201" ht="15.75" customHeight="1">
      <c r="A1201" s="2">
        <v>1200.0</v>
      </c>
      <c r="B1201" s="1" t="s">
        <v>3359</v>
      </c>
      <c r="C1201" s="1" t="s">
        <v>3360</v>
      </c>
      <c r="D1201" s="1" t="s">
        <v>1477</v>
      </c>
      <c r="E1201" s="2">
        <v>5.70038355849E11</v>
      </c>
      <c r="F1201" s="1" t="s">
        <v>3361</v>
      </c>
      <c r="G1201" s="1" t="s">
        <v>12</v>
      </c>
      <c r="H1201" s="1" t="s">
        <v>3037</v>
      </c>
      <c r="I1201" s="1" t="s">
        <v>3038</v>
      </c>
      <c r="J1201" s="1" t="s">
        <v>3039</v>
      </c>
    </row>
    <row r="1202" ht="15.75" customHeight="1">
      <c r="A1202" s="2">
        <v>1201.0</v>
      </c>
      <c r="B1202" s="1" t="s">
        <v>875</v>
      </c>
      <c r="C1202" s="1" t="s">
        <v>3362</v>
      </c>
      <c r="D1202" s="1" t="s">
        <v>3363</v>
      </c>
      <c r="E1202" s="2">
        <v>5.70038355855E11</v>
      </c>
      <c r="F1202" s="1" t="s">
        <v>3364</v>
      </c>
      <c r="G1202" s="1" t="s">
        <v>12</v>
      </c>
      <c r="H1202" s="1" t="s">
        <v>3037</v>
      </c>
      <c r="I1202" s="1" t="s">
        <v>3038</v>
      </c>
      <c r="J1202" s="1" t="s">
        <v>3039</v>
      </c>
    </row>
    <row r="1203" ht="15.75" customHeight="1">
      <c r="A1203" s="2">
        <v>1202.0</v>
      </c>
      <c r="B1203" s="1" t="s">
        <v>515</v>
      </c>
      <c r="C1203" s="1" t="s">
        <v>3365</v>
      </c>
      <c r="D1203" s="1" t="s">
        <v>3366</v>
      </c>
      <c r="E1203" s="2">
        <v>5.70038355856E11</v>
      </c>
      <c r="F1203" s="1" t="s">
        <v>3367</v>
      </c>
      <c r="G1203" s="1" t="s">
        <v>12</v>
      </c>
      <c r="H1203" s="1" t="s">
        <v>3037</v>
      </c>
      <c r="I1203" s="1" t="s">
        <v>3038</v>
      </c>
      <c r="J1203" s="1" t="s">
        <v>3039</v>
      </c>
    </row>
    <row r="1204" ht="15.75" customHeight="1">
      <c r="A1204" s="2">
        <v>1203.0</v>
      </c>
      <c r="B1204" s="1" t="s">
        <v>3368</v>
      </c>
      <c r="C1204" s="1" t="s">
        <v>3369</v>
      </c>
      <c r="D1204" s="1" t="s">
        <v>3370</v>
      </c>
      <c r="E1204" s="2">
        <v>5.70038355857E11</v>
      </c>
      <c r="F1204" s="1" t="s">
        <v>3371</v>
      </c>
      <c r="G1204" s="1" t="s">
        <v>12</v>
      </c>
      <c r="H1204" s="1" t="s">
        <v>3037</v>
      </c>
      <c r="I1204" s="1" t="s">
        <v>3038</v>
      </c>
      <c r="J1204" s="1" t="s">
        <v>3039</v>
      </c>
    </row>
    <row r="1205" ht="15.75" customHeight="1">
      <c r="A1205" s="2">
        <v>1204.0</v>
      </c>
      <c r="B1205" s="1" t="s">
        <v>3372</v>
      </c>
      <c r="C1205" s="1" t="s">
        <v>674</v>
      </c>
      <c r="D1205" s="1" t="s">
        <v>1222</v>
      </c>
      <c r="E1205" s="2">
        <v>5.70038355858E11</v>
      </c>
      <c r="F1205" s="1" t="s">
        <v>3373</v>
      </c>
      <c r="G1205" s="1" t="s">
        <v>12</v>
      </c>
      <c r="H1205" s="1" t="s">
        <v>3037</v>
      </c>
      <c r="I1205" s="1" t="s">
        <v>3038</v>
      </c>
      <c r="J1205" s="1" t="s">
        <v>3039</v>
      </c>
    </row>
    <row r="1206" ht="15.75" customHeight="1">
      <c r="A1206" s="2">
        <v>1205.0</v>
      </c>
      <c r="B1206" s="1" t="s">
        <v>3374</v>
      </c>
      <c r="C1206" s="1" t="s">
        <v>3375</v>
      </c>
      <c r="D1206" s="1" t="s">
        <v>3376</v>
      </c>
      <c r="E1206" s="2">
        <v>5.70038355859E11</v>
      </c>
      <c r="F1206" s="1" t="s">
        <v>3377</v>
      </c>
      <c r="G1206" s="1" t="s">
        <v>12</v>
      </c>
      <c r="H1206" s="1" t="s">
        <v>3037</v>
      </c>
      <c r="I1206" s="1" t="s">
        <v>3038</v>
      </c>
      <c r="J1206" s="1" t="s">
        <v>3039</v>
      </c>
    </row>
    <row r="1207" ht="15.75" customHeight="1">
      <c r="A1207" s="2">
        <v>1206.0</v>
      </c>
      <c r="B1207" s="1" t="s">
        <v>1455</v>
      </c>
      <c r="C1207" s="1" t="s">
        <v>3378</v>
      </c>
      <c r="D1207" s="1" t="s">
        <v>1754</v>
      </c>
      <c r="E1207" s="2">
        <v>5.70038355861E11</v>
      </c>
      <c r="F1207" s="1" t="s">
        <v>3379</v>
      </c>
      <c r="G1207" s="1" t="s">
        <v>12</v>
      </c>
      <c r="H1207" s="1" t="s">
        <v>3037</v>
      </c>
      <c r="I1207" s="1" t="s">
        <v>3038</v>
      </c>
      <c r="J1207" s="1" t="s">
        <v>3039</v>
      </c>
    </row>
    <row r="1208" ht="15.75" customHeight="1">
      <c r="A1208" s="2">
        <v>1207.0</v>
      </c>
      <c r="B1208" s="1" t="s">
        <v>3380</v>
      </c>
      <c r="C1208" s="1" t="s">
        <v>1902</v>
      </c>
      <c r="D1208" s="1" t="s">
        <v>3381</v>
      </c>
      <c r="E1208" s="2">
        <v>5.70038355862E11</v>
      </c>
      <c r="F1208" s="1" t="s">
        <v>3382</v>
      </c>
      <c r="G1208" s="1" t="s">
        <v>2758</v>
      </c>
      <c r="H1208" s="1" t="s">
        <v>3037</v>
      </c>
      <c r="I1208" s="1" t="s">
        <v>3038</v>
      </c>
      <c r="J1208" s="1" t="s">
        <v>3039</v>
      </c>
    </row>
    <row r="1209" ht="15.75" customHeight="1">
      <c r="A1209" s="2">
        <v>1208.0</v>
      </c>
      <c r="B1209" s="1" t="s">
        <v>2913</v>
      </c>
      <c r="C1209" s="1" t="s">
        <v>3383</v>
      </c>
      <c r="D1209" s="1" t="s">
        <v>279</v>
      </c>
      <c r="E1209" s="2">
        <v>5.70038355863E11</v>
      </c>
      <c r="F1209" s="1" t="s">
        <v>3384</v>
      </c>
      <c r="G1209" s="1" t="s">
        <v>12</v>
      </c>
      <c r="H1209" s="1" t="s">
        <v>3037</v>
      </c>
      <c r="I1209" s="1" t="s">
        <v>3038</v>
      </c>
      <c r="J1209" s="1" t="s">
        <v>3039</v>
      </c>
    </row>
    <row r="1210" ht="15.75" customHeight="1">
      <c r="A1210" s="2">
        <v>1209.0</v>
      </c>
      <c r="B1210" s="1" t="s">
        <v>2181</v>
      </c>
      <c r="C1210" s="1" t="s">
        <v>3385</v>
      </c>
      <c r="D1210" s="1" t="s">
        <v>1219</v>
      </c>
      <c r="E1210" s="2">
        <v>5.70038355865E11</v>
      </c>
      <c r="F1210" s="1" t="s">
        <v>3386</v>
      </c>
      <c r="G1210" s="1" t="s">
        <v>12</v>
      </c>
      <c r="H1210" s="1" t="s">
        <v>3037</v>
      </c>
      <c r="I1210" s="1" t="s">
        <v>3038</v>
      </c>
      <c r="J1210" s="1" t="s">
        <v>3039</v>
      </c>
    </row>
    <row r="1211" ht="15.75" customHeight="1">
      <c r="A1211" s="2">
        <v>1210.0</v>
      </c>
      <c r="B1211" s="1" t="s">
        <v>3387</v>
      </c>
      <c r="C1211" s="1" t="s">
        <v>3388</v>
      </c>
      <c r="D1211" s="1" t="s">
        <v>2090</v>
      </c>
      <c r="E1211" s="2">
        <v>5.70038355867E11</v>
      </c>
      <c r="F1211" s="1" t="s">
        <v>3389</v>
      </c>
      <c r="G1211" s="1" t="s">
        <v>3390</v>
      </c>
      <c r="H1211" s="1" t="s">
        <v>3037</v>
      </c>
      <c r="I1211" s="1" t="s">
        <v>3038</v>
      </c>
      <c r="J1211" s="1" t="s">
        <v>3039</v>
      </c>
    </row>
    <row r="1212" ht="15.75" customHeight="1">
      <c r="A1212" s="2">
        <v>1211.0</v>
      </c>
      <c r="B1212" s="1" t="s">
        <v>324</v>
      </c>
      <c r="C1212" s="1" t="s">
        <v>1242</v>
      </c>
      <c r="D1212" s="1" t="s">
        <v>588</v>
      </c>
      <c r="E1212" s="2">
        <v>5.70038355869E11</v>
      </c>
      <c r="F1212" s="1" t="s">
        <v>3391</v>
      </c>
      <c r="G1212" s="1" t="s">
        <v>12</v>
      </c>
      <c r="H1212" s="1" t="s">
        <v>3037</v>
      </c>
      <c r="I1212" s="1" t="s">
        <v>3038</v>
      </c>
      <c r="J1212" s="1" t="s">
        <v>3039</v>
      </c>
    </row>
    <row r="1213" ht="15.75" customHeight="1">
      <c r="A1213" s="2">
        <v>1212.0</v>
      </c>
      <c r="B1213" s="1" t="s">
        <v>3392</v>
      </c>
      <c r="C1213" s="1" t="s">
        <v>1714</v>
      </c>
      <c r="D1213" s="1" t="s">
        <v>2018</v>
      </c>
      <c r="E1213" s="2">
        <v>5.70038355872E11</v>
      </c>
      <c r="F1213" s="1" t="s">
        <v>3393</v>
      </c>
      <c r="G1213" s="1" t="s">
        <v>12</v>
      </c>
      <c r="H1213" s="1" t="s">
        <v>3037</v>
      </c>
      <c r="I1213" s="1" t="s">
        <v>3038</v>
      </c>
      <c r="J1213" s="1" t="s">
        <v>3039</v>
      </c>
    </row>
    <row r="1214" ht="15.75" customHeight="1">
      <c r="A1214" s="2">
        <v>1213.0</v>
      </c>
      <c r="B1214" s="1" t="s">
        <v>513</v>
      </c>
      <c r="C1214" s="1" t="s">
        <v>446</v>
      </c>
      <c r="D1214" s="1" t="s">
        <v>793</v>
      </c>
      <c r="E1214" s="2">
        <v>5.70038355875E11</v>
      </c>
      <c r="F1214" s="1" t="s">
        <v>3394</v>
      </c>
      <c r="G1214" s="1" t="s">
        <v>12</v>
      </c>
      <c r="H1214" s="1" t="s">
        <v>3037</v>
      </c>
      <c r="I1214" s="1" t="s">
        <v>3038</v>
      </c>
      <c r="J1214" s="1" t="s">
        <v>3039</v>
      </c>
    </row>
    <row r="1215" ht="15.75" customHeight="1">
      <c r="A1215" s="2">
        <v>1214.0</v>
      </c>
      <c r="B1215" s="1" t="s">
        <v>3395</v>
      </c>
      <c r="C1215" s="1" t="s">
        <v>3396</v>
      </c>
      <c r="D1215" s="1" t="s">
        <v>210</v>
      </c>
      <c r="E1215" s="2">
        <v>5.70038355879E11</v>
      </c>
      <c r="F1215" s="1" t="s">
        <v>3397</v>
      </c>
      <c r="G1215" s="1" t="s">
        <v>135</v>
      </c>
      <c r="H1215" s="1" t="s">
        <v>3037</v>
      </c>
      <c r="I1215" s="1" t="s">
        <v>3038</v>
      </c>
      <c r="J1215" s="1" t="s">
        <v>3039</v>
      </c>
    </row>
    <row r="1216" ht="15.75" customHeight="1">
      <c r="A1216" s="2">
        <v>1215.0</v>
      </c>
      <c r="B1216" s="1" t="s">
        <v>10</v>
      </c>
      <c r="C1216" s="1" t="s">
        <v>3398</v>
      </c>
      <c r="D1216" s="1" t="s">
        <v>1557</v>
      </c>
      <c r="E1216" s="2">
        <v>5.7003835589E11</v>
      </c>
      <c r="F1216" s="1" t="s">
        <v>3399</v>
      </c>
      <c r="G1216" s="1" t="s">
        <v>12</v>
      </c>
      <c r="H1216" s="1" t="s">
        <v>3037</v>
      </c>
      <c r="I1216" s="1" t="s">
        <v>3038</v>
      </c>
      <c r="J1216" s="1" t="s">
        <v>3039</v>
      </c>
    </row>
    <row r="1217" ht="15.75" customHeight="1">
      <c r="A1217" s="2">
        <v>1216.0</v>
      </c>
      <c r="B1217" s="1" t="s">
        <v>559</v>
      </c>
      <c r="C1217" s="1" t="s">
        <v>3400</v>
      </c>
      <c r="D1217" s="1" t="s">
        <v>3401</v>
      </c>
      <c r="E1217" s="2">
        <v>5.70038355892E11</v>
      </c>
      <c r="F1217" s="1" t="s">
        <v>3402</v>
      </c>
      <c r="G1217" s="1" t="s">
        <v>12</v>
      </c>
      <c r="H1217" s="1" t="s">
        <v>3037</v>
      </c>
      <c r="I1217" s="1" t="s">
        <v>3038</v>
      </c>
      <c r="J1217" s="1" t="s">
        <v>3039</v>
      </c>
    </row>
    <row r="1218" ht="15.75" customHeight="1">
      <c r="A1218" s="2">
        <v>1217.0</v>
      </c>
      <c r="B1218" s="1" t="s">
        <v>471</v>
      </c>
      <c r="C1218" s="1" t="s">
        <v>3403</v>
      </c>
      <c r="D1218" s="1" t="s">
        <v>3404</v>
      </c>
      <c r="E1218" s="2">
        <v>5.700383559E11</v>
      </c>
      <c r="F1218" s="1" t="s">
        <v>3405</v>
      </c>
      <c r="G1218" s="1" t="s">
        <v>12</v>
      </c>
      <c r="H1218" s="1" t="s">
        <v>3037</v>
      </c>
      <c r="I1218" s="1" t="s">
        <v>3038</v>
      </c>
      <c r="J1218" s="1" t="s">
        <v>3039</v>
      </c>
    </row>
    <row r="1219" ht="15.75" customHeight="1">
      <c r="A1219" s="2">
        <v>1218.0</v>
      </c>
      <c r="B1219" s="1" t="s">
        <v>3406</v>
      </c>
      <c r="C1219" s="1" t="s">
        <v>1236</v>
      </c>
      <c r="D1219" s="1" t="s">
        <v>384</v>
      </c>
      <c r="E1219" s="2">
        <v>5.70038355901E11</v>
      </c>
      <c r="F1219" s="1" t="s">
        <v>3407</v>
      </c>
      <c r="G1219" s="1" t="s">
        <v>12</v>
      </c>
      <c r="H1219" s="1" t="s">
        <v>3037</v>
      </c>
      <c r="I1219" s="1" t="s">
        <v>3038</v>
      </c>
      <c r="J1219" s="1" t="s">
        <v>3039</v>
      </c>
    </row>
    <row r="1220" ht="15.75" customHeight="1">
      <c r="A1220" s="2">
        <v>1219.0</v>
      </c>
      <c r="B1220" s="1" t="s">
        <v>3408</v>
      </c>
      <c r="C1220" s="1" t="s">
        <v>3409</v>
      </c>
      <c r="D1220" s="1" t="s">
        <v>3410</v>
      </c>
      <c r="E1220" s="2">
        <v>5.70038355902E11</v>
      </c>
      <c r="F1220" s="1" t="s">
        <v>2157</v>
      </c>
      <c r="G1220" s="1" t="s">
        <v>12</v>
      </c>
      <c r="H1220" s="1" t="s">
        <v>3037</v>
      </c>
      <c r="I1220" s="1" t="s">
        <v>3038</v>
      </c>
      <c r="J1220" s="1" t="s">
        <v>3039</v>
      </c>
    </row>
    <row r="1221" ht="15.75" customHeight="1">
      <c r="A1221" s="2">
        <v>1220.0</v>
      </c>
      <c r="B1221" s="1" t="s">
        <v>641</v>
      </c>
      <c r="C1221" s="1" t="s">
        <v>55</v>
      </c>
      <c r="D1221" s="1" t="s">
        <v>3411</v>
      </c>
      <c r="E1221" s="2">
        <v>5.70038355903E11</v>
      </c>
      <c r="F1221" s="1" t="s">
        <v>3412</v>
      </c>
      <c r="G1221" s="1" t="s">
        <v>12</v>
      </c>
      <c r="H1221" s="1" t="s">
        <v>3037</v>
      </c>
      <c r="I1221" s="1" t="s">
        <v>3038</v>
      </c>
      <c r="J1221" s="1" t="s">
        <v>3039</v>
      </c>
    </row>
    <row r="1222" ht="15.75" customHeight="1">
      <c r="A1222" s="2">
        <v>1221.0</v>
      </c>
      <c r="B1222" s="1" t="s">
        <v>333</v>
      </c>
      <c r="C1222" s="1" t="s">
        <v>749</v>
      </c>
      <c r="D1222" s="1" t="s">
        <v>3413</v>
      </c>
      <c r="E1222" s="2">
        <v>5.70038355904E11</v>
      </c>
      <c r="F1222" s="1" t="s">
        <v>3414</v>
      </c>
      <c r="G1222" s="1" t="s">
        <v>12</v>
      </c>
      <c r="H1222" s="1" t="s">
        <v>3037</v>
      </c>
      <c r="I1222" s="1" t="s">
        <v>3038</v>
      </c>
      <c r="J1222" s="1" t="s">
        <v>3039</v>
      </c>
    </row>
    <row r="1223" ht="15.75" customHeight="1">
      <c r="A1223" s="2">
        <v>1222.0</v>
      </c>
      <c r="B1223" s="1" t="s">
        <v>83</v>
      </c>
      <c r="C1223" s="1" t="s">
        <v>55</v>
      </c>
      <c r="D1223" s="1" t="s">
        <v>157</v>
      </c>
      <c r="E1223" s="2">
        <v>5.70038355905E11</v>
      </c>
      <c r="F1223" s="1" t="s">
        <v>3415</v>
      </c>
      <c r="G1223" s="1" t="s">
        <v>12</v>
      </c>
      <c r="H1223" s="1" t="s">
        <v>3037</v>
      </c>
      <c r="I1223" s="1" t="s">
        <v>3038</v>
      </c>
      <c r="J1223" s="1" t="s">
        <v>3039</v>
      </c>
    </row>
    <row r="1224" ht="15.75" customHeight="1">
      <c r="A1224" s="2">
        <v>1223.0</v>
      </c>
      <c r="B1224" s="1" t="s">
        <v>42</v>
      </c>
      <c r="C1224" s="1" t="s">
        <v>3416</v>
      </c>
      <c r="D1224" s="1" t="s">
        <v>295</v>
      </c>
      <c r="E1224" s="2">
        <v>5.70038355907E11</v>
      </c>
      <c r="F1224" s="1" t="s">
        <v>3417</v>
      </c>
      <c r="G1224" s="1" t="s">
        <v>12</v>
      </c>
      <c r="H1224" s="1" t="s">
        <v>3037</v>
      </c>
      <c r="I1224" s="1" t="s">
        <v>3038</v>
      </c>
      <c r="J1224" s="1" t="s">
        <v>3039</v>
      </c>
    </row>
    <row r="1225" ht="15.75" customHeight="1">
      <c r="A1225" s="2">
        <v>1224.0</v>
      </c>
      <c r="B1225" s="1" t="s">
        <v>3418</v>
      </c>
      <c r="C1225" s="1" t="s">
        <v>2888</v>
      </c>
      <c r="D1225" s="1" t="s">
        <v>191</v>
      </c>
      <c r="E1225" s="2">
        <v>5.70038355909E11</v>
      </c>
      <c r="F1225" s="1" t="s">
        <v>3419</v>
      </c>
      <c r="G1225" s="1" t="s">
        <v>12</v>
      </c>
      <c r="H1225" s="1" t="s">
        <v>3037</v>
      </c>
      <c r="I1225" s="1" t="s">
        <v>3038</v>
      </c>
      <c r="J1225" s="1" t="s">
        <v>3039</v>
      </c>
    </row>
    <row r="1226" ht="15.75" customHeight="1">
      <c r="A1226" s="2">
        <v>1225.0</v>
      </c>
      <c r="B1226" s="1" t="s">
        <v>58</v>
      </c>
      <c r="C1226" s="1" t="s">
        <v>3420</v>
      </c>
      <c r="D1226" s="1" t="s">
        <v>384</v>
      </c>
      <c r="E1226" s="2">
        <v>5.7003835591E11</v>
      </c>
      <c r="F1226" s="1" t="s">
        <v>3421</v>
      </c>
      <c r="G1226" s="1" t="s">
        <v>12</v>
      </c>
      <c r="H1226" s="1" t="s">
        <v>3037</v>
      </c>
      <c r="I1226" s="1" t="s">
        <v>3038</v>
      </c>
      <c r="J1226" s="1" t="s">
        <v>3039</v>
      </c>
    </row>
    <row r="1227" ht="15.75" customHeight="1">
      <c r="A1227" s="2">
        <v>1226.0</v>
      </c>
      <c r="B1227" s="1" t="s">
        <v>515</v>
      </c>
      <c r="C1227" s="1" t="s">
        <v>3422</v>
      </c>
      <c r="D1227" s="1" t="s">
        <v>3423</v>
      </c>
      <c r="E1227" s="2">
        <v>5.70038355911E11</v>
      </c>
      <c r="F1227" s="1" t="s">
        <v>1602</v>
      </c>
      <c r="G1227" s="1" t="s">
        <v>12</v>
      </c>
      <c r="H1227" s="1" t="s">
        <v>3037</v>
      </c>
      <c r="I1227" s="1" t="s">
        <v>3038</v>
      </c>
      <c r="J1227" s="1" t="s">
        <v>3039</v>
      </c>
    </row>
    <row r="1228" ht="15.75" customHeight="1">
      <c r="A1228" s="2">
        <v>1227.0</v>
      </c>
      <c r="B1228" s="1" t="s">
        <v>875</v>
      </c>
      <c r="C1228" s="1" t="s">
        <v>2922</v>
      </c>
      <c r="D1228" s="1" t="s">
        <v>3172</v>
      </c>
      <c r="E1228" s="2">
        <v>5.70038355912E11</v>
      </c>
      <c r="F1228" s="1" t="s">
        <v>3424</v>
      </c>
      <c r="G1228" s="1" t="s">
        <v>12</v>
      </c>
      <c r="H1228" s="1" t="s">
        <v>3037</v>
      </c>
      <c r="I1228" s="1" t="s">
        <v>3038</v>
      </c>
      <c r="J1228" s="1" t="s">
        <v>3039</v>
      </c>
    </row>
    <row r="1229" ht="15.75" customHeight="1">
      <c r="A1229" s="2">
        <v>1228.0</v>
      </c>
      <c r="B1229" s="1" t="s">
        <v>3425</v>
      </c>
      <c r="C1229" s="1" t="s">
        <v>3426</v>
      </c>
      <c r="D1229" s="1" t="s">
        <v>42</v>
      </c>
      <c r="E1229" s="2">
        <v>5.70038355913E11</v>
      </c>
      <c r="F1229" s="1" t="s">
        <v>3427</v>
      </c>
      <c r="G1229" s="1" t="s">
        <v>12</v>
      </c>
      <c r="H1229" s="1" t="s">
        <v>3037</v>
      </c>
      <c r="I1229" s="1" t="s">
        <v>3038</v>
      </c>
      <c r="J1229" s="1" t="s">
        <v>3039</v>
      </c>
    </row>
    <row r="1230" ht="15.75" customHeight="1">
      <c r="A1230" s="2">
        <v>1229.0</v>
      </c>
      <c r="B1230" s="1" t="s">
        <v>2346</v>
      </c>
      <c r="C1230" s="1" t="s">
        <v>2453</v>
      </c>
      <c r="D1230" s="1" t="s">
        <v>3428</v>
      </c>
      <c r="E1230" s="2">
        <v>5.70038355914E11</v>
      </c>
      <c r="F1230" s="1" t="s">
        <v>1602</v>
      </c>
      <c r="G1230" s="1" t="s">
        <v>12</v>
      </c>
      <c r="H1230" s="1" t="s">
        <v>3037</v>
      </c>
      <c r="I1230" s="1" t="s">
        <v>3038</v>
      </c>
      <c r="J1230" s="1" t="s">
        <v>3039</v>
      </c>
    </row>
    <row r="1231" ht="15.75" customHeight="1">
      <c r="A1231" s="2">
        <v>1230.0</v>
      </c>
      <c r="B1231" s="1" t="s">
        <v>903</v>
      </c>
      <c r="C1231" s="1" t="s">
        <v>3429</v>
      </c>
      <c r="D1231" s="1" t="s">
        <v>1191</v>
      </c>
      <c r="E1231" s="2">
        <v>5.70038355918E11</v>
      </c>
      <c r="F1231" s="1" t="s">
        <v>1808</v>
      </c>
      <c r="G1231" s="1" t="s">
        <v>12</v>
      </c>
      <c r="H1231" s="1" t="s">
        <v>3037</v>
      </c>
      <c r="I1231" s="1" t="s">
        <v>3038</v>
      </c>
      <c r="J1231" s="1" t="s">
        <v>3039</v>
      </c>
    </row>
    <row r="1232" ht="15.75" customHeight="1">
      <c r="A1232" s="2">
        <v>1231.0</v>
      </c>
      <c r="B1232" s="1" t="s">
        <v>1599</v>
      </c>
      <c r="C1232" s="1" t="s">
        <v>3430</v>
      </c>
      <c r="D1232" s="1" t="s">
        <v>362</v>
      </c>
      <c r="E1232" s="2">
        <v>5.70038355919E11</v>
      </c>
      <c r="F1232" s="1" t="s">
        <v>3431</v>
      </c>
      <c r="G1232" s="1" t="s">
        <v>12</v>
      </c>
      <c r="H1232" s="1" t="s">
        <v>3037</v>
      </c>
      <c r="I1232" s="1" t="s">
        <v>3038</v>
      </c>
      <c r="J1232" s="1" t="s">
        <v>3039</v>
      </c>
    </row>
    <row r="1233" ht="15.75" customHeight="1">
      <c r="A1233" s="2">
        <v>1232.0</v>
      </c>
      <c r="B1233" s="1" t="s">
        <v>18</v>
      </c>
      <c r="C1233" s="1" t="s">
        <v>3432</v>
      </c>
      <c r="D1233" s="1" t="s">
        <v>903</v>
      </c>
      <c r="E1233" s="2">
        <v>5.7003835592E11</v>
      </c>
      <c r="F1233" s="1" t="s">
        <v>3433</v>
      </c>
      <c r="G1233" s="1" t="s">
        <v>12</v>
      </c>
      <c r="H1233" s="1" t="s">
        <v>3037</v>
      </c>
      <c r="I1233" s="1" t="s">
        <v>3038</v>
      </c>
      <c r="J1233" s="1" t="s">
        <v>3039</v>
      </c>
    </row>
    <row r="1234" ht="15.75" customHeight="1">
      <c r="A1234" s="2">
        <v>1233.0</v>
      </c>
      <c r="B1234" s="1" t="s">
        <v>313</v>
      </c>
      <c r="C1234" s="1" t="s">
        <v>3434</v>
      </c>
      <c r="D1234" s="1" t="s">
        <v>2681</v>
      </c>
      <c r="E1234" s="2">
        <v>5.70038355922E11</v>
      </c>
      <c r="F1234" s="1" t="s">
        <v>3435</v>
      </c>
      <c r="G1234" s="1" t="s">
        <v>12</v>
      </c>
      <c r="H1234" s="1" t="s">
        <v>3037</v>
      </c>
      <c r="I1234" s="1" t="s">
        <v>3038</v>
      </c>
      <c r="J1234" s="1" t="s">
        <v>3039</v>
      </c>
    </row>
    <row r="1235" ht="15.75" customHeight="1">
      <c r="A1235" s="2">
        <v>1234.0</v>
      </c>
      <c r="B1235" s="1" t="s">
        <v>3436</v>
      </c>
      <c r="C1235" s="1" t="s">
        <v>3437</v>
      </c>
      <c r="D1235" s="1" t="s">
        <v>1694</v>
      </c>
      <c r="E1235" s="2">
        <v>5.70038355924E11</v>
      </c>
      <c r="F1235" s="1" t="s">
        <v>3438</v>
      </c>
      <c r="G1235" s="1" t="s">
        <v>12</v>
      </c>
      <c r="H1235" s="1" t="s">
        <v>3037</v>
      </c>
      <c r="I1235" s="1" t="s">
        <v>3038</v>
      </c>
      <c r="J1235" s="1" t="s">
        <v>3039</v>
      </c>
    </row>
    <row r="1236" ht="15.75" customHeight="1">
      <c r="A1236" s="2">
        <v>1235.0</v>
      </c>
      <c r="B1236" s="1" t="s">
        <v>3439</v>
      </c>
      <c r="C1236" s="1" t="s">
        <v>3440</v>
      </c>
      <c r="D1236" s="1" t="s">
        <v>2136</v>
      </c>
      <c r="E1236" s="2">
        <v>5.70038355925E11</v>
      </c>
      <c r="F1236" s="1" t="s">
        <v>3441</v>
      </c>
      <c r="G1236" s="1" t="s">
        <v>12</v>
      </c>
      <c r="H1236" s="1" t="s">
        <v>3037</v>
      </c>
      <c r="I1236" s="1" t="s">
        <v>3038</v>
      </c>
      <c r="J1236" s="1" t="s">
        <v>3039</v>
      </c>
    </row>
    <row r="1237" ht="15.75" customHeight="1">
      <c r="A1237" s="2">
        <v>1236.0</v>
      </c>
      <c r="B1237" s="1" t="s">
        <v>2836</v>
      </c>
      <c r="C1237" s="1" t="s">
        <v>3442</v>
      </c>
      <c r="D1237" s="1" t="s">
        <v>297</v>
      </c>
      <c r="E1237" s="2">
        <v>5.70038355931E11</v>
      </c>
      <c r="F1237" s="1" t="s">
        <v>3382</v>
      </c>
      <c r="G1237" s="1" t="s">
        <v>12</v>
      </c>
      <c r="H1237" s="1" t="s">
        <v>3037</v>
      </c>
      <c r="I1237" s="1" t="s">
        <v>3038</v>
      </c>
      <c r="J1237" s="1" t="s">
        <v>3039</v>
      </c>
    </row>
    <row r="1238" ht="15.75" customHeight="1">
      <c r="A1238" s="2">
        <v>1237.0</v>
      </c>
      <c r="B1238" s="1" t="s">
        <v>157</v>
      </c>
      <c r="C1238" s="1" t="s">
        <v>3443</v>
      </c>
      <c r="D1238" s="1" t="s">
        <v>1652</v>
      </c>
      <c r="E1238" s="2">
        <v>5.70038355941E11</v>
      </c>
      <c r="F1238" s="1" t="s">
        <v>1586</v>
      </c>
      <c r="G1238" s="1" t="s">
        <v>12</v>
      </c>
      <c r="H1238" s="1" t="s">
        <v>3037</v>
      </c>
      <c r="I1238" s="1" t="s">
        <v>3038</v>
      </c>
      <c r="J1238" s="1" t="s">
        <v>3039</v>
      </c>
    </row>
    <row r="1239" ht="15.75" customHeight="1">
      <c r="A1239" s="2">
        <v>1238.0</v>
      </c>
      <c r="B1239" s="1" t="s">
        <v>3444</v>
      </c>
      <c r="C1239" s="1" t="s">
        <v>970</v>
      </c>
      <c r="D1239" s="1" t="s">
        <v>141</v>
      </c>
      <c r="E1239" s="2">
        <v>5.70038355943E11</v>
      </c>
      <c r="F1239" s="1" t="s">
        <v>3445</v>
      </c>
      <c r="G1239" s="1" t="s">
        <v>12</v>
      </c>
      <c r="H1239" s="1" t="s">
        <v>3037</v>
      </c>
      <c r="I1239" s="1" t="s">
        <v>3038</v>
      </c>
      <c r="J1239" s="1" t="s">
        <v>3039</v>
      </c>
    </row>
    <row r="1240" ht="15.75" customHeight="1">
      <c r="A1240" s="2">
        <v>1239.0</v>
      </c>
      <c r="B1240" s="1" t="s">
        <v>852</v>
      </c>
      <c r="C1240" s="1" t="s">
        <v>2190</v>
      </c>
      <c r="D1240" s="1" t="s">
        <v>3446</v>
      </c>
      <c r="E1240" s="2">
        <v>5.70038355945E11</v>
      </c>
      <c r="F1240" s="1" t="s">
        <v>2514</v>
      </c>
      <c r="G1240" s="1" t="s">
        <v>12</v>
      </c>
      <c r="H1240" s="1" t="s">
        <v>3037</v>
      </c>
      <c r="I1240" s="1" t="s">
        <v>3038</v>
      </c>
      <c r="J1240" s="1" t="s">
        <v>3039</v>
      </c>
    </row>
    <row r="1241" ht="15.75" customHeight="1">
      <c r="A1241" s="2">
        <v>1240.0</v>
      </c>
      <c r="B1241" s="1" t="s">
        <v>3447</v>
      </c>
      <c r="C1241" s="1" t="s">
        <v>970</v>
      </c>
      <c r="D1241" s="1" t="s">
        <v>3448</v>
      </c>
      <c r="E1241" s="2">
        <v>5.70038355954E11</v>
      </c>
      <c r="F1241" s="1" t="s">
        <v>3449</v>
      </c>
      <c r="G1241" s="1" t="s">
        <v>12</v>
      </c>
      <c r="H1241" s="1" t="s">
        <v>3037</v>
      </c>
      <c r="I1241" s="1" t="s">
        <v>3038</v>
      </c>
      <c r="J1241" s="1" t="s">
        <v>3039</v>
      </c>
    </row>
    <row r="1242" ht="15.75" customHeight="1">
      <c r="A1242" s="2">
        <v>1241.0</v>
      </c>
      <c r="B1242" s="1" t="s">
        <v>93</v>
      </c>
      <c r="C1242" s="1" t="s">
        <v>3450</v>
      </c>
      <c r="D1242" s="1" t="s">
        <v>3451</v>
      </c>
      <c r="E1242" s="2">
        <v>5.70038355956E11</v>
      </c>
      <c r="F1242" s="1" t="s">
        <v>3452</v>
      </c>
      <c r="G1242" s="1" t="s">
        <v>12</v>
      </c>
      <c r="H1242" s="1" t="s">
        <v>3037</v>
      </c>
      <c r="I1242" s="1" t="s">
        <v>3038</v>
      </c>
      <c r="J1242" s="1" t="s">
        <v>3039</v>
      </c>
    </row>
    <row r="1243" ht="15.75" customHeight="1">
      <c r="A1243" s="2">
        <v>1242.0</v>
      </c>
      <c r="B1243" s="1" t="s">
        <v>335</v>
      </c>
      <c r="C1243" s="1" t="s">
        <v>3453</v>
      </c>
      <c r="D1243" s="1" t="s">
        <v>3454</v>
      </c>
      <c r="E1243" s="2">
        <v>5.70038355963E11</v>
      </c>
      <c r="F1243" s="1" t="s">
        <v>3455</v>
      </c>
      <c r="G1243" s="1" t="s">
        <v>12</v>
      </c>
      <c r="H1243" s="1" t="s">
        <v>3037</v>
      </c>
      <c r="I1243" s="1" t="s">
        <v>3038</v>
      </c>
      <c r="J1243" s="1" t="s">
        <v>3039</v>
      </c>
    </row>
    <row r="1244" ht="15.75" customHeight="1">
      <c r="A1244" s="2">
        <v>1243.0</v>
      </c>
      <c r="B1244" s="1" t="s">
        <v>1557</v>
      </c>
      <c r="C1244" s="1" t="s">
        <v>3456</v>
      </c>
      <c r="D1244" s="1" t="s">
        <v>3457</v>
      </c>
      <c r="E1244" s="2">
        <v>5.70038355966E11</v>
      </c>
      <c r="F1244" s="1" t="s">
        <v>2703</v>
      </c>
      <c r="G1244" s="1" t="s">
        <v>12</v>
      </c>
      <c r="H1244" s="1" t="s">
        <v>3037</v>
      </c>
      <c r="I1244" s="1" t="s">
        <v>3038</v>
      </c>
      <c r="J1244" s="1" t="s">
        <v>3039</v>
      </c>
    </row>
    <row r="1245" ht="15.75" customHeight="1">
      <c r="A1245" s="2">
        <v>1244.0</v>
      </c>
      <c r="B1245" s="1" t="s">
        <v>690</v>
      </c>
      <c r="C1245" s="1" t="s">
        <v>3458</v>
      </c>
      <c r="D1245" s="1" t="s">
        <v>3459</v>
      </c>
      <c r="E1245" s="2">
        <v>5.70038355968E11</v>
      </c>
      <c r="F1245" s="1" t="s">
        <v>3460</v>
      </c>
      <c r="G1245" s="1" t="s">
        <v>12</v>
      </c>
      <c r="H1245" s="1" t="s">
        <v>3037</v>
      </c>
      <c r="I1245" s="1" t="s">
        <v>3038</v>
      </c>
      <c r="J1245" s="1" t="s">
        <v>3039</v>
      </c>
    </row>
    <row r="1246" ht="15.75" customHeight="1">
      <c r="A1246" s="2">
        <v>1245.0</v>
      </c>
      <c r="B1246" s="1" t="s">
        <v>515</v>
      </c>
      <c r="C1246" s="1" t="s">
        <v>1236</v>
      </c>
      <c r="D1246" s="1" t="s">
        <v>83</v>
      </c>
      <c r="E1246" s="2">
        <v>5.70038355969E11</v>
      </c>
      <c r="F1246" s="1" t="s">
        <v>1309</v>
      </c>
      <c r="G1246" s="1" t="s">
        <v>12</v>
      </c>
      <c r="H1246" s="1" t="s">
        <v>3037</v>
      </c>
      <c r="I1246" s="1" t="s">
        <v>3038</v>
      </c>
      <c r="J1246" s="1" t="s">
        <v>3039</v>
      </c>
    </row>
    <row r="1247" ht="15.75" customHeight="1">
      <c r="A1247" s="2">
        <v>1246.0</v>
      </c>
      <c r="B1247" s="1" t="s">
        <v>3461</v>
      </c>
      <c r="C1247" s="1" t="s">
        <v>3462</v>
      </c>
      <c r="D1247" s="1" t="s">
        <v>3463</v>
      </c>
      <c r="E1247" s="2">
        <v>5.70038355971E11</v>
      </c>
      <c r="F1247" s="1" t="s">
        <v>3464</v>
      </c>
      <c r="G1247" s="1" t="s">
        <v>12</v>
      </c>
      <c r="H1247" s="1" t="s">
        <v>3037</v>
      </c>
      <c r="I1247" s="1" t="s">
        <v>3038</v>
      </c>
      <c r="J1247" s="1" t="s">
        <v>3039</v>
      </c>
    </row>
    <row r="1248" ht="15.75" customHeight="1">
      <c r="A1248" s="2">
        <v>1247.0</v>
      </c>
      <c r="B1248" s="1" t="s">
        <v>3465</v>
      </c>
      <c r="C1248" s="1" t="s">
        <v>320</v>
      </c>
      <c r="D1248" s="1" t="s">
        <v>3466</v>
      </c>
      <c r="E1248" s="2">
        <v>5.70038355972E11</v>
      </c>
      <c r="F1248" s="1" t="s">
        <v>3467</v>
      </c>
      <c r="G1248" s="1" t="s">
        <v>12</v>
      </c>
      <c r="H1248" s="1" t="s">
        <v>3037</v>
      </c>
      <c r="I1248" s="1" t="s">
        <v>3038</v>
      </c>
      <c r="J1248" s="1" t="s">
        <v>3039</v>
      </c>
    </row>
    <row r="1249" ht="15.75" customHeight="1">
      <c r="A1249" s="2">
        <v>1248.0</v>
      </c>
      <c r="B1249" s="1" t="s">
        <v>621</v>
      </c>
      <c r="C1249" s="1" t="s">
        <v>3468</v>
      </c>
      <c r="D1249" s="1" t="s">
        <v>1920</v>
      </c>
      <c r="E1249" s="2">
        <v>5.70038355973E11</v>
      </c>
      <c r="F1249" s="1" t="s">
        <v>3469</v>
      </c>
      <c r="G1249" s="1" t="s">
        <v>12</v>
      </c>
      <c r="H1249" s="1" t="s">
        <v>3037</v>
      </c>
      <c r="I1249" s="1" t="s">
        <v>3038</v>
      </c>
      <c r="J1249" s="1" t="s">
        <v>3039</v>
      </c>
    </row>
    <row r="1250" ht="15.75" customHeight="1">
      <c r="A1250" s="2">
        <v>1249.0</v>
      </c>
      <c r="B1250" s="1" t="s">
        <v>3470</v>
      </c>
      <c r="C1250" s="1" t="s">
        <v>3471</v>
      </c>
      <c r="D1250" s="1" t="s">
        <v>3472</v>
      </c>
      <c r="E1250" s="2">
        <v>5.70038355975E11</v>
      </c>
      <c r="F1250" s="1" t="s">
        <v>2967</v>
      </c>
      <c r="G1250" s="1" t="s">
        <v>12</v>
      </c>
      <c r="H1250" s="1" t="s">
        <v>3037</v>
      </c>
      <c r="I1250" s="1" t="s">
        <v>3038</v>
      </c>
      <c r="J1250" s="1" t="s">
        <v>3039</v>
      </c>
    </row>
    <row r="1251" ht="15.75" customHeight="1">
      <c r="A1251" s="2">
        <v>1250.0</v>
      </c>
      <c r="B1251" s="1" t="s">
        <v>83</v>
      </c>
      <c r="C1251" s="1" t="s">
        <v>74</v>
      </c>
      <c r="D1251" s="1" t="s">
        <v>20</v>
      </c>
      <c r="E1251" s="2">
        <v>5.70038355977E11</v>
      </c>
      <c r="F1251" s="1" t="s">
        <v>3473</v>
      </c>
      <c r="G1251" s="1" t="s">
        <v>12</v>
      </c>
      <c r="H1251" s="1" t="s">
        <v>3037</v>
      </c>
      <c r="I1251" s="1" t="s">
        <v>3038</v>
      </c>
      <c r="J1251" s="1" t="s">
        <v>3039</v>
      </c>
    </row>
    <row r="1252" ht="15.75" customHeight="1">
      <c r="A1252" s="2">
        <v>1251.0</v>
      </c>
      <c r="B1252" s="1" t="s">
        <v>1708</v>
      </c>
      <c r="C1252" s="1" t="s">
        <v>3474</v>
      </c>
      <c r="D1252" s="1" t="s">
        <v>3475</v>
      </c>
      <c r="E1252" s="2">
        <v>5.70038355978E11</v>
      </c>
      <c r="F1252" s="1" t="s">
        <v>3476</v>
      </c>
      <c r="G1252" s="1" t="s">
        <v>12</v>
      </c>
      <c r="H1252" s="1" t="s">
        <v>3037</v>
      </c>
      <c r="I1252" s="1" t="s">
        <v>3038</v>
      </c>
      <c r="J1252" s="1" t="s">
        <v>3039</v>
      </c>
    </row>
    <row r="1253" ht="15.75" customHeight="1">
      <c r="A1253" s="2">
        <v>1252.0</v>
      </c>
      <c r="B1253" s="1" t="s">
        <v>3477</v>
      </c>
      <c r="C1253" s="1" t="s">
        <v>3478</v>
      </c>
      <c r="D1253" s="1" t="s">
        <v>1240</v>
      </c>
      <c r="E1253" s="2">
        <v>5.70038355981E11</v>
      </c>
      <c r="F1253" s="1" t="s">
        <v>2704</v>
      </c>
      <c r="G1253" s="1" t="s">
        <v>12</v>
      </c>
      <c r="H1253" s="1" t="s">
        <v>3037</v>
      </c>
      <c r="I1253" s="1" t="s">
        <v>3038</v>
      </c>
      <c r="J1253" s="1" t="s">
        <v>3039</v>
      </c>
    </row>
    <row r="1254" ht="15.75" customHeight="1">
      <c r="A1254" s="2">
        <v>1253.0</v>
      </c>
      <c r="B1254" s="1" t="s">
        <v>641</v>
      </c>
      <c r="C1254" s="1" t="s">
        <v>3479</v>
      </c>
      <c r="D1254" s="1" t="s">
        <v>3480</v>
      </c>
      <c r="E1254" s="2">
        <v>5.70038355982E11</v>
      </c>
      <c r="F1254" s="1" t="s">
        <v>3481</v>
      </c>
      <c r="G1254" s="1" t="s">
        <v>12</v>
      </c>
      <c r="H1254" s="1" t="s">
        <v>3037</v>
      </c>
      <c r="I1254" s="1" t="s">
        <v>3038</v>
      </c>
      <c r="J1254" s="1" t="s">
        <v>3039</v>
      </c>
    </row>
    <row r="1255" ht="15.75" customHeight="1">
      <c r="A1255" s="2">
        <v>1254.0</v>
      </c>
      <c r="B1255" s="1" t="s">
        <v>3482</v>
      </c>
      <c r="C1255" s="1" t="s">
        <v>3483</v>
      </c>
      <c r="D1255" s="1" t="s">
        <v>3484</v>
      </c>
      <c r="E1255" s="2">
        <v>5.70038355986E11</v>
      </c>
      <c r="F1255" s="1" t="s">
        <v>3485</v>
      </c>
      <c r="G1255" s="1" t="s">
        <v>12</v>
      </c>
      <c r="H1255" s="1" t="s">
        <v>3037</v>
      </c>
      <c r="I1255" s="1" t="s">
        <v>3038</v>
      </c>
      <c r="J1255" s="1" t="s">
        <v>3039</v>
      </c>
    </row>
    <row r="1256" ht="15.75" customHeight="1">
      <c r="A1256" s="2">
        <v>1255.0</v>
      </c>
      <c r="B1256" s="1" t="s">
        <v>3486</v>
      </c>
      <c r="C1256" s="1" t="s">
        <v>3487</v>
      </c>
      <c r="D1256" s="1" t="s">
        <v>3488</v>
      </c>
      <c r="E1256" s="2">
        <v>5.70038355989E11</v>
      </c>
      <c r="F1256" s="1" t="s">
        <v>3489</v>
      </c>
      <c r="G1256" s="1" t="s">
        <v>12</v>
      </c>
      <c r="H1256" s="1" t="s">
        <v>3037</v>
      </c>
      <c r="I1256" s="1" t="s">
        <v>3038</v>
      </c>
      <c r="J1256" s="1" t="s">
        <v>3039</v>
      </c>
    </row>
    <row r="1257" ht="15.75" customHeight="1">
      <c r="A1257" s="2">
        <v>1256.0</v>
      </c>
      <c r="B1257" s="1" t="s">
        <v>569</v>
      </c>
      <c r="C1257" s="1" t="s">
        <v>3490</v>
      </c>
      <c r="D1257" s="1" t="s">
        <v>942</v>
      </c>
      <c r="E1257" s="2">
        <v>5.7003835599E11</v>
      </c>
      <c r="F1257" s="1" t="s">
        <v>3491</v>
      </c>
      <c r="G1257" s="1" t="s">
        <v>12</v>
      </c>
      <c r="H1257" s="1" t="s">
        <v>3037</v>
      </c>
      <c r="I1257" s="1" t="s">
        <v>3038</v>
      </c>
      <c r="J1257" s="1" t="s">
        <v>3039</v>
      </c>
    </row>
    <row r="1258" ht="15.75" customHeight="1">
      <c r="A1258" s="2">
        <v>1257.0</v>
      </c>
      <c r="B1258" s="1" t="s">
        <v>940</v>
      </c>
      <c r="C1258" s="1" t="s">
        <v>3492</v>
      </c>
      <c r="D1258" s="1" t="s">
        <v>2230</v>
      </c>
      <c r="E1258" s="2">
        <v>5.70038355993E11</v>
      </c>
      <c r="F1258" s="1" t="s">
        <v>3493</v>
      </c>
      <c r="G1258" s="1" t="s">
        <v>12</v>
      </c>
      <c r="H1258" s="1" t="s">
        <v>3037</v>
      </c>
      <c r="I1258" s="1" t="s">
        <v>3038</v>
      </c>
      <c r="J1258" s="1" t="s">
        <v>3039</v>
      </c>
    </row>
    <row r="1259" ht="15.75" customHeight="1">
      <c r="A1259" s="2">
        <v>1258.0</v>
      </c>
      <c r="B1259" s="1" t="s">
        <v>486</v>
      </c>
      <c r="C1259" s="1" t="s">
        <v>3494</v>
      </c>
      <c r="D1259" s="1" t="s">
        <v>399</v>
      </c>
      <c r="E1259" s="2">
        <v>5.70038355995E11</v>
      </c>
      <c r="F1259" s="1" t="s">
        <v>2719</v>
      </c>
      <c r="G1259" s="1" t="s">
        <v>12</v>
      </c>
      <c r="H1259" s="1" t="s">
        <v>3037</v>
      </c>
      <c r="I1259" s="1" t="s">
        <v>3038</v>
      </c>
      <c r="J1259" s="1" t="s">
        <v>3039</v>
      </c>
    </row>
    <row r="1260" ht="15.75" customHeight="1">
      <c r="A1260" s="2">
        <v>1259.0</v>
      </c>
      <c r="B1260" s="1" t="s">
        <v>269</v>
      </c>
      <c r="C1260" s="1" t="s">
        <v>472</v>
      </c>
      <c r="D1260" s="1" t="s">
        <v>1047</v>
      </c>
      <c r="E1260" s="2">
        <v>5.70038355996E11</v>
      </c>
      <c r="F1260" s="1" t="s">
        <v>3495</v>
      </c>
      <c r="G1260" s="1" t="s">
        <v>12</v>
      </c>
      <c r="H1260" s="1" t="s">
        <v>3037</v>
      </c>
      <c r="I1260" s="1" t="s">
        <v>3038</v>
      </c>
      <c r="J1260" s="1" t="s">
        <v>3039</v>
      </c>
    </row>
    <row r="1261" ht="15.75" customHeight="1">
      <c r="A1261" s="2">
        <v>1260.0</v>
      </c>
      <c r="B1261" s="1" t="s">
        <v>3496</v>
      </c>
      <c r="C1261" s="1" t="s">
        <v>3497</v>
      </c>
      <c r="D1261" s="1" t="s">
        <v>2753</v>
      </c>
      <c r="E1261" s="2">
        <v>5.70038355999E11</v>
      </c>
      <c r="F1261" s="1" t="s">
        <v>3498</v>
      </c>
      <c r="G1261" s="1" t="s">
        <v>12</v>
      </c>
      <c r="H1261" s="1" t="s">
        <v>3037</v>
      </c>
      <c r="I1261" s="1" t="s">
        <v>3038</v>
      </c>
      <c r="J1261" s="1" t="s">
        <v>3039</v>
      </c>
    </row>
    <row r="1262" ht="15.75" customHeight="1">
      <c r="A1262" s="2">
        <v>1261.0</v>
      </c>
      <c r="B1262" s="1" t="s">
        <v>789</v>
      </c>
      <c r="C1262" s="1" t="s">
        <v>3499</v>
      </c>
      <c r="D1262" s="1" t="s">
        <v>3500</v>
      </c>
      <c r="E1262" s="2">
        <v>5.70038356E11</v>
      </c>
      <c r="F1262" s="1" t="s">
        <v>3501</v>
      </c>
      <c r="G1262" s="1" t="s">
        <v>12</v>
      </c>
      <c r="H1262" s="1" t="s">
        <v>3037</v>
      </c>
      <c r="I1262" s="1" t="s">
        <v>3038</v>
      </c>
      <c r="J1262" s="1" t="s">
        <v>3039</v>
      </c>
    </row>
    <row r="1263" ht="15.75" customHeight="1">
      <c r="A1263" s="2">
        <v>1262.0</v>
      </c>
      <c r="B1263" s="1" t="s">
        <v>60</v>
      </c>
      <c r="C1263" s="1" t="s">
        <v>3502</v>
      </c>
      <c r="D1263" s="1" t="s">
        <v>901</v>
      </c>
      <c r="E1263" s="2">
        <v>5.70038356004E11</v>
      </c>
      <c r="F1263" s="1" t="s">
        <v>3503</v>
      </c>
      <c r="G1263" s="1" t="s">
        <v>12</v>
      </c>
      <c r="H1263" s="1" t="s">
        <v>3037</v>
      </c>
      <c r="I1263" s="1" t="s">
        <v>3038</v>
      </c>
      <c r="J1263" s="1" t="s">
        <v>3039</v>
      </c>
    </row>
    <row r="1264" ht="15.75" customHeight="1">
      <c r="A1264" s="2">
        <v>1263.0</v>
      </c>
      <c r="B1264" s="1" t="s">
        <v>179</v>
      </c>
      <c r="C1264" s="1" t="s">
        <v>3504</v>
      </c>
      <c r="D1264" s="1" t="s">
        <v>157</v>
      </c>
      <c r="E1264" s="2">
        <v>5.70038356006E11</v>
      </c>
      <c r="F1264" s="1" t="s">
        <v>1583</v>
      </c>
      <c r="G1264" s="1" t="s">
        <v>12</v>
      </c>
      <c r="H1264" s="1" t="s">
        <v>3037</v>
      </c>
      <c r="I1264" s="1" t="s">
        <v>3038</v>
      </c>
      <c r="J1264" s="1" t="s">
        <v>3039</v>
      </c>
    </row>
    <row r="1265" ht="15.75" customHeight="1">
      <c r="A1265" s="2">
        <v>1264.0</v>
      </c>
      <c r="B1265" s="1" t="s">
        <v>2247</v>
      </c>
      <c r="C1265" s="1" t="s">
        <v>3505</v>
      </c>
      <c r="D1265" s="1" t="s">
        <v>1407</v>
      </c>
      <c r="E1265" s="2">
        <v>5.70038356009E11</v>
      </c>
      <c r="F1265" s="1" t="s">
        <v>3506</v>
      </c>
      <c r="G1265" s="1" t="s">
        <v>12</v>
      </c>
      <c r="H1265" s="1" t="s">
        <v>3037</v>
      </c>
      <c r="I1265" s="1" t="s">
        <v>3038</v>
      </c>
      <c r="J1265" s="1" t="s">
        <v>3039</v>
      </c>
    </row>
    <row r="1266" ht="15.75" customHeight="1">
      <c r="A1266" s="2">
        <v>1265.0</v>
      </c>
      <c r="B1266" s="1" t="s">
        <v>1977</v>
      </c>
      <c r="C1266" s="1" t="s">
        <v>3507</v>
      </c>
      <c r="D1266" s="1" t="s">
        <v>3508</v>
      </c>
      <c r="E1266" s="2">
        <v>5.70038356011E11</v>
      </c>
      <c r="F1266" s="1" t="s">
        <v>1569</v>
      </c>
      <c r="G1266" s="1" t="s">
        <v>12</v>
      </c>
      <c r="H1266" s="1" t="s">
        <v>3037</v>
      </c>
      <c r="I1266" s="1" t="s">
        <v>3038</v>
      </c>
      <c r="J1266" s="1" t="s">
        <v>3039</v>
      </c>
    </row>
    <row r="1267" ht="15.75" customHeight="1">
      <c r="A1267" s="2">
        <v>1266.0</v>
      </c>
      <c r="B1267" s="1" t="s">
        <v>3509</v>
      </c>
      <c r="C1267" s="1" t="s">
        <v>3510</v>
      </c>
      <c r="D1267" s="1" t="s">
        <v>901</v>
      </c>
      <c r="E1267" s="2">
        <v>5.70038356013E11</v>
      </c>
      <c r="F1267" s="1" t="s">
        <v>3511</v>
      </c>
      <c r="G1267" s="1" t="s">
        <v>12</v>
      </c>
      <c r="H1267" s="1" t="s">
        <v>3037</v>
      </c>
      <c r="I1267" s="1" t="s">
        <v>3038</v>
      </c>
      <c r="J1267" s="1" t="s">
        <v>3039</v>
      </c>
    </row>
    <row r="1268" ht="15.75" customHeight="1">
      <c r="A1268" s="2">
        <v>1267.0</v>
      </c>
      <c r="B1268" s="1" t="s">
        <v>3512</v>
      </c>
      <c r="C1268" s="1" t="s">
        <v>3513</v>
      </c>
      <c r="D1268" s="1" t="s">
        <v>629</v>
      </c>
      <c r="E1268" s="2">
        <v>5.70038356015E11</v>
      </c>
      <c r="F1268" s="1" t="s">
        <v>3514</v>
      </c>
      <c r="G1268" s="1" t="s">
        <v>12</v>
      </c>
      <c r="H1268" s="1" t="s">
        <v>3037</v>
      </c>
      <c r="I1268" s="1" t="s">
        <v>3038</v>
      </c>
      <c r="J1268" s="1" t="s">
        <v>3039</v>
      </c>
    </row>
    <row r="1269" ht="15.75" customHeight="1">
      <c r="A1269" s="2">
        <v>1268.0</v>
      </c>
      <c r="B1269" s="1" t="s">
        <v>183</v>
      </c>
      <c r="C1269" s="1" t="s">
        <v>262</v>
      </c>
      <c r="D1269" s="1" t="s">
        <v>58</v>
      </c>
      <c r="E1269" s="2">
        <v>5.70038356017E11</v>
      </c>
      <c r="F1269" s="1" t="s">
        <v>3515</v>
      </c>
      <c r="G1269" s="1" t="s">
        <v>12</v>
      </c>
      <c r="H1269" s="1" t="s">
        <v>3037</v>
      </c>
      <c r="I1269" s="1" t="s">
        <v>3038</v>
      </c>
      <c r="J1269" s="1" t="s">
        <v>3039</v>
      </c>
    </row>
    <row r="1270" ht="15.75" customHeight="1">
      <c r="A1270" s="2">
        <v>1269.0</v>
      </c>
      <c r="B1270" s="1" t="s">
        <v>3516</v>
      </c>
      <c r="C1270" s="1" t="s">
        <v>3517</v>
      </c>
      <c r="D1270" s="1" t="s">
        <v>2247</v>
      </c>
      <c r="E1270" s="2">
        <v>5.70038356019E11</v>
      </c>
      <c r="F1270" s="1" t="s">
        <v>3518</v>
      </c>
      <c r="G1270" s="1" t="s">
        <v>12</v>
      </c>
      <c r="H1270" s="1" t="s">
        <v>3037</v>
      </c>
      <c r="I1270" s="1" t="s">
        <v>3038</v>
      </c>
      <c r="J1270" s="1" t="s">
        <v>3039</v>
      </c>
    </row>
    <row r="1271" ht="15.75" customHeight="1">
      <c r="A1271" s="2">
        <v>1270.0</v>
      </c>
      <c r="B1271" s="1" t="s">
        <v>3516</v>
      </c>
      <c r="C1271" s="1" t="s">
        <v>3519</v>
      </c>
      <c r="D1271" s="1" t="s">
        <v>93</v>
      </c>
      <c r="E1271" s="2">
        <v>5.70038356021E11</v>
      </c>
      <c r="F1271" s="1" t="s">
        <v>1367</v>
      </c>
      <c r="G1271" s="1" t="s">
        <v>12</v>
      </c>
      <c r="H1271" s="1" t="s">
        <v>3037</v>
      </c>
      <c r="I1271" s="1" t="s">
        <v>3038</v>
      </c>
      <c r="J1271" s="1" t="s">
        <v>3039</v>
      </c>
    </row>
    <row r="1272" ht="15.75" customHeight="1">
      <c r="A1272" s="2">
        <v>1271.0</v>
      </c>
      <c r="B1272" s="1" t="s">
        <v>1708</v>
      </c>
      <c r="C1272" s="1" t="s">
        <v>3520</v>
      </c>
      <c r="D1272" s="1" t="s">
        <v>1191</v>
      </c>
      <c r="E1272" s="2">
        <v>5.70038356023E11</v>
      </c>
      <c r="F1272" s="1" t="s">
        <v>751</v>
      </c>
      <c r="G1272" s="1" t="s">
        <v>12</v>
      </c>
      <c r="H1272" s="1" t="s">
        <v>3037</v>
      </c>
      <c r="I1272" s="1" t="s">
        <v>3038</v>
      </c>
      <c r="J1272" s="1" t="s">
        <v>3039</v>
      </c>
    </row>
    <row r="1273" ht="15.75" customHeight="1">
      <c r="A1273" s="2">
        <v>1272.0</v>
      </c>
      <c r="B1273" s="1" t="s">
        <v>40</v>
      </c>
      <c r="C1273" s="1" t="s">
        <v>3521</v>
      </c>
      <c r="D1273" s="1" t="s">
        <v>3522</v>
      </c>
      <c r="E1273" s="2">
        <v>5.70038356024E11</v>
      </c>
      <c r="F1273" s="1" t="s">
        <v>3523</v>
      </c>
      <c r="G1273" s="1" t="s">
        <v>12</v>
      </c>
      <c r="H1273" s="1" t="s">
        <v>3037</v>
      </c>
      <c r="I1273" s="1" t="s">
        <v>3038</v>
      </c>
      <c r="J1273" s="1" t="s">
        <v>3039</v>
      </c>
    </row>
    <row r="1274" ht="15.75" customHeight="1">
      <c r="A1274" s="2">
        <v>1273.0</v>
      </c>
      <c r="B1274" s="1" t="s">
        <v>62</v>
      </c>
      <c r="C1274" s="1" t="s">
        <v>3524</v>
      </c>
      <c r="D1274" s="1" t="s">
        <v>40</v>
      </c>
      <c r="E1274" s="2">
        <v>5.70038356025E11</v>
      </c>
      <c r="F1274" s="1" t="s">
        <v>3525</v>
      </c>
      <c r="G1274" s="1" t="s">
        <v>12</v>
      </c>
      <c r="H1274" s="1" t="s">
        <v>3037</v>
      </c>
      <c r="I1274" s="1" t="s">
        <v>3038</v>
      </c>
      <c r="J1274" s="1" t="s">
        <v>3039</v>
      </c>
    </row>
    <row r="1275" ht="15.75" customHeight="1">
      <c r="A1275" s="2">
        <v>1274.0</v>
      </c>
      <c r="B1275" s="1" t="s">
        <v>3526</v>
      </c>
      <c r="C1275" s="1" t="s">
        <v>3527</v>
      </c>
      <c r="D1275" s="1" t="s">
        <v>1308</v>
      </c>
      <c r="E1275" s="2">
        <v>5.70038356027E11</v>
      </c>
      <c r="F1275" s="1" t="s">
        <v>1684</v>
      </c>
      <c r="G1275" s="1" t="s">
        <v>12</v>
      </c>
      <c r="H1275" s="1" t="s">
        <v>3037</v>
      </c>
      <c r="I1275" s="1" t="s">
        <v>3038</v>
      </c>
      <c r="J1275" s="1" t="s">
        <v>3039</v>
      </c>
    </row>
    <row r="1276" ht="15.75" customHeight="1">
      <c r="A1276" s="2">
        <v>1275.0</v>
      </c>
      <c r="B1276" s="1" t="s">
        <v>775</v>
      </c>
      <c r="C1276" s="1" t="s">
        <v>3528</v>
      </c>
      <c r="D1276" s="1" t="s">
        <v>48</v>
      </c>
      <c r="E1276" s="2">
        <v>5.70038356029E11</v>
      </c>
      <c r="F1276" s="1" t="s">
        <v>3529</v>
      </c>
      <c r="G1276" s="1" t="s">
        <v>12</v>
      </c>
      <c r="H1276" s="1" t="s">
        <v>3037</v>
      </c>
      <c r="I1276" s="1" t="s">
        <v>3038</v>
      </c>
      <c r="J1276" s="1" t="s">
        <v>3039</v>
      </c>
    </row>
    <row r="1277" ht="15.75" customHeight="1">
      <c r="A1277" s="2">
        <v>1276.0</v>
      </c>
      <c r="B1277" s="1" t="s">
        <v>901</v>
      </c>
      <c r="C1277" s="1" t="s">
        <v>3530</v>
      </c>
      <c r="D1277" s="1" t="s">
        <v>263</v>
      </c>
      <c r="E1277" s="2">
        <v>5.70038356032E11</v>
      </c>
      <c r="F1277" s="1" t="s">
        <v>3531</v>
      </c>
      <c r="G1277" s="1" t="s">
        <v>12</v>
      </c>
      <c r="H1277" s="1" t="s">
        <v>3037</v>
      </c>
      <c r="I1277" s="1" t="s">
        <v>3038</v>
      </c>
      <c r="J1277" s="1" t="s">
        <v>3039</v>
      </c>
    </row>
    <row r="1278" ht="15.75" customHeight="1">
      <c r="A1278" s="2">
        <v>1277.0</v>
      </c>
      <c r="B1278" s="1" t="s">
        <v>3532</v>
      </c>
      <c r="C1278" s="1" t="s">
        <v>3533</v>
      </c>
      <c r="D1278" s="1" t="s">
        <v>621</v>
      </c>
      <c r="E1278" s="2">
        <v>5.70038356034E11</v>
      </c>
      <c r="F1278" s="1" t="s">
        <v>3534</v>
      </c>
      <c r="G1278" s="1" t="s">
        <v>12</v>
      </c>
      <c r="H1278" s="1" t="s">
        <v>3037</v>
      </c>
      <c r="I1278" s="1" t="s">
        <v>3038</v>
      </c>
      <c r="J1278" s="1" t="s">
        <v>3039</v>
      </c>
    </row>
    <row r="1279" ht="15.75" customHeight="1">
      <c r="A1279" s="2">
        <v>1278.0</v>
      </c>
      <c r="B1279" s="1" t="s">
        <v>875</v>
      </c>
      <c r="C1279" s="1" t="s">
        <v>580</v>
      </c>
      <c r="D1279" s="1" t="s">
        <v>362</v>
      </c>
      <c r="E1279" s="2">
        <v>5.70038356036E11</v>
      </c>
      <c r="F1279" s="1" t="s">
        <v>3535</v>
      </c>
      <c r="G1279" s="1" t="s">
        <v>12</v>
      </c>
      <c r="H1279" s="1" t="s">
        <v>3037</v>
      </c>
      <c r="I1279" s="1" t="s">
        <v>3038</v>
      </c>
      <c r="J1279" s="1" t="s">
        <v>3039</v>
      </c>
    </row>
    <row r="1280" ht="15.75" customHeight="1">
      <c r="A1280" s="2">
        <v>1279.0</v>
      </c>
      <c r="B1280" s="1" t="s">
        <v>1979</v>
      </c>
      <c r="C1280" s="1" t="s">
        <v>3536</v>
      </c>
      <c r="D1280" s="1" t="s">
        <v>1918</v>
      </c>
      <c r="E1280" s="2">
        <v>5.70038356039E11</v>
      </c>
      <c r="F1280" s="1" t="s">
        <v>3537</v>
      </c>
      <c r="G1280" s="1" t="s">
        <v>12</v>
      </c>
      <c r="H1280" s="1" t="s">
        <v>3037</v>
      </c>
      <c r="I1280" s="1" t="s">
        <v>3038</v>
      </c>
      <c r="J1280" s="1" t="s">
        <v>3039</v>
      </c>
    </row>
    <row r="1281" ht="15.75" customHeight="1">
      <c r="A1281" s="2">
        <v>1280.0</v>
      </c>
      <c r="B1281" s="1" t="s">
        <v>384</v>
      </c>
      <c r="C1281" s="1" t="s">
        <v>463</v>
      </c>
      <c r="D1281" s="1" t="s">
        <v>297</v>
      </c>
      <c r="E1281" s="2">
        <v>5.70038356041E11</v>
      </c>
      <c r="F1281" s="1" t="s">
        <v>3389</v>
      </c>
      <c r="G1281" s="1" t="s">
        <v>12</v>
      </c>
      <c r="H1281" s="1" t="s">
        <v>3037</v>
      </c>
      <c r="I1281" s="1" t="s">
        <v>3038</v>
      </c>
      <c r="J1281" s="1" t="s">
        <v>3039</v>
      </c>
    </row>
    <row r="1282" ht="15.75" customHeight="1">
      <c r="A1282" s="2">
        <v>1281.0</v>
      </c>
      <c r="B1282" s="1" t="s">
        <v>18</v>
      </c>
      <c r="C1282" s="1" t="s">
        <v>3538</v>
      </c>
      <c r="D1282" s="1" t="s">
        <v>3539</v>
      </c>
      <c r="E1282" s="2">
        <v>5.70038356043E11</v>
      </c>
      <c r="F1282" s="1" t="s">
        <v>3540</v>
      </c>
      <c r="G1282" s="1" t="s">
        <v>12</v>
      </c>
      <c r="H1282" s="1" t="s">
        <v>3037</v>
      </c>
      <c r="I1282" s="1" t="s">
        <v>3038</v>
      </c>
      <c r="J1282" s="1" t="s">
        <v>3039</v>
      </c>
    </row>
    <row r="1283" ht="15.75" customHeight="1">
      <c r="A1283" s="2">
        <v>1282.0</v>
      </c>
      <c r="B1283" s="1" t="s">
        <v>1458</v>
      </c>
      <c r="C1283" s="1" t="s">
        <v>3541</v>
      </c>
      <c r="D1283" s="1" t="s">
        <v>1979</v>
      </c>
      <c r="E1283" s="2">
        <v>5.70038356044E11</v>
      </c>
      <c r="F1283" s="1" t="s">
        <v>3542</v>
      </c>
      <c r="G1283" s="1" t="s">
        <v>12</v>
      </c>
      <c r="H1283" s="1" t="s">
        <v>3037</v>
      </c>
      <c r="I1283" s="1" t="s">
        <v>3038</v>
      </c>
      <c r="J1283" s="1" t="s">
        <v>3039</v>
      </c>
    </row>
    <row r="1284" ht="15.75" customHeight="1">
      <c r="A1284" s="2">
        <v>1283.0</v>
      </c>
      <c r="B1284" s="1" t="s">
        <v>611</v>
      </c>
      <c r="C1284" s="1" t="s">
        <v>877</v>
      </c>
      <c r="D1284" s="1" t="s">
        <v>3543</v>
      </c>
      <c r="E1284" s="2">
        <v>5.70038356048E11</v>
      </c>
      <c r="F1284" s="1" t="s">
        <v>3544</v>
      </c>
      <c r="G1284" s="1" t="s">
        <v>12</v>
      </c>
      <c r="H1284" s="1" t="s">
        <v>3037</v>
      </c>
      <c r="I1284" s="1" t="s">
        <v>3038</v>
      </c>
      <c r="J1284" s="1" t="s">
        <v>3039</v>
      </c>
    </row>
    <row r="1285" ht="15.75" customHeight="1">
      <c r="A1285" s="2">
        <v>1284.0</v>
      </c>
      <c r="B1285" s="1" t="s">
        <v>228</v>
      </c>
      <c r="C1285" s="1" t="s">
        <v>3545</v>
      </c>
      <c r="D1285" s="1" t="s">
        <v>3546</v>
      </c>
      <c r="E1285" s="2">
        <v>5.7003835605E11</v>
      </c>
      <c r="F1285" s="1" t="s">
        <v>3547</v>
      </c>
      <c r="G1285" s="1" t="s">
        <v>12</v>
      </c>
      <c r="H1285" s="1" t="s">
        <v>3037</v>
      </c>
      <c r="I1285" s="1" t="s">
        <v>3038</v>
      </c>
      <c r="J1285" s="1" t="s">
        <v>3039</v>
      </c>
    </row>
    <row r="1286" ht="15.75" customHeight="1">
      <c r="A1286" s="2">
        <v>1285.0</v>
      </c>
      <c r="B1286" s="1" t="s">
        <v>48</v>
      </c>
      <c r="C1286" s="1" t="s">
        <v>2524</v>
      </c>
      <c r="D1286" s="1" t="s">
        <v>3548</v>
      </c>
      <c r="E1286" s="2">
        <v>5.70038356051E11</v>
      </c>
      <c r="F1286" s="1" t="s">
        <v>3296</v>
      </c>
      <c r="G1286" s="1" t="s">
        <v>12</v>
      </c>
      <c r="H1286" s="1" t="s">
        <v>3037</v>
      </c>
      <c r="I1286" s="1" t="s">
        <v>3038</v>
      </c>
      <c r="J1286" s="1" t="s">
        <v>3039</v>
      </c>
    </row>
    <row r="1287" ht="15.75" customHeight="1">
      <c r="A1287" s="2">
        <v>1286.0</v>
      </c>
      <c r="B1287" s="1" t="s">
        <v>267</v>
      </c>
      <c r="C1287" s="1" t="s">
        <v>3549</v>
      </c>
      <c r="D1287" s="1" t="s">
        <v>157</v>
      </c>
      <c r="E1287" s="2">
        <v>5.70038356053E11</v>
      </c>
      <c r="F1287" s="1" t="s">
        <v>3550</v>
      </c>
      <c r="G1287" s="1" t="s">
        <v>12</v>
      </c>
      <c r="H1287" s="1" t="s">
        <v>3037</v>
      </c>
      <c r="I1287" s="1" t="s">
        <v>3038</v>
      </c>
      <c r="J1287" s="1" t="s">
        <v>3039</v>
      </c>
    </row>
    <row r="1288" ht="15.75" customHeight="1">
      <c r="A1288" s="2">
        <v>1287.0</v>
      </c>
      <c r="B1288" s="1" t="s">
        <v>594</v>
      </c>
      <c r="C1288" s="1" t="s">
        <v>3551</v>
      </c>
      <c r="D1288" s="1" t="s">
        <v>966</v>
      </c>
      <c r="E1288" s="2">
        <v>5.70038356055E11</v>
      </c>
      <c r="F1288" s="1" t="s">
        <v>3552</v>
      </c>
      <c r="G1288" s="1" t="s">
        <v>12</v>
      </c>
      <c r="H1288" s="1" t="s">
        <v>3037</v>
      </c>
      <c r="I1288" s="1" t="s">
        <v>3038</v>
      </c>
      <c r="J1288" s="1" t="s">
        <v>3039</v>
      </c>
    </row>
    <row r="1289" ht="15.75" customHeight="1">
      <c r="A1289" s="2">
        <v>1288.0</v>
      </c>
      <c r="B1289" s="1" t="s">
        <v>1649</v>
      </c>
      <c r="C1289" s="1" t="s">
        <v>580</v>
      </c>
      <c r="D1289" s="1" t="s">
        <v>58</v>
      </c>
      <c r="E1289" s="2">
        <v>5.70038356057E11</v>
      </c>
      <c r="F1289" s="1" t="s">
        <v>3553</v>
      </c>
      <c r="G1289" s="1" t="s">
        <v>12</v>
      </c>
      <c r="H1289" s="1" t="s">
        <v>3037</v>
      </c>
      <c r="I1289" s="1" t="s">
        <v>3038</v>
      </c>
      <c r="J1289" s="1" t="s">
        <v>3039</v>
      </c>
    </row>
    <row r="1290" ht="15.75" customHeight="1">
      <c r="A1290" s="2">
        <v>1289.0</v>
      </c>
      <c r="B1290" s="1" t="s">
        <v>1752</v>
      </c>
      <c r="C1290" s="1" t="s">
        <v>3554</v>
      </c>
      <c r="D1290" s="1" t="s">
        <v>3555</v>
      </c>
      <c r="E1290" s="2">
        <v>5.7003835606E11</v>
      </c>
      <c r="F1290" s="1" t="s">
        <v>3556</v>
      </c>
      <c r="G1290" s="1" t="s">
        <v>12</v>
      </c>
      <c r="H1290" s="1" t="s">
        <v>3037</v>
      </c>
      <c r="I1290" s="1" t="s">
        <v>3038</v>
      </c>
      <c r="J1290" s="1" t="s">
        <v>3039</v>
      </c>
    </row>
    <row r="1291" ht="15.75" customHeight="1">
      <c r="A1291" s="2">
        <v>1290.0</v>
      </c>
      <c r="B1291" s="1" t="s">
        <v>3557</v>
      </c>
      <c r="C1291" s="1" t="s">
        <v>3558</v>
      </c>
      <c r="D1291" s="1" t="s">
        <v>854</v>
      </c>
      <c r="E1291" s="2">
        <v>5.70038356062E11</v>
      </c>
      <c r="F1291" s="1" t="s">
        <v>1414</v>
      </c>
      <c r="G1291" s="1" t="s">
        <v>12</v>
      </c>
      <c r="H1291" s="1" t="s">
        <v>3037</v>
      </c>
      <c r="I1291" s="1" t="s">
        <v>3038</v>
      </c>
      <c r="J1291" s="1" t="s">
        <v>3039</v>
      </c>
    </row>
    <row r="1292" ht="15.75" customHeight="1">
      <c r="A1292" s="2">
        <v>1291.0</v>
      </c>
      <c r="B1292" s="1" t="s">
        <v>3559</v>
      </c>
      <c r="C1292" s="1" t="s">
        <v>3560</v>
      </c>
      <c r="D1292" s="1" t="s">
        <v>3561</v>
      </c>
      <c r="E1292" s="2">
        <v>5.70038356064E11</v>
      </c>
      <c r="F1292" s="1" t="s">
        <v>3562</v>
      </c>
      <c r="G1292" s="1" t="s">
        <v>12</v>
      </c>
      <c r="H1292" s="1" t="s">
        <v>3037</v>
      </c>
      <c r="I1292" s="1" t="s">
        <v>3038</v>
      </c>
      <c r="J1292" s="1" t="s">
        <v>3039</v>
      </c>
    </row>
    <row r="1293" ht="15.75" customHeight="1">
      <c r="A1293" s="2">
        <v>1292.0</v>
      </c>
      <c r="B1293" s="1" t="s">
        <v>3103</v>
      </c>
      <c r="C1293" s="1" t="s">
        <v>1098</v>
      </c>
      <c r="D1293" s="1" t="s">
        <v>267</v>
      </c>
      <c r="E1293" s="2">
        <v>5.70038356066E11</v>
      </c>
      <c r="F1293" s="1" t="s">
        <v>3563</v>
      </c>
      <c r="G1293" s="1" t="s">
        <v>12</v>
      </c>
      <c r="H1293" s="1" t="s">
        <v>3037</v>
      </c>
      <c r="I1293" s="1" t="s">
        <v>3038</v>
      </c>
      <c r="J1293" s="1" t="s">
        <v>3039</v>
      </c>
    </row>
    <row r="1294" ht="15.75" customHeight="1">
      <c r="A1294" s="2">
        <v>1293.0</v>
      </c>
      <c r="B1294" s="1" t="s">
        <v>679</v>
      </c>
      <c r="C1294" s="1" t="s">
        <v>3564</v>
      </c>
      <c r="D1294" s="1" t="s">
        <v>263</v>
      </c>
      <c r="E1294" s="2">
        <v>5.70038356068E11</v>
      </c>
      <c r="F1294" s="1" t="s">
        <v>3565</v>
      </c>
      <c r="G1294" s="1" t="s">
        <v>12</v>
      </c>
      <c r="H1294" s="1" t="s">
        <v>3037</v>
      </c>
      <c r="I1294" s="1" t="s">
        <v>3038</v>
      </c>
      <c r="J1294" s="1" t="s">
        <v>3039</v>
      </c>
    </row>
    <row r="1295" ht="15.75" customHeight="1">
      <c r="A1295" s="2">
        <v>1294.0</v>
      </c>
      <c r="B1295" s="1" t="s">
        <v>3566</v>
      </c>
      <c r="C1295" s="1" t="s">
        <v>400</v>
      </c>
      <c r="D1295" s="1" t="s">
        <v>3567</v>
      </c>
      <c r="E1295" s="2">
        <v>5.7003835607E11</v>
      </c>
      <c r="F1295" s="1" t="s">
        <v>2340</v>
      </c>
      <c r="G1295" s="1" t="s">
        <v>12</v>
      </c>
      <c r="H1295" s="1" t="s">
        <v>3037</v>
      </c>
      <c r="I1295" s="1" t="s">
        <v>3038</v>
      </c>
      <c r="J1295" s="1" t="s">
        <v>3039</v>
      </c>
    </row>
    <row r="1296" ht="15.75" customHeight="1">
      <c r="A1296" s="2">
        <v>1295.0</v>
      </c>
      <c r="B1296" s="1" t="s">
        <v>157</v>
      </c>
      <c r="C1296" s="1" t="s">
        <v>3568</v>
      </c>
      <c r="D1296" s="1" t="s">
        <v>3569</v>
      </c>
      <c r="E1296" s="2">
        <v>5.70038356071E11</v>
      </c>
      <c r="F1296" s="1" t="s">
        <v>3570</v>
      </c>
      <c r="G1296" s="1" t="s">
        <v>12</v>
      </c>
      <c r="H1296" s="3" t="s">
        <v>3037</v>
      </c>
      <c r="I1296" s="1" t="s">
        <v>3038</v>
      </c>
      <c r="J1296" s="1" t="s">
        <v>3039</v>
      </c>
    </row>
    <row r="1297" ht="15.75" customHeight="1">
      <c r="A1297" s="2">
        <v>1296.0</v>
      </c>
      <c r="B1297" s="1" t="s">
        <v>1708</v>
      </c>
      <c r="C1297" s="1" t="s">
        <v>3571</v>
      </c>
      <c r="D1297" s="1" t="s">
        <v>1979</v>
      </c>
      <c r="E1297" s="2">
        <v>5.70038356073E11</v>
      </c>
      <c r="F1297" s="1" t="s">
        <v>3572</v>
      </c>
      <c r="G1297" s="1" t="s">
        <v>12</v>
      </c>
      <c r="H1297" s="3" t="s">
        <v>3037</v>
      </c>
      <c r="I1297" s="1" t="s">
        <v>3038</v>
      </c>
      <c r="J1297" s="1" t="s">
        <v>3039</v>
      </c>
    </row>
    <row r="1298" ht="15.75" customHeight="1">
      <c r="A1298" s="2">
        <v>1297.0</v>
      </c>
      <c r="B1298" s="1" t="s">
        <v>3573</v>
      </c>
      <c r="C1298" s="1" t="s">
        <v>3574</v>
      </c>
      <c r="D1298" s="1" t="s">
        <v>3575</v>
      </c>
      <c r="E1298" s="2">
        <v>5.7003835608E11</v>
      </c>
      <c r="F1298" s="1" t="s">
        <v>3576</v>
      </c>
      <c r="G1298" s="1" t="s">
        <v>12</v>
      </c>
      <c r="H1298" s="3" t="s">
        <v>3037</v>
      </c>
      <c r="I1298" s="1" t="s">
        <v>3038</v>
      </c>
      <c r="J1298" s="1" t="s">
        <v>3039</v>
      </c>
    </row>
    <row r="1299" ht="15.75" customHeight="1">
      <c r="A1299" s="2">
        <v>1298.0</v>
      </c>
      <c r="B1299" s="1" t="s">
        <v>3577</v>
      </c>
      <c r="C1299" s="1" t="s">
        <v>3578</v>
      </c>
      <c r="D1299" s="1" t="s">
        <v>362</v>
      </c>
      <c r="E1299" s="2">
        <v>5.70038356082E11</v>
      </c>
      <c r="F1299" s="1" t="s">
        <v>3579</v>
      </c>
      <c r="G1299" s="1" t="s">
        <v>12</v>
      </c>
      <c r="H1299" s="3" t="s">
        <v>3037</v>
      </c>
      <c r="I1299" s="1" t="s">
        <v>3038</v>
      </c>
      <c r="J1299" s="1" t="s">
        <v>3039</v>
      </c>
    </row>
    <row r="1300" ht="15.75" customHeight="1">
      <c r="A1300" s="2">
        <v>1299.0</v>
      </c>
      <c r="B1300" s="1" t="s">
        <v>3580</v>
      </c>
      <c r="C1300" s="1" t="s">
        <v>3581</v>
      </c>
      <c r="D1300" s="1" t="s">
        <v>93</v>
      </c>
      <c r="E1300" s="2">
        <v>5.70038356084E11</v>
      </c>
      <c r="F1300" s="1" t="s">
        <v>3582</v>
      </c>
      <c r="G1300" s="1" t="s">
        <v>12</v>
      </c>
      <c r="H1300" s="3" t="s">
        <v>3037</v>
      </c>
      <c r="I1300" s="1" t="s">
        <v>3038</v>
      </c>
      <c r="J1300" s="1" t="s">
        <v>3039</v>
      </c>
    </row>
    <row r="1301" ht="15.75" customHeight="1">
      <c r="A1301" s="2">
        <v>1300.0</v>
      </c>
      <c r="B1301" s="1" t="s">
        <v>3583</v>
      </c>
      <c r="C1301" s="1" t="s">
        <v>452</v>
      </c>
      <c r="D1301" s="1" t="s">
        <v>3376</v>
      </c>
      <c r="E1301" s="2">
        <v>5.70038356085E11</v>
      </c>
      <c r="F1301" s="1" t="s">
        <v>3584</v>
      </c>
      <c r="G1301" s="1" t="s">
        <v>12</v>
      </c>
      <c r="H1301" s="3" t="s">
        <v>3037</v>
      </c>
      <c r="I1301" s="1" t="s">
        <v>3038</v>
      </c>
      <c r="J1301" s="1" t="s">
        <v>3039</v>
      </c>
    </row>
    <row r="1302" ht="15.75" customHeight="1">
      <c r="A1302" s="2">
        <v>1301.0</v>
      </c>
      <c r="B1302" s="1" t="s">
        <v>3585</v>
      </c>
      <c r="C1302" s="1" t="s">
        <v>3462</v>
      </c>
      <c r="D1302" s="1" t="s">
        <v>263</v>
      </c>
      <c r="E1302" s="2">
        <v>5.70038356087E11</v>
      </c>
      <c r="F1302" s="1" t="s">
        <v>3586</v>
      </c>
      <c r="G1302" s="1" t="s">
        <v>12</v>
      </c>
      <c r="H1302" s="1" t="s">
        <v>3037</v>
      </c>
      <c r="I1302" s="1" t="s">
        <v>3038</v>
      </c>
      <c r="J1302" s="1" t="s">
        <v>3039</v>
      </c>
    </row>
    <row r="1303" ht="15.75" customHeight="1">
      <c r="A1303" s="2">
        <v>1302.0</v>
      </c>
      <c r="B1303" s="1" t="s">
        <v>629</v>
      </c>
      <c r="C1303" s="1" t="s">
        <v>3587</v>
      </c>
      <c r="D1303" s="1" t="s">
        <v>3588</v>
      </c>
      <c r="E1303" s="2">
        <v>5.70038356089E11</v>
      </c>
      <c r="F1303" s="1" t="s">
        <v>3589</v>
      </c>
      <c r="G1303" s="1" t="s">
        <v>12</v>
      </c>
      <c r="H1303" s="1" t="s">
        <v>3037</v>
      </c>
      <c r="I1303" s="1" t="s">
        <v>3038</v>
      </c>
      <c r="J1303" s="1" t="s">
        <v>3039</v>
      </c>
    </row>
    <row r="1304" ht="15.75" customHeight="1">
      <c r="A1304" s="2">
        <v>1303.0</v>
      </c>
      <c r="B1304" s="1" t="s">
        <v>93</v>
      </c>
      <c r="C1304" s="1" t="s">
        <v>2356</v>
      </c>
      <c r="D1304" s="1" t="s">
        <v>305</v>
      </c>
      <c r="E1304" s="2">
        <v>5.70038356091E11</v>
      </c>
      <c r="F1304" s="1" t="s">
        <v>3590</v>
      </c>
      <c r="G1304" s="1" t="s">
        <v>12</v>
      </c>
      <c r="H1304" s="1" t="s">
        <v>3037</v>
      </c>
      <c r="I1304" s="1" t="s">
        <v>3038</v>
      </c>
      <c r="J1304" s="1" t="s">
        <v>3039</v>
      </c>
    </row>
    <row r="1305" ht="15.75" customHeight="1">
      <c r="A1305" s="2">
        <v>1304.0</v>
      </c>
      <c r="B1305" s="1" t="s">
        <v>901</v>
      </c>
      <c r="C1305" s="1" t="s">
        <v>3591</v>
      </c>
      <c r="D1305" s="1" t="s">
        <v>295</v>
      </c>
      <c r="E1305" s="2">
        <v>5.70038356092E11</v>
      </c>
      <c r="F1305" s="1" t="s">
        <v>3592</v>
      </c>
      <c r="G1305" s="1" t="s">
        <v>12</v>
      </c>
      <c r="H1305" s="1" t="s">
        <v>3037</v>
      </c>
      <c r="I1305" s="1" t="s">
        <v>3038</v>
      </c>
      <c r="J1305" s="1" t="s">
        <v>3039</v>
      </c>
    </row>
    <row r="1306" ht="15.75" customHeight="1">
      <c r="A1306" s="2">
        <v>1305.0</v>
      </c>
      <c r="B1306" s="1" t="s">
        <v>3593</v>
      </c>
      <c r="C1306" s="1" t="s">
        <v>3594</v>
      </c>
      <c r="D1306" s="1" t="s">
        <v>433</v>
      </c>
      <c r="E1306" s="2">
        <v>5.70038356095E11</v>
      </c>
      <c r="F1306" s="1" t="s">
        <v>3595</v>
      </c>
      <c r="G1306" s="1" t="s">
        <v>12</v>
      </c>
      <c r="H1306" s="1" t="s">
        <v>3037</v>
      </c>
      <c r="I1306" s="1" t="s">
        <v>3038</v>
      </c>
      <c r="J1306" s="1" t="s">
        <v>3039</v>
      </c>
    </row>
    <row r="1307" ht="15.75" customHeight="1">
      <c r="A1307" s="2">
        <v>1306.0</v>
      </c>
      <c r="B1307" s="1" t="s">
        <v>540</v>
      </c>
      <c r="C1307" s="1" t="s">
        <v>2844</v>
      </c>
      <c r="D1307" s="1" t="s">
        <v>58</v>
      </c>
      <c r="E1307" s="2">
        <v>5.70038356097E11</v>
      </c>
      <c r="F1307" s="1" t="s">
        <v>3596</v>
      </c>
      <c r="G1307" s="1" t="s">
        <v>12</v>
      </c>
      <c r="H1307" s="1" t="s">
        <v>3037</v>
      </c>
      <c r="I1307" s="1" t="s">
        <v>3038</v>
      </c>
      <c r="J1307" s="1" t="s">
        <v>3039</v>
      </c>
    </row>
    <row r="1308" ht="15.75" customHeight="1">
      <c r="A1308" s="2">
        <v>1307.0</v>
      </c>
      <c r="B1308" s="1" t="s">
        <v>3486</v>
      </c>
      <c r="C1308" s="1" t="s">
        <v>1570</v>
      </c>
      <c r="D1308" s="1" t="s">
        <v>552</v>
      </c>
      <c r="E1308" s="2">
        <v>5.70038356105E11</v>
      </c>
      <c r="F1308" s="1" t="s">
        <v>3597</v>
      </c>
      <c r="G1308" s="1" t="s">
        <v>12</v>
      </c>
      <c r="H1308" s="1" t="s">
        <v>3037</v>
      </c>
      <c r="I1308" s="1" t="s">
        <v>3038</v>
      </c>
      <c r="J1308" s="1" t="s">
        <v>3039</v>
      </c>
    </row>
    <row r="1309" ht="15.75" customHeight="1">
      <c r="A1309" s="2">
        <v>1308.0</v>
      </c>
      <c r="B1309" s="1" t="s">
        <v>3598</v>
      </c>
      <c r="C1309" s="1" t="s">
        <v>1156</v>
      </c>
      <c r="D1309" s="1" t="s">
        <v>3599</v>
      </c>
      <c r="E1309" s="2">
        <v>5.70038356106E11</v>
      </c>
      <c r="F1309" s="1" t="s">
        <v>3600</v>
      </c>
      <c r="G1309" s="1" t="s">
        <v>12</v>
      </c>
      <c r="H1309" s="1" t="s">
        <v>3037</v>
      </c>
      <c r="I1309" s="1" t="s">
        <v>3038</v>
      </c>
      <c r="J1309" s="1" t="s">
        <v>3039</v>
      </c>
    </row>
    <row r="1310" ht="15.75" customHeight="1">
      <c r="A1310" s="2">
        <v>1309.0</v>
      </c>
      <c r="B1310" s="1" t="s">
        <v>3601</v>
      </c>
      <c r="C1310" s="1" t="s">
        <v>3602</v>
      </c>
      <c r="D1310" s="1" t="s">
        <v>2905</v>
      </c>
      <c r="E1310" s="2">
        <v>5.70038356107E11</v>
      </c>
      <c r="F1310" s="1" t="s">
        <v>3603</v>
      </c>
      <c r="G1310" s="1" t="s">
        <v>12</v>
      </c>
      <c r="H1310" s="1" t="s">
        <v>3037</v>
      </c>
      <c r="I1310" s="1" t="s">
        <v>3038</v>
      </c>
      <c r="J1310" s="1" t="s">
        <v>3039</v>
      </c>
    </row>
    <row r="1311" ht="15.75" customHeight="1">
      <c r="A1311" s="2">
        <v>1310.0</v>
      </c>
      <c r="B1311" s="1" t="s">
        <v>149</v>
      </c>
      <c r="C1311" s="1" t="s">
        <v>1332</v>
      </c>
      <c r="D1311" s="1" t="s">
        <v>781</v>
      </c>
      <c r="E1311" s="2">
        <v>5.70038356109E11</v>
      </c>
      <c r="F1311" s="1" t="s">
        <v>3604</v>
      </c>
      <c r="G1311" s="1" t="s">
        <v>12</v>
      </c>
      <c r="H1311" s="1" t="s">
        <v>3037</v>
      </c>
      <c r="I1311" s="1" t="s">
        <v>3038</v>
      </c>
      <c r="J1311" s="1" t="s">
        <v>3039</v>
      </c>
    </row>
    <row r="1312" ht="15.75" customHeight="1">
      <c r="A1312" s="2">
        <v>1311.0</v>
      </c>
      <c r="B1312" s="1" t="s">
        <v>3605</v>
      </c>
      <c r="C1312" s="1" t="s">
        <v>1692</v>
      </c>
      <c r="D1312" s="1" t="s">
        <v>1402</v>
      </c>
      <c r="E1312" s="2">
        <v>5.7003835611E11</v>
      </c>
      <c r="F1312" s="1" t="s">
        <v>3606</v>
      </c>
      <c r="G1312" s="1" t="s">
        <v>12</v>
      </c>
      <c r="H1312" s="1" t="s">
        <v>3037</v>
      </c>
      <c r="I1312" s="1" t="s">
        <v>3038</v>
      </c>
      <c r="J1312" s="1" t="s">
        <v>3039</v>
      </c>
    </row>
    <row r="1313" ht="15.75" customHeight="1">
      <c r="A1313" s="2">
        <v>1312.0</v>
      </c>
      <c r="B1313" s="1" t="s">
        <v>310</v>
      </c>
      <c r="C1313" s="1" t="s">
        <v>787</v>
      </c>
      <c r="D1313" s="1" t="s">
        <v>3607</v>
      </c>
      <c r="E1313" s="2">
        <v>5.70038356112E11</v>
      </c>
      <c r="F1313" s="1" t="s">
        <v>3608</v>
      </c>
      <c r="G1313" s="1" t="s">
        <v>12</v>
      </c>
      <c r="H1313" s="1" t="s">
        <v>3037</v>
      </c>
      <c r="I1313" s="1" t="s">
        <v>3038</v>
      </c>
      <c r="J1313" s="1" t="s">
        <v>3039</v>
      </c>
    </row>
    <row r="1314" ht="15.75" customHeight="1">
      <c r="A1314" s="2">
        <v>1313.0</v>
      </c>
      <c r="B1314" s="1" t="s">
        <v>447</v>
      </c>
      <c r="C1314" s="1" t="s">
        <v>3609</v>
      </c>
      <c r="D1314" s="1" t="s">
        <v>3413</v>
      </c>
      <c r="E1314" s="2">
        <v>5.70038356114E11</v>
      </c>
      <c r="F1314" s="1" t="s">
        <v>3610</v>
      </c>
      <c r="G1314" s="1" t="s">
        <v>12</v>
      </c>
      <c r="H1314" s="1" t="s">
        <v>3037</v>
      </c>
      <c r="I1314" s="1" t="s">
        <v>3038</v>
      </c>
      <c r="J1314" s="1" t="s">
        <v>3039</v>
      </c>
    </row>
    <row r="1315" ht="15.75" customHeight="1">
      <c r="A1315" s="2">
        <v>1314.0</v>
      </c>
      <c r="B1315" s="1" t="s">
        <v>804</v>
      </c>
      <c r="C1315" s="1" t="s">
        <v>3611</v>
      </c>
      <c r="D1315" s="1" t="s">
        <v>621</v>
      </c>
      <c r="E1315" s="2">
        <v>5.70038356116E11</v>
      </c>
      <c r="F1315" s="1" t="s">
        <v>3612</v>
      </c>
      <c r="G1315" s="1" t="s">
        <v>12</v>
      </c>
      <c r="H1315" s="1" t="s">
        <v>3037</v>
      </c>
      <c r="I1315" s="1" t="s">
        <v>3038</v>
      </c>
      <c r="J1315" s="1" t="s">
        <v>3039</v>
      </c>
    </row>
    <row r="1316" ht="15.75" customHeight="1">
      <c r="A1316" s="2">
        <v>1315.0</v>
      </c>
      <c r="B1316" s="1" t="s">
        <v>3613</v>
      </c>
      <c r="C1316" s="1" t="s">
        <v>3614</v>
      </c>
      <c r="D1316" s="1" t="s">
        <v>3615</v>
      </c>
      <c r="E1316" s="2">
        <v>5.70038356119E11</v>
      </c>
      <c r="F1316" s="1" t="s">
        <v>3616</v>
      </c>
      <c r="G1316" s="1" t="s">
        <v>12</v>
      </c>
      <c r="H1316" s="1" t="s">
        <v>3037</v>
      </c>
      <c r="I1316" s="1" t="s">
        <v>3038</v>
      </c>
      <c r="J1316" s="1" t="s">
        <v>3039</v>
      </c>
    </row>
    <row r="1317" ht="15.75" customHeight="1">
      <c r="A1317" s="2">
        <v>1316.0</v>
      </c>
      <c r="B1317" s="1" t="s">
        <v>3617</v>
      </c>
      <c r="C1317" s="1" t="s">
        <v>3618</v>
      </c>
      <c r="D1317" s="1" t="s">
        <v>341</v>
      </c>
      <c r="E1317" s="2">
        <v>5.70038356121E11</v>
      </c>
      <c r="F1317" s="1" t="s">
        <v>1390</v>
      </c>
      <c r="G1317" s="1" t="s">
        <v>12</v>
      </c>
      <c r="H1317" s="1" t="s">
        <v>3037</v>
      </c>
      <c r="I1317" s="1" t="s">
        <v>3038</v>
      </c>
      <c r="J1317" s="1" t="s">
        <v>3039</v>
      </c>
    </row>
    <row r="1318" ht="15.75" customHeight="1">
      <c r="A1318" s="2">
        <v>1317.0</v>
      </c>
      <c r="B1318" s="1" t="s">
        <v>195</v>
      </c>
      <c r="C1318" s="1" t="s">
        <v>1692</v>
      </c>
      <c r="D1318" s="1" t="s">
        <v>1402</v>
      </c>
      <c r="E1318" s="2">
        <v>5.70038356124E11</v>
      </c>
      <c r="F1318" s="1" t="s">
        <v>444</v>
      </c>
      <c r="G1318" s="1" t="s">
        <v>12</v>
      </c>
      <c r="H1318" s="1" t="s">
        <v>3037</v>
      </c>
      <c r="I1318" s="1" t="s">
        <v>3038</v>
      </c>
      <c r="J1318" s="1" t="s">
        <v>3039</v>
      </c>
    </row>
    <row r="1319" ht="15.75" customHeight="1">
      <c r="A1319" s="2">
        <v>1318.0</v>
      </c>
      <c r="B1319" s="1" t="s">
        <v>3619</v>
      </c>
      <c r="C1319" s="1" t="s">
        <v>435</v>
      </c>
      <c r="D1319" s="1" t="s">
        <v>3620</v>
      </c>
      <c r="E1319" s="2">
        <v>5.70038356125E11</v>
      </c>
      <c r="F1319" s="1" t="s">
        <v>3621</v>
      </c>
      <c r="G1319" s="1" t="s">
        <v>12</v>
      </c>
      <c r="H1319" s="1" t="s">
        <v>3037</v>
      </c>
      <c r="I1319" s="1" t="s">
        <v>3038</v>
      </c>
      <c r="J1319" s="1" t="s">
        <v>3039</v>
      </c>
    </row>
    <row r="1320" ht="15.75" customHeight="1">
      <c r="A1320" s="2">
        <v>1319.0</v>
      </c>
      <c r="B1320" s="1" t="s">
        <v>3622</v>
      </c>
      <c r="C1320" s="1" t="s">
        <v>400</v>
      </c>
      <c r="D1320" s="1" t="s">
        <v>210</v>
      </c>
      <c r="E1320" s="2">
        <v>5.70038356127E11</v>
      </c>
      <c r="F1320" s="1" t="s">
        <v>3623</v>
      </c>
      <c r="G1320" s="1" t="s">
        <v>12</v>
      </c>
      <c r="H1320" s="1" t="s">
        <v>3037</v>
      </c>
      <c r="I1320" s="1" t="s">
        <v>3038</v>
      </c>
      <c r="J1320" s="1" t="s">
        <v>3039</v>
      </c>
    </row>
    <row r="1321" ht="15.75" customHeight="1">
      <c r="A1321" s="2">
        <v>1320.0</v>
      </c>
      <c r="B1321" s="1" t="s">
        <v>3140</v>
      </c>
      <c r="C1321" s="1" t="s">
        <v>3624</v>
      </c>
      <c r="D1321" s="1" t="s">
        <v>3625</v>
      </c>
      <c r="E1321" s="2">
        <v>5.70038356128E11</v>
      </c>
      <c r="F1321" s="1" t="s">
        <v>3626</v>
      </c>
      <c r="G1321" s="1" t="s">
        <v>12</v>
      </c>
      <c r="H1321" s="1" t="s">
        <v>3037</v>
      </c>
      <c r="I1321" s="1" t="s">
        <v>3038</v>
      </c>
      <c r="J1321" s="1" t="s">
        <v>3039</v>
      </c>
    </row>
    <row r="1322" ht="15.75" customHeight="1">
      <c r="A1322" s="2">
        <v>1321.0</v>
      </c>
      <c r="B1322" s="1" t="s">
        <v>2712</v>
      </c>
      <c r="C1322" s="1" t="s">
        <v>1692</v>
      </c>
      <c r="D1322" s="1" t="s">
        <v>3627</v>
      </c>
      <c r="E1322" s="2">
        <v>5.70038356129E11</v>
      </c>
      <c r="F1322" s="1" t="s">
        <v>3628</v>
      </c>
      <c r="G1322" s="1" t="s">
        <v>12</v>
      </c>
      <c r="H1322" s="1" t="s">
        <v>3037</v>
      </c>
      <c r="I1322" s="1" t="s">
        <v>3038</v>
      </c>
      <c r="J1322" s="1" t="s">
        <v>3039</v>
      </c>
    </row>
    <row r="1323" ht="15.75" customHeight="1">
      <c r="A1323" s="2">
        <v>1322.0</v>
      </c>
      <c r="B1323" s="1" t="s">
        <v>583</v>
      </c>
      <c r="C1323" s="1" t="s">
        <v>3629</v>
      </c>
      <c r="D1323" s="1" t="s">
        <v>3630</v>
      </c>
      <c r="E1323" s="2">
        <v>5.7003835613E11</v>
      </c>
      <c r="F1323" s="1" t="s">
        <v>3631</v>
      </c>
      <c r="G1323" s="1" t="s">
        <v>12</v>
      </c>
      <c r="H1323" s="1" t="s">
        <v>3037</v>
      </c>
      <c r="I1323" s="1" t="s">
        <v>3038</v>
      </c>
      <c r="J1323" s="1" t="s">
        <v>3039</v>
      </c>
    </row>
    <row r="1324" ht="15.75" customHeight="1">
      <c r="A1324" s="2">
        <v>1323.0</v>
      </c>
      <c r="B1324" s="1" t="s">
        <v>161</v>
      </c>
      <c r="C1324" s="1" t="s">
        <v>1081</v>
      </c>
      <c r="D1324" s="1" t="s">
        <v>97</v>
      </c>
      <c r="E1324" s="2">
        <v>5.70038356136E11</v>
      </c>
      <c r="F1324" s="1" t="s">
        <v>3632</v>
      </c>
      <c r="G1324" s="1" t="s">
        <v>12</v>
      </c>
      <c r="H1324" s="1" t="s">
        <v>3037</v>
      </c>
      <c r="I1324" s="1" t="s">
        <v>3038</v>
      </c>
      <c r="J1324" s="1" t="s">
        <v>3039</v>
      </c>
    </row>
    <row r="1325" ht="15.75" customHeight="1">
      <c r="A1325" s="2">
        <v>1324.0</v>
      </c>
      <c r="B1325" s="1" t="s">
        <v>1285</v>
      </c>
      <c r="C1325" s="1" t="s">
        <v>3633</v>
      </c>
      <c r="D1325" s="1" t="s">
        <v>52</v>
      </c>
      <c r="E1325" s="2">
        <v>5.70038356137E11</v>
      </c>
      <c r="F1325" s="1" t="s">
        <v>3586</v>
      </c>
      <c r="G1325" s="1" t="s">
        <v>12</v>
      </c>
      <c r="H1325" s="1" t="s">
        <v>3037</v>
      </c>
      <c r="I1325" s="1" t="s">
        <v>3038</v>
      </c>
      <c r="J1325" s="1" t="s">
        <v>3039</v>
      </c>
    </row>
    <row r="1326" ht="15.75" customHeight="1">
      <c r="A1326" s="2">
        <v>1325.0</v>
      </c>
      <c r="B1326" s="1" t="s">
        <v>3466</v>
      </c>
      <c r="C1326" s="1" t="s">
        <v>3634</v>
      </c>
      <c r="D1326" s="1" t="s">
        <v>3635</v>
      </c>
      <c r="E1326" s="2">
        <v>5.70038356139E11</v>
      </c>
      <c r="F1326" s="1" t="s">
        <v>3636</v>
      </c>
      <c r="G1326" s="1" t="s">
        <v>12</v>
      </c>
      <c r="H1326" s="1" t="s">
        <v>3037</v>
      </c>
      <c r="I1326" s="1" t="s">
        <v>3038</v>
      </c>
      <c r="J1326" s="1" t="s">
        <v>3039</v>
      </c>
    </row>
    <row r="1327" ht="15.75" customHeight="1">
      <c r="A1327" s="2">
        <v>1326.0</v>
      </c>
      <c r="B1327" s="1" t="s">
        <v>3637</v>
      </c>
      <c r="C1327" s="1" t="s">
        <v>3175</v>
      </c>
      <c r="D1327" s="1" t="s">
        <v>3466</v>
      </c>
      <c r="E1327" s="2">
        <v>5.7003835614E11</v>
      </c>
      <c r="F1327" s="1" t="s">
        <v>3638</v>
      </c>
      <c r="G1327" s="1" t="s">
        <v>12</v>
      </c>
      <c r="H1327" s="1" t="s">
        <v>3037</v>
      </c>
      <c r="I1327" s="1" t="s">
        <v>3038</v>
      </c>
      <c r="J1327" s="1" t="s">
        <v>3039</v>
      </c>
    </row>
    <row r="1328" ht="15.75" customHeight="1">
      <c r="A1328" s="2">
        <v>1327.0</v>
      </c>
      <c r="B1328" s="1" t="s">
        <v>3639</v>
      </c>
      <c r="C1328" s="1" t="s">
        <v>491</v>
      </c>
      <c r="D1328" s="1" t="s">
        <v>295</v>
      </c>
      <c r="E1328" s="2">
        <v>5.70038356141E11</v>
      </c>
      <c r="F1328" s="1" t="s">
        <v>3640</v>
      </c>
      <c r="G1328" s="1" t="s">
        <v>12</v>
      </c>
      <c r="H1328" s="1" t="s">
        <v>3037</v>
      </c>
      <c r="I1328" s="1" t="s">
        <v>3038</v>
      </c>
      <c r="J1328" s="1" t="s">
        <v>3039</v>
      </c>
    </row>
    <row r="1329" ht="15.75" customHeight="1">
      <c r="A1329" s="2">
        <v>1328.0</v>
      </c>
      <c r="B1329" s="1" t="s">
        <v>3585</v>
      </c>
      <c r="C1329" s="1" t="s">
        <v>3641</v>
      </c>
      <c r="D1329" s="1" t="s">
        <v>2180</v>
      </c>
      <c r="E1329" s="2">
        <v>5.70038356142E11</v>
      </c>
      <c r="F1329" s="1" t="s">
        <v>3642</v>
      </c>
      <c r="G1329" s="1" t="s">
        <v>12</v>
      </c>
      <c r="H1329" s="1" t="s">
        <v>3037</v>
      </c>
      <c r="I1329" s="1" t="s">
        <v>3038</v>
      </c>
      <c r="J1329" s="1" t="s">
        <v>3039</v>
      </c>
    </row>
    <row r="1330" ht="15.75" customHeight="1">
      <c r="A1330" s="2">
        <v>1329.0</v>
      </c>
      <c r="B1330" s="1" t="s">
        <v>1285</v>
      </c>
      <c r="C1330" s="1" t="s">
        <v>3643</v>
      </c>
      <c r="D1330" s="1" t="s">
        <v>1548</v>
      </c>
      <c r="E1330" s="2">
        <v>5.70038356147E11</v>
      </c>
      <c r="F1330" s="1" t="s">
        <v>227</v>
      </c>
      <c r="G1330" s="1" t="s">
        <v>12</v>
      </c>
      <c r="H1330" s="1" t="s">
        <v>3037</v>
      </c>
      <c r="I1330" s="1" t="s">
        <v>3038</v>
      </c>
      <c r="J1330" s="1" t="s">
        <v>3039</v>
      </c>
    </row>
    <row r="1331" ht="15.75" customHeight="1">
      <c r="A1331" s="2">
        <v>1330.0</v>
      </c>
      <c r="B1331" s="1" t="s">
        <v>362</v>
      </c>
      <c r="C1331" s="1" t="s">
        <v>3644</v>
      </c>
      <c r="D1331" s="1" t="s">
        <v>1356</v>
      </c>
      <c r="E1331" s="2">
        <v>5.70038356149E11</v>
      </c>
      <c r="F1331" s="1" t="s">
        <v>3645</v>
      </c>
      <c r="G1331" s="1" t="s">
        <v>12</v>
      </c>
      <c r="H1331" s="1" t="s">
        <v>3037</v>
      </c>
      <c r="I1331" s="1" t="s">
        <v>3038</v>
      </c>
      <c r="J1331" s="1" t="s">
        <v>3039</v>
      </c>
    </row>
    <row r="1332" ht="15.75" customHeight="1">
      <c r="A1332" s="2">
        <v>1331.0</v>
      </c>
      <c r="B1332" s="1" t="s">
        <v>1227</v>
      </c>
      <c r="C1332" s="1" t="s">
        <v>3646</v>
      </c>
      <c r="D1332" s="1" t="s">
        <v>48</v>
      </c>
      <c r="E1332" s="2">
        <v>5.70038356152E11</v>
      </c>
      <c r="F1332" s="1" t="s">
        <v>3647</v>
      </c>
      <c r="G1332" s="1" t="s">
        <v>12</v>
      </c>
      <c r="H1332" s="1" t="s">
        <v>3037</v>
      </c>
      <c r="I1332" s="1" t="s">
        <v>3038</v>
      </c>
      <c r="J1332" s="1" t="s">
        <v>3039</v>
      </c>
    </row>
    <row r="1333" ht="15.75" customHeight="1">
      <c r="A1333" s="2">
        <v>1332.0</v>
      </c>
      <c r="B1333" s="1" t="s">
        <v>77</v>
      </c>
      <c r="C1333" s="1" t="s">
        <v>2844</v>
      </c>
      <c r="D1333" s="1" t="s">
        <v>1704</v>
      </c>
      <c r="E1333" s="2">
        <v>5.70038356153E11</v>
      </c>
      <c r="F1333" s="1" t="s">
        <v>3648</v>
      </c>
      <c r="G1333" s="1" t="s">
        <v>12</v>
      </c>
      <c r="H1333" s="1" t="s">
        <v>3037</v>
      </c>
      <c r="I1333" s="1" t="s">
        <v>3038</v>
      </c>
      <c r="J1333" s="1" t="s">
        <v>3039</v>
      </c>
    </row>
    <row r="1334" ht="15.75" customHeight="1">
      <c r="A1334" s="2">
        <v>1333.0</v>
      </c>
      <c r="B1334" s="1" t="s">
        <v>157</v>
      </c>
      <c r="C1334" s="1" t="s">
        <v>169</v>
      </c>
      <c r="D1334" s="1" t="s">
        <v>951</v>
      </c>
      <c r="E1334" s="2">
        <v>5.70038356155E11</v>
      </c>
      <c r="F1334" s="1" t="s">
        <v>3649</v>
      </c>
      <c r="G1334" s="1" t="s">
        <v>12</v>
      </c>
      <c r="H1334" s="1" t="s">
        <v>3037</v>
      </c>
      <c r="I1334" s="1" t="s">
        <v>3038</v>
      </c>
      <c r="J1334" s="1" t="s">
        <v>3039</v>
      </c>
    </row>
    <row r="1335" ht="15.75" customHeight="1">
      <c r="A1335" s="2">
        <v>1334.0</v>
      </c>
      <c r="B1335" s="1" t="s">
        <v>258</v>
      </c>
      <c r="C1335" s="1" t="s">
        <v>3650</v>
      </c>
      <c r="D1335" s="1" t="s">
        <v>3651</v>
      </c>
      <c r="E1335" s="2">
        <v>5.70038356156E11</v>
      </c>
      <c r="F1335" s="1" t="s">
        <v>3652</v>
      </c>
      <c r="G1335" s="1" t="s">
        <v>12</v>
      </c>
      <c r="H1335" s="1" t="s">
        <v>3037</v>
      </c>
      <c r="I1335" s="1" t="s">
        <v>3038</v>
      </c>
      <c r="J1335" s="1" t="s">
        <v>3039</v>
      </c>
    </row>
    <row r="1336" ht="15.75" customHeight="1">
      <c r="A1336" s="2">
        <v>1335.0</v>
      </c>
      <c r="B1336" s="1" t="s">
        <v>3653</v>
      </c>
      <c r="C1336" s="1" t="s">
        <v>3654</v>
      </c>
      <c r="D1336" s="1" t="s">
        <v>2754</v>
      </c>
      <c r="E1336" s="2">
        <v>5.70038356157E11</v>
      </c>
      <c r="F1336" s="1" t="s">
        <v>3655</v>
      </c>
      <c r="G1336" s="1" t="s">
        <v>12</v>
      </c>
      <c r="H1336" s="1" t="s">
        <v>3037</v>
      </c>
      <c r="I1336" s="1" t="s">
        <v>3038</v>
      </c>
      <c r="J1336" s="1" t="s">
        <v>3039</v>
      </c>
    </row>
    <row r="1337" ht="15.75" customHeight="1">
      <c r="A1337" s="2">
        <v>1336.0</v>
      </c>
      <c r="B1337" s="1" t="s">
        <v>498</v>
      </c>
      <c r="C1337" s="1" t="s">
        <v>2466</v>
      </c>
      <c r="D1337" s="1" t="s">
        <v>3232</v>
      </c>
      <c r="E1337" s="2">
        <v>5.70038356158E11</v>
      </c>
      <c r="F1337" s="1" t="s">
        <v>638</v>
      </c>
      <c r="G1337" s="1" t="s">
        <v>12</v>
      </c>
      <c r="H1337" s="1" t="s">
        <v>3037</v>
      </c>
      <c r="I1337" s="1" t="s">
        <v>3038</v>
      </c>
      <c r="J1337" s="1" t="s">
        <v>3039</v>
      </c>
    </row>
    <row r="1338" ht="15.75" customHeight="1">
      <c r="A1338" s="2">
        <v>1337.0</v>
      </c>
      <c r="B1338" s="1" t="s">
        <v>875</v>
      </c>
      <c r="C1338" s="1" t="s">
        <v>3656</v>
      </c>
      <c r="D1338" s="1" t="s">
        <v>157</v>
      </c>
      <c r="E1338" s="2">
        <v>5.70038356159E11</v>
      </c>
      <c r="F1338" s="1" t="s">
        <v>3657</v>
      </c>
      <c r="G1338" s="1" t="s">
        <v>12</v>
      </c>
      <c r="H1338" s="1" t="s">
        <v>3037</v>
      </c>
      <c r="I1338" s="1" t="s">
        <v>3038</v>
      </c>
      <c r="J1338" s="1" t="s">
        <v>3039</v>
      </c>
    </row>
    <row r="1339" ht="15.75" customHeight="1">
      <c r="A1339" s="2">
        <v>1338.0</v>
      </c>
      <c r="B1339" s="1" t="s">
        <v>3658</v>
      </c>
      <c r="C1339" s="1" t="s">
        <v>3659</v>
      </c>
      <c r="D1339" s="1" t="s">
        <v>3660</v>
      </c>
      <c r="E1339" s="2">
        <v>5.7003835616E11</v>
      </c>
      <c r="F1339" s="1" t="s">
        <v>3661</v>
      </c>
      <c r="G1339" s="1" t="s">
        <v>12</v>
      </c>
      <c r="H1339" s="1" t="s">
        <v>3037</v>
      </c>
      <c r="I1339" s="1" t="s">
        <v>3038</v>
      </c>
      <c r="J1339" s="1" t="s">
        <v>3039</v>
      </c>
    </row>
    <row r="1340" ht="15.75" customHeight="1">
      <c r="A1340" s="2">
        <v>1339.0</v>
      </c>
      <c r="B1340" s="1" t="s">
        <v>3662</v>
      </c>
      <c r="C1340" s="1" t="s">
        <v>3663</v>
      </c>
      <c r="D1340" s="1" t="s">
        <v>1240</v>
      </c>
      <c r="E1340" s="2">
        <v>5.70038356162E11</v>
      </c>
      <c r="F1340" s="1" t="s">
        <v>3664</v>
      </c>
      <c r="G1340" s="1" t="s">
        <v>12</v>
      </c>
      <c r="H1340" s="1" t="s">
        <v>3037</v>
      </c>
      <c r="I1340" s="1" t="s">
        <v>3038</v>
      </c>
      <c r="J1340" s="1" t="s">
        <v>3039</v>
      </c>
    </row>
    <row r="1341" ht="15.75" customHeight="1">
      <c r="A1341" s="2">
        <v>1340.0</v>
      </c>
      <c r="B1341" s="1" t="s">
        <v>3665</v>
      </c>
      <c r="C1341" s="1" t="s">
        <v>3666</v>
      </c>
      <c r="D1341" s="1" t="s">
        <v>3667</v>
      </c>
      <c r="E1341" s="2">
        <v>5.70038356163E11</v>
      </c>
      <c r="F1341" s="1" t="s">
        <v>650</v>
      </c>
      <c r="G1341" s="1" t="s">
        <v>12</v>
      </c>
      <c r="H1341" s="1" t="s">
        <v>3037</v>
      </c>
      <c r="I1341" s="1" t="s">
        <v>3038</v>
      </c>
      <c r="J1341" s="1" t="s">
        <v>3039</v>
      </c>
    </row>
    <row r="1342" ht="15.75" customHeight="1">
      <c r="A1342" s="2">
        <v>1341.0</v>
      </c>
      <c r="B1342" s="1" t="s">
        <v>48</v>
      </c>
      <c r="C1342" s="1" t="s">
        <v>3668</v>
      </c>
      <c r="D1342" s="1" t="s">
        <v>3669</v>
      </c>
      <c r="E1342" s="2">
        <v>5.70038356167E11</v>
      </c>
      <c r="F1342" s="1" t="s">
        <v>3670</v>
      </c>
      <c r="G1342" s="1" t="s">
        <v>12</v>
      </c>
      <c r="H1342" s="1" t="s">
        <v>3037</v>
      </c>
      <c r="I1342" s="1" t="s">
        <v>3038</v>
      </c>
      <c r="J1342" s="1" t="s">
        <v>3039</v>
      </c>
    </row>
    <row r="1343" ht="15.75" customHeight="1">
      <c r="A1343" s="2">
        <v>1342.0</v>
      </c>
      <c r="B1343" s="1" t="s">
        <v>3585</v>
      </c>
      <c r="C1343" s="1" t="s">
        <v>3671</v>
      </c>
      <c r="D1343" s="1" t="s">
        <v>3672</v>
      </c>
      <c r="E1343" s="2">
        <v>5.70038356176E11</v>
      </c>
      <c r="F1343" s="1" t="s">
        <v>3673</v>
      </c>
      <c r="G1343" s="1" t="s">
        <v>12</v>
      </c>
      <c r="H1343" s="1" t="s">
        <v>3037</v>
      </c>
      <c r="I1343" s="1" t="s">
        <v>3038</v>
      </c>
      <c r="J1343" s="1" t="s">
        <v>3039</v>
      </c>
    </row>
    <row r="1344" ht="15.75" customHeight="1">
      <c r="A1344" s="2">
        <v>1343.0</v>
      </c>
      <c r="B1344" s="1" t="s">
        <v>3674</v>
      </c>
      <c r="C1344" s="1" t="s">
        <v>3675</v>
      </c>
      <c r="D1344" s="1" t="s">
        <v>3676</v>
      </c>
      <c r="E1344" s="2">
        <v>5.70038356178E11</v>
      </c>
      <c r="F1344" s="1" t="s">
        <v>3677</v>
      </c>
      <c r="G1344" s="1" t="s">
        <v>12</v>
      </c>
      <c r="H1344" s="1" t="s">
        <v>3037</v>
      </c>
      <c r="I1344" s="1" t="s">
        <v>3038</v>
      </c>
      <c r="J1344" s="1" t="s">
        <v>3039</v>
      </c>
    </row>
    <row r="1345" ht="15.75" customHeight="1">
      <c r="A1345" s="2">
        <v>1344.0</v>
      </c>
      <c r="B1345" s="1" t="s">
        <v>3678</v>
      </c>
      <c r="C1345" s="1" t="s">
        <v>3426</v>
      </c>
      <c r="D1345" s="1" t="s">
        <v>3679</v>
      </c>
      <c r="E1345" s="2">
        <v>5.70038356179E11</v>
      </c>
      <c r="F1345" s="1" t="s">
        <v>423</v>
      </c>
      <c r="G1345" s="1" t="s">
        <v>12</v>
      </c>
      <c r="H1345" s="1" t="s">
        <v>3037</v>
      </c>
      <c r="I1345" s="1" t="s">
        <v>3038</v>
      </c>
      <c r="J1345" s="1" t="s">
        <v>3039</v>
      </c>
    </row>
    <row r="1346" ht="15.75" customHeight="1">
      <c r="A1346" s="2">
        <v>1345.0</v>
      </c>
      <c r="B1346" s="1" t="s">
        <v>3680</v>
      </c>
      <c r="C1346" s="1" t="s">
        <v>3681</v>
      </c>
      <c r="D1346" s="1" t="s">
        <v>3682</v>
      </c>
      <c r="E1346" s="2">
        <v>5.70038356187E11</v>
      </c>
      <c r="F1346" s="1" t="s">
        <v>1469</v>
      </c>
      <c r="G1346" s="1" t="s">
        <v>2781</v>
      </c>
      <c r="H1346" s="1" t="s">
        <v>3037</v>
      </c>
      <c r="I1346" s="1" t="s">
        <v>3038</v>
      </c>
      <c r="J1346" s="1" t="s">
        <v>3039</v>
      </c>
    </row>
    <row r="1347" ht="15.75" customHeight="1">
      <c r="A1347" s="2">
        <v>1346.0</v>
      </c>
      <c r="B1347" s="1" t="s">
        <v>3683</v>
      </c>
      <c r="C1347" s="1" t="s">
        <v>3684</v>
      </c>
      <c r="D1347" s="1" t="s">
        <v>346</v>
      </c>
      <c r="E1347" s="2">
        <v>5.70038356188E11</v>
      </c>
      <c r="F1347" s="1" t="s">
        <v>3685</v>
      </c>
      <c r="G1347" s="1" t="s">
        <v>12</v>
      </c>
      <c r="H1347" s="1" t="s">
        <v>3037</v>
      </c>
      <c r="I1347" s="1" t="s">
        <v>3038</v>
      </c>
      <c r="J1347" s="1" t="s">
        <v>3039</v>
      </c>
    </row>
    <row r="1348" ht="15.75" customHeight="1">
      <c r="A1348" s="2">
        <v>1347.0</v>
      </c>
      <c r="B1348" s="1" t="s">
        <v>290</v>
      </c>
      <c r="C1348" s="1" t="s">
        <v>3337</v>
      </c>
      <c r="D1348" s="1" t="s">
        <v>48</v>
      </c>
      <c r="E1348" s="2">
        <v>5.70038356189E11</v>
      </c>
      <c r="F1348" s="1" t="s">
        <v>3686</v>
      </c>
      <c r="G1348" s="1" t="s">
        <v>12</v>
      </c>
      <c r="H1348" s="1" t="s">
        <v>3037</v>
      </c>
      <c r="I1348" s="1" t="s">
        <v>3038</v>
      </c>
      <c r="J1348" s="1" t="s">
        <v>3039</v>
      </c>
    </row>
    <row r="1349" ht="15.75" customHeight="1">
      <c r="A1349" s="2">
        <v>1348.0</v>
      </c>
      <c r="B1349" s="1" t="s">
        <v>230</v>
      </c>
      <c r="C1349" s="1" t="s">
        <v>3687</v>
      </c>
      <c r="D1349" s="1" t="s">
        <v>344</v>
      </c>
      <c r="E1349" s="2">
        <v>5.7003835619E11</v>
      </c>
      <c r="F1349" s="1" t="s">
        <v>3688</v>
      </c>
      <c r="G1349" s="1" t="s">
        <v>12</v>
      </c>
      <c r="H1349" s="1" t="s">
        <v>3037</v>
      </c>
      <c r="I1349" s="1" t="s">
        <v>3038</v>
      </c>
      <c r="J1349" s="1" t="s">
        <v>3039</v>
      </c>
    </row>
    <row r="1350" ht="15.75" customHeight="1">
      <c r="A1350" s="2">
        <v>1349.0</v>
      </c>
      <c r="B1350" s="1" t="s">
        <v>58</v>
      </c>
      <c r="C1350" s="1" t="s">
        <v>3689</v>
      </c>
      <c r="D1350" s="1" t="s">
        <v>3690</v>
      </c>
      <c r="E1350" s="2">
        <v>5.70038356192E11</v>
      </c>
      <c r="F1350" s="1" t="s">
        <v>3691</v>
      </c>
      <c r="G1350" s="1" t="s">
        <v>12</v>
      </c>
      <c r="H1350" s="1" t="s">
        <v>3037</v>
      </c>
      <c r="I1350" s="1" t="s">
        <v>3038</v>
      </c>
      <c r="J1350" s="1" t="s">
        <v>3039</v>
      </c>
    </row>
    <row r="1351" ht="15.75" customHeight="1">
      <c r="A1351" s="2">
        <v>1350.0</v>
      </c>
      <c r="B1351" s="1" t="s">
        <v>829</v>
      </c>
      <c r="C1351" s="1" t="s">
        <v>3337</v>
      </c>
      <c r="D1351" s="1" t="s">
        <v>3692</v>
      </c>
      <c r="E1351" s="2">
        <v>5.70038356193E11</v>
      </c>
      <c r="F1351" s="1" t="s">
        <v>2492</v>
      </c>
      <c r="G1351" s="1" t="s">
        <v>12</v>
      </c>
      <c r="H1351" s="1" t="s">
        <v>3037</v>
      </c>
      <c r="I1351" s="1" t="s">
        <v>3038</v>
      </c>
      <c r="J1351" s="1" t="s">
        <v>3039</v>
      </c>
    </row>
    <row r="1352" ht="15.75" customHeight="1">
      <c r="A1352" s="2">
        <v>1351.0</v>
      </c>
      <c r="B1352" s="1" t="s">
        <v>335</v>
      </c>
      <c r="C1352" s="1" t="s">
        <v>3693</v>
      </c>
      <c r="D1352" s="1" t="s">
        <v>600</v>
      </c>
      <c r="E1352" s="2">
        <v>5.70038356194E11</v>
      </c>
      <c r="F1352" s="1" t="s">
        <v>3694</v>
      </c>
      <c r="G1352" s="1" t="s">
        <v>12</v>
      </c>
      <c r="H1352" s="1" t="s">
        <v>3037</v>
      </c>
      <c r="I1352" s="1" t="s">
        <v>3038</v>
      </c>
      <c r="J1352" s="1" t="s">
        <v>3039</v>
      </c>
    </row>
    <row r="1353" ht="15.75" customHeight="1">
      <c r="A1353" s="2">
        <v>1352.0</v>
      </c>
      <c r="B1353" s="1" t="s">
        <v>903</v>
      </c>
      <c r="C1353" s="1" t="s">
        <v>3695</v>
      </c>
      <c r="D1353" s="1" t="s">
        <v>615</v>
      </c>
      <c r="E1353" s="2">
        <v>5.70038356195E11</v>
      </c>
      <c r="F1353" s="1" t="s">
        <v>3696</v>
      </c>
      <c r="G1353" s="1" t="s">
        <v>12</v>
      </c>
      <c r="H1353" s="1" t="s">
        <v>3037</v>
      </c>
      <c r="I1353" s="1" t="s">
        <v>3038</v>
      </c>
      <c r="J1353" s="1" t="s">
        <v>3039</v>
      </c>
    </row>
    <row r="1354" ht="15.75" customHeight="1">
      <c r="A1354" s="2">
        <v>1353.0</v>
      </c>
      <c r="B1354" s="1" t="s">
        <v>3697</v>
      </c>
      <c r="C1354" s="1" t="s">
        <v>877</v>
      </c>
      <c r="D1354" s="1" t="s">
        <v>3522</v>
      </c>
      <c r="E1354" s="2">
        <v>5.70038356197E11</v>
      </c>
      <c r="F1354" s="1" t="s">
        <v>3698</v>
      </c>
      <c r="G1354" s="1" t="s">
        <v>12</v>
      </c>
      <c r="H1354" s="1" t="s">
        <v>3037</v>
      </c>
      <c r="I1354" s="1" t="s">
        <v>3038</v>
      </c>
      <c r="J1354" s="1" t="s">
        <v>3039</v>
      </c>
    </row>
    <row r="1355" ht="15.75" customHeight="1">
      <c r="A1355" s="2">
        <v>1354.0</v>
      </c>
      <c r="B1355" s="1" t="s">
        <v>3699</v>
      </c>
      <c r="C1355" s="1" t="s">
        <v>3700</v>
      </c>
      <c r="D1355" s="1" t="s">
        <v>3697</v>
      </c>
      <c r="E1355" s="2">
        <v>5.70038356199E11</v>
      </c>
      <c r="F1355" s="1" t="s">
        <v>3701</v>
      </c>
      <c r="G1355" s="1" t="s">
        <v>12</v>
      </c>
      <c r="H1355" s="1" t="s">
        <v>3037</v>
      </c>
      <c r="I1355" s="1" t="s">
        <v>3038</v>
      </c>
      <c r="J1355" s="1" t="s">
        <v>3039</v>
      </c>
    </row>
    <row r="1356" ht="15.75" customHeight="1">
      <c r="A1356" s="2">
        <v>1355.0</v>
      </c>
      <c r="B1356" s="1" t="s">
        <v>42</v>
      </c>
      <c r="C1356" s="1" t="s">
        <v>3702</v>
      </c>
      <c r="D1356" s="1" t="s">
        <v>297</v>
      </c>
      <c r="E1356" s="2">
        <v>5.70038356201E11</v>
      </c>
      <c r="F1356" s="1" t="s">
        <v>3685</v>
      </c>
      <c r="G1356" s="1" t="s">
        <v>12</v>
      </c>
      <c r="H1356" s="1" t="s">
        <v>3037</v>
      </c>
      <c r="I1356" s="1" t="s">
        <v>3038</v>
      </c>
      <c r="J1356" s="1" t="s">
        <v>3039</v>
      </c>
    </row>
    <row r="1357" ht="15.75" customHeight="1">
      <c r="A1357" s="2">
        <v>1356.0</v>
      </c>
      <c r="B1357" s="1" t="s">
        <v>1365</v>
      </c>
      <c r="C1357" s="1" t="s">
        <v>3703</v>
      </c>
      <c r="D1357" s="1" t="s">
        <v>1552</v>
      </c>
      <c r="E1357" s="2">
        <v>5.7003835621E11</v>
      </c>
      <c r="F1357" s="1" t="s">
        <v>3586</v>
      </c>
      <c r="G1357" s="1" t="s">
        <v>12</v>
      </c>
      <c r="H1357" s="1" t="s">
        <v>3037</v>
      </c>
      <c r="I1357" s="1" t="s">
        <v>3038</v>
      </c>
      <c r="J1357" s="1" t="s">
        <v>3039</v>
      </c>
    </row>
    <row r="1358" ht="15.75" customHeight="1">
      <c r="A1358" s="2">
        <v>1357.0</v>
      </c>
      <c r="B1358" s="1" t="s">
        <v>875</v>
      </c>
      <c r="C1358" s="1" t="s">
        <v>1236</v>
      </c>
      <c r="D1358" s="1" t="s">
        <v>168</v>
      </c>
      <c r="E1358" s="2">
        <v>5.70038356211E11</v>
      </c>
      <c r="F1358" s="1" t="s">
        <v>3704</v>
      </c>
      <c r="G1358" s="1" t="s">
        <v>12</v>
      </c>
      <c r="H1358" s="3" t="s">
        <v>3037</v>
      </c>
      <c r="I1358" s="1" t="s">
        <v>3038</v>
      </c>
      <c r="J1358" s="1" t="s">
        <v>3039</v>
      </c>
    </row>
    <row r="1359" ht="15.75" customHeight="1">
      <c r="A1359" s="2">
        <v>1358.0</v>
      </c>
      <c r="B1359" s="1" t="s">
        <v>1649</v>
      </c>
      <c r="C1359" s="1" t="s">
        <v>3705</v>
      </c>
      <c r="D1359" s="1" t="s">
        <v>3706</v>
      </c>
      <c r="E1359" s="2">
        <v>5.70038356213E11</v>
      </c>
      <c r="F1359" s="1" t="s">
        <v>3707</v>
      </c>
      <c r="G1359" s="1" t="s">
        <v>12</v>
      </c>
      <c r="H1359" s="3" t="s">
        <v>3037</v>
      </c>
      <c r="I1359" s="1" t="s">
        <v>3038</v>
      </c>
      <c r="J1359" s="1" t="s">
        <v>3039</v>
      </c>
    </row>
    <row r="1360" ht="15.75" customHeight="1">
      <c r="A1360" s="2">
        <v>1359.0</v>
      </c>
      <c r="B1360" s="1" t="s">
        <v>3708</v>
      </c>
      <c r="C1360" s="1" t="s">
        <v>3709</v>
      </c>
      <c r="D1360" s="1" t="s">
        <v>3710</v>
      </c>
      <c r="E1360" s="2">
        <v>5.70038356217E11</v>
      </c>
      <c r="F1360" s="1" t="s">
        <v>3711</v>
      </c>
      <c r="G1360" s="1" t="s">
        <v>12</v>
      </c>
      <c r="H1360" s="3" t="s">
        <v>3037</v>
      </c>
      <c r="I1360" s="1" t="s">
        <v>3038</v>
      </c>
      <c r="J1360" s="1" t="s">
        <v>3039</v>
      </c>
    </row>
    <row r="1361" ht="15.75" customHeight="1">
      <c r="A1361" s="2">
        <v>1360.0</v>
      </c>
      <c r="B1361" s="1" t="s">
        <v>1237</v>
      </c>
      <c r="C1361" s="1" t="s">
        <v>3541</v>
      </c>
      <c r="D1361" s="1" t="s">
        <v>1506</v>
      </c>
      <c r="E1361" s="2">
        <v>5.70038356218E11</v>
      </c>
      <c r="F1361" s="1" t="s">
        <v>2365</v>
      </c>
      <c r="G1361" s="1" t="s">
        <v>12</v>
      </c>
      <c r="H1361" s="3" t="s">
        <v>3037</v>
      </c>
      <c r="I1361" s="1" t="s">
        <v>3038</v>
      </c>
      <c r="J1361" s="1" t="s">
        <v>3039</v>
      </c>
    </row>
    <row r="1362" ht="15.75" customHeight="1">
      <c r="A1362" s="2">
        <v>1361.0</v>
      </c>
      <c r="B1362" s="1" t="s">
        <v>3387</v>
      </c>
      <c r="C1362" s="1" t="s">
        <v>3712</v>
      </c>
      <c r="D1362" s="1" t="s">
        <v>3713</v>
      </c>
      <c r="E1362" s="2">
        <v>5.70038356219E11</v>
      </c>
      <c r="F1362" s="1" t="s">
        <v>3714</v>
      </c>
      <c r="G1362" s="1" t="s">
        <v>12</v>
      </c>
      <c r="H1362" s="3" t="s">
        <v>3037</v>
      </c>
      <c r="I1362" s="1" t="s">
        <v>3038</v>
      </c>
      <c r="J1362" s="1" t="s">
        <v>3039</v>
      </c>
    </row>
    <row r="1363" ht="15.75" customHeight="1">
      <c r="A1363" s="2">
        <v>1362.0</v>
      </c>
      <c r="B1363" s="1" t="s">
        <v>313</v>
      </c>
      <c r="C1363" s="1" t="s">
        <v>3715</v>
      </c>
      <c r="D1363" s="1" t="s">
        <v>3710</v>
      </c>
      <c r="E1363" s="2">
        <v>5.70038356221E11</v>
      </c>
      <c r="F1363" s="1" t="s">
        <v>3716</v>
      </c>
      <c r="G1363" s="1" t="s">
        <v>12</v>
      </c>
      <c r="H1363" s="3" t="s">
        <v>3037</v>
      </c>
      <c r="I1363" s="1" t="s">
        <v>3038</v>
      </c>
      <c r="J1363" s="1" t="s">
        <v>3039</v>
      </c>
    </row>
    <row r="1364" ht="15.75" customHeight="1">
      <c r="A1364" s="2">
        <v>1363.0</v>
      </c>
      <c r="B1364" s="1" t="s">
        <v>3710</v>
      </c>
      <c r="C1364" s="1" t="s">
        <v>1768</v>
      </c>
      <c r="D1364" s="1" t="s">
        <v>3717</v>
      </c>
      <c r="E1364" s="2">
        <v>5.70038356222E11</v>
      </c>
      <c r="F1364" s="1" t="s">
        <v>3718</v>
      </c>
      <c r="G1364" s="1" t="s">
        <v>12</v>
      </c>
      <c r="H1364" s="3" t="s">
        <v>3037</v>
      </c>
      <c r="I1364" s="1" t="s">
        <v>3038</v>
      </c>
      <c r="J1364" s="1" t="s">
        <v>3039</v>
      </c>
    </row>
    <row r="1365" ht="15.75" customHeight="1">
      <c r="A1365" s="2">
        <v>1364.0</v>
      </c>
      <c r="B1365" s="1" t="s">
        <v>2221</v>
      </c>
      <c r="C1365" s="1" t="s">
        <v>3719</v>
      </c>
      <c r="D1365" s="1" t="s">
        <v>3569</v>
      </c>
      <c r="E1365" s="2">
        <v>5.70038356223E11</v>
      </c>
      <c r="F1365" s="1" t="s">
        <v>3596</v>
      </c>
      <c r="G1365" s="1" t="s">
        <v>12</v>
      </c>
      <c r="H1365" s="3" t="s">
        <v>3037</v>
      </c>
      <c r="I1365" s="1" t="s">
        <v>3038</v>
      </c>
      <c r="J1365" s="1" t="s">
        <v>3039</v>
      </c>
    </row>
    <row r="1366" ht="15.75" customHeight="1">
      <c r="A1366" s="2">
        <v>1365.0</v>
      </c>
      <c r="B1366" s="1" t="s">
        <v>1407</v>
      </c>
      <c r="C1366" s="1" t="s">
        <v>3720</v>
      </c>
      <c r="D1366" s="1" t="s">
        <v>3721</v>
      </c>
      <c r="E1366" s="2">
        <v>5.70038356224E11</v>
      </c>
      <c r="F1366" s="1" t="s">
        <v>3722</v>
      </c>
      <c r="G1366" s="1" t="s">
        <v>12</v>
      </c>
      <c r="H1366" s="3" t="s">
        <v>3037</v>
      </c>
      <c r="I1366" s="1" t="s">
        <v>3038</v>
      </c>
      <c r="J1366" s="1" t="s">
        <v>3039</v>
      </c>
    </row>
    <row r="1367" ht="15.75" customHeight="1">
      <c r="A1367" s="2">
        <v>1366.0</v>
      </c>
      <c r="B1367" s="1" t="s">
        <v>3723</v>
      </c>
      <c r="C1367" s="1" t="s">
        <v>3724</v>
      </c>
      <c r="D1367" s="1" t="s">
        <v>3725</v>
      </c>
      <c r="E1367" s="2">
        <v>5.70038356227E11</v>
      </c>
      <c r="F1367" s="1" t="s">
        <v>3726</v>
      </c>
      <c r="G1367" s="1" t="s">
        <v>12</v>
      </c>
      <c r="H1367" s="3" t="s">
        <v>3037</v>
      </c>
      <c r="I1367" s="1" t="s">
        <v>3038</v>
      </c>
      <c r="J1367" s="1" t="s">
        <v>3039</v>
      </c>
    </row>
    <row r="1368" ht="15.75" customHeight="1">
      <c r="A1368" s="2">
        <v>1367.0</v>
      </c>
      <c r="B1368" s="1" t="s">
        <v>3727</v>
      </c>
      <c r="C1368" s="1" t="s">
        <v>3728</v>
      </c>
      <c r="D1368" s="1" t="s">
        <v>3729</v>
      </c>
      <c r="E1368" s="2">
        <v>5.70038356229E11</v>
      </c>
      <c r="F1368" s="1" t="s">
        <v>3652</v>
      </c>
      <c r="G1368" s="1" t="s">
        <v>12</v>
      </c>
      <c r="H1368" s="3" t="s">
        <v>3037</v>
      </c>
      <c r="I1368" s="1" t="s">
        <v>3038</v>
      </c>
      <c r="J1368" s="1" t="s">
        <v>3039</v>
      </c>
    </row>
    <row r="1369" ht="15.75" customHeight="1">
      <c r="A1369" s="2">
        <v>1368.0</v>
      </c>
      <c r="B1369" s="1" t="s">
        <v>543</v>
      </c>
      <c r="C1369" s="1" t="s">
        <v>3730</v>
      </c>
      <c r="D1369" s="1" t="s">
        <v>362</v>
      </c>
      <c r="E1369" s="2">
        <v>5.7003835623E11</v>
      </c>
      <c r="F1369" s="1" t="s">
        <v>3731</v>
      </c>
      <c r="G1369" s="1" t="s">
        <v>12</v>
      </c>
      <c r="H1369" s="3" t="s">
        <v>3037</v>
      </c>
      <c r="I1369" s="1" t="s">
        <v>3038</v>
      </c>
      <c r="J1369" s="1" t="s">
        <v>3039</v>
      </c>
    </row>
    <row r="1370" ht="15.75" customHeight="1">
      <c r="A1370" s="2">
        <v>1369.0</v>
      </c>
      <c r="B1370" s="1" t="s">
        <v>168</v>
      </c>
      <c r="C1370" s="1" t="s">
        <v>3732</v>
      </c>
      <c r="D1370" s="1" t="s">
        <v>77</v>
      </c>
      <c r="E1370" s="2">
        <v>5.70038356231E11</v>
      </c>
      <c r="F1370" s="1" t="s">
        <v>3733</v>
      </c>
      <c r="G1370" s="1" t="s">
        <v>12</v>
      </c>
      <c r="H1370" s="3" t="s">
        <v>3037</v>
      </c>
      <c r="I1370" s="1" t="s">
        <v>3038</v>
      </c>
      <c r="J1370" s="1" t="s">
        <v>3039</v>
      </c>
    </row>
    <row r="1371" ht="15.75" customHeight="1">
      <c r="A1371" s="2">
        <v>1370.0</v>
      </c>
      <c r="B1371" s="1" t="s">
        <v>498</v>
      </c>
      <c r="C1371" s="1" t="s">
        <v>3732</v>
      </c>
      <c r="D1371" s="1" t="s">
        <v>77</v>
      </c>
      <c r="E1371" s="2">
        <v>5.70038356233E11</v>
      </c>
      <c r="F1371" s="1" t="s">
        <v>3734</v>
      </c>
      <c r="G1371" s="1" t="s">
        <v>12</v>
      </c>
      <c r="H1371" s="3" t="s">
        <v>3037</v>
      </c>
      <c r="I1371" s="1" t="s">
        <v>3038</v>
      </c>
      <c r="J1371" s="1" t="s">
        <v>3039</v>
      </c>
    </row>
    <row r="1372" ht="15.75" customHeight="1">
      <c r="A1372" s="2">
        <v>1371.0</v>
      </c>
      <c r="B1372" s="1" t="s">
        <v>1379</v>
      </c>
      <c r="C1372" s="1" t="s">
        <v>1692</v>
      </c>
      <c r="D1372" s="1" t="s">
        <v>3735</v>
      </c>
      <c r="E1372" s="2">
        <v>5.70038356234E11</v>
      </c>
      <c r="F1372" s="1" t="s">
        <v>3736</v>
      </c>
      <c r="G1372" s="1" t="s">
        <v>12</v>
      </c>
      <c r="H1372" s="3" t="s">
        <v>3037</v>
      </c>
      <c r="I1372" s="1" t="s">
        <v>3038</v>
      </c>
      <c r="J1372" s="1" t="s">
        <v>3039</v>
      </c>
    </row>
    <row r="1373" ht="15.75" customHeight="1">
      <c r="A1373" s="2">
        <v>1372.0</v>
      </c>
      <c r="B1373" s="1" t="s">
        <v>3737</v>
      </c>
      <c r="C1373" s="1" t="s">
        <v>2548</v>
      </c>
      <c r="D1373" s="1" t="s">
        <v>564</v>
      </c>
      <c r="E1373" s="2">
        <v>5.70038356235E11</v>
      </c>
      <c r="F1373" s="1" t="s">
        <v>3738</v>
      </c>
      <c r="G1373" s="1" t="s">
        <v>12</v>
      </c>
      <c r="H1373" s="3" t="s">
        <v>3037</v>
      </c>
      <c r="I1373" s="1" t="s">
        <v>3038</v>
      </c>
      <c r="J1373" s="1" t="s">
        <v>3039</v>
      </c>
    </row>
    <row r="1374" ht="15.75" customHeight="1">
      <c r="A1374" s="2">
        <v>1373.0</v>
      </c>
      <c r="B1374" s="1" t="s">
        <v>295</v>
      </c>
      <c r="C1374" s="1" t="s">
        <v>3739</v>
      </c>
      <c r="D1374" s="1" t="s">
        <v>3740</v>
      </c>
      <c r="E1374" s="2">
        <v>5.70038356236E11</v>
      </c>
      <c r="F1374" s="1" t="s">
        <v>3741</v>
      </c>
      <c r="G1374" s="1" t="s">
        <v>12</v>
      </c>
      <c r="H1374" s="3" t="s">
        <v>3037</v>
      </c>
      <c r="I1374" s="1" t="s">
        <v>3038</v>
      </c>
      <c r="J1374" s="1" t="s">
        <v>3039</v>
      </c>
    </row>
    <row r="1375" ht="15.75" customHeight="1">
      <c r="A1375" s="2">
        <v>1374.0</v>
      </c>
      <c r="B1375" s="1" t="s">
        <v>179</v>
      </c>
      <c r="C1375" s="1" t="s">
        <v>3742</v>
      </c>
      <c r="D1375" s="1" t="s">
        <v>93</v>
      </c>
      <c r="E1375" s="2">
        <v>5.70038356237E11</v>
      </c>
      <c r="F1375" s="1" t="s">
        <v>3743</v>
      </c>
      <c r="G1375" s="1" t="s">
        <v>12</v>
      </c>
      <c r="H1375" s="3" t="s">
        <v>3037</v>
      </c>
      <c r="I1375" s="1" t="s">
        <v>3038</v>
      </c>
      <c r="J1375" s="1" t="s">
        <v>3039</v>
      </c>
    </row>
    <row r="1376" ht="15.75" customHeight="1">
      <c r="A1376" s="2">
        <v>1375.0</v>
      </c>
      <c r="B1376" s="1" t="s">
        <v>583</v>
      </c>
      <c r="C1376" s="1" t="s">
        <v>708</v>
      </c>
      <c r="D1376" s="1" t="s">
        <v>48</v>
      </c>
      <c r="E1376" s="2">
        <v>5.70038356239E11</v>
      </c>
      <c r="F1376" s="1" t="s">
        <v>3744</v>
      </c>
      <c r="G1376" s="1" t="s">
        <v>12</v>
      </c>
      <c r="H1376" s="3" t="s">
        <v>3037</v>
      </c>
      <c r="I1376" s="1" t="s">
        <v>3038</v>
      </c>
      <c r="J1376" s="1" t="s">
        <v>3039</v>
      </c>
    </row>
    <row r="1377" ht="15.75" customHeight="1">
      <c r="A1377" s="2">
        <v>1376.0</v>
      </c>
      <c r="B1377" s="1" t="s">
        <v>3745</v>
      </c>
      <c r="C1377" s="1" t="s">
        <v>3746</v>
      </c>
      <c r="D1377" s="1" t="s">
        <v>77</v>
      </c>
      <c r="E1377" s="2">
        <v>5.7003835624E11</v>
      </c>
      <c r="F1377" s="1" t="s">
        <v>3747</v>
      </c>
      <c r="G1377" s="1" t="s">
        <v>12</v>
      </c>
      <c r="H1377" s="3" t="s">
        <v>3037</v>
      </c>
      <c r="I1377" s="1" t="s">
        <v>3038</v>
      </c>
      <c r="J1377" s="1" t="s">
        <v>3039</v>
      </c>
    </row>
    <row r="1378" ht="15.75" customHeight="1">
      <c r="A1378" s="2">
        <v>1377.0</v>
      </c>
      <c r="B1378" s="1" t="s">
        <v>3748</v>
      </c>
      <c r="C1378" s="1" t="s">
        <v>3749</v>
      </c>
      <c r="D1378" s="1" t="s">
        <v>3745</v>
      </c>
      <c r="E1378" s="2">
        <v>5.70038356244E11</v>
      </c>
      <c r="F1378" s="1" t="s">
        <v>3750</v>
      </c>
      <c r="G1378" s="1" t="s">
        <v>12</v>
      </c>
      <c r="H1378" s="3" t="s">
        <v>3037</v>
      </c>
      <c r="I1378" s="1" t="s">
        <v>3038</v>
      </c>
      <c r="J1378" s="1" t="s">
        <v>3039</v>
      </c>
    </row>
    <row r="1379" ht="15.75" customHeight="1">
      <c r="A1379" s="2">
        <v>1378.0</v>
      </c>
      <c r="B1379" s="1" t="s">
        <v>3751</v>
      </c>
      <c r="C1379" s="1" t="s">
        <v>3752</v>
      </c>
      <c r="D1379" s="1" t="s">
        <v>3753</v>
      </c>
      <c r="E1379" s="2">
        <v>5.70038356245E11</v>
      </c>
      <c r="F1379" s="1" t="s">
        <v>3754</v>
      </c>
      <c r="G1379" s="1" t="s">
        <v>12</v>
      </c>
      <c r="H1379" s="3" t="s">
        <v>3037</v>
      </c>
      <c r="I1379" s="1" t="s">
        <v>3038</v>
      </c>
      <c r="J1379" s="1" t="s">
        <v>3039</v>
      </c>
    </row>
    <row r="1380" ht="15.75" customHeight="1">
      <c r="A1380" s="2">
        <v>1379.0</v>
      </c>
      <c r="B1380" s="1" t="s">
        <v>97</v>
      </c>
      <c r="C1380" s="1" t="s">
        <v>711</v>
      </c>
      <c r="D1380" s="1" t="s">
        <v>3755</v>
      </c>
      <c r="E1380" s="2">
        <v>5.70038356246E11</v>
      </c>
      <c r="F1380" s="1" t="s">
        <v>3756</v>
      </c>
      <c r="G1380" s="1" t="s">
        <v>12</v>
      </c>
      <c r="H1380" s="3" t="s">
        <v>3037</v>
      </c>
      <c r="I1380" s="1" t="s">
        <v>3038</v>
      </c>
      <c r="J1380" s="1" t="s">
        <v>3039</v>
      </c>
    </row>
    <row r="1381" ht="15.75" customHeight="1">
      <c r="A1381" s="2">
        <v>1380.0</v>
      </c>
      <c r="B1381" s="1" t="s">
        <v>269</v>
      </c>
      <c r="C1381" s="1" t="s">
        <v>446</v>
      </c>
      <c r="D1381" s="1" t="s">
        <v>498</v>
      </c>
      <c r="E1381" s="2">
        <v>5.70038356257E11</v>
      </c>
      <c r="F1381" s="1" t="s">
        <v>724</v>
      </c>
      <c r="G1381" s="1" t="s">
        <v>12</v>
      </c>
      <c r="H1381" s="3" t="s">
        <v>3037</v>
      </c>
      <c r="I1381" s="1" t="s">
        <v>3038</v>
      </c>
      <c r="J1381" s="1" t="s">
        <v>3039</v>
      </c>
    </row>
    <row r="1382" ht="15.75" customHeight="1">
      <c r="A1382" s="2">
        <v>1381.0</v>
      </c>
      <c r="B1382" s="1" t="s">
        <v>77</v>
      </c>
      <c r="C1382" s="1" t="s">
        <v>3757</v>
      </c>
      <c r="D1382" s="1" t="s">
        <v>3758</v>
      </c>
      <c r="E1382" s="2">
        <v>5.70038356259E11</v>
      </c>
      <c r="F1382" s="1" t="s">
        <v>3759</v>
      </c>
      <c r="G1382" s="1" t="s">
        <v>12</v>
      </c>
      <c r="H1382" s="3" t="s">
        <v>3037</v>
      </c>
      <c r="I1382" s="1" t="s">
        <v>3038</v>
      </c>
      <c r="J1382" s="1" t="s">
        <v>3039</v>
      </c>
    </row>
    <row r="1383" ht="15.75" customHeight="1">
      <c r="A1383" s="2">
        <v>1382.0</v>
      </c>
      <c r="B1383" s="1" t="s">
        <v>3056</v>
      </c>
      <c r="C1383" s="1" t="s">
        <v>3760</v>
      </c>
      <c r="D1383" s="1" t="s">
        <v>3761</v>
      </c>
      <c r="E1383" s="2">
        <v>5.70038356261E11</v>
      </c>
      <c r="F1383" s="1" t="s">
        <v>3762</v>
      </c>
      <c r="G1383" s="1" t="s">
        <v>12</v>
      </c>
      <c r="H1383" s="3" t="s">
        <v>3037</v>
      </c>
      <c r="I1383" s="1" t="s">
        <v>3038</v>
      </c>
      <c r="J1383" s="1" t="s">
        <v>3039</v>
      </c>
    </row>
    <row r="1384" ht="15.75" customHeight="1">
      <c r="A1384" s="2">
        <v>1383.0</v>
      </c>
      <c r="B1384" s="1" t="s">
        <v>445</v>
      </c>
      <c r="C1384" s="1" t="s">
        <v>3763</v>
      </c>
      <c r="D1384" s="1" t="s">
        <v>486</v>
      </c>
      <c r="E1384" s="2">
        <v>5.70038356262E11</v>
      </c>
      <c r="F1384" s="1" t="s">
        <v>3764</v>
      </c>
      <c r="G1384" s="1" t="s">
        <v>12</v>
      </c>
      <c r="H1384" s="3" t="s">
        <v>3037</v>
      </c>
      <c r="I1384" s="1" t="s">
        <v>3038</v>
      </c>
      <c r="J1384" s="1" t="s">
        <v>3039</v>
      </c>
    </row>
    <row r="1385" ht="15.75" customHeight="1">
      <c r="A1385" s="2">
        <v>1384.0</v>
      </c>
      <c r="B1385" s="1" t="s">
        <v>42</v>
      </c>
      <c r="C1385" s="1" t="s">
        <v>3765</v>
      </c>
      <c r="D1385" s="1" t="s">
        <v>2973</v>
      </c>
      <c r="E1385" s="2">
        <v>5.70038356263E11</v>
      </c>
      <c r="F1385" s="1" t="s">
        <v>2492</v>
      </c>
      <c r="G1385" s="1" t="s">
        <v>12</v>
      </c>
      <c r="H1385" s="3" t="s">
        <v>3037</v>
      </c>
      <c r="I1385" s="1" t="s">
        <v>3038</v>
      </c>
      <c r="J1385" s="1" t="s">
        <v>3039</v>
      </c>
    </row>
    <row r="1386" ht="15.75" customHeight="1">
      <c r="A1386" s="2">
        <v>1385.0</v>
      </c>
      <c r="B1386" s="1" t="s">
        <v>1232</v>
      </c>
      <c r="C1386" s="1" t="s">
        <v>3766</v>
      </c>
      <c r="D1386" s="1" t="s">
        <v>3767</v>
      </c>
      <c r="E1386" s="2">
        <v>5.7003835627E11</v>
      </c>
      <c r="F1386" s="1" t="s">
        <v>3768</v>
      </c>
      <c r="G1386" s="1" t="s">
        <v>12</v>
      </c>
      <c r="H1386" s="3" t="s">
        <v>3037</v>
      </c>
      <c r="I1386" s="1" t="s">
        <v>3038</v>
      </c>
      <c r="J1386" s="1" t="s">
        <v>3039</v>
      </c>
    </row>
    <row r="1387" ht="15.75" customHeight="1">
      <c r="A1387" s="2">
        <v>1386.0</v>
      </c>
      <c r="B1387" s="1" t="s">
        <v>1649</v>
      </c>
      <c r="C1387" s="1" t="s">
        <v>3769</v>
      </c>
      <c r="D1387" s="1" t="s">
        <v>3770</v>
      </c>
      <c r="E1387" s="2">
        <v>5.70038356272E11</v>
      </c>
      <c r="F1387" s="1" t="s">
        <v>3771</v>
      </c>
      <c r="G1387" s="1" t="s">
        <v>12</v>
      </c>
      <c r="H1387" s="3" t="s">
        <v>3037</v>
      </c>
      <c r="I1387" s="1" t="s">
        <v>3038</v>
      </c>
      <c r="J1387" s="1" t="s">
        <v>3039</v>
      </c>
    </row>
    <row r="1388" ht="15.75" customHeight="1">
      <c r="A1388" s="2">
        <v>1387.0</v>
      </c>
      <c r="B1388" s="1" t="s">
        <v>3387</v>
      </c>
      <c r="C1388" s="1" t="s">
        <v>3772</v>
      </c>
      <c r="D1388" s="1" t="s">
        <v>940</v>
      </c>
      <c r="E1388" s="2">
        <v>5.70038356273E11</v>
      </c>
      <c r="F1388" s="1" t="s">
        <v>3608</v>
      </c>
      <c r="G1388" s="1" t="s">
        <v>12</v>
      </c>
      <c r="H1388" s="3" t="s">
        <v>3037</v>
      </c>
      <c r="I1388" s="1" t="s">
        <v>3038</v>
      </c>
      <c r="J1388" s="1" t="s">
        <v>3039</v>
      </c>
    </row>
    <row r="1389" ht="15.75" customHeight="1">
      <c r="A1389" s="2">
        <v>1388.0</v>
      </c>
      <c r="B1389" s="1" t="s">
        <v>725</v>
      </c>
      <c r="C1389" s="1" t="s">
        <v>200</v>
      </c>
      <c r="D1389" s="1" t="s">
        <v>1308</v>
      </c>
      <c r="E1389" s="2">
        <v>5.70038356274E11</v>
      </c>
      <c r="F1389" s="1" t="s">
        <v>3773</v>
      </c>
      <c r="G1389" s="1" t="s">
        <v>12</v>
      </c>
      <c r="H1389" s="3" t="s">
        <v>3037</v>
      </c>
      <c r="I1389" s="1" t="s">
        <v>3038</v>
      </c>
      <c r="J1389" s="1" t="s">
        <v>3039</v>
      </c>
    </row>
    <row r="1390" ht="15.75" customHeight="1">
      <c r="A1390" s="2">
        <v>1389.0</v>
      </c>
      <c r="B1390" s="1" t="s">
        <v>569</v>
      </c>
      <c r="C1390" s="1" t="s">
        <v>1711</v>
      </c>
      <c r="D1390" s="1" t="s">
        <v>3774</v>
      </c>
      <c r="E1390" s="2">
        <v>5.70038356276E11</v>
      </c>
      <c r="F1390" s="1" t="s">
        <v>3775</v>
      </c>
      <c r="G1390" s="1" t="s">
        <v>12</v>
      </c>
      <c r="H1390" s="3" t="s">
        <v>3037</v>
      </c>
      <c r="I1390" s="1" t="s">
        <v>3038</v>
      </c>
      <c r="J1390" s="1" t="s">
        <v>3039</v>
      </c>
    </row>
    <row r="1391" ht="15.75" customHeight="1">
      <c r="A1391" s="2">
        <v>1390.0</v>
      </c>
      <c r="B1391" s="1" t="s">
        <v>3776</v>
      </c>
      <c r="C1391" s="1" t="s">
        <v>3777</v>
      </c>
      <c r="D1391" s="1" t="s">
        <v>195</v>
      </c>
      <c r="E1391" s="2">
        <v>5.70038356277E11</v>
      </c>
      <c r="F1391" s="1" t="s">
        <v>65</v>
      </c>
      <c r="G1391" s="1" t="s">
        <v>12</v>
      </c>
      <c r="H1391" s="3" t="s">
        <v>3037</v>
      </c>
      <c r="I1391" s="1" t="s">
        <v>3038</v>
      </c>
      <c r="J1391" s="1" t="s">
        <v>3039</v>
      </c>
    </row>
    <row r="1392" ht="15.75" customHeight="1">
      <c r="A1392" s="2">
        <v>1391.0</v>
      </c>
      <c r="B1392" s="1" t="s">
        <v>479</v>
      </c>
      <c r="C1392" s="1" t="s">
        <v>3778</v>
      </c>
      <c r="D1392" s="1" t="s">
        <v>3779</v>
      </c>
      <c r="E1392" s="2">
        <v>5.70038356278E11</v>
      </c>
      <c r="F1392" s="1" t="s">
        <v>3632</v>
      </c>
      <c r="G1392" s="1" t="s">
        <v>12</v>
      </c>
      <c r="H1392" s="3" t="s">
        <v>3037</v>
      </c>
      <c r="I1392" s="1" t="s">
        <v>3038</v>
      </c>
      <c r="J1392" s="1" t="s">
        <v>3039</v>
      </c>
    </row>
    <row r="1393" ht="15.75" customHeight="1">
      <c r="A1393" s="2">
        <v>1392.0</v>
      </c>
      <c r="B1393" s="1" t="s">
        <v>2503</v>
      </c>
      <c r="C1393" s="1" t="s">
        <v>140</v>
      </c>
      <c r="D1393" s="1" t="s">
        <v>3780</v>
      </c>
      <c r="E1393" s="2">
        <v>5.7003835628E11</v>
      </c>
      <c r="F1393" s="1" t="s">
        <v>3781</v>
      </c>
      <c r="G1393" s="1" t="s">
        <v>12</v>
      </c>
      <c r="H1393" s="3" t="s">
        <v>3037</v>
      </c>
      <c r="I1393" s="1" t="s">
        <v>3038</v>
      </c>
      <c r="J1393" s="1" t="s">
        <v>3039</v>
      </c>
    </row>
    <row r="1394" ht="15.75" customHeight="1">
      <c r="A1394" s="2">
        <v>1393.0</v>
      </c>
      <c r="B1394" s="1" t="s">
        <v>3782</v>
      </c>
      <c r="C1394" s="1" t="s">
        <v>2943</v>
      </c>
      <c r="D1394" s="1" t="s">
        <v>3783</v>
      </c>
      <c r="E1394" s="2">
        <v>5.70038356293E11</v>
      </c>
      <c r="F1394" s="1" t="s">
        <v>3784</v>
      </c>
      <c r="G1394" s="1" t="s">
        <v>12</v>
      </c>
      <c r="H1394" s="3" t="s">
        <v>3037</v>
      </c>
      <c r="I1394" s="1" t="s">
        <v>3038</v>
      </c>
      <c r="J1394" s="1" t="s">
        <v>3039</v>
      </c>
    </row>
    <row r="1395" ht="15.75" customHeight="1">
      <c r="A1395" s="2">
        <v>1394.0</v>
      </c>
      <c r="B1395" s="1" t="s">
        <v>368</v>
      </c>
      <c r="C1395" s="1" t="s">
        <v>3785</v>
      </c>
      <c r="D1395" s="1" t="s">
        <v>2846</v>
      </c>
      <c r="E1395" s="2">
        <v>5.70038356295E11</v>
      </c>
      <c r="F1395" s="1" t="s">
        <v>3786</v>
      </c>
      <c r="G1395" s="1" t="s">
        <v>12</v>
      </c>
      <c r="H1395" s="3" t="s">
        <v>3037</v>
      </c>
      <c r="I1395" s="1" t="s">
        <v>3038</v>
      </c>
      <c r="J1395" s="1" t="s">
        <v>3039</v>
      </c>
    </row>
    <row r="1396" ht="15.75" customHeight="1">
      <c r="A1396" s="2">
        <v>1395.0</v>
      </c>
      <c r="B1396" s="1" t="s">
        <v>3787</v>
      </c>
      <c r="C1396" s="1" t="s">
        <v>938</v>
      </c>
      <c r="D1396" s="1" t="s">
        <v>368</v>
      </c>
      <c r="E1396" s="2">
        <v>5.70038356296E11</v>
      </c>
      <c r="F1396" s="1" t="s">
        <v>3788</v>
      </c>
      <c r="G1396" s="1" t="s">
        <v>12</v>
      </c>
      <c r="H1396" s="3" t="s">
        <v>3037</v>
      </c>
      <c r="I1396" s="1" t="s">
        <v>3038</v>
      </c>
      <c r="J1396" s="1" t="s">
        <v>3039</v>
      </c>
    </row>
    <row r="1397" ht="15.75" customHeight="1">
      <c r="A1397" s="2">
        <v>1396.0</v>
      </c>
      <c r="B1397" s="1" t="s">
        <v>486</v>
      </c>
      <c r="C1397" s="1" t="s">
        <v>3789</v>
      </c>
      <c r="D1397" s="1" t="s">
        <v>3790</v>
      </c>
      <c r="E1397" s="2">
        <v>5.70038356297E11</v>
      </c>
      <c r="F1397" s="1" t="s">
        <v>3791</v>
      </c>
      <c r="G1397" s="1" t="s">
        <v>12</v>
      </c>
      <c r="H1397" s="3" t="s">
        <v>3037</v>
      </c>
      <c r="I1397" s="1" t="s">
        <v>3038</v>
      </c>
      <c r="J1397" s="1" t="s">
        <v>3039</v>
      </c>
    </row>
    <row r="1398" ht="15.75" customHeight="1">
      <c r="A1398" s="2">
        <v>1397.0</v>
      </c>
      <c r="B1398" s="1" t="s">
        <v>1649</v>
      </c>
      <c r="C1398" s="1" t="s">
        <v>3792</v>
      </c>
      <c r="D1398" s="1" t="s">
        <v>486</v>
      </c>
      <c r="E1398" s="2">
        <v>5.70038356298E11</v>
      </c>
      <c r="F1398" s="1" t="s">
        <v>3793</v>
      </c>
      <c r="G1398" s="1" t="s">
        <v>12</v>
      </c>
      <c r="H1398" s="3" t="s">
        <v>3037</v>
      </c>
      <c r="I1398" s="1" t="s">
        <v>3038</v>
      </c>
      <c r="J1398" s="1" t="s">
        <v>3039</v>
      </c>
    </row>
    <row r="1399" ht="15.75" customHeight="1">
      <c r="A1399" s="2">
        <v>1398.0</v>
      </c>
      <c r="B1399" s="1" t="s">
        <v>431</v>
      </c>
      <c r="C1399" s="1" t="s">
        <v>3766</v>
      </c>
      <c r="D1399" s="1" t="s">
        <v>3794</v>
      </c>
      <c r="E1399" s="2">
        <v>5.700383563E11</v>
      </c>
      <c r="F1399" s="1" t="s">
        <v>3795</v>
      </c>
      <c r="G1399" s="1" t="s">
        <v>12</v>
      </c>
      <c r="H1399" s="3" t="s">
        <v>3037</v>
      </c>
      <c r="I1399" s="1" t="s">
        <v>3038</v>
      </c>
      <c r="J1399" s="1" t="s">
        <v>3039</v>
      </c>
    </row>
    <row r="1400" ht="15.75" customHeight="1">
      <c r="A1400" s="2">
        <v>1399.0</v>
      </c>
      <c r="B1400" s="1" t="s">
        <v>486</v>
      </c>
      <c r="C1400" s="1" t="s">
        <v>3796</v>
      </c>
      <c r="D1400" s="1" t="s">
        <v>1082</v>
      </c>
      <c r="E1400" s="2">
        <v>5.70038356301E11</v>
      </c>
      <c r="F1400" s="1" t="s">
        <v>3797</v>
      </c>
      <c r="G1400" s="1" t="s">
        <v>12</v>
      </c>
      <c r="H1400" s="3" t="s">
        <v>3037</v>
      </c>
      <c r="I1400" s="1" t="s">
        <v>3038</v>
      </c>
      <c r="J1400" s="1" t="s">
        <v>3039</v>
      </c>
    </row>
    <row r="1401" ht="15.75" customHeight="1">
      <c r="A1401" s="2">
        <v>1400.0</v>
      </c>
      <c r="B1401" s="1" t="s">
        <v>621</v>
      </c>
      <c r="C1401" s="1" t="s">
        <v>1541</v>
      </c>
      <c r="D1401" s="1" t="s">
        <v>433</v>
      </c>
      <c r="E1401" s="2">
        <v>5.70038356302E11</v>
      </c>
      <c r="F1401" s="1" t="s">
        <v>3798</v>
      </c>
      <c r="G1401" s="1" t="s">
        <v>12</v>
      </c>
      <c r="H1401" s="3" t="s">
        <v>3037</v>
      </c>
      <c r="I1401" s="1" t="s">
        <v>3038</v>
      </c>
      <c r="J1401" s="1" t="s">
        <v>3039</v>
      </c>
    </row>
    <row r="1402" ht="15.75" customHeight="1">
      <c r="A1402" s="2">
        <v>1401.0</v>
      </c>
      <c r="B1402" s="1" t="s">
        <v>734</v>
      </c>
      <c r="C1402" s="1" t="s">
        <v>1692</v>
      </c>
      <c r="D1402" s="1" t="s">
        <v>58</v>
      </c>
      <c r="E1402" s="2">
        <v>5.70038356303E11</v>
      </c>
      <c r="F1402" s="1" t="s">
        <v>3799</v>
      </c>
      <c r="G1402" s="1" t="s">
        <v>12</v>
      </c>
      <c r="H1402" s="3" t="s">
        <v>3037</v>
      </c>
      <c r="I1402" s="1" t="s">
        <v>3038</v>
      </c>
      <c r="J1402" s="1" t="s">
        <v>3039</v>
      </c>
    </row>
    <row r="1403" ht="15.75" customHeight="1">
      <c r="A1403" s="2">
        <v>1402.0</v>
      </c>
      <c r="B1403" s="1" t="s">
        <v>168</v>
      </c>
      <c r="C1403" s="1" t="s">
        <v>3800</v>
      </c>
      <c r="D1403" s="1" t="s">
        <v>3801</v>
      </c>
      <c r="E1403" s="2">
        <v>5.70038356304E11</v>
      </c>
      <c r="F1403" s="1" t="s">
        <v>3802</v>
      </c>
      <c r="G1403" s="1" t="s">
        <v>12</v>
      </c>
      <c r="H1403" s="3" t="s">
        <v>3037</v>
      </c>
      <c r="I1403" s="1" t="s">
        <v>3038</v>
      </c>
      <c r="J1403" s="1" t="s">
        <v>3039</v>
      </c>
    </row>
    <row r="1404" ht="15.75" customHeight="1">
      <c r="A1404" s="2">
        <v>1403.0</v>
      </c>
      <c r="B1404" s="1" t="s">
        <v>498</v>
      </c>
      <c r="C1404" s="1" t="s">
        <v>3803</v>
      </c>
      <c r="D1404" s="1" t="s">
        <v>2935</v>
      </c>
      <c r="E1404" s="2">
        <v>5.70038356305E11</v>
      </c>
      <c r="F1404" s="1" t="s">
        <v>3804</v>
      </c>
      <c r="G1404" s="1" t="s">
        <v>12</v>
      </c>
      <c r="H1404" s="3" t="s">
        <v>3037</v>
      </c>
      <c r="I1404" s="1" t="s">
        <v>3038</v>
      </c>
      <c r="J1404" s="1" t="s">
        <v>3039</v>
      </c>
    </row>
    <row r="1405" ht="15.75" customHeight="1">
      <c r="A1405" s="2">
        <v>1404.0</v>
      </c>
      <c r="B1405" s="1" t="s">
        <v>966</v>
      </c>
      <c r="C1405" s="1" t="s">
        <v>3805</v>
      </c>
      <c r="D1405" s="1" t="s">
        <v>1308</v>
      </c>
      <c r="E1405" s="2">
        <v>5.70038356306E11</v>
      </c>
      <c r="F1405" s="1" t="s">
        <v>3806</v>
      </c>
      <c r="G1405" s="1" t="s">
        <v>12</v>
      </c>
      <c r="H1405" s="3" t="s">
        <v>3037</v>
      </c>
      <c r="I1405" s="1" t="s">
        <v>3038</v>
      </c>
      <c r="J1405" s="1" t="s">
        <v>3039</v>
      </c>
    </row>
    <row r="1406" ht="15.75" customHeight="1">
      <c r="A1406" s="2">
        <v>1405.0</v>
      </c>
      <c r="B1406" s="1" t="s">
        <v>3807</v>
      </c>
      <c r="C1406" s="1" t="s">
        <v>3808</v>
      </c>
      <c r="D1406" s="1" t="s">
        <v>3809</v>
      </c>
      <c r="E1406" s="2">
        <v>5.70038356312E11</v>
      </c>
      <c r="F1406" s="1" t="s">
        <v>3810</v>
      </c>
      <c r="G1406" s="1" t="s">
        <v>12</v>
      </c>
      <c r="H1406" s="3" t="s">
        <v>3037</v>
      </c>
      <c r="I1406" s="1" t="s">
        <v>3038</v>
      </c>
      <c r="J1406" s="1" t="s">
        <v>3039</v>
      </c>
    </row>
    <row r="1407" ht="15.75" customHeight="1">
      <c r="A1407" s="2">
        <v>1406.0</v>
      </c>
      <c r="B1407" s="1" t="s">
        <v>3811</v>
      </c>
      <c r="C1407" s="1" t="s">
        <v>3812</v>
      </c>
      <c r="D1407" s="1" t="s">
        <v>3813</v>
      </c>
      <c r="E1407" s="2">
        <v>5.70038356314E11</v>
      </c>
      <c r="F1407" s="1" t="s">
        <v>3814</v>
      </c>
      <c r="G1407" s="1" t="s">
        <v>12</v>
      </c>
      <c r="H1407" s="3" t="s">
        <v>3037</v>
      </c>
      <c r="I1407" s="1" t="s">
        <v>3038</v>
      </c>
      <c r="J1407" s="1" t="s">
        <v>3039</v>
      </c>
    </row>
    <row r="1408" ht="15.75" customHeight="1">
      <c r="A1408" s="2">
        <v>1407.0</v>
      </c>
      <c r="B1408" s="1" t="s">
        <v>3815</v>
      </c>
      <c r="C1408" s="1" t="s">
        <v>3816</v>
      </c>
      <c r="D1408" s="1" t="s">
        <v>2235</v>
      </c>
      <c r="E1408" s="2">
        <v>5.70038356316E11</v>
      </c>
      <c r="F1408" s="1" t="s">
        <v>3817</v>
      </c>
      <c r="G1408" s="1" t="s">
        <v>12</v>
      </c>
      <c r="H1408" s="3" t="s">
        <v>3037</v>
      </c>
      <c r="I1408" s="1" t="s">
        <v>3038</v>
      </c>
      <c r="J1408" s="1" t="s">
        <v>3039</v>
      </c>
    </row>
    <row r="1409" ht="15.75" customHeight="1">
      <c r="A1409" s="2">
        <v>1408.0</v>
      </c>
      <c r="B1409" s="1" t="s">
        <v>1765</v>
      </c>
      <c r="C1409" s="1" t="s">
        <v>31</v>
      </c>
      <c r="D1409" s="1" t="s">
        <v>3811</v>
      </c>
      <c r="E1409" s="2">
        <v>5.70038356318E11</v>
      </c>
      <c r="F1409" s="1" t="s">
        <v>3818</v>
      </c>
      <c r="G1409" s="1" t="s">
        <v>12</v>
      </c>
      <c r="H1409" s="3" t="s">
        <v>3037</v>
      </c>
      <c r="I1409" s="1" t="s">
        <v>3038</v>
      </c>
      <c r="J1409" s="1" t="s">
        <v>3039</v>
      </c>
    </row>
    <row r="1410" ht="15.75" customHeight="1">
      <c r="A1410" s="2">
        <v>1409.0</v>
      </c>
      <c r="B1410" s="1" t="s">
        <v>1477</v>
      </c>
      <c r="C1410" s="1" t="s">
        <v>3819</v>
      </c>
      <c r="D1410" s="1" t="s">
        <v>77</v>
      </c>
      <c r="E1410" s="2">
        <v>5.70038356322E11</v>
      </c>
      <c r="F1410" s="1" t="s">
        <v>3696</v>
      </c>
      <c r="G1410" s="1" t="s">
        <v>12</v>
      </c>
      <c r="H1410" s="3" t="s">
        <v>3037</v>
      </c>
      <c r="I1410" s="1" t="s">
        <v>3038</v>
      </c>
      <c r="J1410" s="1" t="s">
        <v>3039</v>
      </c>
    </row>
    <row r="1411" ht="15.75" customHeight="1">
      <c r="A1411" s="2">
        <v>1410.0</v>
      </c>
      <c r="B1411" s="1" t="s">
        <v>210</v>
      </c>
      <c r="C1411" s="1" t="s">
        <v>3820</v>
      </c>
      <c r="D1411" s="1" t="s">
        <v>3821</v>
      </c>
      <c r="E1411" s="2">
        <v>5.70038356329E11</v>
      </c>
      <c r="F1411" s="1" t="s">
        <v>3822</v>
      </c>
      <c r="G1411" s="1" t="s">
        <v>12</v>
      </c>
      <c r="H1411" s="3" t="s">
        <v>3037</v>
      </c>
      <c r="I1411" s="1" t="s">
        <v>3038</v>
      </c>
      <c r="J1411" s="1" t="s">
        <v>3039</v>
      </c>
    </row>
    <row r="1412" ht="15.75" customHeight="1">
      <c r="A1412" s="2">
        <v>1411.0</v>
      </c>
      <c r="B1412" s="1" t="s">
        <v>3823</v>
      </c>
      <c r="C1412" s="1" t="s">
        <v>3824</v>
      </c>
      <c r="D1412" s="1" t="s">
        <v>181</v>
      </c>
      <c r="E1412" s="2">
        <v>5.70038356331E11</v>
      </c>
      <c r="F1412" s="1" t="s">
        <v>3825</v>
      </c>
      <c r="G1412" s="1" t="s">
        <v>12</v>
      </c>
      <c r="H1412" s="3" t="s">
        <v>3037</v>
      </c>
      <c r="I1412" s="1" t="s">
        <v>3038</v>
      </c>
      <c r="J1412" s="1" t="s">
        <v>3039</v>
      </c>
    </row>
    <row r="1413" ht="15.75" customHeight="1">
      <c r="A1413" s="2">
        <v>1412.0</v>
      </c>
      <c r="B1413" s="1" t="s">
        <v>679</v>
      </c>
      <c r="C1413" s="1" t="s">
        <v>1578</v>
      </c>
      <c r="D1413" s="1" t="s">
        <v>2905</v>
      </c>
      <c r="E1413" s="2">
        <v>5.70038356332E11</v>
      </c>
      <c r="F1413" s="1" t="s">
        <v>423</v>
      </c>
      <c r="G1413" s="1" t="s">
        <v>12</v>
      </c>
      <c r="H1413" s="3" t="s">
        <v>3037</v>
      </c>
      <c r="I1413" s="1" t="s">
        <v>3038</v>
      </c>
      <c r="J1413" s="1" t="s">
        <v>3039</v>
      </c>
    </row>
    <row r="1414" ht="15.75" customHeight="1">
      <c r="A1414" s="2">
        <v>1413.0</v>
      </c>
      <c r="B1414" s="1" t="s">
        <v>3826</v>
      </c>
      <c r="C1414" s="1" t="s">
        <v>1578</v>
      </c>
      <c r="D1414" s="1" t="s">
        <v>3827</v>
      </c>
      <c r="E1414" s="2">
        <v>5.70038356334E11</v>
      </c>
      <c r="F1414" s="1" t="s">
        <v>3323</v>
      </c>
      <c r="G1414" s="1" t="s">
        <v>12</v>
      </c>
      <c r="H1414" s="3" t="s">
        <v>3037</v>
      </c>
      <c r="I1414" s="1" t="s">
        <v>3038</v>
      </c>
      <c r="J1414" s="1" t="s">
        <v>3039</v>
      </c>
    </row>
    <row r="1415" ht="15.75" customHeight="1">
      <c r="A1415" s="2">
        <v>1414.0</v>
      </c>
      <c r="B1415" s="1" t="s">
        <v>3828</v>
      </c>
      <c r="C1415" s="1" t="s">
        <v>2686</v>
      </c>
      <c r="D1415" s="1" t="s">
        <v>3829</v>
      </c>
      <c r="E1415" s="2">
        <v>5.70038356335E11</v>
      </c>
      <c r="F1415" s="1" t="s">
        <v>3830</v>
      </c>
      <c r="G1415" s="1" t="s">
        <v>12</v>
      </c>
      <c r="H1415" s="3" t="s">
        <v>3037</v>
      </c>
      <c r="I1415" s="1" t="s">
        <v>3038</v>
      </c>
      <c r="J1415" s="1" t="s">
        <v>3039</v>
      </c>
    </row>
    <row r="1416" ht="15.75" customHeight="1">
      <c r="A1416" s="2">
        <v>1415.0</v>
      </c>
      <c r="B1416" s="1" t="s">
        <v>2447</v>
      </c>
      <c r="C1416" s="1" t="s">
        <v>3831</v>
      </c>
      <c r="D1416" s="1" t="s">
        <v>3832</v>
      </c>
      <c r="E1416" s="2">
        <v>5.70038356338E11</v>
      </c>
      <c r="F1416" s="1" t="s">
        <v>3833</v>
      </c>
      <c r="G1416" s="1" t="s">
        <v>12</v>
      </c>
      <c r="H1416" s="3" t="s">
        <v>3037</v>
      </c>
      <c r="I1416" s="1" t="s">
        <v>3038</v>
      </c>
      <c r="J1416" s="1" t="s">
        <v>3039</v>
      </c>
    </row>
    <row r="1417" ht="15.75" customHeight="1">
      <c r="A1417" s="2">
        <v>1416.0</v>
      </c>
      <c r="B1417" s="1" t="s">
        <v>1704</v>
      </c>
      <c r="C1417" s="1" t="s">
        <v>3834</v>
      </c>
      <c r="D1417" s="1" t="s">
        <v>2447</v>
      </c>
      <c r="E1417" s="2">
        <v>5.70038356339E11</v>
      </c>
      <c r="F1417" s="1" t="s">
        <v>3835</v>
      </c>
      <c r="G1417" s="1" t="s">
        <v>12</v>
      </c>
      <c r="H1417" s="3" t="s">
        <v>3037</v>
      </c>
      <c r="I1417" s="1" t="s">
        <v>3038</v>
      </c>
      <c r="J1417" s="1" t="s">
        <v>3039</v>
      </c>
    </row>
    <row r="1418" ht="15.75" customHeight="1">
      <c r="A1418" s="2">
        <v>1417.0</v>
      </c>
      <c r="B1418" s="1" t="s">
        <v>660</v>
      </c>
      <c r="C1418" s="1" t="s">
        <v>162</v>
      </c>
      <c r="D1418" s="1" t="s">
        <v>2712</v>
      </c>
      <c r="E1418" s="2">
        <v>5.70038356341E11</v>
      </c>
      <c r="F1418" s="1" t="s">
        <v>3836</v>
      </c>
      <c r="G1418" s="1" t="s">
        <v>12</v>
      </c>
      <c r="H1418" s="3" t="s">
        <v>3037</v>
      </c>
      <c r="I1418" s="1" t="s">
        <v>3038</v>
      </c>
      <c r="J1418" s="1" t="s">
        <v>3039</v>
      </c>
    </row>
    <row r="1419" ht="15.75" customHeight="1">
      <c r="A1419" s="2">
        <v>1418.0</v>
      </c>
      <c r="B1419" s="1" t="s">
        <v>77</v>
      </c>
      <c r="C1419" s="1" t="s">
        <v>3837</v>
      </c>
      <c r="D1419" s="1" t="s">
        <v>3838</v>
      </c>
      <c r="E1419" s="2">
        <v>5.70038356345E11</v>
      </c>
      <c r="F1419" s="1" t="s">
        <v>3839</v>
      </c>
      <c r="G1419" s="1" t="s">
        <v>12</v>
      </c>
      <c r="H1419" s="3" t="s">
        <v>3037</v>
      </c>
      <c r="I1419" s="1" t="s">
        <v>3038</v>
      </c>
      <c r="J1419" s="1" t="s">
        <v>3039</v>
      </c>
    </row>
    <row r="1420" ht="15.75" customHeight="1">
      <c r="A1420" s="2">
        <v>1419.0</v>
      </c>
      <c r="B1420" s="1" t="s">
        <v>3840</v>
      </c>
      <c r="C1420" s="1" t="s">
        <v>3841</v>
      </c>
      <c r="D1420" s="1" t="s">
        <v>3842</v>
      </c>
      <c r="E1420" s="2">
        <v>5.70038356347E11</v>
      </c>
      <c r="F1420" s="1" t="s">
        <v>587</v>
      </c>
      <c r="G1420" s="1" t="s">
        <v>12</v>
      </c>
      <c r="H1420" s="3" t="s">
        <v>3037</v>
      </c>
      <c r="I1420" s="1" t="s">
        <v>3038</v>
      </c>
      <c r="J1420" s="1" t="s">
        <v>3039</v>
      </c>
    </row>
    <row r="1421" ht="15.75" customHeight="1">
      <c r="A1421" s="1">
        <v>1420.0</v>
      </c>
      <c r="B1421" s="1" t="s">
        <v>3843</v>
      </c>
      <c r="C1421" s="1" t="s">
        <v>3844</v>
      </c>
      <c r="D1421" s="1" t="s">
        <v>3101</v>
      </c>
      <c r="E1421" s="1">
        <v>5.70038356351E11</v>
      </c>
      <c r="F1421" s="1" t="s">
        <v>3845</v>
      </c>
      <c r="G1421" s="1" t="s">
        <v>3846</v>
      </c>
      <c r="H1421" s="1" t="s">
        <v>3847</v>
      </c>
      <c r="I1421" s="1" t="s">
        <v>3038</v>
      </c>
      <c r="J1421" s="1" t="s">
        <v>3848</v>
      </c>
    </row>
    <row r="1422" ht="15.75" customHeight="1">
      <c r="A1422" s="1">
        <v>1421.0</v>
      </c>
      <c r="B1422" s="1" t="s">
        <v>1197</v>
      </c>
      <c r="C1422" s="1" t="s">
        <v>759</v>
      </c>
      <c r="D1422" s="1" t="s">
        <v>3849</v>
      </c>
      <c r="E1422" s="1">
        <v>5.70038356352E11</v>
      </c>
      <c r="F1422" s="1" t="s">
        <v>3850</v>
      </c>
      <c r="G1422" s="1" t="s">
        <v>3846</v>
      </c>
      <c r="H1422" s="1" t="s">
        <v>3847</v>
      </c>
      <c r="I1422" s="1" t="s">
        <v>3038</v>
      </c>
      <c r="J1422" s="1" t="s">
        <v>3848</v>
      </c>
    </row>
    <row r="1423" ht="15.75" customHeight="1">
      <c r="A1423" s="1">
        <v>1422.0</v>
      </c>
      <c r="B1423" s="1" t="s">
        <v>3851</v>
      </c>
      <c r="C1423" s="1" t="s">
        <v>3852</v>
      </c>
      <c r="D1423" s="1" t="s">
        <v>3348</v>
      </c>
      <c r="E1423" s="1">
        <v>5.70038356354E11</v>
      </c>
      <c r="F1423" s="1" t="s">
        <v>3853</v>
      </c>
      <c r="G1423" s="1" t="s">
        <v>3846</v>
      </c>
      <c r="H1423" s="1" t="s">
        <v>3847</v>
      </c>
      <c r="I1423" s="1" t="s">
        <v>3038</v>
      </c>
      <c r="J1423" s="1" t="s">
        <v>3848</v>
      </c>
    </row>
    <row r="1424" ht="15.75" customHeight="1">
      <c r="A1424" s="1">
        <v>1423.0</v>
      </c>
      <c r="B1424" s="1" t="s">
        <v>3854</v>
      </c>
      <c r="C1424" s="1" t="s">
        <v>3855</v>
      </c>
      <c r="D1424" s="1" t="s">
        <v>875</v>
      </c>
      <c r="E1424" s="1">
        <v>5.70038356359E11</v>
      </c>
      <c r="F1424" s="1" t="s">
        <v>274</v>
      </c>
      <c r="G1424" s="1" t="s">
        <v>3846</v>
      </c>
      <c r="H1424" s="1" t="s">
        <v>3847</v>
      </c>
      <c r="I1424" s="1" t="s">
        <v>3038</v>
      </c>
      <c r="J1424" s="1" t="s">
        <v>3848</v>
      </c>
    </row>
    <row r="1425" ht="15.75" customHeight="1">
      <c r="A1425" s="1">
        <v>1424.0</v>
      </c>
      <c r="B1425" s="1" t="s">
        <v>3856</v>
      </c>
      <c r="C1425" s="1" t="s">
        <v>3857</v>
      </c>
      <c r="D1425" s="1" t="s">
        <v>523</v>
      </c>
      <c r="E1425" s="1">
        <v>5.70038356362E11</v>
      </c>
      <c r="F1425" s="1" t="s">
        <v>3858</v>
      </c>
      <c r="G1425" s="1" t="s">
        <v>3846</v>
      </c>
      <c r="H1425" s="1" t="s">
        <v>3847</v>
      </c>
      <c r="I1425" s="1" t="s">
        <v>3038</v>
      </c>
      <c r="J1425" s="1" t="s">
        <v>3848</v>
      </c>
    </row>
    <row r="1426" ht="15.75" customHeight="1">
      <c r="A1426" s="1">
        <v>1425.0</v>
      </c>
      <c r="B1426" s="1" t="s">
        <v>3859</v>
      </c>
      <c r="C1426" s="1" t="s">
        <v>1643</v>
      </c>
      <c r="D1426" s="1" t="s">
        <v>3860</v>
      </c>
      <c r="E1426" s="1">
        <v>5.70038356363E11</v>
      </c>
      <c r="F1426" s="1" t="s">
        <v>3861</v>
      </c>
      <c r="G1426" s="1" t="s">
        <v>3846</v>
      </c>
      <c r="H1426" s="1" t="s">
        <v>3847</v>
      </c>
      <c r="I1426" s="1" t="s">
        <v>3038</v>
      </c>
      <c r="J1426" s="1" t="s">
        <v>3848</v>
      </c>
    </row>
    <row r="1427" ht="15.75" customHeight="1">
      <c r="A1427" s="1">
        <v>1426.0</v>
      </c>
      <c r="B1427" s="1" t="s">
        <v>3862</v>
      </c>
      <c r="C1427" s="1" t="s">
        <v>3863</v>
      </c>
      <c r="D1427" s="1" t="s">
        <v>295</v>
      </c>
      <c r="E1427" s="1">
        <v>5.70038356365E11</v>
      </c>
      <c r="F1427" s="1" t="s">
        <v>3864</v>
      </c>
      <c r="G1427" s="1" t="s">
        <v>3846</v>
      </c>
      <c r="H1427" s="1" t="s">
        <v>3847</v>
      </c>
      <c r="I1427" s="1" t="s">
        <v>3038</v>
      </c>
      <c r="J1427" s="1" t="s">
        <v>3848</v>
      </c>
    </row>
    <row r="1428" ht="15.75" customHeight="1">
      <c r="A1428" s="1">
        <v>1427.0</v>
      </c>
      <c r="B1428" s="1" t="s">
        <v>1904</v>
      </c>
      <c r="C1428" s="1" t="s">
        <v>262</v>
      </c>
      <c r="D1428" s="1" t="s">
        <v>3865</v>
      </c>
      <c r="E1428" s="1">
        <v>5.70038356366E11</v>
      </c>
      <c r="F1428" s="1" t="s">
        <v>3866</v>
      </c>
      <c r="G1428" s="1" t="s">
        <v>3846</v>
      </c>
      <c r="H1428" s="1" t="s">
        <v>3847</v>
      </c>
      <c r="I1428" s="1" t="s">
        <v>3038</v>
      </c>
      <c r="J1428" s="1" t="s">
        <v>3848</v>
      </c>
    </row>
    <row r="1429" ht="15.75" customHeight="1">
      <c r="A1429" s="1">
        <v>1428.0</v>
      </c>
      <c r="B1429" s="1" t="s">
        <v>3585</v>
      </c>
      <c r="C1429" s="1" t="s">
        <v>3867</v>
      </c>
      <c r="D1429" s="1" t="s">
        <v>3868</v>
      </c>
      <c r="E1429" s="1">
        <v>5.70038356368E11</v>
      </c>
      <c r="F1429" s="1" t="s">
        <v>3869</v>
      </c>
      <c r="G1429" s="1" t="s">
        <v>3846</v>
      </c>
      <c r="H1429" s="1" t="s">
        <v>3847</v>
      </c>
      <c r="I1429" s="1" t="s">
        <v>3038</v>
      </c>
      <c r="J1429" s="1" t="s">
        <v>3848</v>
      </c>
    </row>
    <row r="1430" ht="15.75" customHeight="1">
      <c r="A1430" s="1">
        <v>1429.0</v>
      </c>
      <c r="B1430" s="1" t="s">
        <v>77</v>
      </c>
      <c r="C1430" s="1" t="s">
        <v>432</v>
      </c>
      <c r="D1430" s="1" t="s">
        <v>3585</v>
      </c>
      <c r="E1430" s="1">
        <v>5.70038356369E11</v>
      </c>
      <c r="F1430" s="1" t="s">
        <v>3870</v>
      </c>
      <c r="G1430" s="1" t="s">
        <v>3846</v>
      </c>
      <c r="H1430" s="1" t="s">
        <v>3847</v>
      </c>
      <c r="I1430" s="1" t="s">
        <v>3038</v>
      </c>
      <c r="J1430" s="1" t="s">
        <v>3848</v>
      </c>
    </row>
    <row r="1431" ht="15.75" customHeight="1">
      <c r="A1431" s="1">
        <v>1430.0</v>
      </c>
      <c r="B1431" s="1" t="s">
        <v>3871</v>
      </c>
      <c r="C1431" s="1" t="s">
        <v>3872</v>
      </c>
      <c r="D1431" s="1" t="s">
        <v>3873</v>
      </c>
      <c r="E1431" s="1">
        <v>5.70038356379E11</v>
      </c>
      <c r="F1431" s="1" t="s">
        <v>3874</v>
      </c>
      <c r="G1431" s="1" t="s">
        <v>3390</v>
      </c>
      <c r="H1431" s="1" t="s">
        <v>3847</v>
      </c>
      <c r="I1431" s="1" t="s">
        <v>3038</v>
      </c>
      <c r="J1431" s="1" t="s">
        <v>3848</v>
      </c>
    </row>
    <row r="1432" ht="15.75" customHeight="1">
      <c r="A1432" s="1">
        <v>1431.0</v>
      </c>
      <c r="B1432" s="1" t="s">
        <v>3875</v>
      </c>
      <c r="C1432" s="1" t="s">
        <v>3876</v>
      </c>
      <c r="D1432" s="1" t="s">
        <v>547</v>
      </c>
      <c r="E1432" s="1">
        <v>5.70038356386E11</v>
      </c>
      <c r="F1432" s="1" t="s">
        <v>3877</v>
      </c>
      <c r="G1432" s="1" t="s">
        <v>3846</v>
      </c>
      <c r="H1432" s="1" t="s">
        <v>3847</v>
      </c>
      <c r="I1432" s="1" t="s">
        <v>3038</v>
      </c>
      <c r="J1432" s="1" t="s">
        <v>3848</v>
      </c>
    </row>
    <row r="1433" ht="15.75" customHeight="1">
      <c r="A1433" s="1">
        <v>1432.0</v>
      </c>
      <c r="B1433" s="1" t="s">
        <v>335</v>
      </c>
      <c r="C1433" s="1" t="s">
        <v>2652</v>
      </c>
      <c r="D1433" s="1" t="s">
        <v>58</v>
      </c>
      <c r="E1433" s="1">
        <v>5.7003835639E11</v>
      </c>
      <c r="F1433" s="1" t="s">
        <v>3878</v>
      </c>
      <c r="G1433" s="1" t="s">
        <v>3846</v>
      </c>
      <c r="H1433" s="1" t="s">
        <v>3847</v>
      </c>
      <c r="I1433" s="1" t="s">
        <v>3038</v>
      </c>
      <c r="J1433" s="1" t="s">
        <v>3848</v>
      </c>
    </row>
    <row r="1434" ht="15.75" customHeight="1">
      <c r="A1434" s="1">
        <v>1433.0</v>
      </c>
      <c r="B1434" s="1" t="s">
        <v>136</v>
      </c>
      <c r="C1434" s="1" t="s">
        <v>3879</v>
      </c>
      <c r="D1434" s="1" t="s">
        <v>1264</v>
      </c>
      <c r="E1434" s="1">
        <v>5.70038356391E11</v>
      </c>
      <c r="F1434" s="1" t="s">
        <v>2909</v>
      </c>
      <c r="G1434" s="1" t="s">
        <v>3846</v>
      </c>
      <c r="H1434" s="1" t="s">
        <v>3847</v>
      </c>
      <c r="I1434" s="1" t="s">
        <v>3038</v>
      </c>
      <c r="J1434" s="1" t="s">
        <v>3848</v>
      </c>
    </row>
    <row r="1435" ht="15.75" customHeight="1">
      <c r="A1435" s="1">
        <v>1434.0</v>
      </c>
      <c r="B1435" s="1" t="s">
        <v>3880</v>
      </c>
      <c r="C1435" s="1" t="s">
        <v>74</v>
      </c>
      <c r="D1435" s="1" t="s">
        <v>3881</v>
      </c>
      <c r="E1435" s="1">
        <v>5.70038356392E11</v>
      </c>
      <c r="F1435" s="1" t="s">
        <v>3882</v>
      </c>
      <c r="G1435" s="1" t="s">
        <v>3846</v>
      </c>
      <c r="H1435" s="1" t="s">
        <v>3847</v>
      </c>
      <c r="I1435" s="1" t="s">
        <v>3038</v>
      </c>
      <c r="J1435" s="1" t="s">
        <v>3848</v>
      </c>
    </row>
    <row r="1436" ht="15.75" customHeight="1">
      <c r="A1436" s="1">
        <v>1435.0</v>
      </c>
      <c r="B1436" s="1" t="s">
        <v>1052</v>
      </c>
      <c r="C1436" s="1" t="s">
        <v>759</v>
      </c>
      <c r="D1436" s="1" t="s">
        <v>1308</v>
      </c>
      <c r="E1436" s="1">
        <v>5.70038356393E11</v>
      </c>
      <c r="F1436" s="1" t="s">
        <v>65</v>
      </c>
      <c r="G1436" s="1" t="s">
        <v>3846</v>
      </c>
      <c r="H1436" s="1" t="s">
        <v>3847</v>
      </c>
      <c r="I1436" s="1" t="s">
        <v>3038</v>
      </c>
      <c r="J1436" s="1" t="s">
        <v>3848</v>
      </c>
    </row>
    <row r="1437" ht="15.75" customHeight="1">
      <c r="A1437" s="1">
        <v>1436.0</v>
      </c>
      <c r="B1437" s="1" t="s">
        <v>875</v>
      </c>
      <c r="C1437" s="1" t="s">
        <v>3883</v>
      </c>
      <c r="D1437" s="1" t="s">
        <v>482</v>
      </c>
      <c r="E1437" s="1">
        <v>5.70038356396E11</v>
      </c>
      <c r="F1437" s="1" t="s">
        <v>3884</v>
      </c>
      <c r="G1437" s="1" t="s">
        <v>3846</v>
      </c>
      <c r="H1437" s="1" t="s">
        <v>3847</v>
      </c>
      <c r="I1437" s="1" t="s">
        <v>3038</v>
      </c>
      <c r="J1437" s="1" t="s">
        <v>3848</v>
      </c>
    </row>
    <row r="1438" ht="15.75" customHeight="1">
      <c r="A1438" s="1">
        <v>1437.0</v>
      </c>
      <c r="B1438" s="1" t="s">
        <v>1477</v>
      </c>
      <c r="C1438" s="1" t="s">
        <v>3885</v>
      </c>
      <c r="D1438" s="1" t="s">
        <v>3886</v>
      </c>
      <c r="E1438" s="1">
        <v>5.70038356402E11</v>
      </c>
      <c r="F1438" s="1" t="s">
        <v>3887</v>
      </c>
      <c r="G1438" s="1" t="s">
        <v>3846</v>
      </c>
      <c r="H1438" s="1" t="s">
        <v>3888</v>
      </c>
      <c r="I1438" s="1" t="s">
        <v>3889</v>
      </c>
      <c r="J1438" s="1" t="s">
        <v>3038</v>
      </c>
      <c r="K1438" s="5" t="s">
        <v>3848</v>
      </c>
    </row>
    <row r="1439" ht="15.75" customHeight="1">
      <c r="A1439" s="1">
        <v>1438.0</v>
      </c>
      <c r="B1439" s="1" t="s">
        <v>10</v>
      </c>
      <c r="C1439" s="1" t="s">
        <v>3890</v>
      </c>
      <c r="D1439" s="1" t="s">
        <v>3891</v>
      </c>
      <c r="E1439" s="1">
        <v>5.70038356403E11</v>
      </c>
      <c r="F1439" s="1" t="s">
        <v>3892</v>
      </c>
      <c r="G1439" s="1" t="s">
        <v>3846</v>
      </c>
      <c r="H1439" s="1" t="s">
        <v>3888</v>
      </c>
      <c r="I1439" s="1" t="s">
        <v>3889</v>
      </c>
      <c r="J1439" s="1" t="s">
        <v>3038</v>
      </c>
      <c r="K1439" s="5" t="s">
        <v>3848</v>
      </c>
    </row>
    <row r="1440" ht="15.75" customHeight="1">
      <c r="A1440" s="1">
        <v>1439.0</v>
      </c>
      <c r="B1440" s="1" t="s">
        <v>230</v>
      </c>
      <c r="C1440" s="1" t="s">
        <v>3893</v>
      </c>
      <c r="D1440" s="1" t="s">
        <v>3894</v>
      </c>
      <c r="E1440" s="1">
        <v>5.70038356407E11</v>
      </c>
      <c r="F1440" s="1" t="s">
        <v>3895</v>
      </c>
      <c r="G1440" s="1" t="s">
        <v>3846</v>
      </c>
      <c r="H1440" s="1" t="s">
        <v>3888</v>
      </c>
      <c r="I1440" s="1" t="s">
        <v>3889</v>
      </c>
      <c r="J1440" s="1" t="s">
        <v>3038</v>
      </c>
      <c r="K1440" s="5" t="s">
        <v>3848</v>
      </c>
    </row>
    <row r="1441" ht="15.75" customHeight="1">
      <c r="A1441" s="1">
        <v>1440.0</v>
      </c>
      <c r="B1441" s="1" t="s">
        <v>3896</v>
      </c>
      <c r="C1441" s="1" t="s">
        <v>2844</v>
      </c>
      <c r="D1441" s="1" t="s">
        <v>879</v>
      </c>
      <c r="E1441" s="1">
        <v>5.70038356408E11</v>
      </c>
      <c r="F1441" s="1" t="s">
        <v>3897</v>
      </c>
      <c r="G1441" s="1" t="s">
        <v>3846</v>
      </c>
      <c r="H1441" s="1" t="s">
        <v>3847</v>
      </c>
      <c r="I1441" s="1" t="s">
        <v>3038</v>
      </c>
      <c r="J1441" s="1" t="s">
        <v>3848</v>
      </c>
    </row>
    <row r="1442" ht="15.75" customHeight="1">
      <c r="A1442" s="1">
        <v>1441.0</v>
      </c>
      <c r="B1442" s="1" t="s">
        <v>534</v>
      </c>
      <c r="C1442" s="1" t="s">
        <v>3898</v>
      </c>
      <c r="D1442" s="1" t="s">
        <v>3899</v>
      </c>
      <c r="E1442" s="1">
        <v>5.70038356409E11</v>
      </c>
      <c r="F1442" s="1" t="s">
        <v>21</v>
      </c>
      <c r="G1442" s="1" t="s">
        <v>3846</v>
      </c>
      <c r="H1442" s="1" t="s">
        <v>3888</v>
      </c>
      <c r="I1442" s="1" t="s">
        <v>3889</v>
      </c>
      <c r="J1442" s="1" t="s">
        <v>3038</v>
      </c>
      <c r="K1442" s="5" t="s">
        <v>3848</v>
      </c>
    </row>
    <row r="1443" ht="15.75" customHeight="1">
      <c r="A1443" s="1">
        <v>1442.0</v>
      </c>
      <c r="B1443" s="1" t="s">
        <v>48</v>
      </c>
      <c r="C1443" s="1" t="s">
        <v>3900</v>
      </c>
      <c r="D1443" s="1" t="s">
        <v>562</v>
      </c>
      <c r="E1443" s="1">
        <v>5.7003835641E11</v>
      </c>
      <c r="F1443" s="1" t="s">
        <v>1655</v>
      </c>
      <c r="G1443" s="1" t="s">
        <v>3846</v>
      </c>
      <c r="H1443" s="1" t="s">
        <v>3847</v>
      </c>
      <c r="I1443" s="1" t="s">
        <v>3038</v>
      </c>
      <c r="J1443" s="1" t="s">
        <v>3848</v>
      </c>
    </row>
    <row r="1444" ht="15.75" customHeight="1">
      <c r="A1444" s="1">
        <v>1443.0</v>
      </c>
      <c r="B1444" s="1" t="s">
        <v>1786</v>
      </c>
      <c r="C1444" s="1" t="s">
        <v>3901</v>
      </c>
      <c r="D1444" s="1" t="s">
        <v>679</v>
      </c>
      <c r="E1444" s="1">
        <v>5.70038356411E11</v>
      </c>
      <c r="F1444" s="1" t="s">
        <v>1731</v>
      </c>
      <c r="G1444" s="1" t="s">
        <v>3846</v>
      </c>
      <c r="H1444" s="1" t="s">
        <v>3902</v>
      </c>
      <c r="I1444" s="1" t="s">
        <v>3889</v>
      </c>
      <c r="J1444" s="1" t="s">
        <v>3038</v>
      </c>
      <c r="K1444" s="5" t="s">
        <v>3848</v>
      </c>
    </row>
    <row r="1445" ht="15.75" customHeight="1">
      <c r="A1445" s="1">
        <v>1444.0</v>
      </c>
      <c r="B1445" s="1" t="s">
        <v>3903</v>
      </c>
      <c r="C1445" s="1" t="s">
        <v>3904</v>
      </c>
      <c r="D1445" s="1" t="s">
        <v>3905</v>
      </c>
      <c r="E1445" s="1">
        <v>5.70038356412E11</v>
      </c>
      <c r="F1445" s="1" t="s">
        <v>3906</v>
      </c>
      <c r="G1445" s="1" t="s">
        <v>3846</v>
      </c>
      <c r="H1445" s="1" t="s">
        <v>3888</v>
      </c>
      <c r="I1445" s="1" t="s">
        <v>3889</v>
      </c>
      <c r="J1445" s="1" t="s">
        <v>3038</v>
      </c>
      <c r="K1445" s="5" t="s">
        <v>3848</v>
      </c>
    </row>
    <row r="1446" ht="15.75" customHeight="1">
      <c r="A1446" s="1">
        <v>1445.0</v>
      </c>
      <c r="B1446" s="1" t="s">
        <v>543</v>
      </c>
      <c r="C1446" s="1" t="s">
        <v>3907</v>
      </c>
      <c r="D1446" s="1" t="s">
        <v>3908</v>
      </c>
      <c r="E1446" s="1">
        <v>5.70038356415E11</v>
      </c>
      <c r="F1446" s="1" t="s">
        <v>3909</v>
      </c>
      <c r="G1446" s="1" t="s">
        <v>3846</v>
      </c>
      <c r="H1446" s="1" t="s">
        <v>3847</v>
      </c>
      <c r="I1446" s="1" t="s">
        <v>3038</v>
      </c>
      <c r="J1446" s="1" t="s">
        <v>3848</v>
      </c>
    </row>
    <row r="1447" ht="15.75" customHeight="1">
      <c r="A1447" s="1">
        <v>1446.0</v>
      </c>
      <c r="B1447" s="1" t="s">
        <v>179</v>
      </c>
      <c r="C1447" s="1" t="s">
        <v>3910</v>
      </c>
      <c r="D1447" s="1" t="s">
        <v>3911</v>
      </c>
      <c r="E1447" s="1">
        <v>5.70038356416E11</v>
      </c>
      <c r="F1447" s="1" t="s">
        <v>3912</v>
      </c>
      <c r="G1447" s="1" t="s">
        <v>3846</v>
      </c>
      <c r="H1447" s="1" t="s">
        <v>3847</v>
      </c>
      <c r="I1447" s="1" t="s">
        <v>3038</v>
      </c>
      <c r="J1447" s="1" t="s">
        <v>3848</v>
      </c>
    </row>
    <row r="1448" ht="15.75" customHeight="1">
      <c r="A1448" s="1">
        <v>1447.0</v>
      </c>
      <c r="B1448" s="1" t="s">
        <v>2005</v>
      </c>
      <c r="C1448" s="1" t="s">
        <v>435</v>
      </c>
      <c r="D1448" s="1" t="s">
        <v>60</v>
      </c>
      <c r="E1448" s="1">
        <v>5.70038356417E11</v>
      </c>
      <c r="F1448" s="1" t="s">
        <v>1569</v>
      </c>
      <c r="G1448" s="1" t="s">
        <v>3846</v>
      </c>
      <c r="H1448" s="1" t="s">
        <v>3902</v>
      </c>
      <c r="I1448" s="1" t="s">
        <v>3889</v>
      </c>
      <c r="J1448" s="1" t="s">
        <v>3038</v>
      </c>
      <c r="K1448" s="5" t="s">
        <v>3848</v>
      </c>
    </row>
    <row r="1449" ht="15.75" customHeight="1">
      <c r="A1449" s="1">
        <v>1448.0</v>
      </c>
      <c r="B1449" s="1" t="s">
        <v>3913</v>
      </c>
      <c r="C1449" s="1" t="s">
        <v>677</v>
      </c>
      <c r="D1449" s="1" t="s">
        <v>179</v>
      </c>
      <c r="E1449" s="1">
        <v>5.70038356418E11</v>
      </c>
      <c r="F1449" s="1" t="s">
        <v>3914</v>
      </c>
      <c r="G1449" s="1" t="s">
        <v>3846</v>
      </c>
      <c r="H1449" s="1" t="s">
        <v>3902</v>
      </c>
      <c r="I1449" s="1" t="s">
        <v>3889</v>
      </c>
      <c r="J1449" s="1" t="s">
        <v>3038</v>
      </c>
      <c r="K1449" s="5" t="s">
        <v>3848</v>
      </c>
    </row>
    <row r="1450" ht="15.75" customHeight="1">
      <c r="A1450" s="1">
        <v>1449.0</v>
      </c>
      <c r="B1450" s="1" t="s">
        <v>3915</v>
      </c>
      <c r="C1450" s="1" t="s">
        <v>3916</v>
      </c>
      <c r="D1450" s="1" t="s">
        <v>3917</v>
      </c>
      <c r="E1450" s="1">
        <v>5.70038356419E11</v>
      </c>
      <c r="F1450" s="1" t="s">
        <v>3918</v>
      </c>
      <c r="G1450" s="1" t="s">
        <v>3846</v>
      </c>
      <c r="H1450" s="1" t="s">
        <v>3888</v>
      </c>
      <c r="I1450" s="1" t="s">
        <v>3889</v>
      </c>
      <c r="J1450" s="1" t="s">
        <v>3038</v>
      </c>
      <c r="K1450" s="5" t="s">
        <v>3848</v>
      </c>
    </row>
    <row r="1451" ht="15.75" customHeight="1">
      <c r="A1451" s="1">
        <v>1450.0</v>
      </c>
      <c r="B1451" s="1" t="s">
        <v>290</v>
      </c>
      <c r="C1451" s="1" t="s">
        <v>3919</v>
      </c>
      <c r="D1451" s="1" t="s">
        <v>263</v>
      </c>
      <c r="E1451" s="1">
        <v>5.70038356421E11</v>
      </c>
      <c r="F1451" s="1" t="s">
        <v>3784</v>
      </c>
      <c r="G1451" s="1" t="s">
        <v>3846</v>
      </c>
      <c r="H1451" s="1" t="s">
        <v>3888</v>
      </c>
      <c r="I1451" s="1" t="s">
        <v>3889</v>
      </c>
      <c r="J1451" s="1" t="s">
        <v>3038</v>
      </c>
      <c r="K1451" s="5" t="s">
        <v>3848</v>
      </c>
    </row>
    <row r="1452" ht="15.75" customHeight="1">
      <c r="A1452" s="1">
        <v>1451.0</v>
      </c>
      <c r="B1452" s="1" t="s">
        <v>16</v>
      </c>
      <c r="C1452" s="1" t="s">
        <v>3920</v>
      </c>
      <c r="D1452" s="1" t="s">
        <v>230</v>
      </c>
      <c r="E1452" s="1">
        <v>5.70038356424E11</v>
      </c>
      <c r="F1452" s="1" t="s">
        <v>3921</v>
      </c>
      <c r="G1452" s="1" t="s">
        <v>3846</v>
      </c>
      <c r="H1452" s="1" t="s">
        <v>3888</v>
      </c>
      <c r="I1452" s="1" t="s">
        <v>3889</v>
      </c>
      <c r="J1452" s="1" t="s">
        <v>3038</v>
      </c>
      <c r="K1452" s="5" t="s">
        <v>3848</v>
      </c>
    </row>
    <row r="1453" ht="15.75" customHeight="1">
      <c r="A1453" s="1">
        <v>1452.0</v>
      </c>
      <c r="B1453" s="1" t="s">
        <v>3922</v>
      </c>
      <c r="C1453" s="1" t="s">
        <v>631</v>
      </c>
      <c r="D1453" s="1" t="s">
        <v>3923</v>
      </c>
      <c r="E1453" s="1">
        <v>5.70038356425E11</v>
      </c>
      <c r="F1453" s="1" t="s">
        <v>3924</v>
      </c>
      <c r="G1453" s="1" t="s">
        <v>3846</v>
      </c>
      <c r="H1453" s="1" t="s">
        <v>3888</v>
      </c>
      <c r="I1453" s="1" t="s">
        <v>3889</v>
      </c>
      <c r="J1453" s="1" t="s">
        <v>3038</v>
      </c>
      <c r="K1453" s="5" t="s">
        <v>3848</v>
      </c>
    </row>
    <row r="1454" ht="15.75" customHeight="1">
      <c r="A1454" s="1">
        <v>1453.0</v>
      </c>
      <c r="B1454" s="1" t="s">
        <v>313</v>
      </c>
      <c r="C1454" s="1" t="s">
        <v>3925</v>
      </c>
      <c r="D1454" s="1" t="s">
        <v>44</v>
      </c>
      <c r="E1454" s="1">
        <v>5.70038356427E11</v>
      </c>
      <c r="F1454" s="1" t="s">
        <v>1741</v>
      </c>
      <c r="G1454" s="1" t="s">
        <v>3846</v>
      </c>
      <c r="H1454" s="1" t="s">
        <v>3888</v>
      </c>
      <c r="I1454" s="1" t="s">
        <v>3889</v>
      </c>
      <c r="J1454" s="1" t="s">
        <v>3038</v>
      </c>
      <c r="K1454" s="5" t="s">
        <v>3848</v>
      </c>
    </row>
    <row r="1455" ht="15.75" customHeight="1">
      <c r="A1455" s="1">
        <v>1454.0</v>
      </c>
      <c r="B1455" s="1" t="s">
        <v>3639</v>
      </c>
      <c r="C1455" s="1" t="s">
        <v>3926</v>
      </c>
      <c r="D1455" s="1" t="s">
        <v>3927</v>
      </c>
      <c r="E1455" s="1">
        <v>5.70038356428E11</v>
      </c>
      <c r="F1455" s="1" t="s">
        <v>3928</v>
      </c>
      <c r="G1455" s="1" t="s">
        <v>3846</v>
      </c>
      <c r="H1455" s="1" t="s">
        <v>3888</v>
      </c>
      <c r="I1455" s="1" t="s">
        <v>3889</v>
      </c>
      <c r="J1455" s="1" t="s">
        <v>3038</v>
      </c>
      <c r="K1455" s="5" t="s">
        <v>3848</v>
      </c>
    </row>
    <row r="1456" ht="15.75" customHeight="1">
      <c r="A1456" s="1">
        <v>1455.0</v>
      </c>
      <c r="B1456" s="1" t="s">
        <v>179</v>
      </c>
      <c r="C1456" s="1" t="s">
        <v>3929</v>
      </c>
      <c r="D1456" s="1" t="s">
        <v>3930</v>
      </c>
      <c r="E1456" s="1">
        <v>5.70038356431E11</v>
      </c>
      <c r="F1456" s="1" t="s">
        <v>3931</v>
      </c>
      <c r="G1456" s="1" t="s">
        <v>3846</v>
      </c>
      <c r="H1456" s="1" t="s">
        <v>3847</v>
      </c>
      <c r="I1456" s="1" t="s">
        <v>3038</v>
      </c>
      <c r="J1456" s="1" t="s">
        <v>3848</v>
      </c>
    </row>
    <row r="1457" ht="15.75" customHeight="1">
      <c r="A1457" s="1">
        <v>1456.0</v>
      </c>
      <c r="B1457" s="1" t="s">
        <v>3932</v>
      </c>
      <c r="C1457" s="1" t="s">
        <v>759</v>
      </c>
      <c r="D1457" s="1" t="s">
        <v>3933</v>
      </c>
      <c r="E1457" s="1">
        <v>5.70038356432E11</v>
      </c>
      <c r="F1457" s="1" t="s">
        <v>3934</v>
      </c>
      <c r="G1457" s="1" t="s">
        <v>3846</v>
      </c>
      <c r="H1457" s="1" t="s">
        <v>3888</v>
      </c>
      <c r="I1457" s="1" t="s">
        <v>3889</v>
      </c>
      <c r="J1457" s="1" t="s">
        <v>3038</v>
      </c>
      <c r="K1457" s="5" t="s">
        <v>3848</v>
      </c>
    </row>
    <row r="1458" ht="15.75" customHeight="1">
      <c r="A1458" s="1">
        <v>1457.0</v>
      </c>
      <c r="B1458" s="1" t="s">
        <v>290</v>
      </c>
      <c r="C1458" s="1" t="s">
        <v>3890</v>
      </c>
      <c r="D1458" s="1" t="s">
        <v>629</v>
      </c>
      <c r="E1458" s="1">
        <v>5.70038356438E11</v>
      </c>
      <c r="F1458" s="1" t="s">
        <v>3738</v>
      </c>
      <c r="G1458" s="1" t="s">
        <v>3846</v>
      </c>
      <c r="H1458" s="1" t="s">
        <v>3888</v>
      </c>
      <c r="I1458" s="1" t="s">
        <v>3889</v>
      </c>
      <c r="J1458" s="1" t="s">
        <v>3038</v>
      </c>
      <c r="K1458" s="5" t="s">
        <v>3848</v>
      </c>
    </row>
    <row r="1459" ht="15.75" customHeight="1">
      <c r="A1459" s="1">
        <v>1458.0</v>
      </c>
      <c r="B1459" s="1" t="s">
        <v>1754</v>
      </c>
      <c r="C1459" s="1" t="s">
        <v>3907</v>
      </c>
      <c r="D1459" s="1" t="s">
        <v>3908</v>
      </c>
      <c r="E1459" s="1">
        <v>5.7003835644E11</v>
      </c>
      <c r="F1459" s="1" t="s">
        <v>3935</v>
      </c>
      <c r="G1459" s="1" t="s">
        <v>3846</v>
      </c>
      <c r="H1459" s="1" t="s">
        <v>3902</v>
      </c>
      <c r="I1459" s="1" t="s">
        <v>3889</v>
      </c>
      <c r="J1459" s="1" t="s">
        <v>3038</v>
      </c>
      <c r="K1459" s="5" t="s">
        <v>3848</v>
      </c>
    </row>
    <row r="1460" ht="15.75" customHeight="1">
      <c r="A1460" s="1">
        <v>1459.0</v>
      </c>
      <c r="B1460" s="1" t="s">
        <v>18</v>
      </c>
      <c r="C1460" s="1" t="s">
        <v>3578</v>
      </c>
      <c r="D1460" s="1" t="s">
        <v>362</v>
      </c>
      <c r="E1460" s="1">
        <v>5.70038356442E11</v>
      </c>
      <c r="F1460" s="1" t="s">
        <v>3936</v>
      </c>
      <c r="G1460" s="1" t="s">
        <v>3846</v>
      </c>
      <c r="H1460" s="1" t="s">
        <v>3902</v>
      </c>
      <c r="I1460" s="1" t="s">
        <v>3889</v>
      </c>
      <c r="J1460" s="1" t="s">
        <v>3038</v>
      </c>
      <c r="K1460" s="5" t="s">
        <v>3848</v>
      </c>
    </row>
    <row r="1461" ht="15.75" customHeight="1">
      <c r="A1461" s="1">
        <v>1460.0</v>
      </c>
      <c r="B1461" s="1" t="s">
        <v>1790</v>
      </c>
      <c r="C1461" s="1" t="s">
        <v>3937</v>
      </c>
      <c r="D1461" s="1" t="s">
        <v>297</v>
      </c>
      <c r="E1461" s="1">
        <v>5.70038356444E11</v>
      </c>
      <c r="F1461" s="1" t="s">
        <v>3938</v>
      </c>
      <c r="G1461" s="1" t="s">
        <v>3846</v>
      </c>
      <c r="H1461" s="1" t="s">
        <v>3847</v>
      </c>
      <c r="I1461" s="1" t="s">
        <v>3038</v>
      </c>
      <c r="J1461" s="1" t="s">
        <v>3848</v>
      </c>
    </row>
    <row r="1462" ht="15.75" customHeight="1">
      <c r="A1462" s="1">
        <v>1461.0</v>
      </c>
      <c r="B1462" s="1" t="s">
        <v>3939</v>
      </c>
      <c r="C1462" s="1" t="s">
        <v>3940</v>
      </c>
      <c r="D1462" s="1" t="s">
        <v>3941</v>
      </c>
      <c r="E1462" s="1">
        <v>5.70038356446E11</v>
      </c>
      <c r="F1462" s="1" t="s">
        <v>1811</v>
      </c>
      <c r="G1462" s="1" t="s">
        <v>3846</v>
      </c>
      <c r="H1462" s="1" t="s">
        <v>3847</v>
      </c>
      <c r="I1462" s="1" t="s">
        <v>3038</v>
      </c>
      <c r="J1462" s="1" t="s">
        <v>3848</v>
      </c>
    </row>
    <row r="1463" ht="15.75" customHeight="1">
      <c r="A1463" s="1">
        <v>1462.0</v>
      </c>
      <c r="B1463" s="1" t="s">
        <v>534</v>
      </c>
      <c r="C1463" s="1" t="s">
        <v>3942</v>
      </c>
      <c r="D1463" s="1" t="s">
        <v>600</v>
      </c>
      <c r="E1463" s="1">
        <v>5.70038356447E11</v>
      </c>
      <c r="F1463" s="1" t="s">
        <v>3943</v>
      </c>
      <c r="G1463" s="1" t="s">
        <v>3846</v>
      </c>
      <c r="H1463" s="1" t="s">
        <v>3888</v>
      </c>
      <c r="I1463" s="1" t="s">
        <v>3889</v>
      </c>
      <c r="J1463" s="1" t="s">
        <v>3038</v>
      </c>
      <c r="K1463" s="5" t="s">
        <v>3848</v>
      </c>
    </row>
    <row r="1464" ht="15.75" customHeight="1">
      <c r="A1464" s="1">
        <v>1463.0</v>
      </c>
      <c r="B1464" s="1" t="s">
        <v>431</v>
      </c>
      <c r="C1464" s="1" t="s">
        <v>1332</v>
      </c>
      <c r="D1464" s="1" t="s">
        <v>1871</v>
      </c>
      <c r="E1464" s="1">
        <v>5.70038356448E11</v>
      </c>
      <c r="F1464" s="1" t="s">
        <v>2763</v>
      </c>
      <c r="G1464" s="1" t="s">
        <v>3846</v>
      </c>
      <c r="H1464" s="1" t="s">
        <v>3847</v>
      </c>
      <c r="I1464" s="1" t="s">
        <v>3038</v>
      </c>
      <c r="J1464" s="1" t="s">
        <v>3848</v>
      </c>
    </row>
    <row r="1465" ht="15.75" customHeight="1">
      <c r="A1465" s="1">
        <v>1464.0</v>
      </c>
      <c r="B1465" s="1" t="s">
        <v>3944</v>
      </c>
      <c r="C1465" s="1" t="s">
        <v>3945</v>
      </c>
      <c r="D1465" s="1" t="s">
        <v>3946</v>
      </c>
      <c r="E1465" s="1">
        <v>5.70038356449E11</v>
      </c>
      <c r="F1465" s="1" t="s">
        <v>1157</v>
      </c>
      <c r="G1465" s="1" t="s">
        <v>3846</v>
      </c>
      <c r="H1465" s="1" t="s">
        <v>3888</v>
      </c>
      <c r="I1465" s="1" t="s">
        <v>3889</v>
      </c>
      <c r="J1465" s="1" t="s">
        <v>3038</v>
      </c>
      <c r="K1465" s="5" t="s">
        <v>3848</v>
      </c>
    </row>
    <row r="1466" ht="15.75" customHeight="1">
      <c r="A1466" s="1">
        <v>1465.0</v>
      </c>
      <c r="B1466" s="1" t="s">
        <v>2202</v>
      </c>
      <c r="C1466" s="1" t="s">
        <v>3947</v>
      </c>
      <c r="D1466" s="1" t="s">
        <v>951</v>
      </c>
      <c r="E1466" s="1">
        <v>5.7003835645E11</v>
      </c>
      <c r="F1466" s="1" t="s">
        <v>3948</v>
      </c>
      <c r="G1466" s="1" t="s">
        <v>3846</v>
      </c>
      <c r="H1466" s="1" t="s">
        <v>3888</v>
      </c>
      <c r="I1466" s="1" t="s">
        <v>3889</v>
      </c>
      <c r="J1466" s="1" t="s">
        <v>3038</v>
      </c>
      <c r="K1466" s="5" t="s">
        <v>3848</v>
      </c>
    </row>
    <row r="1467" ht="15.75" customHeight="1">
      <c r="A1467" s="1">
        <v>1466.0</v>
      </c>
      <c r="B1467" s="1" t="s">
        <v>583</v>
      </c>
      <c r="C1467" s="1" t="s">
        <v>3949</v>
      </c>
      <c r="D1467" s="1" t="s">
        <v>1248</v>
      </c>
      <c r="E1467" s="1">
        <v>5.70038356451E11</v>
      </c>
      <c r="F1467" s="1" t="s">
        <v>3950</v>
      </c>
      <c r="G1467" s="1" t="s">
        <v>3846</v>
      </c>
      <c r="H1467" s="1" t="s">
        <v>3888</v>
      </c>
      <c r="I1467" s="1" t="s">
        <v>3889</v>
      </c>
      <c r="J1467" s="1" t="s">
        <v>3038</v>
      </c>
      <c r="K1467" s="5" t="s">
        <v>3848</v>
      </c>
    </row>
    <row r="1468" ht="15.75" customHeight="1">
      <c r="A1468" s="1">
        <v>1467.0</v>
      </c>
      <c r="B1468" s="1" t="s">
        <v>415</v>
      </c>
      <c r="C1468" s="1" t="s">
        <v>3951</v>
      </c>
      <c r="D1468" s="1" t="s">
        <v>1589</v>
      </c>
      <c r="E1468" s="1">
        <v>5.70038356453E11</v>
      </c>
      <c r="F1468" s="1" t="s">
        <v>921</v>
      </c>
      <c r="G1468" s="1" t="s">
        <v>3846</v>
      </c>
      <c r="H1468" s="1" t="s">
        <v>3888</v>
      </c>
      <c r="I1468" s="1" t="s">
        <v>3889</v>
      </c>
      <c r="J1468" s="1" t="s">
        <v>3038</v>
      </c>
      <c r="K1468" s="5" t="s">
        <v>3848</v>
      </c>
    </row>
    <row r="1469" ht="15.75" customHeight="1">
      <c r="A1469" s="1">
        <v>1468.0</v>
      </c>
      <c r="B1469" s="1" t="s">
        <v>77</v>
      </c>
      <c r="C1469" s="1" t="s">
        <v>3952</v>
      </c>
      <c r="D1469" s="1" t="s">
        <v>3953</v>
      </c>
      <c r="E1469" s="1">
        <v>5.70038356454E11</v>
      </c>
      <c r="F1469" s="1" t="s">
        <v>3954</v>
      </c>
      <c r="G1469" s="1" t="s">
        <v>3846</v>
      </c>
      <c r="H1469" s="1" t="s">
        <v>3888</v>
      </c>
      <c r="I1469" s="1" t="s">
        <v>3889</v>
      </c>
      <c r="J1469" s="1" t="s">
        <v>3038</v>
      </c>
      <c r="K1469" s="5" t="s">
        <v>3848</v>
      </c>
    </row>
    <row r="1470" ht="15.75" customHeight="1">
      <c r="A1470" s="1">
        <v>1469.0</v>
      </c>
      <c r="B1470" s="1" t="s">
        <v>3955</v>
      </c>
      <c r="C1470" s="1" t="s">
        <v>3956</v>
      </c>
      <c r="D1470" s="1" t="s">
        <v>3957</v>
      </c>
      <c r="E1470" s="1">
        <v>5.70038356455E11</v>
      </c>
      <c r="F1470" s="1" t="s">
        <v>3958</v>
      </c>
      <c r="G1470" s="1" t="s">
        <v>3846</v>
      </c>
      <c r="H1470" s="1" t="s">
        <v>3847</v>
      </c>
      <c r="I1470" s="1" t="s">
        <v>3038</v>
      </c>
      <c r="J1470" s="1" t="s">
        <v>3848</v>
      </c>
    </row>
    <row r="1471" ht="15.75" customHeight="1">
      <c r="A1471" s="1">
        <v>1470.0</v>
      </c>
      <c r="B1471" s="1" t="s">
        <v>3959</v>
      </c>
      <c r="C1471" s="1" t="s">
        <v>3960</v>
      </c>
      <c r="D1471" s="1" t="s">
        <v>3961</v>
      </c>
      <c r="E1471" s="1">
        <v>5.70038356457E11</v>
      </c>
      <c r="F1471" s="1" t="s">
        <v>1419</v>
      </c>
      <c r="G1471" s="1" t="s">
        <v>3846</v>
      </c>
      <c r="H1471" s="1" t="s">
        <v>3847</v>
      </c>
      <c r="I1471" s="1" t="s">
        <v>3038</v>
      </c>
      <c r="J1471" s="1" t="s">
        <v>3848</v>
      </c>
    </row>
    <row r="1472" ht="15.75" customHeight="1">
      <c r="A1472" s="1">
        <v>1471.0</v>
      </c>
      <c r="B1472" s="1" t="s">
        <v>3962</v>
      </c>
      <c r="C1472" s="1" t="s">
        <v>3963</v>
      </c>
      <c r="D1472" s="1" t="s">
        <v>3964</v>
      </c>
      <c r="E1472" s="1">
        <v>5.7003835646E11</v>
      </c>
      <c r="F1472" s="1" t="s">
        <v>3965</v>
      </c>
      <c r="G1472" s="1" t="s">
        <v>3846</v>
      </c>
      <c r="H1472" s="1" t="s">
        <v>3847</v>
      </c>
      <c r="I1472" s="1" t="s">
        <v>3038</v>
      </c>
      <c r="J1472" s="1" t="s">
        <v>3848</v>
      </c>
    </row>
    <row r="1473" ht="15.75" customHeight="1">
      <c r="A1473" s="1">
        <v>1472.0</v>
      </c>
      <c r="B1473" s="1" t="s">
        <v>3387</v>
      </c>
      <c r="C1473" s="1" t="s">
        <v>3966</v>
      </c>
      <c r="D1473" s="1" t="s">
        <v>1128</v>
      </c>
      <c r="E1473" s="1">
        <v>5.70038356462E11</v>
      </c>
      <c r="F1473" s="1" t="s">
        <v>3967</v>
      </c>
      <c r="G1473" s="1" t="s">
        <v>3846</v>
      </c>
      <c r="H1473" s="1" t="s">
        <v>3847</v>
      </c>
      <c r="I1473" s="1" t="s">
        <v>3038</v>
      </c>
      <c r="J1473" s="1" t="s">
        <v>3848</v>
      </c>
    </row>
    <row r="1474" ht="15.75" customHeight="1">
      <c r="A1474" s="1">
        <v>1473.0</v>
      </c>
      <c r="B1474" s="1" t="s">
        <v>97</v>
      </c>
      <c r="C1474" s="1" t="s">
        <v>3968</v>
      </c>
      <c r="D1474" s="1" t="s">
        <v>1047</v>
      </c>
      <c r="E1474" s="1">
        <v>5.70038356463E11</v>
      </c>
      <c r="F1474" s="1" t="s">
        <v>1367</v>
      </c>
      <c r="G1474" s="1" t="s">
        <v>3846</v>
      </c>
      <c r="H1474" s="1" t="s">
        <v>3847</v>
      </c>
      <c r="I1474" s="1" t="s">
        <v>3038</v>
      </c>
      <c r="J1474" s="1" t="s">
        <v>3848</v>
      </c>
    </row>
    <row r="1475" ht="15.75" customHeight="1">
      <c r="A1475" s="1">
        <v>1474.0</v>
      </c>
      <c r="B1475" s="1" t="s">
        <v>3969</v>
      </c>
      <c r="C1475" s="1" t="s">
        <v>2867</v>
      </c>
      <c r="D1475" s="1" t="s">
        <v>157</v>
      </c>
      <c r="E1475" s="1">
        <v>5.70038356464E11</v>
      </c>
      <c r="F1475" s="1" t="s">
        <v>2783</v>
      </c>
      <c r="G1475" s="1" t="s">
        <v>3846</v>
      </c>
      <c r="H1475" s="1" t="s">
        <v>3847</v>
      </c>
      <c r="I1475" s="1" t="s">
        <v>3038</v>
      </c>
      <c r="J1475" s="1" t="s">
        <v>3848</v>
      </c>
    </row>
    <row r="1476" ht="15.75" customHeight="1">
      <c r="A1476" s="1">
        <v>1475.0</v>
      </c>
      <c r="B1476" s="1" t="s">
        <v>2846</v>
      </c>
      <c r="C1476" s="1" t="s">
        <v>3970</v>
      </c>
      <c r="D1476" s="1" t="s">
        <v>2410</v>
      </c>
      <c r="E1476" s="1">
        <v>5.7003835647E11</v>
      </c>
      <c r="F1476" s="1" t="s">
        <v>1731</v>
      </c>
      <c r="G1476" s="1" t="s">
        <v>3846</v>
      </c>
      <c r="H1476" s="1" t="s">
        <v>3847</v>
      </c>
      <c r="I1476" s="1" t="s">
        <v>3038</v>
      </c>
      <c r="J1476" s="1" t="s">
        <v>3848</v>
      </c>
    </row>
    <row r="1477" ht="15.75" customHeight="1">
      <c r="A1477" s="1">
        <v>1476.0</v>
      </c>
      <c r="B1477" s="1" t="s">
        <v>3971</v>
      </c>
      <c r="C1477" s="1" t="s">
        <v>3972</v>
      </c>
      <c r="D1477" s="1" t="s">
        <v>3973</v>
      </c>
      <c r="E1477" s="1">
        <v>5.70038356471E11</v>
      </c>
      <c r="F1477" s="1" t="s">
        <v>3974</v>
      </c>
      <c r="G1477" s="1" t="s">
        <v>3846</v>
      </c>
      <c r="H1477" s="1" t="s">
        <v>3847</v>
      </c>
      <c r="I1477" s="1" t="s">
        <v>3038</v>
      </c>
      <c r="J1477" s="1" t="s">
        <v>3848</v>
      </c>
    </row>
    <row r="1478" ht="15.75" customHeight="1">
      <c r="A1478" s="1">
        <v>1477.0</v>
      </c>
      <c r="B1478" s="1" t="s">
        <v>3975</v>
      </c>
      <c r="C1478" s="1" t="s">
        <v>3976</v>
      </c>
      <c r="D1478" s="1" t="s">
        <v>3977</v>
      </c>
      <c r="E1478" s="1">
        <v>5.7003835648E11</v>
      </c>
      <c r="F1478" s="1" t="s">
        <v>3978</v>
      </c>
      <c r="G1478" s="1" t="s">
        <v>3846</v>
      </c>
      <c r="H1478" s="1" t="s">
        <v>3847</v>
      </c>
      <c r="I1478" s="1" t="s">
        <v>3038</v>
      </c>
      <c r="J1478" s="1" t="s">
        <v>3848</v>
      </c>
    </row>
    <row r="1479" ht="15.75" customHeight="1">
      <c r="A1479" s="1">
        <v>1478.0</v>
      </c>
      <c r="B1479" s="1" t="s">
        <v>579</v>
      </c>
      <c r="C1479" s="1" t="s">
        <v>1158</v>
      </c>
      <c r="D1479" s="1" t="s">
        <v>3979</v>
      </c>
      <c r="E1479" s="1">
        <v>5.70038356482E11</v>
      </c>
      <c r="F1479" s="1" t="s">
        <v>3980</v>
      </c>
      <c r="G1479" s="1" t="s">
        <v>3846</v>
      </c>
      <c r="H1479" s="1" t="s">
        <v>3847</v>
      </c>
      <c r="I1479" s="1" t="s">
        <v>3038</v>
      </c>
      <c r="J1479" s="1" t="s">
        <v>3848</v>
      </c>
    </row>
    <row r="1480" ht="15.75" customHeight="1">
      <c r="A1480" s="1">
        <v>1479.0</v>
      </c>
      <c r="B1480" s="1" t="s">
        <v>34</v>
      </c>
      <c r="C1480" s="1" t="s">
        <v>631</v>
      </c>
      <c r="D1480" s="1" t="s">
        <v>875</v>
      </c>
      <c r="E1480" s="1">
        <v>5.70038356483E11</v>
      </c>
      <c r="F1480" s="1" t="s">
        <v>3897</v>
      </c>
      <c r="G1480" s="1" t="s">
        <v>3846</v>
      </c>
      <c r="H1480" s="1" t="s">
        <v>3847</v>
      </c>
      <c r="I1480" s="1" t="s">
        <v>3038</v>
      </c>
      <c r="J1480" s="1" t="s">
        <v>3848</v>
      </c>
    </row>
    <row r="1481" ht="15.75" customHeight="1">
      <c r="A1481" s="1">
        <v>1480.0</v>
      </c>
      <c r="B1481" s="1" t="s">
        <v>890</v>
      </c>
      <c r="C1481" s="1" t="s">
        <v>320</v>
      </c>
      <c r="D1481" s="1" t="s">
        <v>44</v>
      </c>
      <c r="E1481" s="1">
        <v>5.70038356484E11</v>
      </c>
      <c r="F1481" s="1" t="s">
        <v>3981</v>
      </c>
      <c r="G1481" s="1" t="s">
        <v>3846</v>
      </c>
      <c r="H1481" s="1" t="s">
        <v>3847</v>
      </c>
      <c r="I1481" s="1" t="s">
        <v>3038</v>
      </c>
      <c r="J1481" s="1" t="s">
        <v>3848</v>
      </c>
    </row>
    <row r="1482" ht="15.75" customHeight="1">
      <c r="A1482" s="1">
        <v>1481.0</v>
      </c>
      <c r="B1482" s="1" t="s">
        <v>331</v>
      </c>
      <c r="C1482" s="1" t="s">
        <v>3982</v>
      </c>
      <c r="D1482" s="1" t="s">
        <v>3957</v>
      </c>
      <c r="E1482" s="1">
        <v>5.70038356486E11</v>
      </c>
      <c r="F1482" s="1" t="s">
        <v>3983</v>
      </c>
      <c r="G1482" s="1" t="s">
        <v>3846</v>
      </c>
      <c r="H1482" s="1" t="s">
        <v>3847</v>
      </c>
      <c r="I1482" s="1" t="s">
        <v>3038</v>
      </c>
      <c r="J1482" s="1" t="s">
        <v>3848</v>
      </c>
    </row>
    <row r="1483" ht="15.75" customHeight="1">
      <c r="A1483" s="1">
        <v>1482.0</v>
      </c>
      <c r="B1483" s="1" t="s">
        <v>3984</v>
      </c>
      <c r="C1483" s="1" t="s">
        <v>3985</v>
      </c>
      <c r="D1483" s="1" t="s">
        <v>3986</v>
      </c>
      <c r="E1483" s="1">
        <v>5.70038356489E11</v>
      </c>
      <c r="F1483" s="1" t="s">
        <v>2482</v>
      </c>
      <c r="G1483" s="1" t="s">
        <v>3846</v>
      </c>
      <c r="H1483" s="1" t="s">
        <v>3847</v>
      </c>
      <c r="I1483" s="1" t="s">
        <v>3038</v>
      </c>
      <c r="J1483" s="1" t="s">
        <v>3848</v>
      </c>
    </row>
    <row r="1484" ht="15.75" customHeight="1">
      <c r="A1484" s="1">
        <v>1483.0</v>
      </c>
      <c r="B1484" s="1" t="s">
        <v>875</v>
      </c>
      <c r="C1484" s="1" t="s">
        <v>3987</v>
      </c>
      <c r="D1484" s="1" t="s">
        <v>3988</v>
      </c>
      <c r="E1484" s="1">
        <v>5.7003835649E11</v>
      </c>
      <c r="F1484" s="1" t="s">
        <v>3989</v>
      </c>
      <c r="G1484" s="1" t="s">
        <v>3846</v>
      </c>
      <c r="H1484" s="1" t="s">
        <v>3847</v>
      </c>
      <c r="I1484" s="1" t="s">
        <v>3038</v>
      </c>
      <c r="J1484" s="1" t="s">
        <v>3848</v>
      </c>
    </row>
    <row r="1485" ht="15.75" customHeight="1">
      <c r="A1485" s="1">
        <v>1484.0</v>
      </c>
      <c r="B1485" s="1" t="s">
        <v>3990</v>
      </c>
      <c r="C1485" s="1" t="s">
        <v>3991</v>
      </c>
      <c r="D1485" s="1" t="s">
        <v>2180</v>
      </c>
      <c r="E1485" s="1">
        <v>5.70038356493E11</v>
      </c>
      <c r="F1485" s="1" t="s">
        <v>126</v>
      </c>
      <c r="G1485" s="1" t="s">
        <v>3846</v>
      </c>
      <c r="H1485" s="1" t="s">
        <v>3847</v>
      </c>
      <c r="I1485" s="1" t="s">
        <v>3038</v>
      </c>
      <c r="J1485" s="1" t="s">
        <v>3848</v>
      </c>
    </row>
    <row r="1486" ht="15.75" customHeight="1">
      <c r="A1486" s="1">
        <v>1485.0</v>
      </c>
      <c r="B1486" s="1" t="s">
        <v>335</v>
      </c>
      <c r="C1486" s="1" t="s">
        <v>446</v>
      </c>
      <c r="D1486" s="1" t="s">
        <v>3992</v>
      </c>
      <c r="E1486" s="1">
        <v>5.70038356495E11</v>
      </c>
      <c r="F1486" s="1" t="s">
        <v>3495</v>
      </c>
      <c r="G1486" s="1" t="s">
        <v>3846</v>
      </c>
      <c r="H1486" s="1" t="s">
        <v>3847</v>
      </c>
      <c r="I1486" s="1" t="s">
        <v>3038</v>
      </c>
      <c r="J1486" s="1" t="s">
        <v>3848</v>
      </c>
    </row>
    <row r="1487" ht="15.75" customHeight="1">
      <c r="A1487" s="1">
        <v>1486.0</v>
      </c>
      <c r="B1487" s="1" t="s">
        <v>3993</v>
      </c>
      <c r="C1487" s="1" t="s">
        <v>3994</v>
      </c>
      <c r="D1487" s="1" t="s">
        <v>3995</v>
      </c>
      <c r="E1487" s="1">
        <v>5.70038356496E11</v>
      </c>
      <c r="F1487" s="1" t="s">
        <v>3996</v>
      </c>
      <c r="G1487" s="1" t="s">
        <v>3846</v>
      </c>
      <c r="H1487" s="1" t="s">
        <v>3847</v>
      </c>
      <c r="I1487" s="1" t="s">
        <v>3038</v>
      </c>
      <c r="J1487" s="1" t="s">
        <v>3848</v>
      </c>
    </row>
    <row r="1488" ht="15.75" customHeight="1">
      <c r="A1488" s="1">
        <v>1487.0</v>
      </c>
      <c r="B1488" s="1" t="s">
        <v>3997</v>
      </c>
      <c r="C1488" s="1" t="s">
        <v>3998</v>
      </c>
      <c r="D1488" s="1" t="s">
        <v>3999</v>
      </c>
      <c r="E1488" s="1">
        <v>5.70038356497E11</v>
      </c>
      <c r="F1488" s="1" t="s">
        <v>4000</v>
      </c>
      <c r="G1488" s="1" t="s">
        <v>3846</v>
      </c>
      <c r="H1488" s="1" t="s">
        <v>3847</v>
      </c>
      <c r="I1488" s="1" t="s">
        <v>3038</v>
      </c>
      <c r="J1488" s="1" t="s">
        <v>3848</v>
      </c>
    </row>
    <row r="1489" ht="15.75" customHeight="1">
      <c r="A1489" s="1">
        <v>1488.0</v>
      </c>
      <c r="B1489" s="1" t="s">
        <v>384</v>
      </c>
      <c r="C1489" s="1" t="s">
        <v>4001</v>
      </c>
      <c r="D1489" s="1" t="s">
        <v>10</v>
      </c>
      <c r="E1489" s="1">
        <v>5.700383565E11</v>
      </c>
      <c r="F1489" s="1" t="s">
        <v>4002</v>
      </c>
      <c r="G1489" s="1" t="s">
        <v>3846</v>
      </c>
      <c r="H1489" s="1" t="s">
        <v>3847</v>
      </c>
      <c r="I1489" s="1" t="s">
        <v>3038</v>
      </c>
      <c r="J1489" s="1" t="s">
        <v>3848</v>
      </c>
    </row>
    <row r="1490" ht="15.75" customHeight="1">
      <c r="A1490" s="1">
        <v>1489.0</v>
      </c>
      <c r="B1490" s="1" t="s">
        <v>4003</v>
      </c>
      <c r="C1490" s="1" t="s">
        <v>4004</v>
      </c>
      <c r="D1490" s="1" t="s">
        <v>2196</v>
      </c>
      <c r="E1490" s="1">
        <v>5.70038356501E11</v>
      </c>
      <c r="F1490" s="1" t="s">
        <v>4005</v>
      </c>
      <c r="G1490" s="1" t="s">
        <v>3846</v>
      </c>
      <c r="H1490" s="1" t="s">
        <v>3847</v>
      </c>
      <c r="I1490" s="1" t="s">
        <v>3038</v>
      </c>
      <c r="J1490" s="1" t="s">
        <v>3848</v>
      </c>
    </row>
    <row r="1491" ht="15.75" customHeight="1">
      <c r="A1491" s="1">
        <v>1490.0</v>
      </c>
      <c r="B1491" s="1" t="s">
        <v>4006</v>
      </c>
      <c r="C1491" s="1" t="s">
        <v>4007</v>
      </c>
      <c r="D1491" s="1" t="s">
        <v>60</v>
      </c>
      <c r="E1491" s="1">
        <v>5.70038356506E11</v>
      </c>
      <c r="F1491" s="1" t="s">
        <v>4008</v>
      </c>
      <c r="G1491" s="1" t="s">
        <v>3846</v>
      </c>
      <c r="H1491" s="1" t="s">
        <v>3847</v>
      </c>
      <c r="I1491" s="1" t="s">
        <v>3038</v>
      </c>
      <c r="J1491" s="1" t="s">
        <v>3848</v>
      </c>
    </row>
    <row r="1492" ht="15.75" customHeight="1">
      <c r="A1492" s="1">
        <v>1491.0</v>
      </c>
      <c r="B1492" s="1" t="s">
        <v>77</v>
      </c>
      <c r="C1492" s="1" t="s">
        <v>3769</v>
      </c>
      <c r="D1492" s="1" t="s">
        <v>917</v>
      </c>
      <c r="E1492" s="1">
        <v>5.70038356508E11</v>
      </c>
      <c r="F1492" s="1" t="s">
        <v>4009</v>
      </c>
      <c r="G1492" s="1" t="s">
        <v>3846</v>
      </c>
      <c r="H1492" s="1" t="s">
        <v>3847</v>
      </c>
      <c r="I1492" s="1" t="s">
        <v>3038</v>
      </c>
      <c r="J1492" s="1" t="s">
        <v>3848</v>
      </c>
    </row>
    <row r="1493" ht="15.75" customHeight="1">
      <c r="A1493" s="1">
        <v>1492.0</v>
      </c>
      <c r="B1493" s="1" t="s">
        <v>600</v>
      </c>
      <c r="C1493" s="1" t="s">
        <v>682</v>
      </c>
      <c r="D1493" s="1" t="s">
        <v>4010</v>
      </c>
      <c r="E1493" s="1">
        <v>5.70038356512E11</v>
      </c>
      <c r="F1493" s="1" t="s">
        <v>4011</v>
      </c>
      <c r="G1493" s="1" t="s">
        <v>3846</v>
      </c>
      <c r="H1493" s="1" t="s">
        <v>3847</v>
      </c>
      <c r="I1493" s="1" t="s">
        <v>3038</v>
      </c>
      <c r="J1493" s="1" t="s">
        <v>3848</v>
      </c>
    </row>
    <row r="1494" ht="15.75" customHeight="1">
      <c r="A1494" s="1">
        <v>1493.0</v>
      </c>
      <c r="B1494" s="1" t="s">
        <v>228</v>
      </c>
      <c r="C1494" s="1" t="s">
        <v>4012</v>
      </c>
      <c r="D1494" s="1" t="s">
        <v>331</v>
      </c>
      <c r="E1494" s="1">
        <v>5.70038356521E11</v>
      </c>
      <c r="F1494" s="1" t="s">
        <v>4013</v>
      </c>
      <c r="G1494" s="1" t="s">
        <v>3846</v>
      </c>
      <c r="H1494" s="1" t="s">
        <v>3847</v>
      </c>
      <c r="I1494" s="1" t="s">
        <v>3038</v>
      </c>
      <c r="J1494" s="1" t="s">
        <v>3848</v>
      </c>
    </row>
    <row r="1495" ht="15.75" customHeight="1">
      <c r="A1495" s="1">
        <v>1494.0</v>
      </c>
      <c r="B1495" s="1" t="s">
        <v>1649</v>
      </c>
      <c r="C1495" s="1" t="s">
        <v>4012</v>
      </c>
      <c r="D1495" s="1" t="s">
        <v>331</v>
      </c>
      <c r="E1495" s="1">
        <v>5.70038356522E11</v>
      </c>
      <c r="F1495" s="1" t="s">
        <v>2737</v>
      </c>
      <c r="G1495" s="1" t="s">
        <v>3846</v>
      </c>
      <c r="H1495" s="1" t="s">
        <v>3847</v>
      </c>
      <c r="I1495" s="1" t="s">
        <v>3038</v>
      </c>
      <c r="J1495" s="1" t="s">
        <v>3848</v>
      </c>
    </row>
    <row r="1496" ht="15.75" customHeight="1">
      <c r="A1496" s="1">
        <v>1495.0</v>
      </c>
      <c r="B1496" s="1" t="s">
        <v>18</v>
      </c>
      <c r="C1496" s="1" t="s">
        <v>4014</v>
      </c>
      <c r="D1496" s="1" t="s">
        <v>4015</v>
      </c>
      <c r="E1496" s="1">
        <v>5.70038356525E11</v>
      </c>
      <c r="F1496" s="1" t="s">
        <v>4016</v>
      </c>
      <c r="G1496" s="1" t="s">
        <v>3846</v>
      </c>
      <c r="H1496" s="1" t="s">
        <v>3847</v>
      </c>
      <c r="I1496" s="1" t="s">
        <v>3038</v>
      </c>
      <c r="J1496" s="1" t="s">
        <v>3848</v>
      </c>
    </row>
    <row r="1497" ht="15.75" customHeight="1">
      <c r="A1497" s="1">
        <v>1496.0</v>
      </c>
      <c r="B1497" s="1" t="s">
        <v>3639</v>
      </c>
      <c r="C1497" s="1" t="s">
        <v>4017</v>
      </c>
      <c r="D1497" s="1" t="s">
        <v>4018</v>
      </c>
      <c r="E1497" s="1">
        <v>5.70038356526E11</v>
      </c>
      <c r="F1497" s="1" t="s">
        <v>4019</v>
      </c>
      <c r="G1497" s="1" t="s">
        <v>3846</v>
      </c>
      <c r="H1497" s="1" t="s">
        <v>3847</v>
      </c>
      <c r="I1497" s="1" t="s">
        <v>3038</v>
      </c>
      <c r="J1497" s="1" t="s">
        <v>3848</v>
      </c>
    </row>
    <row r="1498" ht="15.75" customHeight="1">
      <c r="A1498" s="1">
        <v>1497.0</v>
      </c>
      <c r="B1498" s="1" t="s">
        <v>2712</v>
      </c>
      <c r="C1498" s="1" t="s">
        <v>4020</v>
      </c>
      <c r="D1498" s="1" t="s">
        <v>4021</v>
      </c>
      <c r="E1498" s="1">
        <v>5.70038356527E11</v>
      </c>
      <c r="F1498" s="1" t="s">
        <v>4022</v>
      </c>
      <c r="G1498" s="1" t="s">
        <v>3846</v>
      </c>
      <c r="H1498" s="1" t="s">
        <v>3847</v>
      </c>
      <c r="I1498" s="1" t="s">
        <v>3038</v>
      </c>
      <c r="J1498" s="1" t="s">
        <v>3848</v>
      </c>
    </row>
    <row r="1499" ht="15.75" customHeight="1">
      <c r="A1499" s="1">
        <v>1498.0</v>
      </c>
      <c r="B1499" s="1" t="s">
        <v>60</v>
      </c>
      <c r="C1499" s="1" t="s">
        <v>4023</v>
      </c>
      <c r="D1499" s="1" t="s">
        <v>4024</v>
      </c>
      <c r="E1499" s="1">
        <v>5.70038356529E11</v>
      </c>
      <c r="F1499" s="1" t="s">
        <v>4025</v>
      </c>
      <c r="G1499" s="1" t="s">
        <v>3846</v>
      </c>
      <c r="H1499" s="1" t="s">
        <v>3847</v>
      </c>
      <c r="I1499" s="1" t="s">
        <v>3038</v>
      </c>
      <c r="J1499" s="1" t="s">
        <v>3848</v>
      </c>
    </row>
    <row r="1500" ht="15.75" customHeight="1">
      <c r="A1500" s="1">
        <v>1499.0</v>
      </c>
      <c r="B1500" s="1" t="s">
        <v>4026</v>
      </c>
      <c r="C1500" s="1" t="s">
        <v>2844</v>
      </c>
      <c r="D1500" s="1" t="s">
        <v>4027</v>
      </c>
      <c r="E1500" s="1">
        <v>5.70038356532E11</v>
      </c>
      <c r="F1500" s="1" t="s">
        <v>4028</v>
      </c>
      <c r="G1500" s="1" t="s">
        <v>3846</v>
      </c>
      <c r="H1500" s="1" t="s">
        <v>3847</v>
      </c>
      <c r="I1500" s="1" t="s">
        <v>3038</v>
      </c>
      <c r="J1500" s="1" t="s">
        <v>3848</v>
      </c>
    </row>
    <row r="1501" ht="15.75" customHeight="1">
      <c r="A1501" s="1">
        <v>1500.0</v>
      </c>
      <c r="B1501" s="1" t="s">
        <v>2247</v>
      </c>
      <c r="C1501" s="1" t="s">
        <v>4029</v>
      </c>
      <c r="D1501" s="1" t="s">
        <v>267</v>
      </c>
      <c r="E1501" s="1">
        <v>5.70038356533E11</v>
      </c>
      <c r="F1501" s="1" t="s">
        <v>4030</v>
      </c>
      <c r="G1501" s="1" t="s">
        <v>3846</v>
      </c>
      <c r="H1501" s="1" t="s">
        <v>3847</v>
      </c>
      <c r="I1501" s="1" t="s">
        <v>3038</v>
      </c>
      <c r="J1501" s="1" t="s">
        <v>3848</v>
      </c>
    </row>
    <row r="1502" ht="15.75" customHeight="1">
      <c r="A1502" s="1">
        <v>1501.0</v>
      </c>
      <c r="B1502" s="1" t="s">
        <v>979</v>
      </c>
      <c r="C1502" s="1" t="s">
        <v>4031</v>
      </c>
      <c r="D1502" s="1" t="s">
        <v>58</v>
      </c>
      <c r="E1502" s="1">
        <v>5.70038356534E11</v>
      </c>
      <c r="F1502" s="1" t="s">
        <v>4032</v>
      </c>
      <c r="G1502" s="1" t="s">
        <v>3846</v>
      </c>
      <c r="H1502" s="1" t="s">
        <v>3847</v>
      </c>
      <c r="I1502" s="1" t="s">
        <v>3038</v>
      </c>
      <c r="J1502" s="1" t="s">
        <v>3848</v>
      </c>
    </row>
    <row r="1503" ht="15.75" customHeight="1">
      <c r="A1503" s="1">
        <v>1502.0</v>
      </c>
      <c r="B1503" s="1" t="s">
        <v>2503</v>
      </c>
      <c r="C1503" s="1" t="s">
        <v>4033</v>
      </c>
      <c r="D1503" s="1" t="s">
        <v>77</v>
      </c>
      <c r="E1503" s="1">
        <v>5.70038356539E11</v>
      </c>
      <c r="F1503" s="1" t="s">
        <v>4034</v>
      </c>
      <c r="G1503" s="1" t="s">
        <v>3846</v>
      </c>
      <c r="H1503" s="1" t="s">
        <v>3847</v>
      </c>
      <c r="I1503" s="1" t="s">
        <v>3038</v>
      </c>
      <c r="J1503" s="1" t="s">
        <v>3848</v>
      </c>
    </row>
    <row r="1504" ht="15.75" customHeight="1">
      <c r="A1504" s="1">
        <v>1503.0</v>
      </c>
      <c r="B1504" s="1" t="s">
        <v>427</v>
      </c>
      <c r="C1504" s="1" t="s">
        <v>4035</v>
      </c>
      <c r="D1504" s="1" t="s">
        <v>297</v>
      </c>
      <c r="E1504" s="1">
        <v>5.70038356541E11</v>
      </c>
      <c r="F1504" s="1" t="s">
        <v>4036</v>
      </c>
      <c r="G1504" s="1" t="s">
        <v>3846</v>
      </c>
      <c r="H1504" s="1" t="s">
        <v>3847</v>
      </c>
      <c r="I1504" s="1" t="s">
        <v>3038</v>
      </c>
      <c r="J1504" s="1" t="s">
        <v>3848</v>
      </c>
    </row>
    <row r="1505" ht="15.75" customHeight="1">
      <c r="A1505" s="1">
        <v>1504.0</v>
      </c>
      <c r="B1505" s="1" t="s">
        <v>290</v>
      </c>
      <c r="C1505" s="1" t="s">
        <v>4037</v>
      </c>
      <c r="D1505" s="1" t="s">
        <v>3235</v>
      </c>
      <c r="E1505" s="1">
        <v>5.70038356544E11</v>
      </c>
      <c r="F1505" s="1" t="s">
        <v>4038</v>
      </c>
      <c r="G1505" s="1" t="s">
        <v>3846</v>
      </c>
      <c r="H1505" s="1" t="s">
        <v>3847</v>
      </c>
      <c r="I1505" s="1" t="s">
        <v>3038</v>
      </c>
      <c r="J1505" s="1" t="s">
        <v>3848</v>
      </c>
    </row>
    <row r="1506" ht="15.75" customHeight="1">
      <c r="A1506" s="1">
        <v>1505.0</v>
      </c>
      <c r="B1506" s="1" t="s">
        <v>4039</v>
      </c>
      <c r="C1506" s="1" t="s">
        <v>4040</v>
      </c>
      <c r="D1506" s="1" t="s">
        <v>4041</v>
      </c>
      <c r="E1506" s="1">
        <v>5.70038356545E11</v>
      </c>
      <c r="F1506" s="1" t="s">
        <v>4042</v>
      </c>
      <c r="G1506" s="1" t="s">
        <v>3846</v>
      </c>
      <c r="H1506" s="1" t="s">
        <v>3847</v>
      </c>
      <c r="I1506" s="1" t="s">
        <v>4043</v>
      </c>
      <c r="J1506" s="1" t="s">
        <v>3038</v>
      </c>
      <c r="K1506" s="5" t="s">
        <v>3848</v>
      </c>
    </row>
    <row r="1507" ht="15.75" customHeight="1">
      <c r="A1507" s="1">
        <v>1506.0</v>
      </c>
      <c r="B1507" s="1" t="s">
        <v>1977</v>
      </c>
      <c r="C1507" s="1" t="s">
        <v>4044</v>
      </c>
      <c r="D1507" s="1" t="s">
        <v>281</v>
      </c>
      <c r="E1507" s="1">
        <v>5.70038356547E11</v>
      </c>
      <c r="F1507" s="1" t="s">
        <v>4045</v>
      </c>
      <c r="G1507" s="1" t="s">
        <v>3846</v>
      </c>
      <c r="H1507" s="1" t="s">
        <v>3847</v>
      </c>
      <c r="I1507" s="1" t="s">
        <v>3038</v>
      </c>
      <c r="J1507" s="1" t="s">
        <v>3848</v>
      </c>
    </row>
    <row r="1508" ht="15.75" customHeight="1">
      <c r="A1508" s="1">
        <v>1507.0</v>
      </c>
      <c r="B1508" s="1" t="s">
        <v>1458</v>
      </c>
      <c r="C1508" s="1" t="s">
        <v>4046</v>
      </c>
      <c r="D1508" s="1" t="s">
        <v>4047</v>
      </c>
      <c r="E1508" s="1">
        <v>5.70038356549E11</v>
      </c>
      <c r="F1508" s="1" t="s">
        <v>4048</v>
      </c>
      <c r="G1508" s="1" t="s">
        <v>3846</v>
      </c>
      <c r="H1508" s="1" t="s">
        <v>3847</v>
      </c>
      <c r="I1508" s="1" t="s">
        <v>3038</v>
      </c>
      <c r="J1508" s="1" t="s">
        <v>3848</v>
      </c>
    </row>
    <row r="1509" ht="15.75" customHeight="1">
      <c r="A1509" s="1">
        <v>1508.0</v>
      </c>
      <c r="B1509" s="1" t="s">
        <v>2712</v>
      </c>
      <c r="C1509" s="1" t="s">
        <v>4049</v>
      </c>
      <c r="D1509" s="1" t="s">
        <v>2503</v>
      </c>
      <c r="E1509" s="1">
        <v>5.70038356551E11</v>
      </c>
      <c r="F1509" s="1" t="s">
        <v>4050</v>
      </c>
      <c r="G1509" s="1" t="s">
        <v>3846</v>
      </c>
      <c r="H1509" s="1" t="s">
        <v>3847</v>
      </c>
      <c r="I1509" s="1" t="s">
        <v>3038</v>
      </c>
      <c r="J1509" s="1" t="s">
        <v>3848</v>
      </c>
    </row>
    <row r="1510" ht="15.75" customHeight="1">
      <c r="A1510" s="1">
        <v>1509.0</v>
      </c>
      <c r="B1510" s="1" t="s">
        <v>4051</v>
      </c>
      <c r="C1510" s="1" t="s">
        <v>4052</v>
      </c>
      <c r="D1510" s="1" t="s">
        <v>4053</v>
      </c>
      <c r="E1510" s="1">
        <v>5.70038356552E11</v>
      </c>
      <c r="F1510" s="1" t="s">
        <v>4054</v>
      </c>
      <c r="G1510" s="1" t="s">
        <v>3846</v>
      </c>
      <c r="H1510" s="1" t="s">
        <v>3847</v>
      </c>
      <c r="I1510" s="1" t="s">
        <v>3038</v>
      </c>
      <c r="J1510" s="1" t="s">
        <v>3848</v>
      </c>
    </row>
    <row r="1511" ht="15.75" customHeight="1">
      <c r="A1511" s="1">
        <v>1492.0</v>
      </c>
      <c r="B1511" s="1" t="s">
        <v>1581</v>
      </c>
      <c r="C1511" s="1" t="s">
        <v>4055</v>
      </c>
      <c r="D1511" s="1" t="s">
        <v>4056</v>
      </c>
      <c r="E1511" s="1">
        <v>5.70038356556E11</v>
      </c>
      <c r="F1511" s="1" t="s">
        <v>1872</v>
      </c>
      <c r="G1511" s="1" t="s">
        <v>3846</v>
      </c>
      <c r="H1511" s="1" t="s">
        <v>3847</v>
      </c>
      <c r="I1511" s="1" t="s">
        <v>3038</v>
      </c>
      <c r="J1511" s="1" t="s">
        <v>3848</v>
      </c>
    </row>
    <row r="1512" ht="15.75" customHeight="1">
      <c r="A1512" s="1">
        <v>1493.0</v>
      </c>
      <c r="B1512" s="1" t="s">
        <v>1506</v>
      </c>
      <c r="C1512" s="1" t="s">
        <v>262</v>
      </c>
      <c r="D1512" s="1" t="s">
        <v>230</v>
      </c>
      <c r="E1512" s="1">
        <v>5.70038356557E11</v>
      </c>
      <c r="F1512" s="1" t="s">
        <v>4057</v>
      </c>
      <c r="G1512" s="1" t="s">
        <v>3846</v>
      </c>
      <c r="H1512" s="1" t="s">
        <v>3847</v>
      </c>
      <c r="I1512" s="1" t="s">
        <v>3038</v>
      </c>
      <c r="J1512" s="1" t="s">
        <v>3848</v>
      </c>
    </row>
    <row r="1513" ht="15.75" customHeight="1">
      <c r="A1513" s="1">
        <v>1494.0</v>
      </c>
      <c r="B1513" s="1" t="s">
        <v>641</v>
      </c>
      <c r="C1513" s="1" t="s">
        <v>2775</v>
      </c>
      <c r="D1513" s="1" t="s">
        <v>1475</v>
      </c>
      <c r="E1513" s="1">
        <v>5.70038356558E11</v>
      </c>
      <c r="F1513" s="1" t="s">
        <v>4058</v>
      </c>
      <c r="G1513" s="1" t="s">
        <v>3846</v>
      </c>
      <c r="H1513" s="1" t="s">
        <v>3847</v>
      </c>
      <c r="I1513" s="1" t="s">
        <v>3038</v>
      </c>
      <c r="J1513" s="1" t="s">
        <v>3848</v>
      </c>
    </row>
    <row r="1514" ht="15.75" customHeight="1">
      <c r="A1514" s="1">
        <v>1495.0</v>
      </c>
      <c r="B1514" s="1" t="s">
        <v>1475</v>
      </c>
      <c r="C1514" s="1" t="s">
        <v>2861</v>
      </c>
      <c r="D1514" s="1" t="s">
        <v>52</v>
      </c>
      <c r="E1514" s="1">
        <v>5.70038356559E11</v>
      </c>
      <c r="F1514" s="1" t="s">
        <v>1710</v>
      </c>
      <c r="G1514" s="1" t="s">
        <v>3846</v>
      </c>
      <c r="H1514" s="1" t="s">
        <v>3847</v>
      </c>
      <c r="I1514" s="1" t="s">
        <v>3038</v>
      </c>
      <c r="J1514" s="1" t="s">
        <v>3848</v>
      </c>
    </row>
    <row r="1515" ht="15.75" customHeight="1">
      <c r="A1515" s="1">
        <v>1496.0</v>
      </c>
      <c r="B1515" s="1" t="s">
        <v>3856</v>
      </c>
      <c r="C1515" s="1" t="s">
        <v>3527</v>
      </c>
      <c r="D1515" s="1" t="s">
        <v>875</v>
      </c>
      <c r="E1515" s="1">
        <v>5.70038356561E11</v>
      </c>
      <c r="F1515" s="1" t="s">
        <v>4059</v>
      </c>
      <c r="G1515" s="1" t="s">
        <v>3846</v>
      </c>
      <c r="H1515" s="1" t="s">
        <v>3847</v>
      </c>
      <c r="I1515" s="1" t="s">
        <v>3038</v>
      </c>
      <c r="J1515" s="1" t="s">
        <v>3848</v>
      </c>
    </row>
    <row r="1516" ht="15.75" customHeight="1">
      <c r="A1516" s="1">
        <v>1497.0</v>
      </c>
      <c r="B1516" s="1" t="s">
        <v>1674</v>
      </c>
      <c r="C1516" s="1" t="s">
        <v>631</v>
      </c>
      <c r="D1516" s="1" t="s">
        <v>4060</v>
      </c>
      <c r="E1516" s="1">
        <v>5.70038356562E11</v>
      </c>
      <c r="F1516" s="1" t="s">
        <v>4061</v>
      </c>
      <c r="G1516" s="1" t="s">
        <v>3846</v>
      </c>
      <c r="H1516" s="1" t="s">
        <v>3847</v>
      </c>
      <c r="I1516" s="1" t="s">
        <v>3038</v>
      </c>
      <c r="J1516" s="1" t="s">
        <v>3848</v>
      </c>
    </row>
    <row r="1517" ht="15.75" customHeight="1">
      <c r="A1517" s="1">
        <v>1498.0</v>
      </c>
      <c r="B1517" s="1" t="s">
        <v>2379</v>
      </c>
      <c r="C1517" s="1" t="s">
        <v>4062</v>
      </c>
      <c r="D1517" s="1" t="s">
        <v>4063</v>
      </c>
      <c r="E1517" s="1">
        <v>5.70038356563E11</v>
      </c>
      <c r="F1517" s="1" t="s">
        <v>507</v>
      </c>
      <c r="G1517" s="1" t="s">
        <v>3846</v>
      </c>
      <c r="H1517" s="1" t="s">
        <v>3847</v>
      </c>
      <c r="I1517" s="1" t="s">
        <v>3038</v>
      </c>
      <c r="J1517" s="1" t="s">
        <v>3848</v>
      </c>
    </row>
    <row r="1518" ht="15.75" customHeight="1">
      <c r="A1518" s="1">
        <v>1499.0</v>
      </c>
      <c r="B1518" s="1" t="s">
        <v>513</v>
      </c>
      <c r="C1518" s="1" t="s">
        <v>4064</v>
      </c>
      <c r="D1518" s="1" t="s">
        <v>2247</v>
      </c>
      <c r="E1518" s="1">
        <v>5.70038356567E11</v>
      </c>
      <c r="F1518" s="1" t="s">
        <v>4065</v>
      </c>
      <c r="G1518" s="1" t="s">
        <v>3846</v>
      </c>
      <c r="H1518" s="1" t="s">
        <v>3847</v>
      </c>
      <c r="I1518" s="1" t="s">
        <v>3038</v>
      </c>
      <c r="J1518" s="1" t="s">
        <v>3848</v>
      </c>
    </row>
    <row r="1519" ht="15.75" customHeight="1">
      <c r="A1519" s="1">
        <v>1500.0</v>
      </c>
      <c r="B1519" s="1" t="s">
        <v>4066</v>
      </c>
      <c r="C1519" s="1" t="s">
        <v>4067</v>
      </c>
      <c r="D1519" s="1" t="s">
        <v>4068</v>
      </c>
      <c r="E1519" s="1">
        <v>5.70038356568E11</v>
      </c>
      <c r="F1519" s="1" t="s">
        <v>4069</v>
      </c>
      <c r="G1519" s="1" t="s">
        <v>3846</v>
      </c>
      <c r="H1519" s="1" t="s">
        <v>3847</v>
      </c>
      <c r="I1519" s="1" t="s">
        <v>3038</v>
      </c>
      <c r="J1519" s="1" t="s">
        <v>3848</v>
      </c>
    </row>
    <row r="1520" ht="15.75" customHeight="1">
      <c r="A1520" s="1">
        <v>1501.0</v>
      </c>
      <c r="B1520" s="1" t="s">
        <v>3277</v>
      </c>
      <c r="C1520" s="1" t="s">
        <v>4070</v>
      </c>
      <c r="D1520" s="1" t="s">
        <v>4071</v>
      </c>
      <c r="E1520" s="1">
        <v>5.70038356573E11</v>
      </c>
      <c r="F1520" s="1" t="s">
        <v>4072</v>
      </c>
      <c r="G1520" s="1" t="s">
        <v>3846</v>
      </c>
      <c r="H1520" s="1" t="s">
        <v>3847</v>
      </c>
      <c r="I1520" s="1" t="s">
        <v>3038</v>
      </c>
      <c r="J1520" s="1" t="s">
        <v>3848</v>
      </c>
    </row>
    <row r="1521" ht="15.75" customHeight="1">
      <c r="A1521" s="1">
        <v>1502.0</v>
      </c>
      <c r="B1521" s="1" t="s">
        <v>4073</v>
      </c>
      <c r="C1521" s="1" t="s">
        <v>4074</v>
      </c>
      <c r="D1521" s="1" t="s">
        <v>4075</v>
      </c>
      <c r="E1521" s="1">
        <v>5.70038356575E11</v>
      </c>
      <c r="F1521" s="1" t="s">
        <v>4076</v>
      </c>
      <c r="G1521" s="1" t="s">
        <v>3846</v>
      </c>
      <c r="H1521" s="1" t="s">
        <v>3847</v>
      </c>
      <c r="I1521" s="1" t="s">
        <v>3038</v>
      </c>
      <c r="J1521" s="1" t="s">
        <v>3848</v>
      </c>
    </row>
    <row r="1522" ht="15.75" customHeight="1">
      <c r="A1522" s="1">
        <v>1503.0</v>
      </c>
      <c r="B1522" s="1" t="s">
        <v>641</v>
      </c>
      <c r="C1522" s="1" t="s">
        <v>4077</v>
      </c>
      <c r="D1522" s="1" t="s">
        <v>917</v>
      </c>
      <c r="E1522" s="1">
        <v>5.70038356579E11</v>
      </c>
      <c r="F1522" s="1" t="s">
        <v>4078</v>
      </c>
      <c r="G1522" s="1" t="s">
        <v>3846</v>
      </c>
      <c r="H1522" s="1" t="s">
        <v>3847</v>
      </c>
      <c r="I1522" s="1" t="s">
        <v>3038</v>
      </c>
      <c r="J1522" s="1" t="s">
        <v>3848</v>
      </c>
    </row>
    <row r="1523" ht="15.75" customHeight="1">
      <c r="A1523" s="1">
        <v>1504.0</v>
      </c>
      <c r="B1523" s="1" t="s">
        <v>205</v>
      </c>
      <c r="C1523" s="1" t="s">
        <v>4079</v>
      </c>
      <c r="D1523" s="1" t="s">
        <v>1635</v>
      </c>
      <c r="E1523" s="1">
        <v>5.70038356581E11</v>
      </c>
      <c r="F1523" s="1" t="s">
        <v>4080</v>
      </c>
      <c r="G1523" s="1" t="s">
        <v>3846</v>
      </c>
      <c r="H1523" s="1" t="s">
        <v>3847</v>
      </c>
      <c r="I1523" s="1" t="s">
        <v>3038</v>
      </c>
      <c r="J1523" s="1" t="s">
        <v>3848</v>
      </c>
    </row>
    <row r="1524" ht="15.75" customHeight="1">
      <c r="A1524" s="1">
        <v>1505.0</v>
      </c>
      <c r="B1524" s="1" t="s">
        <v>4081</v>
      </c>
      <c r="C1524" s="1" t="s">
        <v>1672</v>
      </c>
      <c r="D1524" s="1" t="s">
        <v>60</v>
      </c>
      <c r="E1524" s="1">
        <v>5.70038356543E11</v>
      </c>
      <c r="F1524" s="1" t="s">
        <v>4082</v>
      </c>
      <c r="G1524" s="1" t="s">
        <v>3846</v>
      </c>
      <c r="H1524" s="1" t="s">
        <v>3847</v>
      </c>
      <c r="I1524" s="1" t="s">
        <v>3038</v>
      </c>
      <c r="J1524" s="1" t="s">
        <v>3848</v>
      </c>
    </row>
    <row r="1525" ht="15.75" customHeight="1">
      <c r="A1525" s="1">
        <v>1506.0</v>
      </c>
      <c r="B1525" s="1" t="s">
        <v>4083</v>
      </c>
      <c r="C1525" s="1" t="s">
        <v>4084</v>
      </c>
      <c r="D1525" s="1" t="s">
        <v>384</v>
      </c>
      <c r="E1525" s="1">
        <v>5.70038356545E11</v>
      </c>
      <c r="F1525" s="1" t="s">
        <v>4085</v>
      </c>
      <c r="G1525" s="1" t="s">
        <v>3846</v>
      </c>
      <c r="H1525" s="1" t="s">
        <v>3847</v>
      </c>
      <c r="I1525" s="1" t="s">
        <v>3038</v>
      </c>
      <c r="J1525" s="1" t="s">
        <v>3848</v>
      </c>
    </row>
    <row r="1526" ht="15.75" customHeight="1">
      <c r="A1526" s="1">
        <v>1507.0</v>
      </c>
      <c r="B1526" s="1" t="s">
        <v>4086</v>
      </c>
      <c r="C1526" s="1" t="s">
        <v>4087</v>
      </c>
      <c r="D1526" s="1" t="s">
        <v>1191</v>
      </c>
      <c r="E1526" s="1">
        <v>5.70038356548E11</v>
      </c>
      <c r="F1526" s="1" t="s">
        <v>4088</v>
      </c>
      <c r="G1526" s="1" t="s">
        <v>3846</v>
      </c>
      <c r="H1526" s="1" t="s">
        <v>3847</v>
      </c>
      <c r="I1526" s="1" t="s">
        <v>3038</v>
      </c>
      <c r="J1526" s="1" t="s">
        <v>3848</v>
      </c>
    </row>
    <row r="1527" ht="15.75" customHeight="1">
      <c r="A1527" s="1">
        <v>1508.0</v>
      </c>
      <c r="B1527" s="1" t="s">
        <v>93</v>
      </c>
      <c r="C1527" s="1" t="s">
        <v>612</v>
      </c>
      <c r="D1527" s="1" t="s">
        <v>4089</v>
      </c>
      <c r="E1527" s="1">
        <v>5.7003835659E11</v>
      </c>
      <c r="F1527" s="1" t="s">
        <v>4090</v>
      </c>
      <c r="G1527" s="1" t="s">
        <v>3846</v>
      </c>
      <c r="H1527" s="1" t="s">
        <v>3847</v>
      </c>
      <c r="I1527" s="1" t="s">
        <v>3038</v>
      </c>
      <c r="J1527" s="1" t="s">
        <v>3848</v>
      </c>
    </row>
    <row r="1528" ht="15.75" customHeight="1">
      <c r="A1528" s="1">
        <v>1509.0</v>
      </c>
      <c r="B1528" s="1" t="s">
        <v>841</v>
      </c>
      <c r="C1528" s="1" t="s">
        <v>4091</v>
      </c>
      <c r="D1528" s="1" t="s">
        <v>1754</v>
      </c>
      <c r="E1528" s="1">
        <v>5.70038356594E11</v>
      </c>
      <c r="F1528" s="1" t="s">
        <v>2981</v>
      </c>
      <c r="G1528" s="1" t="s">
        <v>3846</v>
      </c>
      <c r="H1528" s="1" t="s">
        <v>3847</v>
      </c>
      <c r="I1528" s="1" t="s">
        <v>3038</v>
      </c>
      <c r="J1528" s="1" t="s">
        <v>3848</v>
      </c>
    </row>
    <row r="1529" ht="15.75" customHeight="1">
      <c r="A1529" s="1">
        <v>1528.0</v>
      </c>
      <c r="B1529" s="1" t="s">
        <v>10</v>
      </c>
      <c r="C1529" s="1" t="s">
        <v>820</v>
      </c>
      <c r="D1529" s="1" t="s">
        <v>3964</v>
      </c>
      <c r="E1529" s="1">
        <v>5.70038356595E11</v>
      </c>
      <c r="F1529" s="1" t="s">
        <v>4092</v>
      </c>
      <c r="G1529" s="1" t="s">
        <v>3846</v>
      </c>
      <c r="H1529" s="1" t="s">
        <v>3847</v>
      </c>
      <c r="I1529" s="1" t="s">
        <v>3038</v>
      </c>
      <c r="J1529" s="1" t="s">
        <v>3848</v>
      </c>
    </row>
    <row r="1530" ht="15.75" customHeight="1">
      <c r="A1530" s="1">
        <v>1529.0</v>
      </c>
      <c r="B1530" s="1" t="s">
        <v>4093</v>
      </c>
      <c r="C1530" s="1" t="s">
        <v>4094</v>
      </c>
      <c r="D1530" s="1" t="s">
        <v>205</v>
      </c>
      <c r="E1530" s="1">
        <v>5.70038356598E11</v>
      </c>
      <c r="F1530" s="1" t="s">
        <v>4095</v>
      </c>
      <c r="G1530" s="1" t="s">
        <v>3846</v>
      </c>
      <c r="H1530" s="1" t="s">
        <v>3847</v>
      </c>
      <c r="I1530" s="1" t="s">
        <v>3038</v>
      </c>
      <c r="J1530" s="1" t="s">
        <v>3848</v>
      </c>
    </row>
    <row r="1531" ht="15.75" customHeight="1">
      <c r="A1531" s="1">
        <v>1530.0</v>
      </c>
      <c r="B1531" s="1" t="s">
        <v>1052</v>
      </c>
      <c r="C1531" s="1" t="s">
        <v>4096</v>
      </c>
      <c r="D1531" s="1" t="s">
        <v>498</v>
      </c>
      <c r="E1531" s="1">
        <v>5.70038356599E11</v>
      </c>
      <c r="F1531" s="1" t="s">
        <v>3936</v>
      </c>
      <c r="G1531" s="1" t="s">
        <v>3846</v>
      </c>
      <c r="H1531" s="1" t="s">
        <v>3847</v>
      </c>
      <c r="I1531" s="1" t="s">
        <v>3038</v>
      </c>
      <c r="J1531" s="1" t="s">
        <v>3848</v>
      </c>
    </row>
    <row r="1532" ht="15.75" customHeight="1">
      <c r="A1532" s="1">
        <v>1531.0</v>
      </c>
      <c r="B1532" s="1" t="s">
        <v>4097</v>
      </c>
      <c r="C1532" s="1" t="s">
        <v>4098</v>
      </c>
      <c r="D1532" s="1" t="s">
        <v>153</v>
      </c>
      <c r="E1532" s="1">
        <v>5.700383566E11</v>
      </c>
      <c r="F1532" s="1" t="s">
        <v>4099</v>
      </c>
      <c r="G1532" s="1" t="s">
        <v>3846</v>
      </c>
      <c r="H1532" s="1" t="s">
        <v>3847</v>
      </c>
      <c r="I1532" s="1" t="s">
        <v>3038</v>
      </c>
      <c r="J1532" s="1" t="s">
        <v>3848</v>
      </c>
    </row>
    <row r="1533" ht="15.75" customHeight="1">
      <c r="A1533" s="1">
        <v>1532.0</v>
      </c>
      <c r="B1533" s="1" t="s">
        <v>1458</v>
      </c>
      <c r="C1533" s="1" t="s">
        <v>4100</v>
      </c>
      <c r="D1533" s="1" t="s">
        <v>1754</v>
      </c>
      <c r="E1533" s="1">
        <v>5.70038356601E11</v>
      </c>
      <c r="F1533" s="1" t="s">
        <v>748</v>
      </c>
      <c r="G1533" s="1" t="s">
        <v>3846</v>
      </c>
      <c r="H1533" s="1" t="s">
        <v>3847</v>
      </c>
      <c r="I1533" s="1" t="s">
        <v>3038</v>
      </c>
      <c r="J1533" s="1" t="s">
        <v>3848</v>
      </c>
    </row>
    <row r="1534" ht="15.75" customHeight="1">
      <c r="A1534" s="1">
        <v>1533.0</v>
      </c>
      <c r="B1534" s="1" t="s">
        <v>4101</v>
      </c>
      <c r="C1534" s="1" t="s">
        <v>4102</v>
      </c>
      <c r="D1534" s="1" t="s">
        <v>4081</v>
      </c>
      <c r="E1534" s="1">
        <v>5.70038356606E11</v>
      </c>
      <c r="F1534" s="1" t="s">
        <v>4103</v>
      </c>
      <c r="G1534" s="1" t="s">
        <v>3846</v>
      </c>
      <c r="H1534" s="1" t="s">
        <v>3847</v>
      </c>
      <c r="I1534" s="1" t="s">
        <v>3038</v>
      </c>
      <c r="J1534" s="1" t="s">
        <v>3848</v>
      </c>
    </row>
    <row r="1535" ht="15.75" customHeight="1">
      <c r="A1535" s="1">
        <v>1534.0</v>
      </c>
      <c r="B1535" s="1" t="s">
        <v>324</v>
      </c>
      <c r="C1535" s="1" t="s">
        <v>4104</v>
      </c>
      <c r="D1535" s="1" t="s">
        <v>344</v>
      </c>
      <c r="E1535" s="1">
        <v>5.7003835661E11</v>
      </c>
      <c r="F1535" s="1" t="s">
        <v>126</v>
      </c>
      <c r="G1535" s="1" t="s">
        <v>3846</v>
      </c>
      <c r="H1535" s="1" t="s">
        <v>3847</v>
      </c>
      <c r="I1535" s="1" t="s">
        <v>3038</v>
      </c>
      <c r="J1535" s="1" t="s">
        <v>3848</v>
      </c>
    </row>
    <row r="1536" ht="15.75" customHeight="1">
      <c r="A1536" s="1">
        <v>1535.0</v>
      </c>
      <c r="B1536" s="1" t="s">
        <v>228</v>
      </c>
      <c r="C1536" s="1" t="s">
        <v>4105</v>
      </c>
      <c r="D1536" s="1" t="s">
        <v>1142</v>
      </c>
      <c r="E1536" s="1">
        <v>5.70038356611E11</v>
      </c>
      <c r="F1536" s="1" t="s">
        <v>4106</v>
      </c>
      <c r="G1536" s="1" t="s">
        <v>3846</v>
      </c>
      <c r="H1536" s="1" t="s">
        <v>3847</v>
      </c>
      <c r="I1536" s="1" t="s">
        <v>3038</v>
      </c>
      <c r="J1536" s="1" t="s">
        <v>3848</v>
      </c>
    </row>
    <row r="1537" ht="15.75" customHeight="1">
      <c r="A1537" s="1">
        <v>1536.0</v>
      </c>
      <c r="B1537" s="1" t="s">
        <v>4107</v>
      </c>
      <c r="C1537" s="1" t="s">
        <v>4108</v>
      </c>
      <c r="D1537" s="1" t="s">
        <v>4063</v>
      </c>
      <c r="E1537" s="1">
        <v>5.70038356613E11</v>
      </c>
      <c r="F1537" s="1" t="s">
        <v>2694</v>
      </c>
      <c r="G1537" s="1" t="s">
        <v>3846</v>
      </c>
      <c r="H1537" s="1" t="s">
        <v>3847</v>
      </c>
      <c r="I1537" s="1" t="s">
        <v>3038</v>
      </c>
      <c r="J1537" s="1" t="s">
        <v>3848</v>
      </c>
    </row>
    <row r="1538" ht="15.75" customHeight="1">
      <c r="A1538" s="1">
        <v>1537.0</v>
      </c>
      <c r="B1538" s="1" t="s">
        <v>4109</v>
      </c>
      <c r="C1538" s="1" t="s">
        <v>4110</v>
      </c>
      <c r="D1538" s="1" t="s">
        <v>16</v>
      </c>
      <c r="E1538" s="1">
        <v>5.70038356614E11</v>
      </c>
      <c r="F1538" s="1" t="s">
        <v>4111</v>
      </c>
      <c r="G1538" s="1" t="s">
        <v>3846</v>
      </c>
      <c r="H1538" s="1" t="s">
        <v>3847</v>
      </c>
      <c r="I1538" s="1" t="s">
        <v>3038</v>
      </c>
      <c r="J1538" s="1" t="s">
        <v>3848</v>
      </c>
    </row>
    <row r="1539" ht="15.75" customHeight="1">
      <c r="A1539" s="1">
        <v>1538.0</v>
      </c>
      <c r="B1539" s="1" t="s">
        <v>4112</v>
      </c>
      <c r="C1539" s="1" t="s">
        <v>3383</v>
      </c>
      <c r="D1539" s="1" t="s">
        <v>360</v>
      </c>
      <c r="E1539" s="1">
        <v>5.70038356615E11</v>
      </c>
      <c r="F1539" s="1" t="s">
        <v>4113</v>
      </c>
      <c r="G1539" s="1" t="s">
        <v>3846</v>
      </c>
      <c r="H1539" s="1" t="s">
        <v>3847</v>
      </c>
      <c r="I1539" s="1" t="s">
        <v>3038</v>
      </c>
      <c r="J1539" s="1" t="s">
        <v>3848</v>
      </c>
    </row>
    <row r="1540" ht="15.75" customHeight="1">
      <c r="A1540" s="1">
        <v>1539.0</v>
      </c>
      <c r="B1540" s="1" t="s">
        <v>1765</v>
      </c>
      <c r="C1540" s="1" t="s">
        <v>4114</v>
      </c>
      <c r="D1540" s="1" t="s">
        <v>60</v>
      </c>
      <c r="E1540" s="1">
        <v>5.70038356617E11</v>
      </c>
      <c r="F1540" s="1" t="s">
        <v>1608</v>
      </c>
      <c r="G1540" s="1" t="s">
        <v>3846</v>
      </c>
      <c r="H1540" s="1" t="s">
        <v>3847</v>
      </c>
      <c r="I1540" s="1" t="s">
        <v>3038</v>
      </c>
      <c r="J1540" s="1" t="s">
        <v>3848</v>
      </c>
    </row>
    <row r="1541" ht="15.75" customHeight="1">
      <c r="A1541" s="1">
        <v>1540.0</v>
      </c>
      <c r="B1541" s="1" t="s">
        <v>979</v>
      </c>
      <c r="C1541" s="1" t="s">
        <v>3968</v>
      </c>
      <c r="D1541" s="1" t="s">
        <v>1308</v>
      </c>
      <c r="E1541" s="1">
        <v>5.70038356618E11</v>
      </c>
      <c r="F1541" s="1" t="s">
        <v>4115</v>
      </c>
      <c r="G1541" s="1" t="s">
        <v>3846</v>
      </c>
      <c r="H1541" s="1" t="s">
        <v>3847</v>
      </c>
      <c r="I1541" s="1" t="s">
        <v>3038</v>
      </c>
      <c r="J1541" s="1" t="s">
        <v>3848</v>
      </c>
    </row>
    <row r="1542" ht="15.75" customHeight="1">
      <c r="A1542" s="1">
        <v>1541.0</v>
      </c>
      <c r="B1542" s="1" t="s">
        <v>4116</v>
      </c>
      <c r="C1542" s="1" t="s">
        <v>4117</v>
      </c>
      <c r="D1542" s="1" t="s">
        <v>4118</v>
      </c>
      <c r="E1542" s="1">
        <v>5.7003835662E11</v>
      </c>
      <c r="F1542" s="1" t="s">
        <v>4119</v>
      </c>
      <c r="G1542" s="1" t="s">
        <v>3846</v>
      </c>
      <c r="H1542" s="1" t="s">
        <v>3847</v>
      </c>
      <c r="I1542" s="1" t="s">
        <v>3038</v>
      </c>
      <c r="J1542" s="1" t="s">
        <v>3848</v>
      </c>
    </row>
    <row r="1543" ht="15.75" customHeight="1">
      <c r="A1543" s="1">
        <v>1542.0</v>
      </c>
      <c r="B1543" s="1" t="s">
        <v>2230</v>
      </c>
      <c r="C1543" s="1" t="s">
        <v>4120</v>
      </c>
      <c r="D1543" s="1" t="s">
        <v>4121</v>
      </c>
      <c r="E1543" s="1">
        <v>5.70038356621E11</v>
      </c>
      <c r="F1543" s="1" t="s">
        <v>4122</v>
      </c>
      <c r="G1543" s="1" t="s">
        <v>3846</v>
      </c>
      <c r="H1543" s="1" t="s">
        <v>3847</v>
      </c>
      <c r="I1543" s="1" t="s">
        <v>3038</v>
      </c>
      <c r="J1543" s="1" t="s">
        <v>3848</v>
      </c>
    </row>
    <row r="1544" ht="15.75" customHeight="1">
      <c r="A1544" s="1">
        <v>1543.0</v>
      </c>
      <c r="B1544" s="1" t="s">
        <v>44</v>
      </c>
      <c r="C1544" s="1" t="s">
        <v>4123</v>
      </c>
      <c r="D1544" s="1" t="s">
        <v>177</v>
      </c>
      <c r="E1544" s="1">
        <v>5.70038356622E11</v>
      </c>
      <c r="F1544" s="1" t="s">
        <v>2703</v>
      </c>
      <c r="G1544" s="1" t="s">
        <v>3846</v>
      </c>
      <c r="H1544" s="1" t="s">
        <v>3847</v>
      </c>
      <c r="I1544" s="1" t="s">
        <v>3038</v>
      </c>
      <c r="J1544" s="1" t="s">
        <v>3848</v>
      </c>
    </row>
    <row r="1545" ht="15.75" customHeight="1">
      <c r="A1545" s="1">
        <v>1544.0</v>
      </c>
      <c r="B1545" s="1" t="s">
        <v>4124</v>
      </c>
      <c r="C1545" s="1" t="s">
        <v>1504</v>
      </c>
      <c r="D1545" s="1" t="s">
        <v>267</v>
      </c>
      <c r="E1545" s="1">
        <v>5.70038356623E11</v>
      </c>
      <c r="F1545" s="1" t="s">
        <v>4125</v>
      </c>
      <c r="G1545" s="1" t="s">
        <v>3846</v>
      </c>
      <c r="H1545" s="1" t="s">
        <v>3847</v>
      </c>
      <c r="I1545" s="1" t="s">
        <v>3038</v>
      </c>
      <c r="J1545" s="1" t="s">
        <v>3848</v>
      </c>
    </row>
    <row r="1546" ht="15.75" customHeight="1">
      <c r="A1546" s="1">
        <v>1545.0</v>
      </c>
      <c r="B1546" s="1" t="s">
        <v>230</v>
      </c>
      <c r="C1546" s="1" t="s">
        <v>4126</v>
      </c>
      <c r="D1546" s="1" t="s">
        <v>362</v>
      </c>
      <c r="E1546" s="1">
        <v>5.70038356631E11</v>
      </c>
      <c r="F1546" s="1" t="s">
        <v>4127</v>
      </c>
      <c r="G1546" s="1" t="s">
        <v>3846</v>
      </c>
      <c r="H1546" s="1" t="s">
        <v>3847</v>
      </c>
      <c r="I1546" s="1" t="s">
        <v>3038</v>
      </c>
      <c r="J1546" s="1" t="s">
        <v>3848</v>
      </c>
    </row>
    <row r="1547" ht="15.75" customHeight="1">
      <c r="A1547" s="1">
        <v>1546.0</v>
      </c>
      <c r="B1547" s="1" t="s">
        <v>4128</v>
      </c>
      <c r="C1547" s="1" t="s">
        <v>3322</v>
      </c>
      <c r="D1547" s="1" t="s">
        <v>2743</v>
      </c>
      <c r="E1547" s="1">
        <v>5.70038356633E11</v>
      </c>
      <c r="F1547" s="1" t="s">
        <v>4129</v>
      </c>
      <c r="G1547" s="1" t="s">
        <v>3846</v>
      </c>
      <c r="H1547" s="1" t="s">
        <v>3847</v>
      </c>
      <c r="I1547" s="1" t="s">
        <v>3038</v>
      </c>
      <c r="J1547" s="1" t="s">
        <v>3848</v>
      </c>
    </row>
    <row r="1548" ht="15.75" customHeight="1">
      <c r="A1548" s="1">
        <v>1547.0</v>
      </c>
      <c r="B1548" s="1" t="s">
        <v>4130</v>
      </c>
      <c r="C1548" s="1" t="s">
        <v>4131</v>
      </c>
      <c r="D1548" s="1" t="s">
        <v>295</v>
      </c>
      <c r="E1548" s="1">
        <v>5.70038356635E11</v>
      </c>
      <c r="F1548" s="1" t="s">
        <v>4132</v>
      </c>
      <c r="G1548" s="1" t="s">
        <v>3846</v>
      </c>
      <c r="H1548" s="1" t="s">
        <v>3847</v>
      </c>
      <c r="I1548" s="1" t="s">
        <v>3038</v>
      </c>
      <c r="J1548" s="1" t="s">
        <v>3848</v>
      </c>
    </row>
    <row r="1549" ht="15.75" customHeight="1">
      <c r="A1549" s="1">
        <v>1548.0</v>
      </c>
      <c r="B1549" s="1" t="s">
        <v>2240</v>
      </c>
      <c r="C1549" s="1" t="s">
        <v>491</v>
      </c>
      <c r="D1549" s="1" t="s">
        <v>3569</v>
      </c>
      <c r="E1549" s="1">
        <v>5.70038356637E11</v>
      </c>
      <c r="F1549" s="1" t="s">
        <v>4133</v>
      </c>
      <c r="G1549" s="1" t="s">
        <v>3846</v>
      </c>
      <c r="H1549" s="1" t="s">
        <v>3847</v>
      </c>
      <c r="I1549" s="1" t="s">
        <v>3038</v>
      </c>
      <c r="J1549" s="1" t="s">
        <v>3848</v>
      </c>
    </row>
    <row r="1550" ht="15.75" customHeight="1">
      <c r="A1550" s="1">
        <v>1549.0</v>
      </c>
      <c r="B1550" s="1" t="s">
        <v>4134</v>
      </c>
      <c r="C1550" s="1" t="s">
        <v>4135</v>
      </c>
      <c r="D1550" s="1" t="s">
        <v>901</v>
      </c>
      <c r="E1550" s="1">
        <v>5.70038356638E11</v>
      </c>
      <c r="F1550" s="1" t="s">
        <v>4136</v>
      </c>
      <c r="G1550" s="1" t="s">
        <v>3846</v>
      </c>
      <c r="H1550" s="1" t="s">
        <v>3847</v>
      </c>
      <c r="I1550" s="1" t="s">
        <v>3038</v>
      </c>
      <c r="J1550" s="1" t="s">
        <v>3848</v>
      </c>
    </row>
    <row r="1551" ht="15.75" customHeight="1">
      <c r="A1551" s="1">
        <v>1550.0</v>
      </c>
      <c r="B1551" s="1" t="s">
        <v>4137</v>
      </c>
      <c r="C1551" s="1" t="s">
        <v>1570</v>
      </c>
      <c r="D1551" s="1" t="s">
        <v>4138</v>
      </c>
      <c r="E1551" s="1">
        <v>5.70038356639E11</v>
      </c>
      <c r="F1551" s="1" t="s">
        <v>4139</v>
      </c>
      <c r="G1551" s="1" t="s">
        <v>3846</v>
      </c>
      <c r="H1551" s="1" t="s">
        <v>3847</v>
      </c>
      <c r="I1551" s="1" t="s">
        <v>3038</v>
      </c>
      <c r="J1551" s="1" t="s">
        <v>3848</v>
      </c>
    </row>
    <row r="1552" ht="15.75" customHeight="1">
      <c r="A1552" s="1">
        <v>1551.0</v>
      </c>
      <c r="B1552" s="1" t="s">
        <v>4140</v>
      </c>
      <c r="C1552" s="1" t="s">
        <v>4141</v>
      </c>
      <c r="D1552" s="1" t="s">
        <v>838</v>
      </c>
      <c r="E1552" s="1">
        <v>5.70038356643E11</v>
      </c>
      <c r="F1552" s="1" t="s">
        <v>4142</v>
      </c>
      <c r="G1552" s="1" t="s">
        <v>3846</v>
      </c>
      <c r="H1552" s="1" t="s">
        <v>3847</v>
      </c>
      <c r="I1552" s="1" t="s">
        <v>3038</v>
      </c>
      <c r="J1552" s="1" t="s">
        <v>3848</v>
      </c>
    </row>
    <row r="1553" ht="15.75" customHeight="1">
      <c r="A1553" s="1">
        <v>1552.0</v>
      </c>
      <c r="B1553" s="1" t="s">
        <v>1397</v>
      </c>
      <c r="C1553" s="1" t="s">
        <v>830</v>
      </c>
      <c r="D1553" s="1" t="s">
        <v>77</v>
      </c>
      <c r="E1553" s="1">
        <v>5.70038356646E11</v>
      </c>
      <c r="F1553" s="1" t="s">
        <v>1657</v>
      </c>
      <c r="G1553" s="1" t="s">
        <v>3846</v>
      </c>
      <c r="H1553" s="1" t="s">
        <v>3847</v>
      </c>
      <c r="I1553" s="1" t="s">
        <v>3038</v>
      </c>
      <c r="J1553" s="1" t="s">
        <v>3848</v>
      </c>
    </row>
    <row r="1554" ht="15.75" customHeight="1">
      <c r="A1554" s="1">
        <v>1553.0</v>
      </c>
      <c r="B1554" s="1" t="s">
        <v>77</v>
      </c>
      <c r="C1554" s="1" t="s">
        <v>639</v>
      </c>
      <c r="D1554" s="1" t="s">
        <v>4143</v>
      </c>
      <c r="E1554" s="1">
        <v>5.70038356648E11</v>
      </c>
      <c r="F1554" s="1" t="s">
        <v>3738</v>
      </c>
      <c r="G1554" s="1" t="s">
        <v>3846</v>
      </c>
      <c r="H1554" s="1" t="s">
        <v>3847</v>
      </c>
      <c r="I1554" s="1" t="s">
        <v>3038</v>
      </c>
      <c r="J1554" s="1" t="s">
        <v>3848</v>
      </c>
    </row>
    <row r="1555" ht="15.75" customHeight="1">
      <c r="A1555" s="1">
        <v>1554.0</v>
      </c>
      <c r="B1555" s="1" t="s">
        <v>279</v>
      </c>
      <c r="C1555" s="1" t="s">
        <v>4144</v>
      </c>
      <c r="D1555" s="1" t="s">
        <v>4145</v>
      </c>
      <c r="E1555" s="1">
        <v>5.7003835665E11</v>
      </c>
      <c r="F1555" s="1" t="s">
        <v>4146</v>
      </c>
      <c r="G1555" s="1" t="s">
        <v>3846</v>
      </c>
      <c r="H1555" s="1" t="s">
        <v>3847</v>
      </c>
      <c r="I1555" s="1" t="s">
        <v>3038</v>
      </c>
      <c r="J1555" s="1" t="s">
        <v>3848</v>
      </c>
    </row>
    <row r="1556" ht="15.75" customHeight="1">
      <c r="A1556" s="1">
        <v>1555.0</v>
      </c>
      <c r="B1556" s="1" t="s">
        <v>433</v>
      </c>
      <c r="C1556" s="1" t="s">
        <v>4147</v>
      </c>
      <c r="D1556" s="1" t="s">
        <v>4148</v>
      </c>
      <c r="E1556" s="1">
        <v>5.70038356651E11</v>
      </c>
      <c r="F1556" s="1" t="s">
        <v>4149</v>
      </c>
      <c r="G1556" s="1" t="s">
        <v>3846</v>
      </c>
      <c r="H1556" s="1" t="s">
        <v>3847</v>
      </c>
      <c r="I1556" s="1" t="s">
        <v>3038</v>
      </c>
      <c r="J1556" s="1" t="s">
        <v>3848</v>
      </c>
    </row>
    <row r="1557" ht="15.75" customHeight="1">
      <c r="A1557" s="1">
        <v>1556.0</v>
      </c>
      <c r="B1557" s="1" t="s">
        <v>1577</v>
      </c>
      <c r="C1557" s="1" t="s">
        <v>4150</v>
      </c>
      <c r="D1557" s="1" t="s">
        <v>725</v>
      </c>
      <c r="E1557" s="1">
        <v>5.70038356653E11</v>
      </c>
      <c r="F1557" s="1" t="s">
        <v>4151</v>
      </c>
      <c r="G1557" s="1" t="s">
        <v>3846</v>
      </c>
      <c r="H1557" s="1" t="s">
        <v>3847</v>
      </c>
      <c r="I1557" s="1" t="s">
        <v>3038</v>
      </c>
      <c r="J1557" s="1" t="s">
        <v>3848</v>
      </c>
    </row>
    <row r="1558" ht="15.75" customHeight="1">
      <c r="A1558" s="1">
        <v>1557.0</v>
      </c>
      <c r="B1558" s="1" t="s">
        <v>205</v>
      </c>
      <c r="C1558" s="1" t="s">
        <v>3520</v>
      </c>
      <c r="D1558" s="1" t="s">
        <v>48</v>
      </c>
      <c r="E1558" s="1">
        <v>5.70038356657E11</v>
      </c>
      <c r="F1558" s="1" t="s">
        <v>4152</v>
      </c>
      <c r="G1558" s="1" t="s">
        <v>3846</v>
      </c>
      <c r="H1558" s="1" t="s">
        <v>3847</v>
      </c>
      <c r="I1558" s="1" t="s">
        <v>3038</v>
      </c>
      <c r="J1558" s="1" t="s">
        <v>3848</v>
      </c>
    </row>
    <row r="1559" ht="15.75" customHeight="1">
      <c r="A1559" s="1">
        <v>1558.0</v>
      </c>
      <c r="B1559" s="1" t="s">
        <v>2247</v>
      </c>
      <c r="C1559" s="1" t="s">
        <v>4153</v>
      </c>
      <c r="D1559" s="1" t="s">
        <v>4154</v>
      </c>
      <c r="E1559" s="1">
        <v>5.70038356659E11</v>
      </c>
      <c r="F1559" s="1" t="s">
        <v>1318</v>
      </c>
      <c r="G1559" s="1" t="s">
        <v>3846</v>
      </c>
      <c r="H1559" s="1" t="s">
        <v>3847</v>
      </c>
      <c r="I1559" s="1" t="s">
        <v>3038</v>
      </c>
      <c r="J1559" s="1" t="s">
        <v>3848</v>
      </c>
    </row>
    <row r="1560" ht="15.75" customHeight="1">
      <c r="A1560" s="1">
        <v>1559.0</v>
      </c>
      <c r="B1560" s="1" t="s">
        <v>2070</v>
      </c>
      <c r="C1560" s="1" t="s">
        <v>4155</v>
      </c>
      <c r="D1560" s="1" t="s">
        <v>58</v>
      </c>
      <c r="E1560" s="1">
        <v>5.70038356664E11</v>
      </c>
      <c r="F1560" s="1" t="s">
        <v>4156</v>
      </c>
      <c r="G1560" s="1" t="s">
        <v>3846</v>
      </c>
      <c r="H1560" s="1" t="s">
        <v>3847</v>
      </c>
      <c r="I1560" s="1" t="s">
        <v>3038</v>
      </c>
      <c r="J1560" s="1" t="s">
        <v>3848</v>
      </c>
    </row>
    <row r="1561" ht="15.75" customHeight="1">
      <c r="A1561" s="1">
        <v>1560.0</v>
      </c>
      <c r="B1561" s="1" t="s">
        <v>4157</v>
      </c>
      <c r="C1561" s="1" t="s">
        <v>4158</v>
      </c>
      <c r="D1561" s="1" t="s">
        <v>60</v>
      </c>
      <c r="E1561" s="1">
        <v>5.70038356667E11</v>
      </c>
      <c r="F1561" s="1" t="s">
        <v>4159</v>
      </c>
      <c r="G1561" s="1" t="s">
        <v>3846</v>
      </c>
      <c r="H1561" s="1" t="s">
        <v>3847</v>
      </c>
      <c r="I1561" s="1" t="s">
        <v>3038</v>
      </c>
      <c r="J1561" s="1" t="s">
        <v>3848</v>
      </c>
    </row>
    <row r="1562" ht="15.75" customHeight="1">
      <c r="A1562" s="1">
        <v>1561.0</v>
      </c>
      <c r="B1562" s="1" t="s">
        <v>1581</v>
      </c>
      <c r="C1562" s="1" t="s">
        <v>4160</v>
      </c>
      <c r="D1562" s="1" t="s">
        <v>3143</v>
      </c>
      <c r="E1562" s="1">
        <v>5.70038356668E11</v>
      </c>
      <c r="F1562" s="1" t="s">
        <v>2803</v>
      </c>
      <c r="G1562" s="1" t="s">
        <v>3846</v>
      </c>
      <c r="H1562" s="1" t="s">
        <v>3847</v>
      </c>
      <c r="I1562" s="1" t="s">
        <v>3038</v>
      </c>
      <c r="J1562" s="1" t="s">
        <v>3848</v>
      </c>
    </row>
    <row r="1563" ht="15.75" customHeight="1">
      <c r="A1563" s="1">
        <v>1562.0</v>
      </c>
      <c r="B1563" s="1" t="s">
        <v>54</v>
      </c>
      <c r="C1563" s="1" t="s">
        <v>435</v>
      </c>
      <c r="D1563" s="1" t="s">
        <v>4161</v>
      </c>
      <c r="E1563" s="1">
        <v>5.70038356684E11</v>
      </c>
      <c r="F1563" s="1" t="s">
        <v>4162</v>
      </c>
      <c r="G1563" s="1" t="s">
        <v>3846</v>
      </c>
      <c r="H1563" s="1" t="s">
        <v>3847</v>
      </c>
      <c r="I1563" s="1" t="s">
        <v>3038</v>
      </c>
      <c r="J1563" s="1" t="s">
        <v>3848</v>
      </c>
    </row>
    <row r="1564" ht="15.75" customHeight="1">
      <c r="A1564" s="1">
        <v>1563.0</v>
      </c>
      <c r="B1564" s="1" t="s">
        <v>4163</v>
      </c>
      <c r="C1564" s="1" t="s">
        <v>4164</v>
      </c>
      <c r="D1564" s="1" t="s">
        <v>4165</v>
      </c>
      <c r="E1564" s="1">
        <v>5.70038356685E11</v>
      </c>
      <c r="F1564" s="1" t="s">
        <v>4166</v>
      </c>
      <c r="G1564" s="1" t="s">
        <v>3846</v>
      </c>
      <c r="H1564" s="1" t="s">
        <v>3847</v>
      </c>
      <c r="I1564" s="1" t="s">
        <v>3038</v>
      </c>
      <c r="J1564" s="1" t="s">
        <v>3848</v>
      </c>
    </row>
    <row r="1565" ht="15.75" customHeight="1">
      <c r="A1565" s="1">
        <v>1564.0</v>
      </c>
      <c r="B1565" s="1" t="s">
        <v>1407</v>
      </c>
      <c r="C1565" s="1" t="s">
        <v>4098</v>
      </c>
      <c r="D1565" s="1" t="s">
        <v>168</v>
      </c>
      <c r="E1565" s="1">
        <v>5.70038356691E11</v>
      </c>
      <c r="F1565" s="1" t="s">
        <v>4167</v>
      </c>
      <c r="G1565" s="1" t="s">
        <v>2758</v>
      </c>
      <c r="H1565" s="1" t="s">
        <v>3847</v>
      </c>
      <c r="I1565" s="1" t="s">
        <v>3038</v>
      </c>
      <c r="J1565" s="1" t="s">
        <v>3848</v>
      </c>
    </row>
    <row r="1566" ht="15.75" customHeight="1">
      <c r="A1566" s="1">
        <v>1565.0</v>
      </c>
      <c r="B1566" s="1" t="s">
        <v>2500</v>
      </c>
      <c r="C1566" s="1" t="s">
        <v>4168</v>
      </c>
      <c r="D1566" s="1" t="s">
        <v>168</v>
      </c>
      <c r="E1566" s="1">
        <v>5.70038356692E11</v>
      </c>
      <c r="F1566" s="1" t="s">
        <v>4169</v>
      </c>
      <c r="G1566" s="1" t="s">
        <v>3846</v>
      </c>
      <c r="H1566" s="1" t="s">
        <v>3847</v>
      </c>
      <c r="I1566" s="1" t="s">
        <v>3038</v>
      </c>
      <c r="J1566" s="1" t="s">
        <v>3848</v>
      </c>
    </row>
    <row r="1567" ht="15.75" customHeight="1">
      <c r="A1567" s="1">
        <v>1566.0</v>
      </c>
      <c r="B1567" s="1" t="s">
        <v>852</v>
      </c>
      <c r="C1567" s="1" t="s">
        <v>262</v>
      </c>
      <c r="D1567" s="1" t="s">
        <v>1552</v>
      </c>
      <c r="E1567" s="1">
        <v>5.70038356701E11</v>
      </c>
      <c r="F1567" s="1" t="s">
        <v>4170</v>
      </c>
      <c r="G1567" s="1" t="s">
        <v>3846</v>
      </c>
      <c r="H1567" s="1" t="s">
        <v>3847</v>
      </c>
      <c r="I1567" s="1" t="s">
        <v>3038</v>
      </c>
      <c r="J1567" s="1" t="s">
        <v>3848</v>
      </c>
    </row>
    <row r="1568" ht="15.75" customHeight="1">
      <c r="A1568" s="1">
        <v>1567.0</v>
      </c>
      <c r="B1568" s="1" t="s">
        <v>2826</v>
      </c>
      <c r="C1568" s="1" t="s">
        <v>4171</v>
      </c>
      <c r="D1568" s="1" t="s">
        <v>168</v>
      </c>
      <c r="E1568" s="1">
        <v>5.70038356704E11</v>
      </c>
      <c r="F1568" s="1" t="s">
        <v>4172</v>
      </c>
      <c r="G1568" s="1" t="s">
        <v>3846</v>
      </c>
      <c r="H1568" s="1" t="s">
        <v>3847</v>
      </c>
      <c r="I1568" s="1" t="s">
        <v>3038</v>
      </c>
      <c r="J1568" s="1" t="s">
        <v>3848</v>
      </c>
    </row>
    <row r="1569" ht="15.75" customHeight="1">
      <c r="A1569" s="1">
        <v>1568.0</v>
      </c>
      <c r="B1569" s="1" t="s">
        <v>4173</v>
      </c>
      <c r="C1569" s="1" t="s">
        <v>1783</v>
      </c>
      <c r="D1569" s="1" t="s">
        <v>526</v>
      </c>
      <c r="E1569" s="1">
        <v>5.70038356707E11</v>
      </c>
      <c r="F1569" s="1" t="s">
        <v>4174</v>
      </c>
      <c r="G1569" s="1" t="s">
        <v>3846</v>
      </c>
      <c r="H1569" s="1" t="s">
        <v>3847</v>
      </c>
      <c r="I1569" s="1" t="s">
        <v>3038</v>
      </c>
      <c r="J1569" s="1" t="s">
        <v>3848</v>
      </c>
    </row>
    <row r="1570" ht="15.75" customHeight="1">
      <c r="A1570" s="1">
        <v>1569.0</v>
      </c>
      <c r="B1570" s="1" t="s">
        <v>4175</v>
      </c>
      <c r="C1570" s="1" t="s">
        <v>4176</v>
      </c>
      <c r="D1570" s="1" t="s">
        <v>4177</v>
      </c>
      <c r="E1570" s="1">
        <v>5.70038356708E11</v>
      </c>
      <c r="F1570" s="1" t="s">
        <v>4178</v>
      </c>
      <c r="G1570" s="1" t="s">
        <v>3846</v>
      </c>
      <c r="H1570" s="1" t="s">
        <v>3847</v>
      </c>
      <c r="I1570" s="1" t="s">
        <v>3038</v>
      </c>
      <c r="J1570" s="1" t="s">
        <v>3848</v>
      </c>
    </row>
    <row r="1571" ht="15.75" customHeight="1">
      <c r="A1571" s="1">
        <v>1570.0</v>
      </c>
      <c r="B1571" s="1" t="s">
        <v>4179</v>
      </c>
      <c r="C1571" s="1" t="s">
        <v>143</v>
      </c>
      <c r="D1571" s="1" t="s">
        <v>4180</v>
      </c>
      <c r="E1571" s="1">
        <v>5.7003835671E11</v>
      </c>
      <c r="F1571" s="1" t="s">
        <v>4181</v>
      </c>
      <c r="G1571" s="1" t="s">
        <v>3846</v>
      </c>
      <c r="H1571" s="1" t="s">
        <v>3847</v>
      </c>
      <c r="I1571" s="1" t="s">
        <v>3038</v>
      </c>
      <c r="J1571" s="1" t="s">
        <v>3848</v>
      </c>
    </row>
    <row r="1572" ht="15.75" customHeight="1">
      <c r="A1572" s="1">
        <v>1571.0</v>
      </c>
      <c r="B1572" s="1" t="s">
        <v>1159</v>
      </c>
      <c r="C1572" s="1" t="s">
        <v>1768</v>
      </c>
      <c r="D1572" s="1" t="s">
        <v>321</v>
      </c>
      <c r="E1572" s="1">
        <v>5.70038356711E11</v>
      </c>
      <c r="F1572" s="1" t="s">
        <v>4182</v>
      </c>
      <c r="G1572" s="1" t="s">
        <v>3846</v>
      </c>
      <c r="H1572" s="1" t="s">
        <v>3847</v>
      </c>
      <c r="I1572" s="1" t="s">
        <v>3038</v>
      </c>
      <c r="J1572" s="1" t="s">
        <v>3848</v>
      </c>
    </row>
    <row r="1573" ht="15.75" customHeight="1">
      <c r="A1573" s="1">
        <v>1572.0</v>
      </c>
      <c r="B1573" s="1" t="s">
        <v>1958</v>
      </c>
      <c r="C1573" s="1" t="s">
        <v>4183</v>
      </c>
      <c r="D1573" s="1" t="s">
        <v>643</v>
      </c>
      <c r="E1573" s="1">
        <v>5.70038356713E11</v>
      </c>
      <c r="F1573" s="1" t="s">
        <v>4184</v>
      </c>
      <c r="G1573" s="1" t="s">
        <v>3846</v>
      </c>
      <c r="H1573" s="1" t="s">
        <v>3847</v>
      </c>
      <c r="I1573" s="1" t="s">
        <v>3038</v>
      </c>
      <c r="J1573" s="1" t="s">
        <v>3848</v>
      </c>
    </row>
    <row r="1574" ht="15.75" customHeight="1">
      <c r="A1574" s="1">
        <v>1573.0</v>
      </c>
      <c r="B1574" s="1" t="s">
        <v>258</v>
      </c>
      <c r="C1574" s="1" t="s">
        <v>612</v>
      </c>
      <c r="D1574" s="1" t="s">
        <v>3658</v>
      </c>
      <c r="E1574" s="1">
        <v>5.70038356714E11</v>
      </c>
      <c r="F1574" s="1" t="s">
        <v>4185</v>
      </c>
      <c r="G1574" s="1" t="s">
        <v>3846</v>
      </c>
      <c r="H1574" s="1" t="s">
        <v>3847</v>
      </c>
      <c r="I1574" s="1" t="s">
        <v>3038</v>
      </c>
      <c r="J1574" s="1" t="s">
        <v>3848</v>
      </c>
    </row>
    <row r="1575" ht="15.75" customHeight="1">
      <c r="A1575" s="1">
        <v>1574.0</v>
      </c>
      <c r="B1575" s="1" t="s">
        <v>2247</v>
      </c>
      <c r="C1575" s="1" t="s">
        <v>1504</v>
      </c>
      <c r="D1575" s="1" t="s">
        <v>415</v>
      </c>
      <c r="E1575" s="1">
        <v>5.70038356715E11</v>
      </c>
      <c r="F1575" s="1" t="s">
        <v>4186</v>
      </c>
      <c r="G1575" s="1" t="s">
        <v>3846</v>
      </c>
      <c r="H1575" s="1" t="s">
        <v>3847</v>
      </c>
      <c r="I1575" s="1" t="s">
        <v>3038</v>
      </c>
      <c r="J1575" s="1" t="s">
        <v>3848</v>
      </c>
    </row>
    <row r="1576" ht="15.75" customHeight="1">
      <c r="A1576" s="1">
        <v>1575.0</v>
      </c>
      <c r="B1576" s="1" t="s">
        <v>3436</v>
      </c>
      <c r="C1576" s="1" t="s">
        <v>31</v>
      </c>
      <c r="D1576" s="1" t="s">
        <v>1704</v>
      </c>
      <c r="E1576" s="1">
        <v>5.70038356718E11</v>
      </c>
      <c r="F1576" s="1" t="s">
        <v>4187</v>
      </c>
      <c r="G1576" s="1" t="s">
        <v>3846</v>
      </c>
      <c r="H1576" s="1" t="s">
        <v>3847</v>
      </c>
      <c r="I1576" s="1" t="s">
        <v>3038</v>
      </c>
      <c r="J1576" s="1" t="s">
        <v>3848</v>
      </c>
    </row>
    <row r="1577" ht="15.75" customHeight="1">
      <c r="A1577" s="1">
        <v>1576.0</v>
      </c>
      <c r="B1577" s="1" t="s">
        <v>1308</v>
      </c>
      <c r="C1577" s="1" t="s">
        <v>4188</v>
      </c>
      <c r="D1577" s="1" t="s">
        <v>4189</v>
      </c>
      <c r="E1577" s="1">
        <v>5.7003835672E11</v>
      </c>
      <c r="F1577" s="1" t="s">
        <v>4190</v>
      </c>
      <c r="G1577" s="1" t="s">
        <v>3846</v>
      </c>
      <c r="H1577" s="1" t="s">
        <v>3847</v>
      </c>
      <c r="I1577" s="1" t="s">
        <v>3038</v>
      </c>
      <c r="J1577" s="1" t="s">
        <v>3848</v>
      </c>
    </row>
    <row r="1578" ht="15.75" customHeight="1">
      <c r="A1578" s="1">
        <v>1577.0</v>
      </c>
      <c r="B1578" s="1" t="s">
        <v>4191</v>
      </c>
      <c r="C1578" s="1" t="s">
        <v>4192</v>
      </c>
      <c r="D1578" s="1" t="s">
        <v>4193</v>
      </c>
      <c r="E1578" s="1">
        <v>5.70038356722E11</v>
      </c>
      <c r="F1578" s="1" t="s">
        <v>4194</v>
      </c>
      <c r="G1578" s="1" t="s">
        <v>3846</v>
      </c>
      <c r="H1578" s="1" t="s">
        <v>3847</v>
      </c>
      <c r="I1578" s="1" t="s">
        <v>3038</v>
      </c>
      <c r="J1578" s="1" t="s">
        <v>3848</v>
      </c>
    </row>
    <row r="1579" ht="15.75" customHeight="1">
      <c r="A1579" s="1">
        <v>1578.0</v>
      </c>
      <c r="B1579" s="1" t="s">
        <v>4195</v>
      </c>
      <c r="C1579" s="1" t="s">
        <v>4196</v>
      </c>
      <c r="D1579" s="1" t="s">
        <v>4197</v>
      </c>
      <c r="E1579" s="1">
        <v>5.70038356723E11</v>
      </c>
      <c r="F1579" s="1" t="s">
        <v>4198</v>
      </c>
      <c r="G1579" s="1" t="s">
        <v>3846</v>
      </c>
      <c r="H1579" s="1" t="s">
        <v>3847</v>
      </c>
      <c r="I1579" s="1" t="s">
        <v>3038</v>
      </c>
      <c r="J1579" s="1" t="s">
        <v>3848</v>
      </c>
    </row>
    <row r="1580" ht="15.75" customHeight="1">
      <c r="A1580" s="1">
        <v>1579.0</v>
      </c>
      <c r="B1580" s="1" t="s">
        <v>4199</v>
      </c>
      <c r="C1580" s="1" t="s">
        <v>4200</v>
      </c>
      <c r="D1580" s="1" t="s">
        <v>341</v>
      </c>
      <c r="E1580" s="1">
        <v>5.70038356725E11</v>
      </c>
      <c r="F1580" s="1" t="s">
        <v>1347</v>
      </c>
      <c r="G1580" s="1" t="s">
        <v>3846</v>
      </c>
      <c r="H1580" s="1" t="s">
        <v>3847</v>
      </c>
      <c r="I1580" s="1" t="s">
        <v>3038</v>
      </c>
      <c r="J1580" s="1" t="s">
        <v>3848</v>
      </c>
    </row>
    <row r="1581" ht="15.75" customHeight="1">
      <c r="A1581" s="1">
        <v>1580.0</v>
      </c>
      <c r="B1581" s="1" t="s">
        <v>341</v>
      </c>
      <c r="C1581" s="1" t="s">
        <v>1459</v>
      </c>
      <c r="D1581" s="1" t="s">
        <v>2255</v>
      </c>
      <c r="E1581" s="1">
        <v>5.70038356726E11</v>
      </c>
      <c r="F1581" s="1" t="s">
        <v>4201</v>
      </c>
      <c r="G1581" s="1" t="s">
        <v>3846</v>
      </c>
      <c r="H1581" s="1" t="s">
        <v>3847</v>
      </c>
      <c r="I1581" s="1" t="s">
        <v>3038</v>
      </c>
      <c r="J1581" s="1" t="s">
        <v>3848</v>
      </c>
    </row>
    <row r="1582" ht="15.75" customHeight="1">
      <c r="A1582" s="1">
        <v>1581.0</v>
      </c>
      <c r="B1582" s="1" t="s">
        <v>122</v>
      </c>
      <c r="C1582" s="1" t="s">
        <v>4202</v>
      </c>
      <c r="D1582" s="1" t="s">
        <v>4203</v>
      </c>
      <c r="E1582" s="1">
        <v>5.70038356727E11</v>
      </c>
      <c r="F1582" s="1" t="s">
        <v>4204</v>
      </c>
      <c r="G1582" s="1" t="s">
        <v>3846</v>
      </c>
      <c r="H1582" s="1" t="s">
        <v>3847</v>
      </c>
      <c r="I1582" s="1" t="s">
        <v>3038</v>
      </c>
      <c r="J1582" s="1" t="s">
        <v>3848</v>
      </c>
    </row>
    <row r="1583" ht="15.75" customHeight="1">
      <c r="A1583" s="2">
        <v>1582.0</v>
      </c>
      <c r="B1583" s="1" t="s">
        <v>3995</v>
      </c>
      <c r="C1583" s="1" t="s">
        <v>4205</v>
      </c>
      <c r="D1583" s="1" t="s">
        <v>4206</v>
      </c>
      <c r="E1583" s="2">
        <v>5.70038356729E11</v>
      </c>
      <c r="F1583" s="1" t="s">
        <v>4207</v>
      </c>
      <c r="G1583" s="1" t="s">
        <v>12</v>
      </c>
      <c r="H1583" s="1" t="s">
        <v>867</v>
      </c>
      <c r="I1583" s="1" t="s">
        <v>868</v>
      </c>
      <c r="J1583" s="1" t="s">
        <v>869</v>
      </c>
    </row>
    <row r="1584" ht="15.75" customHeight="1">
      <c r="A1584" s="2">
        <v>1583.0</v>
      </c>
      <c r="B1584" s="1" t="s">
        <v>513</v>
      </c>
      <c r="C1584" s="1" t="s">
        <v>4208</v>
      </c>
      <c r="D1584" s="1" t="s">
        <v>540</v>
      </c>
      <c r="E1584" s="2">
        <v>5.70038356731E11</v>
      </c>
      <c r="F1584" s="1" t="s">
        <v>4209</v>
      </c>
      <c r="G1584" s="1" t="s">
        <v>12</v>
      </c>
      <c r="H1584" s="1" t="s">
        <v>867</v>
      </c>
      <c r="I1584" s="1" t="s">
        <v>868</v>
      </c>
      <c r="J1584" s="1" t="s">
        <v>869</v>
      </c>
    </row>
    <row r="1585" ht="15.75" customHeight="1">
      <c r="A1585" s="2">
        <v>1584.0</v>
      </c>
      <c r="B1585" s="1" t="s">
        <v>1641</v>
      </c>
      <c r="C1585" s="1" t="s">
        <v>4210</v>
      </c>
      <c r="D1585" s="1" t="s">
        <v>1335</v>
      </c>
      <c r="E1585" s="2">
        <v>5.70038356732E11</v>
      </c>
      <c r="F1585" s="1" t="s">
        <v>4211</v>
      </c>
      <c r="G1585" s="1" t="s">
        <v>12</v>
      </c>
      <c r="H1585" s="1" t="s">
        <v>867</v>
      </c>
      <c r="I1585" s="1" t="s">
        <v>868</v>
      </c>
      <c r="J1585" s="1" t="s">
        <v>869</v>
      </c>
    </row>
    <row r="1586" ht="15.75" customHeight="1">
      <c r="A1586" s="2">
        <v>1585.0</v>
      </c>
      <c r="B1586" s="1" t="s">
        <v>433</v>
      </c>
      <c r="C1586" s="1" t="s">
        <v>4212</v>
      </c>
      <c r="D1586" s="1" t="s">
        <v>4213</v>
      </c>
      <c r="E1586" s="2">
        <v>5.70038356733E11</v>
      </c>
      <c r="F1586" s="1" t="s">
        <v>4214</v>
      </c>
      <c r="G1586" s="1" t="s">
        <v>12</v>
      </c>
      <c r="H1586" s="1" t="s">
        <v>867</v>
      </c>
      <c r="I1586" s="1" t="s">
        <v>868</v>
      </c>
      <c r="J1586" s="1" t="s">
        <v>869</v>
      </c>
    </row>
    <row r="1587" ht="15.75" customHeight="1">
      <c r="A1587" s="2">
        <v>1586.0</v>
      </c>
      <c r="B1587" s="1" t="s">
        <v>1521</v>
      </c>
      <c r="C1587" s="1" t="s">
        <v>4215</v>
      </c>
      <c r="D1587" s="1" t="s">
        <v>44</v>
      </c>
      <c r="E1587" s="2">
        <v>5.70038356735E11</v>
      </c>
      <c r="F1587" s="1" t="s">
        <v>4216</v>
      </c>
      <c r="G1587" s="1" t="s">
        <v>12</v>
      </c>
      <c r="H1587" s="1" t="s">
        <v>867</v>
      </c>
      <c r="I1587" s="1" t="s">
        <v>868</v>
      </c>
      <c r="J1587" s="1" t="s">
        <v>869</v>
      </c>
    </row>
    <row r="1588" ht="15.75" customHeight="1">
      <c r="A1588" s="2">
        <v>1587.0</v>
      </c>
      <c r="B1588" s="1" t="s">
        <v>4217</v>
      </c>
      <c r="C1588" s="1" t="s">
        <v>4218</v>
      </c>
      <c r="D1588" s="1" t="s">
        <v>1652</v>
      </c>
      <c r="E1588" s="2">
        <v>5.70038356736E11</v>
      </c>
      <c r="F1588" s="1" t="s">
        <v>4219</v>
      </c>
      <c r="G1588" s="1" t="s">
        <v>12</v>
      </c>
      <c r="H1588" s="1" t="s">
        <v>867</v>
      </c>
      <c r="I1588" s="1" t="s">
        <v>868</v>
      </c>
      <c r="J1588" s="1" t="s">
        <v>869</v>
      </c>
    </row>
    <row r="1589" ht="15.75" customHeight="1">
      <c r="A1589" s="2">
        <v>1588.0</v>
      </c>
      <c r="B1589" s="1" t="s">
        <v>1720</v>
      </c>
      <c r="C1589" s="1" t="s">
        <v>4220</v>
      </c>
      <c r="D1589" s="1" t="s">
        <v>4221</v>
      </c>
      <c r="E1589" s="2">
        <v>5.70038356738E11</v>
      </c>
      <c r="F1589" s="1" t="s">
        <v>4222</v>
      </c>
      <c r="G1589" s="1" t="s">
        <v>12</v>
      </c>
      <c r="H1589" s="1" t="s">
        <v>867</v>
      </c>
      <c r="I1589" s="1" t="s">
        <v>868</v>
      </c>
      <c r="J1589" s="1" t="s">
        <v>869</v>
      </c>
    </row>
    <row r="1590" ht="15.75" customHeight="1">
      <c r="A1590" s="2">
        <v>1589.0</v>
      </c>
      <c r="B1590" s="1" t="s">
        <v>269</v>
      </c>
      <c r="C1590" s="1" t="s">
        <v>4223</v>
      </c>
      <c r="D1590" s="1" t="s">
        <v>4224</v>
      </c>
      <c r="E1590" s="2">
        <v>5.70038356741E11</v>
      </c>
      <c r="F1590" s="1" t="s">
        <v>4225</v>
      </c>
      <c r="G1590" s="1" t="s">
        <v>12</v>
      </c>
      <c r="H1590" s="1" t="s">
        <v>867</v>
      </c>
      <c r="I1590" s="1" t="s">
        <v>868</v>
      </c>
      <c r="J1590" s="1" t="s">
        <v>869</v>
      </c>
    </row>
    <row r="1591" ht="15.75" customHeight="1">
      <c r="A1591" s="2">
        <v>1590.0</v>
      </c>
      <c r="B1591" s="1" t="s">
        <v>365</v>
      </c>
      <c r="C1591" s="1" t="s">
        <v>4226</v>
      </c>
      <c r="D1591" s="1" t="s">
        <v>552</v>
      </c>
      <c r="E1591" s="2">
        <v>5.70038356742E11</v>
      </c>
      <c r="F1591" s="1" t="s">
        <v>4227</v>
      </c>
      <c r="G1591" s="1" t="s">
        <v>12</v>
      </c>
      <c r="H1591" s="1" t="s">
        <v>867</v>
      </c>
      <c r="I1591" s="1" t="s">
        <v>868</v>
      </c>
      <c r="J1591" s="1" t="s">
        <v>869</v>
      </c>
    </row>
    <row r="1592" ht="15.75" customHeight="1">
      <c r="A1592" s="2">
        <v>1591.0</v>
      </c>
      <c r="B1592" s="1" t="s">
        <v>230</v>
      </c>
      <c r="C1592" s="1" t="s">
        <v>4228</v>
      </c>
      <c r="D1592" s="1" t="s">
        <v>3353</v>
      </c>
      <c r="E1592" s="2">
        <v>5.70038356743E11</v>
      </c>
      <c r="F1592" s="1" t="s">
        <v>4229</v>
      </c>
      <c r="G1592" s="1" t="s">
        <v>12</v>
      </c>
      <c r="H1592" s="1" t="s">
        <v>867</v>
      </c>
      <c r="I1592" s="1" t="s">
        <v>868</v>
      </c>
      <c r="J1592" s="1" t="s">
        <v>869</v>
      </c>
    </row>
    <row r="1593" ht="15.75" customHeight="1">
      <c r="A1593" s="2">
        <v>1592.0</v>
      </c>
      <c r="B1593" s="1" t="s">
        <v>168</v>
      </c>
      <c r="C1593" s="1" t="s">
        <v>1230</v>
      </c>
      <c r="D1593" s="1" t="s">
        <v>4230</v>
      </c>
      <c r="E1593" s="2">
        <v>5.70038356744E11</v>
      </c>
      <c r="F1593" s="1" t="s">
        <v>4231</v>
      </c>
      <c r="G1593" s="1" t="s">
        <v>12</v>
      </c>
      <c r="H1593" s="1" t="s">
        <v>867</v>
      </c>
      <c r="I1593" s="1" t="s">
        <v>868</v>
      </c>
      <c r="J1593" s="1" t="s">
        <v>869</v>
      </c>
    </row>
    <row r="1594" ht="15.75" customHeight="1">
      <c r="A1594" s="2">
        <v>1593.0</v>
      </c>
      <c r="B1594" s="1" t="s">
        <v>4232</v>
      </c>
      <c r="C1594" s="1" t="s">
        <v>4233</v>
      </c>
      <c r="D1594" s="1" t="s">
        <v>4234</v>
      </c>
      <c r="E1594" s="2">
        <v>5.70038356745E11</v>
      </c>
      <c r="F1594" s="1" t="s">
        <v>4235</v>
      </c>
      <c r="G1594" s="1" t="s">
        <v>12</v>
      </c>
      <c r="H1594" s="1" t="s">
        <v>867</v>
      </c>
      <c r="I1594" s="1" t="s">
        <v>868</v>
      </c>
      <c r="J1594" s="1" t="s">
        <v>869</v>
      </c>
    </row>
    <row r="1595" ht="15.75" customHeight="1">
      <c r="A1595" s="2">
        <v>1594.0</v>
      </c>
      <c r="B1595" s="1" t="s">
        <v>18</v>
      </c>
      <c r="C1595" s="1" t="s">
        <v>1127</v>
      </c>
      <c r="D1595" s="1" t="s">
        <v>427</v>
      </c>
      <c r="E1595" s="2">
        <v>5.70038356746E11</v>
      </c>
      <c r="F1595" s="1" t="s">
        <v>4236</v>
      </c>
      <c r="G1595" s="1" t="s">
        <v>12</v>
      </c>
      <c r="H1595" s="1" t="s">
        <v>867</v>
      </c>
      <c r="I1595" s="1" t="s">
        <v>868</v>
      </c>
      <c r="J1595" s="1" t="s">
        <v>869</v>
      </c>
    </row>
    <row r="1596" ht="15.75" customHeight="1">
      <c r="A1596" s="2">
        <v>1595.0</v>
      </c>
      <c r="B1596" s="1" t="s">
        <v>290</v>
      </c>
      <c r="C1596" s="1" t="s">
        <v>4237</v>
      </c>
      <c r="D1596" s="1" t="s">
        <v>4238</v>
      </c>
      <c r="E1596" s="2">
        <v>5.70038356747E11</v>
      </c>
      <c r="F1596" s="1" t="s">
        <v>4239</v>
      </c>
      <c r="G1596" s="1" t="s">
        <v>12</v>
      </c>
      <c r="H1596" s="1" t="s">
        <v>867</v>
      </c>
      <c r="I1596" s="1" t="s">
        <v>868</v>
      </c>
      <c r="J1596" s="1" t="s">
        <v>869</v>
      </c>
    </row>
    <row r="1597" ht="15.75" customHeight="1">
      <c r="A1597" s="2">
        <v>1596.0</v>
      </c>
      <c r="B1597" s="1" t="s">
        <v>4240</v>
      </c>
      <c r="C1597" s="1" t="s">
        <v>4241</v>
      </c>
      <c r="D1597" s="1" t="s">
        <v>187</v>
      </c>
      <c r="E1597" s="2">
        <v>5.70038356749E11</v>
      </c>
      <c r="F1597" s="1" t="s">
        <v>4242</v>
      </c>
      <c r="G1597" s="1" t="s">
        <v>12</v>
      </c>
      <c r="H1597" s="1" t="s">
        <v>867</v>
      </c>
      <c r="I1597" s="1" t="s">
        <v>868</v>
      </c>
      <c r="J1597" s="1" t="s">
        <v>869</v>
      </c>
    </row>
    <row r="1598" ht="15.75" customHeight="1">
      <c r="A1598" s="2">
        <v>1597.0</v>
      </c>
      <c r="B1598" s="1" t="s">
        <v>4243</v>
      </c>
      <c r="C1598" s="1" t="s">
        <v>74</v>
      </c>
      <c r="D1598" s="1" t="s">
        <v>1765</v>
      </c>
      <c r="E1598" s="2">
        <v>5.7003835675E11</v>
      </c>
      <c r="F1598" s="1" t="s">
        <v>4244</v>
      </c>
      <c r="G1598" s="1" t="s">
        <v>12</v>
      </c>
      <c r="H1598" s="1" t="s">
        <v>867</v>
      </c>
      <c r="I1598" s="1" t="s">
        <v>868</v>
      </c>
      <c r="J1598" s="1" t="s">
        <v>869</v>
      </c>
    </row>
    <row r="1599" ht="15.75" customHeight="1">
      <c r="A1599" s="2">
        <v>1598.0</v>
      </c>
      <c r="B1599" s="1" t="s">
        <v>335</v>
      </c>
      <c r="C1599" s="1" t="s">
        <v>3432</v>
      </c>
      <c r="D1599" s="1" t="s">
        <v>4245</v>
      </c>
      <c r="E1599" s="2">
        <v>5.70038356751E11</v>
      </c>
      <c r="F1599" s="1" t="s">
        <v>4246</v>
      </c>
      <c r="G1599" s="1" t="s">
        <v>12</v>
      </c>
      <c r="H1599" s="1" t="s">
        <v>867</v>
      </c>
      <c r="I1599" s="1" t="s">
        <v>868</v>
      </c>
      <c r="J1599" s="1" t="s">
        <v>869</v>
      </c>
    </row>
    <row r="1600" ht="15.75" customHeight="1">
      <c r="A1600" s="2">
        <v>1599.0</v>
      </c>
      <c r="B1600" s="1" t="s">
        <v>58</v>
      </c>
      <c r="C1600" s="1" t="s">
        <v>4247</v>
      </c>
      <c r="D1600" s="1" t="s">
        <v>3366</v>
      </c>
      <c r="E1600" s="2">
        <v>5.70038356752E11</v>
      </c>
      <c r="F1600" s="1" t="s">
        <v>4248</v>
      </c>
      <c r="G1600" s="1" t="s">
        <v>12</v>
      </c>
      <c r="H1600" s="1" t="s">
        <v>867</v>
      </c>
      <c r="I1600" s="1" t="s">
        <v>868</v>
      </c>
      <c r="J1600" s="1" t="s">
        <v>869</v>
      </c>
    </row>
    <row r="1601" ht="15.75" customHeight="1">
      <c r="A1601" s="2">
        <v>1600.0</v>
      </c>
      <c r="B1601" s="1" t="s">
        <v>77</v>
      </c>
      <c r="C1601" s="1" t="s">
        <v>1570</v>
      </c>
      <c r="D1601" s="1" t="s">
        <v>230</v>
      </c>
      <c r="E1601" s="2">
        <v>5.70038356753E11</v>
      </c>
      <c r="F1601" s="1" t="s">
        <v>4249</v>
      </c>
      <c r="G1601" s="1" t="s">
        <v>12</v>
      </c>
      <c r="H1601" s="1" t="s">
        <v>867</v>
      </c>
      <c r="I1601" s="1" t="s">
        <v>868</v>
      </c>
      <c r="J1601" s="1" t="s">
        <v>869</v>
      </c>
    </row>
    <row r="1602" ht="15.75" customHeight="1">
      <c r="A1602" s="2">
        <v>1601.0</v>
      </c>
      <c r="B1602" s="1" t="s">
        <v>4250</v>
      </c>
      <c r="C1602" s="1" t="s">
        <v>404</v>
      </c>
      <c r="D1602" s="1" t="s">
        <v>384</v>
      </c>
      <c r="E1602" s="2">
        <v>5.70038356754E11</v>
      </c>
      <c r="F1602" s="1" t="s">
        <v>4251</v>
      </c>
      <c r="G1602" s="1" t="s">
        <v>12</v>
      </c>
      <c r="H1602" s="1" t="s">
        <v>867</v>
      </c>
      <c r="I1602" s="1" t="s">
        <v>868</v>
      </c>
      <c r="J1602" s="1" t="s">
        <v>869</v>
      </c>
    </row>
    <row r="1603" ht="15.75" customHeight="1">
      <c r="A1603" s="2">
        <v>1602.0</v>
      </c>
      <c r="B1603" s="1" t="s">
        <v>77</v>
      </c>
      <c r="C1603" s="1" t="s">
        <v>320</v>
      </c>
      <c r="D1603" s="1" t="s">
        <v>60</v>
      </c>
      <c r="E1603" s="2">
        <v>5.70038356755E11</v>
      </c>
      <c r="F1603" s="1" t="s">
        <v>4252</v>
      </c>
      <c r="G1603" s="1" t="s">
        <v>12</v>
      </c>
      <c r="H1603" s="1" t="s">
        <v>867</v>
      </c>
      <c r="I1603" s="1" t="s">
        <v>868</v>
      </c>
      <c r="J1603" s="1" t="s">
        <v>869</v>
      </c>
    </row>
    <row r="1604" ht="15.75" customHeight="1">
      <c r="A1604" s="2">
        <v>1603.0</v>
      </c>
      <c r="B1604" s="1" t="s">
        <v>60</v>
      </c>
      <c r="C1604" s="1" t="s">
        <v>4253</v>
      </c>
      <c r="D1604" s="1" t="s">
        <v>4254</v>
      </c>
      <c r="E1604" s="2">
        <v>5.70038356756E11</v>
      </c>
      <c r="F1604" s="1" t="s">
        <v>4255</v>
      </c>
      <c r="G1604" s="1" t="s">
        <v>12</v>
      </c>
      <c r="H1604" s="1" t="s">
        <v>867</v>
      </c>
      <c r="I1604" s="1" t="s">
        <v>868</v>
      </c>
      <c r="J1604" s="1" t="s">
        <v>869</v>
      </c>
    </row>
    <row r="1605" ht="15.75" customHeight="1">
      <c r="A1605" s="2">
        <v>1604.0</v>
      </c>
      <c r="B1605" s="1" t="s">
        <v>552</v>
      </c>
      <c r="C1605" s="1" t="s">
        <v>3705</v>
      </c>
      <c r="D1605" s="1" t="s">
        <v>168</v>
      </c>
      <c r="E1605" s="2">
        <v>5.70038356759E11</v>
      </c>
      <c r="F1605" s="1" t="s">
        <v>4256</v>
      </c>
      <c r="G1605" s="1" t="s">
        <v>12</v>
      </c>
      <c r="H1605" s="1" t="s">
        <v>867</v>
      </c>
      <c r="I1605" s="1" t="s">
        <v>868</v>
      </c>
      <c r="J1605" s="1" t="s">
        <v>869</v>
      </c>
    </row>
    <row r="1606" ht="15.75" customHeight="1">
      <c r="A1606" s="2">
        <v>1605.0</v>
      </c>
      <c r="B1606" s="1" t="s">
        <v>77</v>
      </c>
      <c r="C1606" s="1" t="s">
        <v>140</v>
      </c>
      <c r="D1606" s="1" t="s">
        <v>4257</v>
      </c>
      <c r="E1606" s="2">
        <v>5.70038356763E11</v>
      </c>
      <c r="F1606" s="1" t="s">
        <v>4258</v>
      </c>
      <c r="G1606" s="1" t="s">
        <v>12</v>
      </c>
      <c r="H1606" s="1" t="s">
        <v>867</v>
      </c>
      <c r="I1606" s="1" t="s">
        <v>868</v>
      </c>
      <c r="J1606" s="1" t="s">
        <v>869</v>
      </c>
    </row>
    <row r="1607" ht="15.75" customHeight="1">
      <c r="A1607" s="2">
        <v>1606.0</v>
      </c>
      <c r="B1607" s="1" t="s">
        <v>3103</v>
      </c>
      <c r="C1607" s="1" t="s">
        <v>4259</v>
      </c>
      <c r="D1607" s="1" t="s">
        <v>77</v>
      </c>
      <c r="E1607" s="2">
        <v>5.70038356764E11</v>
      </c>
      <c r="F1607" s="1" t="s">
        <v>4260</v>
      </c>
      <c r="G1607" s="1" t="s">
        <v>12</v>
      </c>
      <c r="H1607" s="1" t="s">
        <v>867</v>
      </c>
      <c r="I1607" s="1" t="s">
        <v>868</v>
      </c>
      <c r="J1607" s="1" t="s">
        <v>869</v>
      </c>
    </row>
    <row r="1608" ht="15.75" customHeight="1">
      <c r="A1608" s="2">
        <v>1607.0</v>
      </c>
      <c r="B1608" s="1" t="s">
        <v>4261</v>
      </c>
      <c r="C1608" s="1" t="s">
        <v>4262</v>
      </c>
      <c r="D1608" s="1" t="s">
        <v>4263</v>
      </c>
      <c r="E1608" s="2">
        <v>5.70038356771E11</v>
      </c>
      <c r="F1608" s="1" t="s">
        <v>4264</v>
      </c>
      <c r="G1608" s="1" t="s">
        <v>12</v>
      </c>
      <c r="H1608" s="1" t="s">
        <v>867</v>
      </c>
      <c r="I1608" s="1" t="s">
        <v>868</v>
      </c>
      <c r="J1608" s="1" t="s">
        <v>869</v>
      </c>
    </row>
    <row r="1609" ht="15.75" customHeight="1">
      <c r="A1609" s="2">
        <v>1608.0</v>
      </c>
      <c r="B1609" s="1" t="s">
        <v>263</v>
      </c>
      <c r="C1609" s="1" t="s">
        <v>4262</v>
      </c>
      <c r="D1609" s="1" t="s">
        <v>4263</v>
      </c>
      <c r="E1609" s="2">
        <v>5.70038356772E11</v>
      </c>
      <c r="F1609" s="1" t="s">
        <v>4265</v>
      </c>
      <c r="G1609" s="1" t="s">
        <v>12</v>
      </c>
      <c r="H1609" s="1" t="s">
        <v>867</v>
      </c>
      <c r="I1609" s="1" t="s">
        <v>868</v>
      </c>
      <c r="J1609" s="1" t="s">
        <v>869</v>
      </c>
    </row>
    <row r="1610" ht="15.75" customHeight="1">
      <c r="A1610" s="2">
        <v>1609.0</v>
      </c>
      <c r="B1610" s="1" t="s">
        <v>1704</v>
      </c>
      <c r="C1610" s="1" t="s">
        <v>4266</v>
      </c>
      <c r="D1610" s="1" t="s">
        <v>4267</v>
      </c>
      <c r="E1610" s="2">
        <v>5.70038356774E11</v>
      </c>
      <c r="F1610" s="1" t="s">
        <v>4268</v>
      </c>
      <c r="G1610" s="1" t="s">
        <v>12</v>
      </c>
      <c r="H1610" s="1" t="s">
        <v>867</v>
      </c>
      <c r="I1610" s="1" t="s">
        <v>868</v>
      </c>
      <c r="J1610" s="1" t="s">
        <v>869</v>
      </c>
    </row>
    <row r="1611" ht="15.75" customHeight="1">
      <c r="A1611" s="2">
        <v>1610.0</v>
      </c>
      <c r="B1611" s="1" t="s">
        <v>723</v>
      </c>
      <c r="C1611" s="1" t="s">
        <v>4269</v>
      </c>
      <c r="D1611" s="1" t="s">
        <v>4270</v>
      </c>
      <c r="E1611" s="2">
        <v>5.70038356775E11</v>
      </c>
      <c r="F1611" s="1" t="s">
        <v>4271</v>
      </c>
      <c r="G1611" s="1" t="s">
        <v>12</v>
      </c>
      <c r="H1611" s="1" t="s">
        <v>867</v>
      </c>
      <c r="I1611" s="1" t="s">
        <v>868</v>
      </c>
      <c r="J1611" s="1" t="s">
        <v>869</v>
      </c>
    </row>
    <row r="1612" ht="15.75" customHeight="1">
      <c r="A1612" s="2">
        <v>1611.0</v>
      </c>
      <c r="B1612" s="1" t="s">
        <v>93</v>
      </c>
      <c r="C1612" s="1" t="s">
        <v>4272</v>
      </c>
      <c r="D1612" s="1" t="s">
        <v>77</v>
      </c>
      <c r="E1612" s="2">
        <v>5.70038356777E11</v>
      </c>
      <c r="F1612" s="1" t="s">
        <v>4273</v>
      </c>
      <c r="G1612" s="1" t="s">
        <v>12</v>
      </c>
      <c r="H1612" s="1" t="s">
        <v>867</v>
      </c>
      <c r="I1612" s="1" t="s">
        <v>868</v>
      </c>
      <c r="J1612" s="1" t="s">
        <v>869</v>
      </c>
    </row>
    <row r="1613" ht="15.75" customHeight="1">
      <c r="A1613" s="2">
        <v>1612.0</v>
      </c>
      <c r="B1613" s="1" t="s">
        <v>543</v>
      </c>
      <c r="C1613" s="1" t="s">
        <v>4274</v>
      </c>
      <c r="D1613" s="1" t="s">
        <v>58</v>
      </c>
      <c r="E1613" s="2">
        <v>5.70038356778E11</v>
      </c>
      <c r="F1613" s="1" t="s">
        <v>4275</v>
      </c>
      <c r="G1613" s="1" t="s">
        <v>12</v>
      </c>
      <c r="H1613" s="1" t="s">
        <v>867</v>
      </c>
      <c r="I1613" s="1" t="s">
        <v>868</v>
      </c>
      <c r="J1613" s="1" t="s">
        <v>869</v>
      </c>
    </row>
    <row r="1614" ht="15.75" customHeight="1">
      <c r="A1614" s="2">
        <v>1613.0</v>
      </c>
      <c r="B1614" s="1" t="s">
        <v>1557</v>
      </c>
      <c r="C1614" s="1" t="s">
        <v>320</v>
      </c>
      <c r="D1614" s="1" t="s">
        <v>60</v>
      </c>
      <c r="E1614" s="2">
        <v>5.70038356779E11</v>
      </c>
      <c r="F1614" s="1" t="s">
        <v>4276</v>
      </c>
      <c r="G1614" s="1" t="s">
        <v>12</v>
      </c>
      <c r="H1614" s="1" t="s">
        <v>867</v>
      </c>
      <c r="I1614" s="1" t="s">
        <v>868</v>
      </c>
      <c r="J1614" s="1" t="s">
        <v>869</v>
      </c>
    </row>
    <row r="1615" ht="15.75" customHeight="1">
      <c r="A1615" s="2">
        <v>1614.0</v>
      </c>
      <c r="B1615" s="1" t="s">
        <v>455</v>
      </c>
      <c r="C1615" s="1" t="s">
        <v>4277</v>
      </c>
      <c r="D1615" s="1" t="s">
        <v>629</v>
      </c>
      <c r="E1615" s="2">
        <v>5.7003835678E11</v>
      </c>
      <c r="F1615" s="1" t="s">
        <v>4278</v>
      </c>
      <c r="G1615" s="1" t="s">
        <v>12</v>
      </c>
      <c r="H1615" s="1" t="s">
        <v>867</v>
      </c>
      <c r="I1615" s="1" t="s">
        <v>868</v>
      </c>
      <c r="J1615" s="1" t="s">
        <v>869</v>
      </c>
    </row>
    <row r="1616" ht="15.75" customHeight="1">
      <c r="A1616" s="2">
        <v>1615.0</v>
      </c>
      <c r="B1616" s="1" t="s">
        <v>4279</v>
      </c>
      <c r="C1616" s="1" t="s">
        <v>4280</v>
      </c>
      <c r="D1616" s="1" t="s">
        <v>4281</v>
      </c>
      <c r="E1616" s="2">
        <v>5.70038356783E11</v>
      </c>
      <c r="F1616" s="1" t="s">
        <v>4282</v>
      </c>
      <c r="G1616" s="1" t="s">
        <v>12</v>
      </c>
      <c r="H1616" s="1" t="s">
        <v>867</v>
      </c>
      <c r="I1616" s="1" t="s">
        <v>868</v>
      </c>
      <c r="J1616" s="1" t="s">
        <v>869</v>
      </c>
    </row>
    <row r="1617" ht="15.75" customHeight="1">
      <c r="A1617" s="2">
        <v>1616.0</v>
      </c>
      <c r="B1617" s="1" t="s">
        <v>297</v>
      </c>
      <c r="C1617" s="1" t="s">
        <v>4283</v>
      </c>
      <c r="D1617" s="1" t="s">
        <v>4284</v>
      </c>
      <c r="E1617" s="2">
        <v>5.70038356784E11</v>
      </c>
      <c r="F1617" s="1" t="s">
        <v>4285</v>
      </c>
      <c r="G1617" s="1" t="s">
        <v>12</v>
      </c>
      <c r="H1617" s="1" t="s">
        <v>867</v>
      </c>
      <c r="I1617" s="1" t="s">
        <v>868</v>
      </c>
      <c r="J1617" s="1" t="s">
        <v>869</v>
      </c>
    </row>
    <row r="1618" ht="15.75" customHeight="1">
      <c r="A1618" s="2">
        <v>1617.0</v>
      </c>
      <c r="B1618" s="1" t="s">
        <v>4286</v>
      </c>
      <c r="C1618" s="1" t="s">
        <v>4287</v>
      </c>
      <c r="D1618" s="1" t="s">
        <v>34</v>
      </c>
      <c r="E1618" s="2">
        <v>5.70038356787E11</v>
      </c>
      <c r="F1618" s="1" t="s">
        <v>4184</v>
      </c>
      <c r="G1618" s="1" t="s">
        <v>12</v>
      </c>
      <c r="H1618" s="1" t="s">
        <v>867</v>
      </c>
      <c r="I1618" s="1" t="s">
        <v>868</v>
      </c>
      <c r="J1618" s="1" t="s">
        <v>869</v>
      </c>
    </row>
    <row r="1619" ht="15.75" customHeight="1">
      <c r="A1619" s="2">
        <v>1618.0</v>
      </c>
      <c r="B1619" s="1" t="s">
        <v>365</v>
      </c>
      <c r="C1619" s="1" t="s">
        <v>612</v>
      </c>
      <c r="D1619" s="1" t="s">
        <v>77</v>
      </c>
      <c r="E1619" s="2">
        <v>5.70038356788E11</v>
      </c>
      <c r="F1619" s="1" t="s">
        <v>4288</v>
      </c>
      <c r="G1619" s="1" t="s">
        <v>12</v>
      </c>
      <c r="H1619" s="1" t="s">
        <v>867</v>
      </c>
      <c r="I1619" s="1" t="s">
        <v>868</v>
      </c>
      <c r="J1619" s="1" t="s">
        <v>869</v>
      </c>
    </row>
    <row r="1620" ht="15.75" customHeight="1">
      <c r="A1620" s="2">
        <v>1619.0</v>
      </c>
      <c r="B1620" s="1" t="s">
        <v>679</v>
      </c>
      <c r="C1620" s="1" t="s">
        <v>4289</v>
      </c>
      <c r="D1620" s="1" t="s">
        <v>4290</v>
      </c>
      <c r="E1620" s="2">
        <v>5.7003835679E11</v>
      </c>
      <c r="F1620" s="1" t="s">
        <v>4291</v>
      </c>
      <c r="G1620" s="1" t="s">
        <v>12</v>
      </c>
      <c r="H1620" s="1" t="s">
        <v>867</v>
      </c>
      <c r="I1620" s="1" t="s">
        <v>868</v>
      </c>
      <c r="J1620" s="1" t="s">
        <v>869</v>
      </c>
    </row>
    <row r="1621" ht="15.75" customHeight="1">
      <c r="A1621" s="2">
        <v>1620.0</v>
      </c>
      <c r="B1621" s="1" t="s">
        <v>2016</v>
      </c>
      <c r="C1621" s="1" t="s">
        <v>4292</v>
      </c>
      <c r="D1621" s="1" t="s">
        <v>1557</v>
      </c>
      <c r="E1621" s="2">
        <v>5.70038356793E11</v>
      </c>
      <c r="F1621" s="1" t="s">
        <v>4293</v>
      </c>
      <c r="G1621" s="1" t="s">
        <v>12</v>
      </c>
      <c r="H1621" s="1" t="s">
        <v>867</v>
      </c>
      <c r="I1621" s="1" t="s">
        <v>868</v>
      </c>
      <c r="J1621" s="1" t="s">
        <v>869</v>
      </c>
    </row>
    <row r="1622" ht="15.75" customHeight="1">
      <c r="A1622" s="2">
        <v>1621.0</v>
      </c>
      <c r="B1622" s="1" t="s">
        <v>403</v>
      </c>
      <c r="C1622" s="1" t="s">
        <v>4294</v>
      </c>
      <c r="D1622" s="1" t="s">
        <v>157</v>
      </c>
      <c r="E1622" s="2">
        <v>5.70038356794E11</v>
      </c>
      <c r="F1622" s="1" t="s">
        <v>4295</v>
      </c>
      <c r="G1622" s="1" t="s">
        <v>12</v>
      </c>
      <c r="H1622" s="1" t="s">
        <v>867</v>
      </c>
      <c r="I1622" s="1" t="s">
        <v>868</v>
      </c>
      <c r="J1622" s="1" t="s">
        <v>869</v>
      </c>
    </row>
    <row r="1623" ht="15.75" customHeight="1">
      <c r="A1623" s="2">
        <v>1622.0</v>
      </c>
      <c r="B1623" s="1" t="s">
        <v>4296</v>
      </c>
      <c r="C1623" s="1" t="s">
        <v>4297</v>
      </c>
      <c r="D1623" s="1" t="s">
        <v>269</v>
      </c>
      <c r="E1623" s="2">
        <v>5.70038356818E11</v>
      </c>
      <c r="F1623" s="1" t="s">
        <v>4298</v>
      </c>
      <c r="G1623" s="1" t="s">
        <v>417</v>
      </c>
      <c r="H1623" s="1" t="s">
        <v>867</v>
      </c>
      <c r="I1623" s="1" t="s">
        <v>868</v>
      </c>
      <c r="J1623" s="1" t="s">
        <v>869</v>
      </c>
    </row>
    <row r="1624" ht="15.75" customHeight="1">
      <c r="A1624" s="2">
        <v>1623.0</v>
      </c>
      <c r="B1624" s="1" t="s">
        <v>2005</v>
      </c>
      <c r="C1624" s="1" t="s">
        <v>1783</v>
      </c>
      <c r="D1624" s="1" t="s">
        <v>728</v>
      </c>
      <c r="E1624" s="2">
        <v>5.70038356819E11</v>
      </c>
      <c r="F1624" s="1" t="s">
        <v>4299</v>
      </c>
      <c r="G1624" s="1" t="s">
        <v>12</v>
      </c>
      <c r="H1624" s="1" t="s">
        <v>867</v>
      </c>
      <c r="I1624" s="1" t="s">
        <v>868</v>
      </c>
      <c r="J1624" s="1" t="s">
        <v>869</v>
      </c>
    </row>
    <row r="1625" ht="15.75" customHeight="1">
      <c r="A1625" s="2">
        <v>1624.0</v>
      </c>
      <c r="B1625" s="1" t="s">
        <v>4300</v>
      </c>
      <c r="C1625" s="1" t="s">
        <v>2356</v>
      </c>
      <c r="D1625" s="1" t="s">
        <v>122</v>
      </c>
      <c r="E1625" s="2">
        <v>5.70038356821E11</v>
      </c>
      <c r="F1625" s="1" t="s">
        <v>4301</v>
      </c>
      <c r="G1625" s="1" t="s">
        <v>12</v>
      </c>
      <c r="H1625" s="1" t="s">
        <v>867</v>
      </c>
      <c r="I1625" s="1" t="s">
        <v>868</v>
      </c>
      <c r="J1625" s="1" t="s">
        <v>869</v>
      </c>
    </row>
    <row r="1626" ht="15.75" customHeight="1">
      <c r="A1626" s="2">
        <v>1625.0</v>
      </c>
      <c r="B1626" s="1" t="s">
        <v>1521</v>
      </c>
      <c r="C1626" s="1" t="s">
        <v>4302</v>
      </c>
      <c r="D1626" s="1" t="s">
        <v>122</v>
      </c>
      <c r="E1626" s="2">
        <v>5.70038356823E11</v>
      </c>
      <c r="F1626" s="1" t="s">
        <v>4303</v>
      </c>
      <c r="G1626" s="1" t="s">
        <v>12</v>
      </c>
      <c r="H1626" s="1" t="s">
        <v>867</v>
      </c>
      <c r="I1626" s="1" t="s">
        <v>868</v>
      </c>
      <c r="J1626" s="1" t="s">
        <v>869</v>
      </c>
    </row>
    <row r="1627" ht="15.75" customHeight="1">
      <c r="A1627" s="2">
        <v>1626.0</v>
      </c>
      <c r="B1627" s="1" t="s">
        <v>83</v>
      </c>
      <c r="C1627" s="1" t="s">
        <v>4304</v>
      </c>
      <c r="D1627" s="1" t="s">
        <v>212</v>
      </c>
      <c r="E1627" s="2">
        <v>5.70038356825E11</v>
      </c>
      <c r="F1627" s="1" t="s">
        <v>4305</v>
      </c>
      <c r="G1627" s="1" t="s">
        <v>12</v>
      </c>
      <c r="H1627" s="1" t="s">
        <v>867</v>
      </c>
      <c r="I1627" s="1" t="s">
        <v>868</v>
      </c>
      <c r="J1627" s="1" t="s">
        <v>869</v>
      </c>
    </row>
    <row r="1628" ht="15.75" customHeight="1">
      <c r="A1628" s="2">
        <v>1627.0</v>
      </c>
      <c r="B1628" s="1" t="s">
        <v>4306</v>
      </c>
      <c r="C1628" s="1" t="s">
        <v>4307</v>
      </c>
      <c r="D1628" s="1" t="s">
        <v>4308</v>
      </c>
      <c r="E1628" s="2">
        <v>5.70038356827E11</v>
      </c>
      <c r="F1628" s="1" t="s">
        <v>2909</v>
      </c>
      <c r="G1628" s="1" t="s">
        <v>12</v>
      </c>
      <c r="H1628" s="1" t="s">
        <v>867</v>
      </c>
      <c r="I1628" s="1" t="s">
        <v>868</v>
      </c>
      <c r="J1628" s="1" t="s">
        <v>869</v>
      </c>
    </row>
    <row r="1629" ht="15.75" customHeight="1">
      <c r="A1629" s="2">
        <v>1628.0</v>
      </c>
      <c r="B1629" s="1" t="s">
        <v>2801</v>
      </c>
      <c r="C1629" s="1" t="s">
        <v>446</v>
      </c>
      <c r="D1629" s="1" t="s">
        <v>4306</v>
      </c>
      <c r="E1629" s="2">
        <v>5.70038356828E11</v>
      </c>
      <c r="F1629" s="1" t="s">
        <v>4309</v>
      </c>
      <c r="G1629" s="1" t="s">
        <v>135</v>
      </c>
      <c r="H1629" s="1" t="s">
        <v>867</v>
      </c>
      <c r="I1629" s="1" t="s">
        <v>868</v>
      </c>
      <c r="J1629" s="1" t="s">
        <v>869</v>
      </c>
    </row>
    <row r="1630" ht="15.75" customHeight="1">
      <c r="A1630" s="2">
        <v>1629.0</v>
      </c>
      <c r="B1630" s="1" t="s">
        <v>1581</v>
      </c>
      <c r="C1630" s="1" t="s">
        <v>4310</v>
      </c>
      <c r="D1630" s="1" t="s">
        <v>4311</v>
      </c>
      <c r="E1630" s="2">
        <v>5.70038356829E11</v>
      </c>
      <c r="F1630" s="1" t="s">
        <v>1026</v>
      </c>
      <c r="G1630" s="1" t="s">
        <v>12</v>
      </c>
      <c r="H1630" s="1" t="s">
        <v>867</v>
      </c>
      <c r="I1630" s="1" t="s">
        <v>868</v>
      </c>
      <c r="J1630" s="1" t="s">
        <v>869</v>
      </c>
    </row>
    <row r="1631" ht="15.75" customHeight="1">
      <c r="A1631" s="2">
        <v>1630.0</v>
      </c>
      <c r="B1631" s="1" t="s">
        <v>4312</v>
      </c>
      <c r="C1631" s="1" t="s">
        <v>1492</v>
      </c>
      <c r="D1631" s="1" t="s">
        <v>344</v>
      </c>
      <c r="E1631" s="2">
        <v>5.7003835683E11</v>
      </c>
      <c r="F1631" s="1" t="s">
        <v>4313</v>
      </c>
      <c r="G1631" s="1" t="s">
        <v>12</v>
      </c>
      <c r="H1631" s="1" t="s">
        <v>867</v>
      </c>
      <c r="I1631" s="1" t="s">
        <v>868</v>
      </c>
      <c r="J1631" s="1" t="s">
        <v>869</v>
      </c>
    </row>
    <row r="1632" ht="15.75" customHeight="1">
      <c r="A1632" s="2">
        <v>1631.0</v>
      </c>
      <c r="B1632" s="1" t="s">
        <v>4314</v>
      </c>
      <c r="C1632" s="1" t="s">
        <v>4315</v>
      </c>
      <c r="D1632" s="1" t="s">
        <v>263</v>
      </c>
      <c r="E1632" s="2">
        <v>5.70038356831E11</v>
      </c>
      <c r="F1632" s="1" t="s">
        <v>4316</v>
      </c>
      <c r="G1632" s="1" t="s">
        <v>12</v>
      </c>
      <c r="H1632" s="1" t="s">
        <v>867</v>
      </c>
      <c r="I1632" s="1" t="s">
        <v>868</v>
      </c>
      <c r="J1632" s="1" t="s">
        <v>869</v>
      </c>
    </row>
    <row r="1633" ht="15.75" customHeight="1">
      <c r="A1633" s="2">
        <v>1632.0</v>
      </c>
      <c r="B1633" s="1" t="s">
        <v>4317</v>
      </c>
      <c r="C1633" s="1" t="s">
        <v>4318</v>
      </c>
      <c r="D1633" s="1" t="s">
        <v>1152</v>
      </c>
      <c r="E1633" s="2">
        <v>5.70038356839E11</v>
      </c>
      <c r="F1633" s="1" t="s">
        <v>1944</v>
      </c>
      <c r="G1633" s="1" t="s">
        <v>12</v>
      </c>
      <c r="H1633" s="1" t="s">
        <v>867</v>
      </c>
      <c r="I1633" s="1" t="s">
        <v>868</v>
      </c>
      <c r="J1633" s="1" t="s">
        <v>869</v>
      </c>
    </row>
    <row r="1634" ht="15.75" customHeight="1">
      <c r="A1634" s="2">
        <v>1633.0</v>
      </c>
      <c r="B1634" s="1" t="s">
        <v>4319</v>
      </c>
      <c r="C1634" s="1" t="s">
        <v>4320</v>
      </c>
      <c r="D1634" s="1" t="s">
        <v>4321</v>
      </c>
      <c r="E1634" s="2">
        <v>5.70038356842E11</v>
      </c>
      <c r="F1634" s="1" t="s">
        <v>4322</v>
      </c>
      <c r="G1634" s="1" t="s">
        <v>12</v>
      </c>
      <c r="H1634" s="1" t="s">
        <v>867</v>
      </c>
      <c r="I1634" s="1" t="s">
        <v>868</v>
      </c>
      <c r="J1634" s="1" t="s">
        <v>869</v>
      </c>
    </row>
    <row r="1635" ht="15.75" customHeight="1">
      <c r="A1635" s="2">
        <v>1634.0</v>
      </c>
      <c r="B1635" s="1" t="s">
        <v>4323</v>
      </c>
      <c r="C1635" s="1" t="s">
        <v>1818</v>
      </c>
      <c r="D1635" s="1" t="s">
        <v>228</v>
      </c>
      <c r="E1635" s="2">
        <v>5.70038356844E11</v>
      </c>
      <c r="F1635" s="1" t="s">
        <v>713</v>
      </c>
      <c r="G1635" s="1" t="s">
        <v>12</v>
      </c>
      <c r="H1635" s="1" t="s">
        <v>867</v>
      </c>
      <c r="I1635" s="1" t="s">
        <v>868</v>
      </c>
      <c r="J1635" s="1" t="s">
        <v>869</v>
      </c>
    </row>
    <row r="1636" ht="15.75" customHeight="1">
      <c r="A1636" s="2">
        <v>1635.0</v>
      </c>
      <c r="B1636" s="1" t="s">
        <v>50</v>
      </c>
      <c r="C1636" s="1" t="s">
        <v>4324</v>
      </c>
      <c r="D1636" s="1" t="s">
        <v>187</v>
      </c>
      <c r="E1636" s="2">
        <v>5.70038356845E11</v>
      </c>
      <c r="F1636" s="1" t="s">
        <v>4325</v>
      </c>
      <c r="G1636" s="1" t="s">
        <v>12</v>
      </c>
      <c r="H1636" s="1" t="s">
        <v>867</v>
      </c>
      <c r="I1636" s="1" t="s">
        <v>868</v>
      </c>
      <c r="J1636" s="1" t="s">
        <v>869</v>
      </c>
    </row>
    <row r="1637" ht="15.75" customHeight="1">
      <c r="A1637" s="2">
        <v>1636.0</v>
      </c>
      <c r="B1637" s="1" t="s">
        <v>1193</v>
      </c>
      <c r="C1637" s="1" t="s">
        <v>4326</v>
      </c>
      <c r="D1637" s="1" t="s">
        <v>77</v>
      </c>
      <c r="E1637" s="2">
        <v>5.70038356846E11</v>
      </c>
      <c r="F1637" s="1" t="s">
        <v>4327</v>
      </c>
      <c r="G1637" s="1" t="s">
        <v>12</v>
      </c>
      <c r="H1637" s="1" t="s">
        <v>867</v>
      </c>
      <c r="I1637" s="1" t="s">
        <v>868</v>
      </c>
      <c r="J1637" s="1" t="s">
        <v>869</v>
      </c>
    </row>
    <row r="1638" ht="15.75" customHeight="1">
      <c r="A1638" s="2">
        <v>1637.0</v>
      </c>
      <c r="B1638" s="1" t="s">
        <v>4328</v>
      </c>
      <c r="C1638" s="1" t="s">
        <v>4329</v>
      </c>
      <c r="D1638" s="1" t="s">
        <v>1047</v>
      </c>
      <c r="E1638" s="2">
        <v>5.70038356849E11</v>
      </c>
      <c r="F1638" s="1" t="s">
        <v>4330</v>
      </c>
      <c r="G1638" s="1" t="s">
        <v>12</v>
      </c>
      <c r="H1638" s="1" t="s">
        <v>867</v>
      </c>
      <c r="I1638" s="1" t="s">
        <v>868</v>
      </c>
      <c r="J1638" s="1" t="s">
        <v>869</v>
      </c>
    </row>
    <row r="1639" ht="15.75" customHeight="1">
      <c r="A1639" s="2">
        <v>1638.0</v>
      </c>
      <c r="B1639" s="1" t="s">
        <v>571</v>
      </c>
      <c r="C1639" s="1" t="s">
        <v>4331</v>
      </c>
      <c r="D1639" s="1" t="s">
        <v>4332</v>
      </c>
      <c r="E1639" s="2">
        <v>5.70038356854E11</v>
      </c>
      <c r="F1639" s="1" t="s">
        <v>1125</v>
      </c>
      <c r="G1639" s="1" t="s">
        <v>12</v>
      </c>
      <c r="H1639" s="1" t="s">
        <v>867</v>
      </c>
      <c r="I1639" s="1" t="s">
        <v>868</v>
      </c>
      <c r="J1639" s="1" t="s">
        <v>869</v>
      </c>
    </row>
    <row r="1640" ht="15.75" customHeight="1">
      <c r="A1640" s="2">
        <v>1639.0</v>
      </c>
      <c r="B1640" s="1" t="s">
        <v>4333</v>
      </c>
      <c r="C1640" s="1" t="s">
        <v>4334</v>
      </c>
      <c r="D1640" s="1" t="s">
        <v>4335</v>
      </c>
      <c r="E1640" s="2">
        <v>5.70038356857E11</v>
      </c>
      <c r="F1640" s="1" t="s">
        <v>3113</v>
      </c>
      <c r="G1640" s="1" t="s">
        <v>12</v>
      </c>
      <c r="H1640" s="1" t="s">
        <v>867</v>
      </c>
      <c r="I1640" s="1" t="s">
        <v>868</v>
      </c>
      <c r="J1640" s="1" t="s">
        <v>869</v>
      </c>
    </row>
    <row r="1641" ht="15.75" customHeight="1">
      <c r="A1641" s="2">
        <v>1640.0</v>
      </c>
      <c r="B1641" s="1" t="s">
        <v>258</v>
      </c>
      <c r="C1641" s="1" t="s">
        <v>4336</v>
      </c>
      <c r="D1641" s="1" t="s">
        <v>4337</v>
      </c>
      <c r="E1641" s="2">
        <v>5.70038356858E11</v>
      </c>
      <c r="F1641" s="1" t="s">
        <v>2157</v>
      </c>
      <c r="G1641" s="1" t="s">
        <v>12</v>
      </c>
      <c r="H1641" s="1" t="s">
        <v>867</v>
      </c>
      <c r="I1641" s="1" t="s">
        <v>868</v>
      </c>
      <c r="J1641" s="1" t="s">
        <v>869</v>
      </c>
    </row>
    <row r="1642" ht="15.75" customHeight="1">
      <c r="A1642" s="2">
        <v>1641.0</v>
      </c>
      <c r="B1642" s="1" t="s">
        <v>3092</v>
      </c>
      <c r="C1642" s="1" t="s">
        <v>4338</v>
      </c>
      <c r="D1642" s="1" t="s">
        <v>297</v>
      </c>
      <c r="E1642" s="2">
        <v>5.7003835686E11</v>
      </c>
      <c r="F1642" s="1" t="s">
        <v>4339</v>
      </c>
      <c r="G1642" s="1" t="s">
        <v>12</v>
      </c>
      <c r="H1642" s="1" t="s">
        <v>867</v>
      </c>
      <c r="I1642" s="1" t="s">
        <v>868</v>
      </c>
      <c r="J1642" s="1" t="s">
        <v>869</v>
      </c>
    </row>
    <row r="1643" ht="15.75" customHeight="1">
      <c r="A1643" s="2">
        <v>1642.0</v>
      </c>
      <c r="B1643" s="1" t="s">
        <v>4340</v>
      </c>
      <c r="C1643" s="1" t="s">
        <v>4341</v>
      </c>
      <c r="D1643" s="1" t="s">
        <v>4342</v>
      </c>
      <c r="E1643" s="2">
        <v>5.70038356864E11</v>
      </c>
      <c r="F1643" s="1" t="s">
        <v>4343</v>
      </c>
      <c r="G1643" s="1" t="s">
        <v>12</v>
      </c>
      <c r="H1643" s="1" t="s">
        <v>867</v>
      </c>
      <c r="I1643" s="1" t="s">
        <v>868</v>
      </c>
      <c r="J1643" s="1" t="s">
        <v>869</v>
      </c>
    </row>
    <row r="1644" ht="15.75" customHeight="1">
      <c r="A1644" s="2">
        <v>1643.0</v>
      </c>
      <c r="B1644" s="1" t="s">
        <v>127</v>
      </c>
      <c r="C1644" s="1" t="s">
        <v>877</v>
      </c>
      <c r="D1644" s="1" t="s">
        <v>230</v>
      </c>
      <c r="E1644" s="2">
        <v>5.70038356865E11</v>
      </c>
      <c r="F1644" s="1" t="s">
        <v>4344</v>
      </c>
      <c r="G1644" s="1" t="s">
        <v>12</v>
      </c>
      <c r="H1644" s="1" t="s">
        <v>867</v>
      </c>
      <c r="I1644" s="1" t="s">
        <v>868</v>
      </c>
      <c r="J1644" s="1" t="s">
        <v>869</v>
      </c>
    </row>
    <row r="1645" ht="15.75" customHeight="1">
      <c r="A1645" s="2">
        <v>1644.0</v>
      </c>
      <c r="B1645" s="1" t="s">
        <v>40</v>
      </c>
      <c r="C1645" s="1" t="s">
        <v>4345</v>
      </c>
      <c r="D1645" s="1" t="s">
        <v>4346</v>
      </c>
      <c r="E1645" s="2">
        <v>5.70038356867E11</v>
      </c>
      <c r="F1645" s="1" t="s">
        <v>4347</v>
      </c>
      <c r="G1645" s="1" t="s">
        <v>12</v>
      </c>
      <c r="H1645" s="1" t="s">
        <v>867</v>
      </c>
      <c r="I1645" s="1" t="s">
        <v>868</v>
      </c>
      <c r="J1645" s="1" t="s">
        <v>869</v>
      </c>
    </row>
    <row r="1646" ht="15.75" customHeight="1">
      <c r="A1646" s="2">
        <v>1645.0</v>
      </c>
      <c r="B1646" s="1" t="s">
        <v>230</v>
      </c>
      <c r="C1646" s="1" t="s">
        <v>4348</v>
      </c>
      <c r="D1646" s="1" t="s">
        <v>3543</v>
      </c>
      <c r="E1646" s="2">
        <v>5.70038356869E11</v>
      </c>
      <c r="F1646" s="1" t="s">
        <v>4349</v>
      </c>
      <c r="G1646" s="1" t="s">
        <v>12</v>
      </c>
      <c r="H1646" s="1" t="s">
        <v>867</v>
      </c>
      <c r="I1646" s="1" t="s">
        <v>868</v>
      </c>
      <c r="J1646" s="1" t="s">
        <v>869</v>
      </c>
    </row>
    <row r="1647" ht="15.75" customHeight="1">
      <c r="A1647" s="2">
        <v>1646.0</v>
      </c>
      <c r="B1647" s="1" t="s">
        <v>4350</v>
      </c>
      <c r="C1647" s="1" t="s">
        <v>4351</v>
      </c>
      <c r="D1647" s="1" t="s">
        <v>230</v>
      </c>
      <c r="E1647" s="2">
        <v>5.7003835687E11</v>
      </c>
      <c r="F1647" s="1" t="s">
        <v>4352</v>
      </c>
      <c r="G1647" s="1" t="s">
        <v>135</v>
      </c>
      <c r="H1647" s="1" t="s">
        <v>867</v>
      </c>
      <c r="I1647" s="1" t="s">
        <v>868</v>
      </c>
      <c r="J1647" s="1" t="s">
        <v>869</v>
      </c>
    </row>
    <row r="1648" ht="15.75" customHeight="1">
      <c r="A1648" s="2">
        <v>1647.0</v>
      </c>
      <c r="B1648" s="1" t="s">
        <v>2023</v>
      </c>
      <c r="C1648" s="1" t="s">
        <v>4353</v>
      </c>
      <c r="D1648" s="1" t="s">
        <v>4354</v>
      </c>
      <c r="E1648" s="2">
        <v>5.70038356877E11</v>
      </c>
      <c r="F1648" s="1" t="s">
        <v>4355</v>
      </c>
      <c r="G1648" s="1" t="s">
        <v>12</v>
      </c>
      <c r="H1648" s="1" t="s">
        <v>867</v>
      </c>
      <c r="I1648" s="1" t="s">
        <v>868</v>
      </c>
      <c r="J1648" s="1" t="s">
        <v>869</v>
      </c>
    </row>
    <row r="1649" ht="15.75" customHeight="1">
      <c r="A1649" s="2">
        <v>1648.0</v>
      </c>
      <c r="B1649" s="1" t="s">
        <v>333</v>
      </c>
      <c r="C1649" s="1" t="s">
        <v>4356</v>
      </c>
      <c r="D1649" s="1" t="s">
        <v>4357</v>
      </c>
      <c r="E1649" s="2">
        <v>5.70038356879E11</v>
      </c>
      <c r="F1649" s="1" t="s">
        <v>4358</v>
      </c>
      <c r="G1649" s="1" t="s">
        <v>12</v>
      </c>
      <c r="H1649" s="1" t="s">
        <v>867</v>
      </c>
      <c r="I1649" s="1" t="s">
        <v>868</v>
      </c>
      <c r="J1649" s="1" t="s">
        <v>869</v>
      </c>
    </row>
    <row r="1650" ht="15.75" customHeight="1">
      <c r="A1650" s="2">
        <v>1649.0</v>
      </c>
      <c r="B1650" s="1" t="s">
        <v>914</v>
      </c>
      <c r="C1650" s="1" t="s">
        <v>4359</v>
      </c>
      <c r="D1650" s="1" t="s">
        <v>4360</v>
      </c>
      <c r="E1650" s="2">
        <v>5.70038356885E11</v>
      </c>
      <c r="F1650" s="1" t="s">
        <v>4361</v>
      </c>
      <c r="G1650" s="1" t="s">
        <v>12</v>
      </c>
      <c r="H1650" s="1" t="s">
        <v>867</v>
      </c>
      <c r="I1650" s="1" t="s">
        <v>868</v>
      </c>
      <c r="J1650" s="1" t="s">
        <v>869</v>
      </c>
    </row>
    <row r="1651" ht="15.75" customHeight="1">
      <c r="A1651" s="2">
        <v>1650.0</v>
      </c>
      <c r="B1651" s="1" t="s">
        <v>4362</v>
      </c>
      <c r="C1651" s="1" t="s">
        <v>4363</v>
      </c>
      <c r="D1651" s="1" t="s">
        <v>590</v>
      </c>
      <c r="E1651" s="2">
        <v>5.70038356886E11</v>
      </c>
      <c r="F1651" s="1" t="s">
        <v>4364</v>
      </c>
      <c r="G1651" s="1" t="s">
        <v>12</v>
      </c>
      <c r="H1651" s="1" t="s">
        <v>867</v>
      </c>
      <c r="I1651" s="1" t="s">
        <v>868</v>
      </c>
      <c r="J1651" s="1" t="s">
        <v>869</v>
      </c>
    </row>
    <row r="1652" ht="15.75" customHeight="1">
      <c r="A1652" s="2">
        <v>1651.0</v>
      </c>
      <c r="B1652" s="1" t="s">
        <v>590</v>
      </c>
      <c r="C1652" s="1" t="s">
        <v>4365</v>
      </c>
      <c r="D1652" s="1" t="s">
        <v>822</v>
      </c>
      <c r="E1652" s="2">
        <v>5.70038356889E11</v>
      </c>
      <c r="F1652" s="1" t="s">
        <v>1966</v>
      </c>
      <c r="G1652" s="1" t="s">
        <v>12</v>
      </c>
      <c r="H1652" s="1" t="s">
        <v>867</v>
      </c>
      <c r="I1652" s="1" t="s">
        <v>868</v>
      </c>
      <c r="J1652" s="1" t="s">
        <v>869</v>
      </c>
    </row>
    <row r="1653" ht="15.75" customHeight="1">
      <c r="A1653" s="2">
        <v>1652.0</v>
      </c>
      <c r="B1653" s="1" t="s">
        <v>4366</v>
      </c>
      <c r="C1653" s="1" t="s">
        <v>140</v>
      </c>
      <c r="D1653" s="1" t="s">
        <v>4367</v>
      </c>
      <c r="E1653" s="2">
        <v>5.70038356891E11</v>
      </c>
      <c r="F1653" s="1" t="s">
        <v>4368</v>
      </c>
      <c r="G1653" s="1" t="s">
        <v>12</v>
      </c>
      <c r="H1653" s="1" t="s">
        <v>867</v>
      </c>
      <c r="I1653" s="1" t="s">
        <v>868</v>
      </c>
      <c r="J1653" s="1" t="s">
        <v>869</v>
      </c>
    </row>
    <row r="1654" ht="15.75" customHeight="1">
      <c r="A1654" s="2">
        <v>1653.0</v>
      </c>
      <c r="B1654" s="1" t="s">
        <v>384</v>
      </c>
      <c r="C1654" s="1" t="s">
        <v>970</v>
      </c>
      <c r="D1654" s="1" t="s">
        <v>621</v>
      </c>
      <c r="E1654" s="2">
        <v>5.70038356893E11</v>
      </c>
      <c r="F1654" s="1" t="s">
        <v>4369</v>
      </c>
      <c r="G1654" s="1" t="s">
        <v>12</v>
      </c>
      <c r="H1654" s="1" t="s">
        <v>867</v>
      </c>
      <c r="I1654" s="1" t="s">
        <v>868</v>
      </c>
      <c r="J1654" s="1" t="s">
        <v>869</v>
      </c>
    </row>
    <row r="1655" ht="15.75" customHeight="1">
      <c r="A1655" s="2">
        <v>1654.0</v>
      </c>
      <c r="B1655" s="1" t="s">
        <v>4370</v>
      </c>
      <c r="C1655" s="1" t="s">
        <v>749</v>
      </c>
      <c r="D1655" s="1" t="s">
        <v>3376</v>
      </c>
      <c r="E1655" s="2">
        <v>5.70038356894E11</v>
      </c>
      <c r="F1655" s="1" t="s">
        <v>3525</v>
      </c>
      <c r="G1655" s="1" t="s">
        <v>12</v>
      </c>
      <c r="H1655" s="1" t="s">
        <v>867</v>
      </c>
      <c r="I1655" s="1" t="s">
        <v>868</v>
      </c>
      <c r="J1655" s="1" t="s">
        <v>869</v>
      </c>
    </row>
    <row r="1656" ht="15.75" customHeight="1">
      <c r="A1656" s="2">
        <v>1655.0</v>
      </c>
      <c r="B1656" s="1" t="s">
        <v>2138</v>
      </c>
      <c r="C1656" s="1" t="s">
        <v>1064</v>
      </c>
      <c r="D1656" s="1" t="s">
        <v>4371</v>
      </c>
      <c r="E1656" s="2">
        <v>5.70038356896E11</v>
      </c>
      <c r="F1656" s="1" t="s">
        <v>4372</v>
      </c>
      <c r="G1656" s="1" t="s">
        <v>12</v>
      </c>
      <c r="H1656" s="1" t="s">
        <v>867</v>
      </c>
      <c r="I1656" s="1" t="s">
        <v>868</v>
      </c>
      <c r="J1656" s="1" t="s">
        <v>869</v>
      </c>
    </row>
    <row r="1657" ht="15.75" customHeight="1">
      <c r="A1657" s="2">
        <v>1656.0</v>
      </c>
      <c r="B1657" s="1" t="s">
        <v>427</v>
      </c>
      <c r="C1657" s="1" t="s">
        <v>3265</v>
      </c>
      <c r="D1657" s="1" t="s">
        <v>605</v>
      </c>
      <c r="E1657" s="2">
        <v>5.70038356905E11</v>
      </c>
      <c r="F1657" s="1" t="s">
        <v>4282</v>
      </c>
      <c r="G1657" s="1" t="s">
        <v>12</v>
      </c>
      <c r="H1657" s="1" t="s">
        <v>867</v>
      </c>
      <c r="I1657" s="1" t="s">
        <v>868</v>
      </c>
      <c r="J1657" s="1" t="s">
        <v>869</v>
      </c>
    </row>
    <row r="1658" ht="15.75" customHeight="1">
      <c r="A1658" s="2">
        <v>1657.0</v>
      </c>
      <c r="B1658" s="1" t="s">
        <v>928</v>
      </c>
      <c r="C1658" s="1" t="s">
        <v>2193</v>
      </c>
      <c r="D1658" s="1" t="s">
        <v>313</v>
      </c>
      <c r="E1658" s="2">
        <v>5.70038356908E11</v>
      </c>
      <c r="F1658" s="1" t="s">
        <v>2980</v>
      </c>
      <c r="G1658" s="1" t="s">
        <v>12</v>
      </c>
      <c r="H1658" s="1" t="s">
        <v>867</v>
      </c>
      <c r="I1658" s="1" t="s">
        <v>868</v>
      </c>
      <c r="J1658" s="1" t="s">
        <v>869</v>
      </c>
    </row>
    <row r="1659" ht="15.75" customHeight="1">
      <c r="A1659" s="2">
        <v>1658.0</v>
      </c>
      <c r="B1659" s="1" t="s">
        <v>4373</v>
      </c>
      <c r="C1659" s="1" t="s">
        <v>4374</v>
      </c>
      <c r="D1659" s="1" t="s">
        <v>228</v>
      </c>
      <c r="E1659" s="2">
        <v>5.7003835691E11</v>
      </c>
      <c r="F1659" s="1" t="s">
        <v>1030</v>
      </c>
      <c r="G1659" s="1" t="s">
        <v>12</v>
      </c>
      <c r="H1659" s="1" t="s">
        <v>867</v>
      </c>
      <c r="I1659" s="1" t="s">
        <v>868</v>
      </c>
      <c r="J1659" s="1" t="s">
        <v>869</v>
      </c>
    </row>
    <row r="1660" ht="15.75" customHeight="1">
      <c r="A1660" s="2">
        <v>1659.0</v>
      </c>
      <c r="B1660" s="1" t="s">
        <v>1904</v>
      </c>
      <c r="C1660" s="1" t="s">
        <v>834</v>
      </c>
      <c r="D1660" s="1" t="s">
        <v>513</v>
      </c>
      <c r="E1660" s="2">
        <v>5.70038356911E11</v>
      </c>
      <c r="F1660" s="1" t="s">
        <v>4375</v>
      </c>
      <c r="G1660" s="1" t="s">
        <v>12</v>
      </c>
      <c r="H1660" s="1" t="s">
        <v>867</v>
      </c>
      <c r="I1660" s="1" t="s">
        <v>868</v>
      </c>
      <c r="J1660" s="1" t="s">
        <v>869</v>
      </c>
    </row>
    <row r="1661" ht="15.75" customHeight="1">
      <c r="A1661" s="2">
        <v>1660.0</v>
      </c>
      <c r="B1661" s="1" t="s">
        <v>547</v>
      </c>
      <c r="C1661" s="1" t="s">
        <v>4376</v>
      </c>
      <c r="D1661" s="1" t="s">
        <v>4377</v>
      </c>
      <c r="E1661" s="2">
        <v>5.70038356912E11</v>
      </c>
      <c r="F1661" s="1" t="s">
        <v>4378</v>
      </c>
      <c r="G1661" s="1" t="s">
        <v>12</v>
      </c>
      <c r="H1661" s="1" t="s">
        <v>867</v>
      </c>
      <c r="I1661" s="1" t="s">
        <v>868</v>
      </c>
      <c r="J1661" s="1" t="s">
        <v>869</v>
      </c>
    </row>
    <row r="1662" ht="15.75" customHeight="1">
      <c r="A1662" s="2">
        <v>1661.0</v>
      </c>
      <c r="B1662" s="1" t="s">
        <v>344</v>
      </c>
      <c r="C1662" s="1" t="s">
        <v>4379</v>
      </c>
      <c r="D1662" s="1" t="s">
        <v>4380</v>
      </c>
      <c r="E1662" s="2">
        <v>5.70038356915E11</v>
      </c>
      <c r="F1662" s="1" t="s">
        <v>4381</v>
      </c>
      <c r="G1662" s="1" t="s">
        <v>12</v>
      </c>
      <c r="H1662" s="1" t="s">
        <v>867</v>
      </c>
      <c r="I1662" s="1" t="s">
        <v>868</v>
      </c>
      <c r="J1662" s="1" t="s">
        <v>869</v>
      </c>
    </row>
    <row r="1663" ht="15.75" customHeight="1">
      <c r="A1663" s="2">
        <v>1662.0</v>
      </c>
      <c r="B1663" s="1" t="s">
        <v>901</v>
      </c>
      <c r="C1663" s="1" t="s">
        <v>4382</v>
      </c>
      <c r="D1663" s="1" t="s">
        <v>297</v>
      </c>
      <c r="E1663" s="2">
        <v>5.7003835692E11</v>
      </c>
      <c r="F1663" s="1" t="s">
        <v>4383</v>
      </c>
      <c r="G1663" s="1" t="s">
        <v>12</v>
      </c>
      <c r="H1663" s="1" t="s">
        <v>867</v>
      </c>
      <c r="I1663" s="1" t="s">
        <v>868</v>
      </c>
      <c r="J1663" s="1" t="s">
        <v>869</v>
      </c>
    </row>
    <row r="1664" ht="15.75" customHeight="1">
      <c r="A1664" s="2">
        <v>1663.0</v>
      </c>
      <c r="B1664" s="1" t="s">
        <v>4384</v>
      </c>
      <c r="C1664" s="1" t="s">
        <v>4385</v>
      </c>
      <c r="D1664" s="1" t="s">
        <v>2327</v>
      </c>
      <c r="E1664" s="2">
        <v>5.70038356922E11</v>
      </c>
      <c r="F1664" s="1" t="s">
        <v>2939</v>
      </c>
      <c r="G1664" s="1" t="s">
        <v>12</v>
      </c>
      <c r="H1664" s="1" t="s">
        <v>867</v>
      </c>
      <c r="I1664" s="1" t="s">
        <v>868</v>
      </c>
      <c r="J1664" s="1" t="s">
        <v>869</v>
      </c>
    </row>
    <row r="1665" ht="15.75" customHeight="1">
      <c r="A1665" s="2">
        <v>1664.0</v>
      </c>
      <c r="B1665" s="1" t="s">
        <v>4386</v>
      </c>
      <c r="C1665" s="1" t="s">
        <v>4387</v>
      </c>
      <c r="D1665" s="1" t="s">
        <v>1386</v>
      </c>
      <c r="E1665" s="2">
        <v>5.70038356928E11</v>
      </c>
      <c r="F1665" s="1" t="s">
        <v>3664</v>
      </c>
      <c r="G1665" s="1" t="s">
        <v>12</v>
      </c>
      <c r="H1665" s="1" t="s">
        <v>867</v>
      </c>
      <c r="I1665" s="1" t="s">
        <v>868</v>
      </c>
      <c r="J1665" s="1" t="s">
        <v>869</v>
      </c>
    </row>
    <row r="1666" ht="15.75" customHeight="1">
      <c r="A1666" s="2">
        <v>1665.0</v>
      </c>
      <c r="B1666" s="1" t="s">
        <v>552</v>
      </c>
      <c r="C1666" s="1" t="s">
        <v>4388</v>
      </c>
      <c r="D1666" s="1" t="s">
        <v>295</v>
      </c>
      <c r="E1666" s="2">
        <v>5.70038356929E11</v>
      </c>
      <c r="F1666" s="1" t="s">
        <v>4389</v>
      </c>
      <c r="G1666" s="1" t="s">
        <v>12</v>
      </c>
      <c r="H1666" s="1" t="s">
        <v>867</v>
      </c>
      <c r="I1666" s="1" t="s">
        <v>868</v>
      </c>
      <c r="J1666" s="1" t="s">
        <v>869</v>
      </c>
    </row>
    <row r="1667" ht="15.75" customHeight="1">
      <c r="A1667" s="2">
        <v>1666.0</v>
      </c>
      <c r="B1667" s="1" t="s">
        <v>4390</v>
      </c>
      <c r="C1667" s="1" t="s">
        <v>4391</v>
      </c>
      <c r="D1667" s="1" t="s">
        <v>212</v>
      </c>
      <c r="E1667" s="2">
        <v>5.70038356932E11</v>
      </c>
      <c r="F1667" s="1" t="s">
        <v>4392</v>
      </c>
      <c r="G1667" s="1" t="s">
        <v>12</v>
      </c>
      <c r="H1667" s="1" t="s">
        <v>867</v>
      </c>
      <c r="I1667" s="1" t="s">
        <v>868</v>
      </c>
      <c r="J1667" s="1" t="s">
        <v>869</v>
      </c>
    </row>
    <row r="1668" ht="15.75" customHeight="1">
      <c r="A1668" s="2">
        <v>1667.0</v>
      </c>
      <c r="B1668" s="1" t="s">
        <v>4393</v>
      </c>
      <c r="C1668" s="1" t="s">
        <v>4394</v>
      </c>
      <c r="D1668" s="1" t="s">
        <v>547</v>
      </c>
      <c r="E1668" s="2">
        <v>5.70038356935E11</v>
      </c>
      <c r="F1668" s="1" t="s">
        <v>4395</v>
      </c>
      <c r="G1668" s="1" t="s">
        <v>12</v>
      </c>
      <c r="H1668" s="1" t="s">
        <v>867</v>
      </c>
      <c r="I1668" s="1" t="s">
        <v>868</v>
      </c>
      <c r="J1668" s="1" t="s">
        <v>869</v>
      </c>
    </row>
    <row r="1669" ht="15.75" customHeight="1">
      <c r="A1669" s="2">
        <v>1668.0</v>
      </c>
      <c r="B1669" s="1" t="s">
        <v>552</v>
      </c>
      <c r="C1669" s="1" t="s">
        <v>2844</v>
      </c>
      <c r="D1669" s="1" t="s">
        <v>4396</v>
      </c>
      <c r="E1669" s="2">
        <v>5.70038356937E11</v>
      </c>
      <c r="F1669" s="1" t="s">
        <v>4397</v>
      </c>
      <c r="G1669" s="1" t="s">
        <v>12</v>
      </c>
      <c r="H1669" s="1" t="s">
        <v>867</v>
      </c>
      <c r="I1669" s="1" t="s">
        <v>868</v>
      </c>
      <c r="J1669" s="1" t="s">
        <v>869</v>
      </c>
    </row>
    <row r="1670" ht="15.75" customHeight="1">
      <c r="A1670" s="2">
        <v>1669.0</v>
      </c>
      <c r="B1670" s="1" t="s">
        <v>258</v>
      </c>
      <c r="C1670" s="1" t="s">
        <v>4398</v>
      </c>
      <c r="D1670" s="1" t="s">
        <v>4399</v>
      </c>
      <c r="E1670" s="2">
        <v>5.70038356939E11</v>
      </c>
      <c r="F1670" s="1" t="s">
        <v>4400</v>
      </c>
      <c r="G1670" s="1" t="s">
        <v>12</v>
      </c>
      <c r="H1670" s="1" t="s">
        <v>867</v>
      </c>
      <c r="I1670" s="1" t="s">
        <v>868</v>
      </c>
      <c r="J1670" s="1" t="s">
        <v>869</v>
      </c>
    </row>
    <row r="1671" ht="15.75" customHeight="1">
      <c r="A1671" s="2">
        <v>1670.0</v>
      </c>
      <c r="B1671" s="1" t="s">
        <v>2688</v>
      </c>
      <c r="C1671" s="1" t="s">
        <v>3803</v>
      </c>
      <c r="D1671" s="1" t="s">
        <v>3583</v>
      </c>
      <c r="E1671" s="2">
        <v>5.70038356943E11</v>
      </c>
      <c r="F1671" s="1" t="s">
        <v>4401</v>
      </c>
      <c r="G1671" s="1" t="s">
        <v>135</v>
      </c>
      <c r="H1671" s="1" t="s">
        <v>867</v>
      </c>
      <c r="I1671" s="1" t="s">
        <v>868</v>
      </c>
      <c r="J1671" s="1" t="s">
        <v>869</v>
      </c>
    </row>
    <row r="1672" ht="15.75" customHeight="1">
      <c r="A1672" s="2">
        <v>1671.0</v>
      </c>
      <c r="B1672" s="1" t="s">
        <v>427</v>
      </c>
      <c r="C1672" s="1" t="s">
        <v>4402</v>
      </c>
      <c r="D1672" s="1" t="s">
        <v>4403</v>
      </c>
      <c r="E1672" s="2">
        <v>5.70038356945E11</v>
      </c>
      <c r="F1672" s="1" t="s">
        <v>4404</v>
      </c>
      <c r="G1672" s="1" t="s">
        <v>12</v>
      </c>
      <c r="H1672" s="1" t="s">
        <v>867</v>
      </c>
      <c r="I1672" s="1" t="s">
        <v>868</v>
      </c>
      <c r="J1672" s="1" t="s">
        <v>869</v>
      </c>
    </row>
    <row r="1673" ht="15.75" customHeight="1">
      <c r="A1673" s="2">
        <v>1672.0</v>
      </c>
      <c r="B1673" s="1" t="s">
        <v>4405</v>
      </c>
      <c r="C1673" s="1" t="s">
        <v>404</v>
      </c>
      <c r="D1673" s="1" t="s">
        <v>852</v>
      </c>
      <c r="E1673" s="2">
        <v>5.70038356946E11</v>
      </c>
      <c r="F1673" s="1" t="s">
        <v>4406</v>
      </c>
      <c r="G1673" s="1" t="s">
        <v>12</v>
      </c>
      <c r="H1673" s="1" t="s">
        <v>867</v>
      </c>
      <c r="I1673" s="1" t="s">
        <v>868</v>
      </c>
      <c r="J1673" s="1" t="s">
        <v>869</v>
      </c>
    </row>
    <row r="1674" ht="15.75" customHeight="1">
      <c r="A1674" s="2">
        <v>1673.0</v>
      </c>
      <c r="B1674" s="1" t="s">
        <v>4161</v>
      </c>
      <c r="C1674" s="1" t="s">
        <v>4407</v>
      </c>
      <c r="D1674" s="1" t="s">
        <v>2062</v>
      </c>
      <c r="E1674" s="2">
        <v>5.70038356947E11</v>
      </c>
      <c r="F1674" s="1" t="s">
        <v>4408</v>
      </c>
      <c r="G1674" s="1" t="s">
        <v>12</v>
      </c>
      <c r="H1674" s="1" t="s">
        <v>867</v>
      </c>
      <c r="I1674" s="1" t="s">
        <v>868</v>
      </c>
      <c r="J1674" s="1" t="s">
        <v>869</v>
      </c>
    </row>
    <row r="1675" ht="15.75" customHeight="1">
      <c r="A1675" s="2">
        <v>1674.0</v>
      </c>
      <c r="B1675" s="1" t="s">
        <v>77</v>
      </c>
      <c r="C1675" s="1" t="s">
        <v>4409</v>
      </c>
      <c r="D1675" s="1" t="s">
        <v>3436</v>
      </c>
      <c r="E1675" s="2">
        <v>5.70038356948E11</v>
      </c>
      <c r="F1675" s="1" t="s">
        <v>4410</v>
      </c>
      <c r="G1675" s="1" t="s">
        <v>12</v>
      </c>
      <c r="H1675" s="1" t="s">
        <v>867</v>
      </c>
      <c r="I1675" s="1" t="s">
        <v>868</v>
      </c>
      <c r="J1675" s="1" t="s">
        <v>869</v>
      </c>
    </row>
    <row r="1676" ht="15.75" customHeight="1">
      <c r="A1676" s="2">
        <v>1675.0</v>
      </c>
      <c r="B1676" s="1" t="s">
        <v>1226</v>
      </c>
      <c r="C1676" s="1" t="s">
        <v>262</v>
      </c>
      <c r="D1676" s="1" t="s">
        <v>496</v>
      </c>
      <c r="E1676" s="2">
        <v>5.70038356949E11</v>
      </c>
      <c r="F1676" s="1" t="s">
        <v>4411</v>
      </c>
      <c r="G1676" s="1" t="s">
        <v>12</v>
      </c>
      <c r="H1676" s="1" t="s">
        <v>867</v>
      </c>
      <c r="I1676" s="1" t="s">
        <v>868</v>
      </c>
      <c r="J1676" s="1" t="s">
        <v>869</v>
      </c>
    </row>
    <row r="1677" ht="15.75" customHeight="1">
      <c r="A1677" s="2">
        <v>1676.0</v>
      </c>
      <c r="B1677" s="1" t="s">
        <v>10</v>
      </c>
      <c r="C1677" s="1" t="s">
        <v>4412</v>
      </c>
      <c r="D1677" s="1" t="s">
        <v>384</v>
      </c>
      <c r="E1677" s="2">
        <v>5.70038356969E11</v>
      </c>
      <c r="F1677" s="1" t="s">
        <v>4413</v>
      </c>
      <c r="G1677" s="1" t="s">
        <v>12</v>
      </c>
      <c r="H1677" s="1" t="s">
        <v>867</v>
      </c>
      <c r="I1677" s="1" t="s">
        <v>868</v>
      </c>
      <c r="J1677" s="1" t="s">
        <v>869</v>
      </c>
    </row>
    <row r="1678" ht="15.75" customHeight="1">
      <c r="A1678" s="2">
        <v>1677.0</v>
      </c>
      <c r="B1678" s="1" t="s">
        <v>4414</v>
      </c>
      <c r="C1678" s="1" t="s">
        <v>4415</v>
      </c>
      <c r="D1678" s="1" t="s">
        <v>341</v>
      </c>
      <c r="E1678" s="2">
        <v>5.70038375671E11</v>
      </c>
      <c r="F1678" s="1" t="s">
        <v>4416</v>
      </c>
      <c r="G1678" s="1" t="s">
        <v>12</v>
      </c>
      <c r="H1678" s="1" t="s">
        <v>867</v>
      </c>
      <c r="I1678" s="1" t="s">
        <v>868</v>
      </c>
      <c r="J1678" s="1" t="s">
        <v>869</v>
      </c>
    </row>
    <row r="1679" ht="15.75" customHeight="1">
      <c r="A1679" s="2">
        <v>1678.0</v>
      </c>
      <c r="B1679" s="1" t="s">
        <v>101</v>
      </c>
      <c r="C1679" s="1" t="s">
        <v>4417</v>
      </c>
      <c r="D1679" s="1" t="s">
        <v>3559</v>
      </c>
      <c r="E1679" s="2">
        <v>5.70038000003E11</v>
      </c>
      <c r="F1679" s="1" t="s">
        <v>4418</v>
      </c>
      <c r="G1679" s="1" t="s">
        <v>12</v>
      </c>
      <c r="H1679" s="1" t="s">
        <v>867</v>
      </c>
      <c r="I1679" s="1" t="s">
        <v>868</v>
      </c>
      <c r="J1679" s="1" t="s">
        <v>869</v>
      </c>
    </row>
    <row r="1680" ht="15.75" customHeight="1">
      <c r="A1680" s="2">
        <v>1679.0</v>
      </c>
      <c r="B1680" s="1" t="s">
        <v>2570</v>
      </c>
      <c r="C1680" s="1" t="s">
        <v>3796</v>
      </c>
      <c r="D1680" s="1" t="s">
        <v>643</v>
      </c>
      <c r="E1680" s="2">
        <v>5.70038000006E11</v>
      </c>
      <c r="F1680" s="1" t="s">
        <v>4419</v>
      </c>
      <c r="G1680" s="1" t="s">
        <v>12</v>
      </c>
      <c r="H1680" s="1" t="s">
        <v>867</v>
      </c>
      <c r="I1680" s="1" t="s">
        <v>868</v>
      </c>
      <c r="J1680" s="1" t="s">
        <v>869</v>
      </c>
    </row>
    <row r="1681" ht="15.75" customHeight="1">
      <c r="A1681" s="2">
        <v>1680.0</v>
      </c>
      <c r="B1681" s="1" t="s">
        <v>1958</v>
      </c>
      <c r="C1681" s="1" t="s">
        <v>4420</v>
      </c>
      <c r="D1681" s="1" t="s">
        <v>4421</v>
      </c>
      <c r="E1681" s="2">
        <v>5.70038000007E11</v>
      </c>
      <c r="F1681" s="1" t="s">
        <v>2340</v>
      </c>
      <c r="G1681" s="1" t="s">
        <v>12</v>
      </c>
      <c r="H1681" s="1" t="s">
        <v>867</v>
      </c>
      <c r="I1681" s="1" t="s">
        <v>868</v>
      </c>
      <c r="J1681" s="1" t="s">
        <v>869</v>
      </c>
    </row>
    <row r="1682" ht="15.75" customHeight="1">
      <c r="A1682" s="2">
        <v>1681.0</v>
      </c>
      <c r="B1682" s="1" t="s">
        <v>579</v>
      </c>
      <c r="C1682" s="1" t="s">
        <v>4422</v>
      </c>
      <c r="D1682" s="1" t="s">
        <v>4423</v>
      </c>
      <c r="E1682" s="2">
        <v>5.7003800008E10</v>
      </c>
      <c r="F1682" s="1" t="s">
        <v>4424</v>
      </c>
      <c r="G1682" s="1" t="s">
        <v>12</v>
      </c>
      <c r="H1682" s="1" t="s">
        <v>867</v>
      </c>
      <c r="I1682" s="1" t="s">
        <v>868</v>
      </c>
      <c r="J1682" s="1" t="s">
        <v>869</v>
      </c>
    </row>
    <row r="1683" ht="15.75" customHeight="1">
      <c r="A1683" s="2">
        <v>1682.0</v>
      </c>
      <c r="B1683" s="1" t="s">
        <v>431</v>
      </c>
      <c r="C1683" s="1" t="s">
        <v>761</v>
      </c>
      <c r="D1683" s="1" t="s">
        <v>4425</v>
      </c>
      <c r="E1683" s="2">
        <v>5.7003800009E10</v>
      </c>
      <c r="F1683" s="1" t="s">
        <v>4426</v>
      </c>
      <c r="G1683" s="1" t="s">
        <v>12</v>
      </c>
      <c r="H1683" s="1" t="s">
        <v>867</v>
      </c>
      <c r="I1683" s="1" t="s">
        <v>868</v>
      </c>
      <c r="J1683" s="1" t="s">
        <v>869</v>
      </c>
    </row>
    <row r="1684" ht="15.75" customHeight="1">
      <c r="A1684" s="2">
        <v>1683.0</v>
      </c>
      <c r="B1684" s="1" t="s">
        <v>4427</v>
      </c>
      <c r="C1684" s="1" t="s">
        <v>2891</v>
      </c>
      <c r="D1684" s="1" t="s">
        <v>734</v>
      </c>
      <c r="E1684" s="2">
        <v>5.7003800001E11</v>
      </c>
      <c r="F1684" s="1" t="s">
        <v>4428</v>
      </c>
      <c r="G1684" s="1" t="s">
        <v>12</v>
      </c>
      <c r="H1684" s="1" t="s">
        <v>867</v>
      </c>
      <c r="I1684" s="1" t="s">
        <v>868</v>
      </c>
      <c r="J1684" s="1" t="s">
        <v>869</v>
      </c>
    </row>
    <row r="1685" ht="15.75" customHeight="1">
      <c r="A1685" s="2">
        <v>1684.0</v>
      </c>
      <c r="B1685" s="1" t="s">
        <v>4429</v>
      </c>
      <c r="C1685" s="1" t="s">
        <v>262</v>
      </c>
      <c r="D1685" s="1" t="s">
        <v>562</v>
      </c>
      <c r="E1685" s="2">
        <v>5.70038000011E11</v>
      </c>
      <c r="F1685" s="1" t="s">
        <v>4430</v>
      </c>
      <c r="G1685" s="1" t="s">
        <v>12</v>
      </c>
      <c r="H1685" s="1" t="s">
        <v>867</v>
      </c>
      <c r="I1685" s="1" t="s">
        <v>868</v>
      </c>
      <c r="J1685" s="1" t="s">
        <v>869</v>
      </c>
    </row>
    <row r="1686" ht="15.75" customHeight="1">
      <c r="A1686" s="2">
        <v>1685.0</v>
      </c>
      <c r="B1686" s="1" t="s">
        <v>515</v>
      </c>
      <c r="C1686" s="1" t="s">
        <v>4431</v>
      </c>
      <c r="D1686" s="1" t="s">
        <v>4432</v>
      </c>
      <c r="E1686" s="2">
        <v>5.70038000012E11</v>
      </c>
      <c r="F1686" s="1" t="s">
        <v>4433</v>
      </c>
      <c r="G1686" s="1" t="s">
        <v>12</v>
      </c>
      <c r="H1686" s="1" t="s">
        <v>867</v>
      </c>
      <c r="I1686" s="1" t="s">
        <v>868</v>
      </c>
      <c r="J1686" s="1" t="s">
        <v>869</v>
      </c>
    </row>
    <row r="1687" ht="15.75" customHeight="1">
      <c r="A1687" s="2">
        <v>1686.0</v>
      </c>
      <c r="B1687" s="1" t="s">
        <v>4434</v>
      </c>
      <c r="C1687" s="1" t="s">
        <v>4435</v>
      </c>
      <c r="D1687" s="1" t="s">
        <v>4436</v>
      </c>
      <c r="E1687" s="2">
        <v>5.70038000013E11</v>
      </c>
      <c r="F1687" s="1" t="s">
        <v>4437</v>
      </c>
      <c r="G1687" s="1" t="s">
        <v>12</v>
      </c>
      <c r="H1687" s="1" t="s">
        <v>867</v>
      </c>
      <c r="I1687" s="1" t="s">
        <v>868</v>
      </c>
      <c r="J1687" s="1" t="s">
        <v>869</v>
      </c>
    </row>
    <row r="1688" ht="15.75" customHeight="1">
      <c r="A1688" s="2">
        <v>1687.0</v>
      </c>
      <c r="B1688" s="1" t="s">
        <v>4438</v>
      </c>
      <c r="C1688" s="1" t="s">
        <v>4439</v>
      </c>
      <c r="D1688" s="1" t="s">
        <v>4440</v>
      </c>
      <c r="E1688" s="2">
        <v>5.70038000017E11</v>
      </c>
      <c r="F1688" s="1" t="s">
        <v>4441</v>
      </c>
      <c r="G1688" s="1" t="s">
        <v>12</v>
      </c>
      <c r="H1688" s="1" t="s">
        <v>867</v>
      </c>
      <c r="I1688" s="1" t="s">
        <v>868</v>
      </c>
      <c r="J1688" s="1" t="s">
        <v>869</v>
      </c>
    </row>
    <row r="1689" ht="15.75" customHeight="1">
      <c r="A1689" s="2">
        <v>1688.0</v>
      </c>
      <c r="B1689" s="1" t="s">
        <v>4442</v>
      </c>
      <c r="C1689" s="1" t="s">
        <v>516</v>
      </c>
      <c r="D1689" s="1" t="s">
        <v>161</v>
      </c>
      <c r="E1689" s="2">
        <v>5.70038000019E11</v>
      </c>
      <c r="F1689" s="1" t="s">
        <v>4443</v>
      </c>
      <c r="G1689" s="1" t="s">
        <v>12</v>
      </c>
      <c r="H1689" s="1" t="s">
        <v>867</v>
      </c>
      <c r="I1689" s="1" t="s">
        <v>868</v>
      </c>
      <c r="J1689" s="1" t="s">
        <v>869</v>
      </c>
    </row>
    <row r="1690" ht="15.75" customHeight="1">
      <c r="A1690" s="2">
        <v>1689.0</v>
      </c>
      <c r="B1690" s="1" t="s">
        <v>4444</v>
      </c>
      <c r="C1690" s="1" t="s">
        <v>4445</v>
      </c>
      <c r="D1690" s="1" t="s">
        <v>1285</v>
      </c>
      <c r="E1690" s="2">
        <v>5.7003800002E11</v>
      </c>
      <c r="F1690" s="1" t="s">
        <v>4446</v>
      </c>
      <c r="G1690" s="1" t="s">
        <v>12</v>
      </c>
      <c r="H1690" s="1" t="s">
        <v>867</v>
      </c>
      <c r="I1690" s="1" t="s">
        <v>868</v>
      </c>
      <c r="J1690" s="1" t="s">
        <v>869</v>
      </c>
    </row>
    <row r="1691" ht="15.75" customHeight="1">
      <c r="A1691" s="2">
        <v>1690.0</v>
      </c>
      <c r="B1691" s="1" t="s">
        <v>4447</v>
      </c>
      <c r="C1691" s="1" t="s">
        <v>4448</v>
      </c>
      <c r="D1691" s="1" t="s">
        <v>4449</v>
      </c>
      <c r="E1691" s="2">
        <v>5.70038000021E11</v>
      </c>
      <c r="F1691" s="1" t="s">
        <v>4450</v>
      </c>
      <c r="G1691" s="1" t="s">
        <v>12</v>
      </c>
      <c r="H1691" s="1" t="s">
        <v>867</v>
      </c>
      <c r="I1691" s="1" t="s">
        <v>868</v>
      </c>
      <c r="J1691" s="1" t="s">
        <v>869</v>
      </c>
    </row>
    <row r="1692" ht="15.75" customHeight="1">
      <c r="A1692" s="2">
        <v>1691.0</v>
      </c>
      <c r="B1692" s="1" t="s">
        <v>4451</v>
      </c>
      <c r="C1692" s="1" t="s">
        <v>4452</v>
      </c>
      <c r="D1692" s="1" t="s">
        <v>4081</v>
      </c>
      <c r="E1692" s="2">
        <v>5.70038000022E11</v>
      </c>
      <c r="F1692" s="1" t="s">
        <v>4453</v>
      </c>
      <c r="G1692" s="1" t="s">
        <v>12</v>
      </c>
      <c r="H1692" s="1" t="s">
        <v>867</v>
      </c>
      <c r="I1692" s="1" t="s">
        <v>868</v>
      </c>
      <c r="J1692" s="1" t="s">
        <v>869</v>
      </c>
    </row>
    <row r="1693" ht="15.75" customHeight="1">
      <c r="A1693" s="2">
        <v>1692.0</v>
      </c>
      <c r="B1693" s="1" t="s">
        <v>2632</v>
      </c>
      <c r="C1693" s="1" t="s">
        <v>580</v>
      </c>
      <c r="D1693" s="1" t="s">
        <v>362</v>
      </c>
      <c r="E1693" s="2">
        <v>5.70038000023E11</v>
      </c>
      <c r="F1693" s="1" t="s">
        <v>4454</v>
      </c>
      <c r="G1693" s="1" t="s">
        <v>135</v>
      </c>
      <c r="H1693" s="1" t="s">
        <v>867</v>
      </c>
      <c r="I1693" s="1" t="s">
        <v>868</v>
      </c>
      <c r="J1693" s="1" t="s">
        <v>869</v>
      </c>
    </row>
    <row r="1694" ht="15.75" customHeight="1">
      <c r="A1694" s="2">
        <v>1693.0</v>
      </c>
      <c r="B1694" s="1" t="s">
        <v>10</v>
      </c>
      <c r="C1694" s="1" t="s">
        <v>737</v>
      </c>
      <c r="D1694" s="1" t="s">
        <v>1458</v>
      </c>
      <c r="E1694" s="2">
        <v>5.70038000024E11</v>
      </c>
      <c r="F1694" s="1" t="s">
        <v>4455</v>
      </c>
      <c r="G1694" s="1" t="s">
        <v>12</v>
      </c>
      <c r="H1694" s="1" t="s">
        <v>867</v>
      </c>
      <c r="I1694" s="1" t="s">
        <v>868</v>
      </c>
      <c r="J1694" s="1" t="s">
        <v>869</v>
      </c>
    </row>
    <row r="1695" ht="15.75" customHeight="1">
      <c r="A1695" s="2">
        <v>1694.0</v>
      </c>
      <c r="B1695" s="1" t="s">
        <v>4456</v>
      </c>
      <c r="C1695" s="1" t="s">
        <v>4457</v>
      </c>
      <c r="D1695" s="1" t="s">
        <v>4458</v>
      </c>
      <c r="E1695" s="2">
        <v>5.70038000025E11</v>
      </c>
      <c r="F1695" s="1" t="s">
        <v>4459</v>
      </c>
      <c r="G1695" s="1" t="s">
        <v>12</v>
      </c>
      <c r="H1695" s="1" t="s">
        <v>867</v>
      </c>
      <c r="I1695" s="1" t="s">
        <v>868</v>
      </c>
      <c r="J1695" s="1" t="s">
        <v>869</v>
      </c>
    </row>
    <row r="1696" ht="15.75" customHeight="1">
      <c r="A1696" s="2">
        <v>1695.0</v>
      </c>
      <c r="B1696" s="1" t="s">
        <v>48</v>
      </c>
      <c r="C1696" s="1" t="s">
        <v>4460</v>
      </c>
      <c r="D1696" s="1" t="s">
        <v>77</v>
      </c>
      <c r="E1696" s="2">
        <v>5.70038000028E11</v>
      </c>
      <c r="F1696" s="1" t="s">
        <v>4461</v>
      </c>
      <c r="G1696" s="1" t="s">
        <v>12</v>
      </c>
      <c r="H1696" s="1" t="s">
        <v>867</v>
      </c>
      <c r="I1696" s="1" t="s">
        <v>868</v>
      </c>
      <c r="J1696" s="1" t="s">
        <v>869</v>
      </c>
    </row>
    <row r="1697" ht="15.75" customHeight="1">
      <c r="A1697" s="2">
        <v>1696.0</v>
      </c>
      <c r="B1697" s="1" t="s">
        <v>62</v>
      </c>
      <c r="C1697" s="1" t="s">
        <v>4462</v>
      </c>
      <c r="D1697" s="1" t="s">
        <v>42</v>
      </c>
      <c r="E1697" s="2">
        <v>5.70038000029E11</v>
      </c>
      <c r="F1697" s="1" t="s">
        <v>4463</v>
      </c>
      <c r="G1697" s="1" t="s">
        <v>12</v>
      </c>
      <c r="H1697" s="1" t="s">
        <v>867</v>
      </c>
      <c r="I1697" s="1" t="s">
        <v>868</v>
      </c>
      <c r="J1697" s="1" t="s">
        <v>869</v>
      </c>
    </row>
    <row r="1698" ht="15.75" customHeight="1">
      <c r="A1698" s="2">
        <v>1697.0</v>
      </c>
      <c r="B1698" s="1" t="s">
        <v>403</v>
      </c>
      <c r="C1698" s="1" t="s">
        <v>4464</v>
      </c>
      <c r="D1698" s="1" t="s">
        <v>4465</v>
      </c>
      <c r="E1698" s="2">
        <v>5.7003800003E11</v>
      </c>
      <c r="F1698" s="1" t="s">
        <v>4249</v>
      </c>
      <c r="G1698" s="1" t="s">
        <v>12</v>
      </c>
      <c r="H1698" s="1" t="s">
        <v>867</v>
      </c>
      <c r="I1698" s="1" t="s">
        <v>868</v>
      </c>
      <c r="J1698" s="1" t="s">
        <v>869</v>
      </c>
    </row>
    <row r="1699" ht="15.75" customHeight="1">
      <c r="A1699" s="2">
        <v>1698.0</v>
      </c>
      <c r="B1699" s="1" t="s">
        <v>2743</v>
      </c>
      <c r="C1699" s="1" t="s">
        <v>180</v>
      </c>
      <c r="D1699" s="1" t="s">
        <v>290</v>
      </c>
      <c r="E1699" s="2">
        <v>5.70038000031E11</v>
      </c>
      <c r="F1699" s="1" t="s">
        <v>4466</v>
      </c>
      <c r="G1699" s="1" t="s">
        <v>12</v>
      </c>
      <c r="H1699" s="1" t="s">
        <v>867</v>
      </c>
      <c r="I1699" s="1" t="s">
        <v>868</v>
      </c>
      <c r="J1699" s="1" t="s">
        <v>869</v>
      </c>
    </row>
    <row r="1700" ht="15.75" customHeight="1">
      <c r="A1700" s="2">
        <v>1699.0</v>
      </c>
      <c r="B1700" s="1" t="s">
        <v>1581</v>
      </c>
      <c r="C1700" s="1" t="s">
        <v>820</v>
      </c>
      <c r="D1700" s="1" t="s">
        <v>700</v>
      </c>
      <c r="E1700" s="2">
        <v>5.70038000032E11</v>
      </c>
      <c r="F1700" s="1" t="s">
        <v>4467</v>
      </c>
      <c r="G1700" s="1" t="s">
        <v>12</v>
      </c>
      <c r="H1700" s="1" t="s">
        <v>867</v>
      </c>
      <c r="I1700" s="1" t="s">
        <v>868</v>
      </c>
      <c r="J1700" s="1" t="s">
        <v>869</v>
      </c>
    </row>
    <row r="1701" ht="15.75" customHeight="1">
      <c r="A1701" s="2">
        <v>1700.0</v>
      </c>
      <c r="B1701" s="1" t="s">
        <v>1765</v>
      </c>
      <c r="C1701" s="1" t="s">
        <v>3513</v>
      </c>
      <c r="D1701" s="1" t="s">
        <v>48</v>
      </c>
      <c r="E1701" s="2">
        <v>5.70038000033E11</v>
      </c>
      <c r="F1701" s="1" t="s">
        <v>4468</v>
      </c>
      <c r="G1701" s="1" t="s">
        <v>12</v>
      </c>
      <c r="H1701" s="1" t="s">
        <v>867</v>
      </c>
      <c r="I1701" s="1" t="s">
        <v>868</v>
      </c>
      <c r="J1701" s="1" t="s">
        <v>869</v>
      </c>
    </row>
    <row r="1702" ht="15.75" customHeight="1">
      <c r="A1702" s="2">
        <v>1701.0</v>
      </c>
      <c r="B1702" s="1" t="s">
        <v>77</v>
      </c>
      <c r="C1702" s="1" t="s">
        <v>4469</v>
      </c>
      <c r="D1702" s="1" t="s">
        <v>295</v>
      </c>
      <c r="E1702" s="2">
        <v>5.70038000036E11</v>
      </c>
      <c r="F1702" s="1" t="s">
        <v>549</v>
      </c>
      <c r="G1702" s="1" t="s">
        <v>135</v>
      </c>
      <c r="H1702" s="1" t="s">
        <v>867</v>
      </c>
      <c r="I1702" s="1" t="s">
        <v>868</v>
      </c>
      <c r="J1702" s="1" t="s">
        <v>869</v>
      </c>
    </row>
    <row r="1703" ht="15.75" customHeight="1">
      <c r="A1703" s="2">
        <v>1702.0</v>
      </c>
      <c r="B1703" s="1" t="s">
        <v>1080</v>
      </c>
      <c r="C1703" s="1" t="s">
        <v>3497</v>
      </c>
      <c r="D1703" s="1" t="s">
        <v>734</v>
      </c>
      <c r="E1703" s="2">
        <v>5.70038000046E11</v>
      </c>
      <c r="F1703" s="1" t="s">
        <v>4470</v>
      </c>
      <c r="G1703" s="1" t="s">
        <v>12</v>
      </c>
      <c r="H1703" s="1" t="s">
        <v>867</v>
      </c>
      <c r="I1703" s="1" t="s">
        <v>868</v>
      </c>
      <c r="J1703" s="1" t="s">
        <v>869</v>
      </c>
    </row>
    <row r="1704" ht="15.75" customHeight="1">
      <c r="A1704" s="2">
        <v>1703.0</v>
      </c>
      <c r="B1704" s="1" t="s">
        <v>4471</v>
      </c>
      <c r="C1704" s="1" t="s">
        <v>4472</v>
      </c>
      <c r="D1704" s="1" t="s">
        <v>621</v>
      </c>
      <c r="E1704" s="2">
        <v>5.70038000052E11</v>
      </c>
      <c r="F1704" s="1" t="s">
        <v>4473</v>
      </c>
      <c r="G1704" s="1" t="s">
        <v>12</v>
      </c>
      <c r="H1704" s="1" t="s">
        <v>867</v>
      </c>
      <c r="I1704" s="1" t="s">
        <v>868</v>
      </c>
      <c r="J1704" s="1" t="s">
        <v>869</v>
      </c>
    </row>
    <row r="1705" ht="15.75" customHeight="1">
      <c r="A1705" s="2">
        <v>1704.0</v>
      </c>
      <c r="B1705" s="1" t="s">
        <v>1178</v>
      </c>
      <c r="C1705" s="1" t="s">
        <v>794</v>
      </c>
      <c r="D1705" s="1" t="s">
        <v>4474</v>
      </c>
      <c r="E1705" s="2">
        <v>5.70038000053E11</v>
      </c>
      <c r="F1705" s="1" t="s">
        <v>4475</v>
      </c>
      <c r="G1705" s="1" t="s">
        <v>12</v>
      </c>
      <c r="H1705" s="1" t="s">
        <v>867</v>
      </c>
      <c r="I1705" s="1" t="s">
        <v>868</v>
      </c>
      <c r="J1705" s="1" t="s">
        <v>869</v>
      </c>
    </row>
    <row r="1706" ht="15.75" customHeight="1">
      <c r="A1706" s="2">
        <v>1705.0</v>
      </c>
      <c r="B1706" s="1" t="s">
        <v>455</v>
      </c>
      <c r="C1706" s="1" t="s">
        <v>4476</v>
      </c>
      <c r="D1706" s="1" t="s">
        <v>4477</v>
      </c>
      <c r="E1706" s="2">
        <v>5.70038000055E11</v>
      </c>
      <c r="F1706" s="1" t="s">
        <v>4478</v>
      </c>
      <c r="G1706" s="1" t="s">
        <v>12</v>
      </c>
      <c r="H1706" s="1" t="s">
        <v>867</v>
      </c>
      <c r="I1706" s="1" t="s">
        <v>868</v>
      </c>
      <c r="J1706" s="1" t="s">
        <v>869</v>
      </c>
    </row>
    <row r="1707" ht="15.75" customHeight="1">
      <c r="A1707" s="2">
        <v>1706.0</v>
      </c>
      <c r="B1707" s="1" t="s">
        <v>58</v>
      </c>
      <c r="C1707" s="1" t="s">
        <v>4479</v>
      </c>
      <c r="D1707" s="1" t="s">
        <v>228</v>
      </c>
      <c r="E1707" s="2">
        <v>5.70038000056E11</v>
      </c>
      <c r="F1707" s="1" t="s">
        <v>4480</v>
      </c>
      <c r="G1707" s="1" t="s">
        <v>12</v>
      </c>
      <c r="H1707" s="1" t="s">
        <v>867</v>
      </c>
      <c r="I1707" s="1" t="s">
        <v>868</v>
      </c>
      <c r="J1707" s="1" t="s">
        <v>869</v>
      </c>
    </row>
    <row r="1708" ht="15.75" customHeight="1">
      <c r="A1708" s="2">
        <v>1707.0</v>
      </c>
      <c r="B1708" s="1" t="s">
        <v>360</v>
      </c>
      <c r="C1708" s="1" t="s">
        <v>4481</v>
      </c>
      <c r="D1708" s="1" t="s">
        <v>4482</v>
      </c>
      <c r="E1708" s="2">
        <v>5.70038000057E11</v>
      </c>
      <c r="F1708" s="1" t="s">
        <v>4483</v>
      </c>
      <c r="G1708" s="1" t="s">
        <v>12</v>
      </c>
      <c r="H1708" s="1" t="s">
        <v>867</v>
      </c>
      <c r="I1708" s="1" t="s">
        <v>868</v>
      </c>
      <c r="J1708" s="1" t="s">
        <v>869</v>
      </c>
    </row>
    <row r="1709" ht="15.75" customHeight="1">
      <c r="A1709" s="2">
        <v>1708.0</v>
      </c>
      <c r="B1709" s="1" t="s">
        <v>4484</v>
      </c>
      <c r="C1709" s="1" t="s">
        <v>4485</v>
      </c>
      <c r="D1709" s="1" t="s">
        <v>583</v>
      </c>
      <c r="E1709" s="2">
        <v>5.70038000059E11</v>
      </c>
      <c r="F1709" s="1" t="s">
        <v>4486</v>
      </c>
      <c r="G1709" s="1" t="s">
        <v>12</v>
      </c>
      <c r="H1709" s="1" t="s">
        <v>867</v>
      </c>
      <c r="I1709" s="1" t="s">
        <v>868</v>
      </c>
      <c r="J1709" s="1" t="s">
        <v>869</v>
      </c>
    </row>
    <row r="1710" ht="15.75" customHeight="1">
      <c r="A1710" s="2">
        <v>1709.0</v>
      </c>
      <c r="B1710" s="1" t="s">
        <v>362</v>
      </c>
      <c r="C1710" s="1" t="s">
        <v>4487</v>
      </c>
      <c r="D1710" s="1" t="s">
        <v>4488</v>
      </c>
      <c r="E1710" s="2">
        <v>5.70038000066E11</v>
      </c>
      <c r="F1710" s="1" t="s">
        <v>4489</v>
      </c>
      <c r="G1710" s="1" t="s">
        <v>12</v>
      </c>
      <c r="H1710" s="1" t="s">
        <v>867</v>
      </c>
      <c r="I1710" s="1" t="s">
        <v>868</v>
      </c>
      <c r="J1710" s="1" t="s">
        <v>869</v>
      </c>
    </row>
    <row r="1711" ht="15.75" customHeight="1">
      <c r="A1711" s="2">
        <v>1710.0</v>
      </c>
      <c r="B1711" s="1" t="s">
        <v>4490</v>
      </c>
      <c r="C1711" s="1" t="s">
        <v>4491</v>
      </c>
      <c r="D1711" s="1" t="s">
        <v>157</v>
      </c>
      <c r="E1711" s="2">
        <v>5.70038000068E11</v>
      </c>
      <c r="F1711" s="1" t="s">
        <v>4492</v>
      </c>
      <c r="G1711" s="1" t="s">
        <v>12</v>
      </c>
      <c r="H1711" s="1" t="s">
        <v>867</v>
      </c>
      <c r="I1711" s="1" t="s">
        <v>868</v>
      </c>
      <c r="J1711" s="1" t="s">
        <v>869</v>
      </c>
    </row>
    <row r="1712" ht="15.75" customHeight="1">
      <c r="A1712" s="2">
        <v>1711.0</v>
      </c>
      <c r="B1712" s="1" t="s">
        <v>183</v>
      </c>
      <c r="C1712" s="1" t="s">
        <v>4493</v>
      </c>
      <c r="D1712" s="1" t="s">
        <v>4494</v>
      </c>
      <c r="E1712" s="2">
        <v>5.70038000071E11</v>
      </c>
      <c r="F1712" s="1" t="s">
        <v>4495</v>
      </c>
      <c r="G1712" s="1" t="s">
        <v>12</v>
      </c>
      <c r="H1712" s="1" t="s">
        <v>867</v>
      </c>
      <c r="I1712" s="1" t="s">
        <v>868</v>
      </c>
      <c r="J1712" s="1" t="s">
        <v>869</v>
      </c>
    </row>
    <row r="1713" ht="15.75" customHeight="1">
      <c r="A1713" s="2">
        <v>1712.0</v>
      </c>
      <c r="B1713" s="1" t="s">
        <v>738</v>
      </c>
      <c r="C1713" s="1" t="s">
        <v>948</v>
      </c>
      <c r="D1713" s="1" t="s">
        <v>4399</v>
      </c>
      <c r="E1713" s="2">
        <v>5.70038000072E11</v>
      </c>
      <c r="F1713" s="1" t="s">
        <v>4496</v>
      </c>
      <c r="G1713" s="1" t="s">
        <v>12</v>
      </c>
      <c r="H1713" s="1" t="s">
        <v>867</v>
      </c>
      <c r="I1713" s="1" t="s">
        <v>868</v>
      </c>
      <c r="J1713" s="1" t="s">
        <v>869</v>
      </c>
    </row>
    <row r="1714" ht="15.75" customHeight="1">
      <c r="A1714" s="2">
        <v>1713.0</v>
      </c>
      <c r="B1714" s="1" t="s">
        <v>4497</v>
      </c>
      <c r="C1714" s="1" t="s">
        <v>446</v>
      </c>
      <c r="D1714" s="1" t="s">
        <v>360</v>
      </c>
      <c r="E1714" s="2">
        <v>5.70038000073E11</v>
      </c>
      <c r="F1714" s="1" t="s">
        <v>4498</v>
      </c>
      <c r="G1714" s="1" t="s">
        <v>12</v>
      </c>
      <c r="H1714" s="1" t="s">
        <v>867</v>
      </c>
      <c r="I1714" s="1" t="s">
        <v>868</v>
      </c>
      <c r="J1714" s="1" t="s">
        <v>869</v>
      </c>
    </row>
    <row r="1715" ht="15.75" customHeight="1">
      <c r="A1715" s="2">
        <v>1714.0</v>
      </c>
      <c r="B1715" s="1" t="s">
        <v>841</v>
      </c>
      <c r="C1715" s="1" t="s">
        <v>1105</v>
      </c>
      <c r="D1715" s="1" t="s">
        <v>52</v>
      </c>
      <c r="E1715" s="2">
        <v>5.70038000088E11</v>
      </c>
      <c r="F1715" s="1" t="s">
        <v>4499</v>
      </c>
      <c r="G1715" s="1" t="s">
        <v>135</v>
      </c>
      <c r="H1715" s="1" t="s">
        <v>867</v>
      </c>
      <c r="I1715" s="1" t="s">
        <v>868</v>
      </c>
      <c r="J1715" s="1" t="s">
        <v>869</v>
      </c>
    </row>
    <row r="1716" ht="15.75" customHeight="1">
      <c r="A1716" s="2">
        <v>1715.0</v>
      </c>
      <c r="B1716" s="1" t="s">
        <v>133</v>
      </c>
      <c r="C1716" s="1" t="s">
        <v>4302</v>
      </c>
      <c r="D1716" s="1" t="s">
        <v>4500</v>
      </c>
      <c r="E1716" s="2">
        <v>5.70038000089E11</v>
      </c>
      <c r="F1716" s="1" t="s">
        <v>4478</v>
      </c>
      <c r="G1716" s="1" t="s">
        <v>12</v>
      </c>
      <c r="H1716" s="1" t="s">
        <v>867</v>
      </c>
      <c r="I1716" s="1" t="s">
        <v>868</v>
      </c>
      <c r="J1716" s="1" t="s">
        <v>869</v>
      </c>
    </row>
    <row r="1717" ht="15.75" customHeight="1">
      <c r="A1717" s="2">
        <v>1716.0</v>
      </c>
      <c r="B1717" s="1" t="s">
        <v>1649</v>
      </c>
      <c r="C1717" s="1" t="s">
        <v>491</v>
      </c>
      <c r="D1717" s="1" t="s">
        <v>1335</v>
      </c>
      <c r="E1717" s="2">
        <v>5.7003800009E11</v>
      </c>
      <c r="F1717" s="1" t="s">
        <v>4455</v>
      </c>
      <c r="G1717" s="1" t="s">
        <v>12</v>
      </c>
      <c r="H1717" s="1" t="s">
        <v>867</v>
      </c>
      <c r="I1717" s="1" t="s">
        <v>868</v>
      </c>
      <c r="J1717" s="1" t="s">
        <v>869</v>
      </c>
    </row>
    <row r="1718" ht="15.75" customHeight="1">
      <c r="A1718" s="2">
        <v>1717.0</v>
      </c>
      <c r="B1718" s="1" t="s">
        <v>822</v>
      </c>
      <c r="C1718" s="1" t="s">
        <v>4501</v>
      </c>
      <c r="D1718" s="1" t="s">
        <v>482</v>
      </c>
      <c r="E1718" s="2">
        <v>5.70038000091E11</v>
      </c>
      <c r="F1718" s="1" t="s">
        <v>4502</v>
      </c>
      <c r="G1718" s="1" t="s">
        <v>12</v>
      </c>
      <c r="H1718" s="1" t="s">
        <v>867</v>
      </c>
      <c r="I1718" s="1" t="s">
        <v>868</v>
      </c>
      <c r="J1718" s="1" t="s">
        <v>869</v>
      </c>
    </row>
    <row r="1719" ht="15.75" customHeight="1">
      <c r="A1719" s="2">
        <v>1718.0</v>
      </c>
      <c r="B1719" s="1" t="s">
        <v>95</v>
      </c>
      <c r="C1719" s="1" t="s">
        <v>1098</v>
      </c>
      <c r="D1719" s="1" t="s">
        <v>172</v>
      </c>
      <c r="E1719" s="2">
        <v>5.70038000092E11</v>
      </c>
      <c r="F1719" s="1" t="s">
        <v>4503</v>
      </c>
      <c r="G1719" s="1" t="s">
        <v>12</v>
      </c>
      <c r="H1719" s="1" t="s">
        <v>867</v>
      </c>
      <c r="I1719" s="1" t="s">
        <v>868</v>
      </c>
      <c r="J1719" s="1" t="s">
        <v>869</v>
      </c>
    </row>
    <row r="1720" ht="15.75" customHeight="1">
      <c r="A1720" s="2">
        <v>1719.0</v>
      </c>
      <c r="B1720" s="1" t="s">
        <v>4504</v>
      </c>
      <c r="C1720" s="1" t="s">
        <v>4505</v>
      </c>
      <c r="D1720" s="1" t="s">
        <v>1619</v>
      </c>
      <c r="E1720" s="2">
        <v>5.70038000093E11</v>
      </c>
      <c r="F1720" s="1" t="s">
        <v>4506</v>
      </c>
      <c r="G1720" s="1" t="s">
        <v>12</v>
      </c>
      <c r="H1720" s="1" t="s">
        <v>867</v>
      </c>
      <c r="I1720" s="1" t="s">
        <v>868</v>
      </c>
      <c r="J1720" s="1" t="s">
        <v>869</v>
      </c>
    </row>
    <row r="1721" ht="15.75" customHeight="1">
      <c r="A1721" s="2">
        <v>1720.0</v>
      </c>
      <c r="B1721" s="1" t="s">
        <v>3387</v>
      </c>
      <c r="C1721" s="1" t="s">
        <v>4507</v>
      </c>
      <c r="D1721" s="1" t="s">
        <v>4508</v>
      </c>
      <c r="E1721" s="2">
        <v>5.70038000095E11</v>
      </c>
      <c r="F1721" s="1" t="s">
        <v>1181</v>
      </c>
      <c r="G1721" s="1" t="s">
        <v>12</v>
      </c>
      <c r="H1721" s="1" t="s">
        <v>867</v>
      </c>
      <c r="I1721" s="1" t="s">
        <v>868</v>
      </c>
      <c r="J1721" s="1" t="s">
        <v>869</v>
      </c>
    </row>
    <row r="1722" ht="15.75" customHeight="1">
      <c r="A1722" s="2">
        <v>1721.0</v>
      </c>
      <c r="B1722" s="1" t="s">
        <v>97</v>
      </c>
      <c r="C1722" s="1" t="s">
        <v>43</v>
      </c>
      <c r="D1722" s="1" t="s">
        <v>4509</v>
      </c>
      <c r="E1722" s="2">
        <v>5.70038000098E11</v>
      </c>
      <c r="F1722" s="1" t="s">
        <v>4510</v>
      </c>
      <c r="G1722" s="1" t="s">
        <v>261</v>
      </c>
      <c r="H1722" s="1" t="s">
        <v>867</v>
      </c>
      <c r="I1722" s="1" t="s">
        <v>868</v>
      </c>
      <c r="J1722" s="1" t="s">
        <v>869</v>
      </c>
    </row>
    <row r="1723" ht="15.75" customHeight="1">
      <c r="A1723" s="2">
        <v>1722.0</v>
      </c>
      <c r="B1723" s="1" t="s">
        <v>641</v>
      </c>
      <c r="C1723" s="1" t="s">
        <v>487</v>
      </c>
      <c r="D1723" s="1" t="s">
        <v>4511</v>
      </c>
      <c r="E1723" s="2">
        <v>5.70038000099E11</v>
      </c>
      <c r="F1723" s="1" t="s">
        <v>4512</v>
      </c>
      <c r="G1723" s="1" t="s">
        <v>12</v>
      </c>
      <c r="H1723" s="1" t="s">
        <v>867</v>
      </c>
      <c r="I1723" s="1" t="s">
        <v>868</v>
      </c>
      <c r="J1723" s="1" t="s">
        <v>869</v>
      </c>
    </row>
    <row r="1724" ht="15.75" customHeight="1">
      <c r="A1724" s="2">
        <v>1723.0</v>
      </c>
      <c r="B1724" s="1" t="s">
        <v>4513</v>
      </c>
      <c r="C1724" s="1" t="s">
        <v>4514</v>
      </c>
      <c r="D1724" s="1" t="s">
        <v>2725</v>
      </c>
      <c r="E1724" s="2">
        <v>5.700380001E11</v>
      </c>
      <c r="F1724" s="1" t="s">
        <v>4419</v>
      </c>
      <c r="G1724" s="1" t="s">
        <v>12</v>
      </c>
      <c r="H1724" s="1" t="s">
        <v>867</v>
      </c>
      <c r="I1724" s="1" t="s">
        <v>868</v>
      </c>
      <c r="J1724" s="1" t="s">
        <v>869</v>
      </c>
    </row>
    <row r="1725" ht="15.75" customHeight="1">
      <c r="A1725" s="2">
        <v>1724.0</v>
      </c>
      <c r="B1725" s="1" t="s">
        <v>258</v>
      </c>
      <c r="C1725" s="1" t="s">
        <v>4515</v>
      </c>
      <c r="D1725" s="1" t="s">
        <v>153</v>
      </c>
      <c r="E1725" s="2">
        <v>5.70038000101E11</v>
      </c>
      <c r="F1725" s="1" t="s">
        <v>4516</v>
      </c>
      <c r="G1725" s="1" t="s">
        <v>12</v>
      </c>
      <c r="H1725" s="1" t="s">
        <v>867</v>
      </c>
      <c r="I1725" s="1" t="s">
        <v>868</v>
      </c>
      <c r="J1725" s="1" t="s">
        <v>869</v>
      </c>
    </row>
    <row r="1726" ht="15.75" customHeight="1">
      <c r="A1726" s="2">
        <v>1725.0</v>
      </c>
      <c r="B1726" s="1" t="s">
        <v>431</v>
      </c>
      <c r="C1726" s="1" t="s">
        <v>4517</v>
      </c>
      <c r="D1726" s="1" t="s">
        <v>4518</v>
      </c>
      <c r="E1726" s="2">
        <v>5.70038000106E11</v>
      </c>
      <c r="F1726" s="1" t="s">
        <v>4450</v>
      </c>
      <c r="G1726" s="1" t="s">
        <v>12</v>
      </c>
      <c r="H1726" s="1" t="s">
        <v>867</v>
      </c>
      <c r="I1726" s="1" t="s">
        <v>868</v>
      </c>
      <c r="J1726" s="1" t="s">
        <v>869</v>
      </c>
    </row>
    <row r="1727" ht="15.75" customHeight="1">
      <c r="A1727" s="2">
        <v>1726.0</v>
      </c>
      <c r="B1727" s="1" t="s">
        <v>4519</v>
      </c>
      <c r="C1727" s="1" t="s">
        <v>2988</v>
      </c>
      <c r="D1727" s="1" t="s">
        <v>179</v>
      </c>
      <c r="E1727" s="2">
        <v>5.70038000114E11</v>
      </c>
      <c r="F1727" s="1" t="s">
        <v>4520</v>
      </c>
      <c r="G1727" s="1" t="s">
        <v>12</v>
      </c>
      <c r="H1727" s="1" t="s">
        <v>867</v>
      </c>
      <c r="I1727" s="1" t="s">
        <v>868</v>
      </c>
      <c r="J1727" s="1" t="s">
        <v>869</v>
      </c>
    </row>
    <row r="1728" ht="15.75" customHeight="1">
      <c r="A1728" s="2">
        <v>1727.0</v>
      </c>
      <c r="B1728" s="1" t="s">
        <v>4521</v>
      </c>
      <c r="C1728" s="1" t="s">
        <v>4522</v>
      </c>
      <c r="D1728" s="1" t="s">
        <v>295</v>
      </c>
      <c r="E1728" s="2">
        <v>5.7003800012E11</v>
      </c>
      <c r="F1728" s="1" t="s">
        <v>4523</v>
      </c>
      <c r="G1728" s="1" t="s">
        <v>135</v>
      </c>
      <c r="H1728" s="1" t="s">
        <v>867</v>
      </c>
      <c r="I1728" s="1" t="s">
        <v>868</v>
      </c>
      <c r="J1728" s="1" t="s">
        <v>869</v>
      </c>
    </row>
    <row r="1729" ht="15.75" customHeight="1">
      <c r="A1729" s="2">
        <v>1728.0</v>
      </c>
      <c r="B1729" s="1" t="s">
        <v>1958</v>
      </c>
      <c r="C1729" s="1" t="s">
        <v>4524</v>
      </c>
      <c r="D1729" s="1" t="s">
        <v>2846</v>
      </c>
      <c r="E1729" s="2">
        <v>5.70038000121E11</v>
      </c>
      <c r="F1729" s="1" t="s">
        <v>4419</v>
      </c>
      <c r="G1729" s="1" t="s">
        <v>12</v>
      </c>
      <c r="H1729" s="1" t="s">
        <v>867</v>
      </c>
      <c r="I1729" s="1" t="s">
        <v>868</v>
      </c>
      <c r="J1729" s="1" t="s">
        <v>869</v>
      </c>
    </row>
    <row r="1730" ht="15.75" customHeight="1">
      <c r="A1730" s="2">
        <v>1729.0</v>
      </c>
      <c r="B1730" s="1" t="s">
        <v>4525</v>
      </c>
      <c r="C1730" s="1" t="s">
        <v>39</v>
      </c>
      <c r="D1730" s="1" t="s">
        <v>1561</v>
      </c>
      <c r="E1730" s="2">
        <v>5.70038000122E11</v>
      </c>
      <c r="F1730" s="1" t="s">
        <v>4526</v>
      </c>
      <c r="G1730" s="1" t="s">
        <v>12</v>
      </c>
      <c r="H1730" s="1" t="s">
        <v>867</v>
      </c>
      <c r="I1730" s="1" t="s">
        <v>868</v>
      </c>
      <c r="J1730" s="1" t="s">
        <v>869</v>
      </c>
    </row>
    <row r="1731" ht="15.75" customHeight="1">
      <c r="A1731" s="2">
        <v>1730.0</v>
      </c>
      <c r="B1731" s="1" t="s">
        <v>4527</v>
      </c>
      <c r="C1731" s="1" t="s">
        <v>612</v>
      </c>
      <c r="D1731" s="1" t="s">
        <v>611</v>
      </c>
      <c r="E1731" s="2">
        <v>5.70038000126E11</v>
      </c>
      <c r="F1731" s="1" t="s">
        <v>4528</v>
      </c>
      <c r="G1731" s="1" t="s">
        <v>12</v>
      </c>
      <c r="H1731" s="1" t="s">
        <v>867</v>
      </c>
      <c r="I1731" s="1" t="s">
        <v>868</v>
      </c>
      <c r="J1731" s="1" t="s">
        <v>869</v>
      </c>
    </row>
    <row r="1732" ht="15.75" customHeight="1">
      <c r="A1732" s="2">
        <v>1731.0</v>
      </c>
      <c r="B1732" s="1" t="s">
        <v>2683</v>
      </c>
      <c r="C1732" s="1" t="s">
        <v>911</v>
      </c>
      <c r="D1732" s="1" t="s">
        <v>4529</v>
      </c>
      <c r="E1732" s="2">
        <v>5.70038000128E11</v>
      </c>
      <c r="F1732" s="1" t="s">
        <v>4530</v>
      </c>
      <c r="G1732" s="1" t="s">
        <v>12</v>
      </c>
      <c r="H1732" s="1" t="s">
        <v>867</v>
      </c>
      <c r="I1732" s="1" t="s">
        <v>868</v>
      </c>
      <c r="J1732" s="1" t="s">
        <v>869</v>
      </c>
    </row>
    <row r="1733" ht="15.75" customHeight="1">
      <c r="A1733" s="2">
        <v>1732.0</v>
      </c>
      <c r="B1733" s="1" t="s">
        <v>4513</v>
      </c>
      <c r="C1733" s="1" t="s">
        <v>948</v>
      </c>
      <c r="D1733" s="1" t="s">
        <v>177</v>
      </c>
      <c r="E1733" s="2">
        <v>5.70038000139E11</v>
      </c>
      <c r="F1733" s="1" t="s">
        <v>4450</v>
      </c>
      <c r="G1733" s="1" t="s">
        <v>12</v>
      </c>
      <c r="H1733" s="1" t="s">
        <v>867</v>
      </c>
      <c r="I1733" s="1" t="s">
        <v>868</v>
      </c>
      <c r="J1733" s="1" t="s">
        <v>869</v>
      </c>
    </row>
    <row r="1734" ht="15.75" customHeight="1">
      <c r="A1734" s="2">
        <v>1733.0</v>
      </c>
      <c r="B1734" s="1" t="s">
        <v>4531</v>
      </c>
      <c r="C1734" s="1" t="s">
        <v>4532</v>
      </c>
      <c r="D1734" s="1" t="s">
        <v>4533</v>
      </c>
      <c r="E1734" s="2">
        <v>5.7003800014E11</v>
      </c>
      <c r="F1734" s="1" t="s">
        <v>4534</v>
      </c>
      <c r="G1734" s="1" t="s">
        <v>12</v>
      </c>
      <c r="H1734" s="1" t="s">
        <v>867</v>
      </c>
      <c r="I1734" s="1" t="s">
        <v>868</v>
      </c>
      <c r="J1734" s="1" t="s">
        <v>869</v>
      </c>
    </row>
    <row r="1735" ht="15.75" customHeight="1">
      <c r="A1735" s="2">
        <v>1734.0</v>
      </c>
      <c r="B1735" s="1" t="s">
        <v>1824</v>
      </c>
      <c r="C1735" s="1" t="s">
        <v>1156</v>
      </c>
      <c r="D1735" s="1" t="s">
        <v>267</v>
      </c>
      <c r="E1735" s="2">
        <v>5.70038000144E11</v>
      </c>
      <c r="F1735" s="1" t="s">
        <v>4535</v>
      </c>
      <c r="G1735" s="1" t="s">
        <v>135</v>
      </c>
      <c r="H1735" s="1" t="s">
        <v>867</v>
      </c>
      <c r="I1735" s="1" t="s">
        <v>868</v>
      </c>
      <c r="J1735" s="1" t="s">
        <v>869</v>
      </c>
    </row>
    <row r="1736" ht="15.75" customHeight="1">
      <c r="A1736" s="2">
        <v>1735.0</v>
      </c>
      <c r="B1736" s="1" t="s">
        <v>346</v>
      </c>
      <c r="C1736" s="1" t="s">
        <v>4536</v>
      </c>
      <c r="D1736" s="1" t="s">
        <v>4537</v>
      </c>
      <c r="E1736" s="2">
        <v>5.70038000146E11</v>
      </c>
      <c r="F1736" s="1" t="s">
        <v>119</v>
      </c>
      <c r="G1736" s="1" t="s">
        <v>12</v>
      </c>
      <c r="H1736" s="1" t="s">
        <v>867</v>
      </c>
      <c r="I1736" s="1" t="s">
        <v>868</v>
      </c>
      <c r="J1736" s="1" t="s">
        <v>869</v>
      </c>
    </row>
    <row r="1737" ht="15.75" customHeight="1">
      <c r="A1737" s="2">
        <v>1736.0</v>
      </c>
      <c r="B1737" s="1" t="s">
        <v>543</v>
      </c>
      <c r="C1737" s="1" t="s">
        <v>1242</v>
      </c>
      <c r="D1737" s="1" t="s">
        <v>1209</v>
      </c>
      <c r="E1737" s="2">
        <v>5.70038000148E11</v>
      </c>
      <c r="F1737" s="1" t="s">
        <v>4424</v>
      </c>
      <c r="G1737" s="1" t="s">
        <v>12</v>
      </c>
      <c r="H1737" s="1" t="s">
        <v>867</v>
      </c>
      <c r="I1737" s="1" t="s">
        <v>868</v>
      </c>
      <c r="J1737" s="1" t="s">
        <v>869</v>
      </c>
    </row>
    <row r="1738" ht="15.75" customHeight="1">
      <c r="A1738" s="2">
        <v>1737.0</v>
      </c>
      <c r="B1738" s="1" t="s">
        <v>4538</v>
      </c>
      <c r="C1738" s="1" t="s">
        <v>4539</v>
      </c>
      <c r="D1738" s="1" t="s">
        <v>1521</v>
      </c>
      <c r="E1738" s="2">
        <v>5.70038000151E11</v>
      </c>
      <c r="F1738" s="1" t="s">
        <v>4540</v>
      </c>
      <c r="G1738" s="1" t="s">
        <v>12</v>
      </c>
      <c r="H1738" s="1" t="s">
        <v>867</v>
      </c>
      <c r="I1738" s="1" t="s">
        <v>868</v>
      </c>
      <c r="J1738" s="1" t="s">
        <v>869</v>
      </c>
    </row>
    <row r="1739" ht="15.75" customHeight="1">
      <c r="A1739" s="2">
        <v>1738.0</v>
      </c>
      <c r="B1739" s="1" t="s">
        <v>4541</v>
      </c>
      <c r="C1739" s="1" t="s">
        <v>67</v>
      </c>
      <c r="D1739" s="1" t="s">
        <v>4542</v>
      </c>
      <c r="E1739" s="2">
        <v>5.70038000152E11</v>
      </c>
      <c r="F1739" s="1" t="s">
        <v>4543</v>
      </c>
      <c r="G1739" s="1" t="s">
        <v>12</v>
      </c>
      <c r="H1739" s="1" t="s">
        <v>867</v>
      </c>
      <c r="I1739" s="1" t="s">
        <v>868</v>
      </c>
      <c r="J1739" s="1" t="s">
        <v>869</v>
      </c>
    </row>
    <row r="1740" ht="15.75" customHeight="1">
      <c r="A1740" s="2">
        <v>1739.0</v>
      </c>
      <c r="B1740" s="1" t="s">
        <v>475</v>
      </c>
      <c r="C1740" s="1" t="s">
        <v>4544</v>
      </c>
      <c r="D1740" s="1" t="s">
        <v>569</v>
      </c>
      <c r="E1740" s="2">
        <v>5.70038000153E11</v>
      </c>
      <c r="F1740" s="1" t="s">
        <v>4545</v>
      </c>
      <c r="G1740" s="1" t="s">
        <v>12</v>
      </c>
      <c r="H1740" s="1" t="s">
        <v>867</v>
      </c>
      <c r="I1740" s="1" t="s">
        <v>868</v>
      </c>
      <c r="J1740" s="1" t="s">
        <v>869</v>
      </c>
    </row>
    <row r="1741" ht="15.75" customHeight="1">
      <c r="A1741" s="2">
        <v>1740.0</v>
      </c>
      <c r="B1741" s="1" t="s">
        <v>183</v>
      </c>
      <c r="C1741" s="1" t="s">
        <v>4546</v>
      </c>
      <c r="D1741" s="1" t="s">
        <v>4547</v>
      </c>
      <c r="E1741" s="2">
        <v>5.70038000154E11</v>
      </c>
      <c r="F1741" s="1" t="s">
        <v>4455</v>
      </c>
      <c r="G1741" s="1" t="s">
        <v>12</v>
      </c>
      <c r="H1741" s="1" t="s">
        <v>867</v>
      </c>
      <c r="I1741" s="1" t="s">
        <v>868</v>
      </c>
      <c r="J1741" s="1" t="s">
        <v>869</v>
      </c>
    </row>
    <row r="1742" ht="15.75" customHeight="1">
      <c r="A1742" s="2">
        <v>1741.0</v>
      </c>
      <c r="B1742" s="1" t="s">
        <v>297</v>
      </c>
      <c r="C1742" s="1" t="s">
        <v>820</v>
      </c>
      <c r="D1742" s="1" t="s">
        <v>52</v>
      </c>
      <c r="E1742" s="2">
        <v>5.70038000155E11</v>
      </c>
      <c r="F1742" s="1" t="s">
        <v>4548</v>
      </c>
      <c r="G1742" s="1" t="s">
        <v>12</v>
      </c>
      <c r="H1742" s="1" t="s">
        <v>867</v>
      </c>
      <c r="I1742" s="1" t="s">
        <v>868</v>
      </c>
      <c r="J1742" s="1" t="s">
        <v>869</v>
      </c>
    </row>
    <row r="1743" ht="15.75" customHeight="1">
      <c r="A1743" s="2">
        <v>1742.0</v>
      </c>
      <c r="B1743" s="1" t="s">
        <v>4549</v>
      </c>
      <c r="C1743" s="1" t="s">
        <v>4550</v>
      </c>
      <c r="D1743" s="1" t="s">
        <v>4551</v>
      </c>
      <c r="E1743" s="2">
        <v>5.70038000157E11</v>
      </c>
      <c r="F1743" s="1" t="s">
        <v>4552</v>
      </c>
      <c r="G1743" s="1" t="s">
        <v>12</v>
      </c>
      <c r="H1743" s="1" t="s">
        <v>867</v>
      </c>
      <c r="I1743" s="1" t="s">
        <v>868</v>
      </c>
      <c r="J1743" s="1" t="s">
        <v>869</v>
      </c>
    </row>
    <row r="1744" ht="15.75" customHeight="1">
      <c r="A1744" s="2">
        <v>1743.0</v>
      </c>
      <c r="B1744" s="1" t="s">
        <v>4553</v>
      </c>
      <c r="C1744" s="1" t="s">
        <v>4554</v>
      </c>
      <c r="D1744" s="1" t="s">
        <v>161</v>
      </c>
      <c r="E1744" s="2">
        <v>5.70038000158E11</v>
      </c>
      <c r="F1744" s="1" t="s">
        <v>3858</v>
      </c>
      <c r="G1744" s="1" t="s">
        <v>12</v>
      </c>
      <c r="H1744" s="1" t="s">
        <v>867</v>
      </c>
      <c r="I1744" s="1" t="s">
        <v>868</v>
      </c>
      <c r="J1744" s="1" t="s">
        <v>869</v>
      </c>
    </row>
    <row r="1745" ht="15.75" customHeight="1">
      <c r="A1745" s="2">
        <v>1744.0</v>
      </c>
      <c r="B1745" s="1" t="s">
        <v>161</v>
      </c>
      <c r="C1745" s="1" t="s">
        <v>4555</v>
      </c>
      <c r="D1745" s="1" t="s">
        <v>10</v>
      </c>
      <c r="E1745" s="2">
        <v>5.70038000159E11</v>
      </c>
      <c r="F1745" s="1" t="s">
        <v>4556</v>
      </c>
      <c r="G1745" s="1" t="s">
        <v>12</v>
      </c>
      <c r="H1745" s="3" t="s">
        <v>4557</v>
      </c>
      <c r="I1745" s="1"/>
      <c r="J1745" s="1"/>
    </row>
    <row r="1746" ht="15.75" customHeight="1">
      <c r="A1746" s="2">
        <v>1745.0</v>
      </c>
      <c r="B1746" s="1" t="s">
        <v>4558</v>
      </c>
      <c r="C1746" s="1" t="s">
        <v>4559</v>
      </c>
      <c r="D1746" s="1" t="s">
        <v>4560</v>
      </c>
      <c r="E1746" s="2">
        <v>5.70038000162E11</v>
      </c>
      <c r="F1746" s="1" t="s">
        <v>4561</v>
      </c>
      <c r="G1746" s="1" t="s">
        <v>12</v>
      </c>
      <c r="H1746" s="3" t="s">
        <v>4562</v>
      </c>
      <c r="I1746" s="1"/>
      <c r="J1746" s="1"/>
    </row>
    <row r="1747" ht="15.75" customHeight="1">
      <c r="A1747" s="2">
        <v>1746.0</v>
      </c>
      <c r="B1747" s="1" t="s">
        <v>3406</v>
      </c>
      <c r="C1747" s="1" t="s">
        <v>323</v>
      </c>
      <c r="D1747" s="1" t="s">
        <v>4563</v>
      </c>
      <c r="E1747" s="2">
        <v>5.70038000163E11</v>
      </c>
      <c r="F1747" s="1" t="s">
        <v>4419</v>
      </c>
      <c r="G1747" s="1" t="s">
        <v>12</v>
      </c>
      <c r="H1747" s="1" t="s">
        <v>867</v>
      </c>
      <c r="I1747" s="1" t="s">
        <v>868</v>
      </c>
      <c r="J1747" s="1" t="s">
        <v>869</v>
      </c>
    </row>
    <row r="1748" ht="15.75" customHeight="1">
      <c r="A1748" s="2">
        <v>1747.0</v>
      </c>
      <c r="B1748" s="1" t="s">
        <v>8</v>
      </c>
      <c r="C1748" s="1" t="s">
        <v>4564</v>
      </c>
      <c r="D1748" s="1" t="s">
        <v>621</v>
      </c>
      <c r="E1748" s="2">
        <v>5.70038000166E11</v>
      </c>
      <c r="F1748" s="1" t="s">
        <v>4565</v>
      </c>
      <c r="G1748" s="1" t="s">
        <v>12</v>
      </c>
      <c r="H1748" s="1" t="s">
        <v>867</v>
      </c>
      <c r="I1748" s="1" t="s">
        <v>868</v>
      </c>
      <c r="J1748" s="1" t="s">
        <v>869</v>
      </c>
    </row>
    <row r="1749" ht="15.75" customHeight="1">
      <c r="A1749" s="2">
        <v>1748.0</v>
      </c>
      <c r="B1749" s="1" t="s">
        <v>4566</v>
      </c>
      <c r="C1749" s="1" t="s">
        <v>4269</v>
      </c>
      <c r="D1749" s="1" t="s">
        <v>4567</v>
      </c>
      <c r="E1749" s="2">
        <v>5.70038000167E11</v>
      </c>
      <c r="F1749" s="1" t="s">
        <v>4568</v>
      </c>
      <c r="G1749" s="1" t="s">
        <v>12</v>
      </c>
      <c r="H1749" s="1" t="s">
        <v>867</v>
      </c>
      <c r="I1749" s="1" t="s">
        <v>868</v>
      </c>
      <c r="J1749" s="1" t="s">
        <v>869</v>
      </c>
    </row>
    <row r="1750" ht="15.75" customHeight="1">
      <c r="A1750" s="2">
        <v>1749.0</v>
      </c>
      <c r="B1750" s="1" t="s">
        <v>4569</v>
      </c>
      <c r="C1750" s="1" t="s">
        <v>1156</v>
      </c>
      <c r="D1750" s="1" t="s">
        <v>441</v>
      </c>
      <c r="E1750" s="2">
        <v>5.70038000168E11</v>
      </c>
      <c r="F1750" s="1" t="s">
        <v>4570</v>
      </c>
      <c r="G1750" s="1" t="s">
        <v>12</v>
      </c>
      <c r="H1750" s="1" t="s">
        <v>867</v>
      </c>
      <c r="I1750" s="1" t="s">
        <v>868</v>
      </c>
      <c r="J1750" s="1" t="s">
        <v>869</v>
      </c>
    </row>
    <row r="1751" ht="15.75" customHeight="1">
      <c r="A1751" s="2">
        <v>1750.0</v>
      </c>
      <c r="B1751" s="1" t="s">
        <v>3249</v>
      </c>
      <c r="C1751" s="1" t="s">
        <v>4571</v>
      </c>
      <c r="D1751" s="1" t="s">
        <v>179</v>
      </c>
      <c r="E1751" s="2">
        <v>5.70038000169E11</v>
      </c>
      <c r="F1751" s="1" t="s">
        <v>4450</v>
      </c>
      <c r="G1751" s="1" t="s">
        <v>12</v>
      </c>
      <c r="H1751" s="1" t="s">
        <v>867</v>
      </c>
      <c r="I1751" s="1" t="s">
        <v>868</v>
      </c>
      <c r="J1751" s="1" t="s">
        <v>869</v>
      </c>
    </row>
    <row r="1752" ht="15.75" customHeight="1">
      <c r="A1752" s="2">
        <v>1751.0</v>
      </c>
      <c r="B1752" s="1" t="s">
        <v>2632</v>
      </c>
      <c r="C1752" s="1" t="s">
        <v>4572</v>
      </c>
      <c r="D1752" s="1" t="s">
        <v>111</v>
      </c>
      <c r="E1752" s="2">
        <v>5.7003800017E11</v>
      </c>
      <c r="F1752" s="1" t="s">
        <v>4496</v>
      </c>
      <c r="G1752" s="1" t="s">
        <v>12</v>
      </c>
      <c r="H1752" s="1" t="s">
        <v>867</v>
      </c>
      <c r="I1752" s="1" t="s">
        <v>868</v>
      </c>
      <c r="J1752" s="1" t="s">
        <v>869</v>
      </c>
    </row>
    <row r="1753" ht="15.75" customHeight="1">
      <c r="A1753" s="2">
        <v>1752.0</v>
      </c>
      <c r="B1753" s="1" t="s">
        <v>4573</v>
      </c>
      <c r="C1753" s="1" t="s">
        <v>3844</v>
      </c>
      <c r="D1753" s="1" t="s">
        <v>3418</v>
      </c>
      <c r="E1753" s="2">
        <v>5.70038000171E11</v>
      </c>
      <c r="F1753" s="1" t="s">
        <v>4574</v>
      </c>
      <c r="G1753" s="1" t="s">
        <v>135</v>
      </c>
      <c r="H1753" s="1" t="s">
        <v>867</v>
      </c>
      <c r="I1753" s="1" t="s">
        <v>868</v>
      </c>
      <c r="J1753" s="1" t="s">
        <v>869</v>
      </c>
    </row>
    <row r="1754" ht="15.75" customHeight="1">
      <c r="A1754" s="2">
        <v>1753.0</v>
      </c>
      <c r="B1754" s="1" t="s">
        <v>1455</v>
      </c>
      <c r="C1754" s="1" t="s">
        <v>2652</v>
      </c>
      <c r="D1754" s="1" t="s">
        <v>4575</v>
      </c>
      <c r="E1754" s="2">
        <v>5.70038000172E11</v>
      </c>
      <c r="F1754" s="1" t="s">
        <v>4576</v>
      </c>
      <c r="G1754" s="1" t="s">
        <v>12</v>
      </c>
      <c r="H1754" s="1" t="s">
        <v>867</v>
      </c>
      <c r="I1754" s="1" t="s">
        <v>868</v>
      </c>
      <c r="J1754" s="1" t="s">
        <v>869</v>
      </c>
    </row>
    <row r="1755" ht="15.75" customHeight="1">
      <c r="A1755" s="2">
        <v>1754.0</v>
      </c>
      <c r="B1755" s="1" t="s">
        <v>588</v>
      </c>
      <c r="C1755" s="1" t="s">
        <v>1081</v>
      </c>
      <c r="D1755" s="1" t="s">
        <v>307</v>
      </c>
      <c r="E1755" s="2">
        <v>5.70038000173E11</v>
      </c>
      <c r="F1755" s="1" t="s">
        <v>4577</v>
      </c>
      <c r="G1755" s="1" t="s">
        <v>12</v>
      </c>
      <c r="H1755" s="1" t="s">
        <v>867</v>
      </c>
      <c r="I1755" s="1" t="s">
        <v>868</v>
      </c>
      <c r="J1755" s="1" t="s">
        <v>869</v>
      </c>
    </row>
    <row r="1756" ht="15.75" customHeight="1">
      <c r="A1756" s="2">
        <v>1755.0</v>
      </c>
      <c r="B1756" s="1" t="s">
        <v>4578</v>
      </c>
      <c r="C1756" s="1" t="s">
        <v>580</v>
      </c>
      <c r="D1756" s="1" t="s">
        <v>362</v>
      </c>
      <c r="E1756" s="2">
        <v>5.70038000174E11</v>
      </c>
      <c r="F1756" s="1" t="s">
        <v>4579</v>
      </c>
      <c r="G1756" s="1" t="s">
        <v>12</v>
      </c>
      <c r="H1756" s="1" t="s">
        <v>867</v>
      </c>
      <c r="I1756" s="1" t="s">
        <v>868</v>
      </c>
      <c r="J1756" s="1" t="s">
        <v>869</v>
      </c>
    </row>
    <row r="1757" ht="15.75" customHeight="1">
      <c r="A1757" s="2">
        <v>1756.0</v>
      </c>
      <c r="B1757" s="1" t="s">
        <v>901</v>
      </c>
      <c r="C1757" s="1" t="s">
        <v>4580</v>
      </c>
      <c r="D1757" s="1" t="s">
        <v>1166</v>
      </c>
      <c r="E1757" s="2">
        <v>5.7003800018E11</v>
      </c>
      <c r="F1757" s="1" t="s">
        <v>4581</v>
      </c>
      <c r="G1757" s="1" t="s">
        <v>135</v>
      </c>
      <c r="H1757" s="1" t="s">
        <v>867</v>
      </c>
      <c r="I1757" s="1" t="s">
        <v>868</v>
      </c>
      <c r="J1757" s="1" t="s">
        <v>869</v>
      </c>
    </row>
    <row r="1758" ht="15.75" customHeight="1">
      <c r="A1758" s="2">
        <v>1757.0</v>
      </c>
      <c r="B1758" s="1" t="s">
        <v>825</v>
      </c>
      <c r="C1758" s="1" t="s">
        <v>4582</v>
      </c>
      <c r="D1758" s="1" t="s">
        <v>4583</v>
      </c>
      <c r="E1758" s="2">
        <v>5.70038000184E11</v>
      </c>
      <c r="F1758" s="1" t="s">
        <v>4584</v>
      </c>
      <c r="G1758" s="1" t="s">
        <v>12</v>
      </c>
      <c r="H1758" s="1" t="s">
        <v>867</v>
      </c>
      <c r="I1758" s="1" t="s">
        <v>868</v>
      </c>
      <c r="J1758" s="1" t="s">
        <v>869</v>
      </c>
    </row>
    <row r="1759" ht="15.75" customHeight="1">
      <c r="A1759" s="2">
        <v>1758.0</v>
      </c>
      <c r="B1759" s="1" t="s">
        <v>2714</v>
      </c>
      <c r="C1759" s="1" t="s">
        <v>176</v>
      </c>
      <c r="D1759" s="1" t="s">
        <v>453</v>
      </c>
      <c r="E1759" s="2">
        <v>5.70038000187E11</v>
      </c>
      <c r="F1759" s="1" t="s">
        <v>4585</v>
      </c>
      <c r="G1759" s="1" t="s">
        <v>261</v>
      </c>
      <c r="H1759" s="1" t="s">
        <v>867</v>
      </c>
      <c r="I1759" s="1" t="s">
        <v>868</v>
      </c>
      <c r="J1759" s="1" t="s">
        <v>869</v>
      </c>
    </row>
    <row r="1760" ht="15.75" customHeight="1">
      <c r="A1760" s="2">
        <v>1759.0</v>
      </c>
      <c r="B1760" s="1" t="s">
        <v>4586</v>
      </c>
      <c r="C1760" s="1" t="s">
        <v>4587</v>
      </c>
      <c r="D1760" s="1" t="s">
        <v>1308</v>
      </c>
      <c r="E1760" s="2">
        <v>5.70038000188E11</v>
      </c>
      <c r="F1760" s="1" t="s">
        <v>4588</v>
      </c>
      <c r="G1760" s="1" t="s">
        <v>12</v>
      </c>
      <c r="H1760" s="1" t="s">
        <v>867</v>
      </c>
      <c r="I1760" s="1" t="s">
        <v>868</v>
      </c>
      <c r="J1760" s="1" t="s">
        <v>869</v>
      </c>
    </row>
    <row r="1761" ht="15.75" customHeight="1">
      <c r="A1761" s="2">
        <v>1760.0</v>
      </c>
      <c r="B1761" s="1" t="s">
        <v>2221</v>
      </c>
      <c r="C1761" s="1" t="s">
        <v>4589</v>
      </c>
      <c r="D1761" s="1" t="s">
        <v>362</v>
      </c>
      <c r="E1761" s="2">
        <v>5.7003800019E11</v>
      </c>
      <c r="F1761" s="1" t="s">
        <v>4590</v>
      </c>
      <c r="G1761" s="1" t="s">
        <v>12</v>
      </c>
      <c r="H1761" s="1" t="s">
        <v>867</v>
      </c>
      <c r="I1761" s="1" t="s">
        <v>868</v>
      </c>
      <c r="J1761" s="1" t="s">
        <v>869</v>
      </c>
    </row>
    <row r="1762" ht="15.75" customHeight="1">
      <c r="A1762" s="2">
        <v>1761.0</v>
      </c>
      <c r="B1762" s="1" t="s">
        <v>1786</v>
      </c>
      <c r="C1762" s="1" t="s">
        <v>4591</v>
      </c>
      <c r="D1762" s="1" t="s">
        <v>1209</v>
      </c>
      <c r="E1762" s="2">
        <v>5.70038000191E11</v>
      </c>
      <c r="F1762" s="1" t="s">
        <v>4592</v>
      </c>
      <c r="G1762" s="1" t="s">
        <v>12</v>
      </c>
      <c r="H1762" s="1" t="s">
        <v>867</v>
      </c>
      <c r="I1762" s="1" t="s">
        <v>868</v>
      </c>
      <c r="J1762" s="1" t="s">
        <v>869</v>
      </c>
    </row>
    <row r="1763" ht="15.75" customHeight="1">
      <c r="A1763" s="2">
        <v>1762.0</v>
      </c>
      <c r="B1763" s="1" t="s">
        <v>1287</v>
      </c>
      <c r="C1763" s="1" t="s">
        <v>4593</v>
      </c>
      <c r="D1763" s="1" t="s">
        <v>77</v>
      </c>
      <c r="E1763" s="2">
        <v>5.70038000192E11</v>
      </c>
      <c r="F1763" s="1" t="s">
        <v>4594</v>
      </c>
      <c r="G1763" s="1" t="s">
        <v>12</v>
      </c>
      <c r="H1763" s="1" t="s">
        <v>867</v>
      </c>
      <c r="I1763" s="1" t="s">
        <v>868</v>
      </c>
      <c r="J1763" s="1" t="s">
        <v>869</v>
      </c>
    </row>
    <row r="1764" ht="15.75" customHeight="1">
      <c r="A1764" s="2">
        <v>1763.0</v>
      </c>
      <c r="B1764" s="1" t="s">
        <v>2866</v>
      </c>
      <c r="C1764" s="1" t="s">
        <v>4595</v>
      </c>
      <c r="D1764" s="1" t="s">
        <v>3351</v>
      </c>
      <c r="E1764" s="2">
        <v>5.70038000193E11</v>
      </c>
      <c r="F1764" s="1" t="s">
        <v>4596</v>
      </c>
      <c r="G1764" s="1" t="s">
        <v>12</v>
      </c>
      <c r="H1764" s="1" t="s">
        <v>867</v>
      </c>
      <c r="I1764" s="1" t="s">
        <v>868</v>
      </c>
      <c r="J1764" s="1" t="s">
        <v>869</v>
      </c>
    </row>
    <row r="1765" ht="15.75" customHeight="1">
      <c r="A1765" s="2">
        <v>1764.0</v>
      </c>
      <c r="B1765" s="1" t="s">
        <v>738</v>
      </c>
      <c r="C1765" s="1" t="s">
        <v>4597</v>
      </c>
      <c r="D1765" s="1" t="s">
        <v>513</v>
      </c>
      <c r="E1765" s="2">
        <v>5.70038000194E11</v>
      </c>
      <c r="F1765" s="1" t="s">
        <v>4450</v>
      </c>
      <c r="G1765" s="1" t="s">
        <v>12</v>
      </c>
      <c r="H1765" s="1" t="s">
        <v>867</v>
      </c>
      <c r="I1765" s="1" t="s">
        <v>868</v>
      </c>
      <c r="J1765" s="1" t="s">
        <v>869</v>
      </c>
    </row>
    <row r="1766" ht="15.75" customHeight="1">
      <c r="A1766" s="2">
        <v>1765.0</v>
      </c>
      <c r="B1766" s="1" t="s">
        <v>4598</v>
      </c>
      <c r="C1766" s="1" t="s">
        <v>4599</v>
      </c>
      <c r="D1766" s="1" t="s">
        <v>4600</v>
      </c>
      <c r="E1766" s="2">
        <v>5.70038000199E11</v>
      </c>
      <c r="F1766" s="1" t="s">
        <v>4601</v>
      </c>
      <c r="G1766" s="1" t="s">
        <v>12</v>
      </c>
      <c r="H1766" s="1" t="s">
        <v>867</v>
      </c>
      <c r="I1766" s="1" t="s">
        <v>868</v>
      </c>
      <c r="J1766" s="1" t="s">
        <v>869</v>
      </c>
    </row>
    <row r="1767" ht="15.75" customHeight="1">
      <c r="A1767" s="2">
        <v>1766.0</v>
      </c>
      <c r="B1767" s="1" t="s">
        <v>4602</v>
      </c>
      <c r="C1767" s="1" t="s">
        <v>4603</v>
      </c>
      <c r="D1767" s="1" t="s">
        <v>2138</v>
      </c>
      <c r="E1767" s="2">
        <v>5.700380002E11</v>
      </c>
      <c r="F1767" s="1" t="s">
        <v>4604</v>
      </c>
      <c r="G1767" s="1" t="s">
        <v>12</v>
      </c>
      <c r="H1767" s="1" t="s">
        <v>867</v>
      </c>
      <c r="I1767" s="1" t="s">
        <v>868</v>
      </c>
      <c r="J1767" s="1" t="s">
        <v>869</v>
      </c>
    </row>
    <row r="1768" ht="15.75" customHeight="1">
      <c r="A1768" s="2">
        <v>1767.0</v>
      </c>
      <c r="B1768" s="1" t="s">
        <v>4605</v>
      </c>
      <c r="C1768" s="1" t="s">
        <v>4606</v>
      </c>
      <c r="D1768" s="1" t="s">
        <v>58</v>
      </c>
      <c r="E1768" s="2">
        <v>5.70038000201E11</v>
      </c>
      <c r="F1768" s="1" t="s">
        <v>1856</v>
      </c>
      <c r="G1768" s="1" t="s">
        <v>12</v>
      </c>
      <c r="H1768" s="1" t="s">
        <v>867</v>
      </c>
      <c r="I1768" s="1" t="s">
        <v>868</v>
      </c>
      <c r="J1768" s="1" t="s">
        <v>869</v>
      </c>
    </row>
    <row r="1769" ht="15.75" customHeight="1">
      <c r="A1769" s="2">
        <v>1768.0</v>
      </c>
      <c r="B1769" s="1" t="s">
        <v>775</v>
      </c>
      <c r="C1769" s="1" t="s">
        <v>4607</v>
      </c>
      <c r="D1769" s="1" t="s">
        <v>4608</v>
      </c>
      <c r="E1769" s="2">
        <v>5.70038000202E11</v>
      </c>
      <c r="F1769" s="1" t="s">
        <v>4609</v>
      </c>
      <c r="G1769" s="1" t="s">
        <v>12</v>
      </c>
      <c r="H1769" s="1" t="s">
        <v>867</v>
      </c>
      <c r="I1769" s="1" t="s">
        <v>868</v>
      </c>
      <c r="J1769" s="1" t="s">
        <v>869</v>
      </c>
    </row>
    <row r="1770" ht="15.75" customHeight="1">
      <c r="A1770" s="2">
        <v>1769.0</v>
      </c>
      <c r="B1770" s="1" t="s">
        <v>127</v>
      </c>
      <c r="C1770" s="1" t="s">
        <v>4610</v>
      </c>
      <c r="D1770" s="1" t="s">
        <v>319</v>
      </c>
      <c r="E1770" s="2">
        <v>5.70038000203E11</v>
      </c>
      <c r="F1770" s="1" t="s">
        <v>2492</v>
      </c>
      <c r="G1770" s="1" t="s">
        <v>12</v>
      </c>
      <c r="H1770" s="1" t="s">
        <v>867</v>
      </c>
      <c r="I1770" s="1" t="s">
        <v>868</v>
      </c>
      <c r="J1770" s="1" t="s">
        <v>869</v>
      </c>
    </row>
    <row r="1771" ht="15.75" customHeight="1">
      <c r="A1771" s="2">
        <v>1770.0</v>
      </c>
      <c r="B1771" s="1" t="s">
        <v>725</v>
      </c>
      <c r="C1771" s="1" t="s">
        <v>176</v>
      </c>
      <c r="D1771" s="1" t="s">
        <v>951</v>
      </c>
      <c r="E1771" s="2">
        <v>5.70038000209E11</v>
      </c>
      <c r="F1771" s="1" t="s">
        <v>4496</v>
      </c>
      <c r="G1771" s="1" t="s">
        <v>261</v>
      </c>
      <c r="H1771" s="1" t="s">
        <v>867</v>
      </c>
      <c r="I1771" s="1" t="s">
        <v>868</v>
      </c>
      <c r="J1771" s="1" t="s">
        <v>869</v>
      </c>
    </row>
    <row r="1772" ht="15.75" customHeight="1">
      <c r="A1772" s="2">
        <v>1771.0</v>
      </c>
      <c r="B1772" s="1" t="s">
        <v>4611</v>
      </c>
      <c r="C1772" s="1" t="s">
        <v>3712</v>
      </c>
      <c r="D1772" s="1" t="s">
        <v>4612</v>
      </c>
      <c r="E1772" s="2">
        <v>5.70038000214E11</v>
      </c>
      <c r="F1772" s="1" t="s">
        <v>4613</v>
      </c>
      <c r="G1772" s="1" t="s">
        <v>12</v>
      </c>
      <c r="H1772" s="1" t="s">
        <v>867</v>
      </c>
      <c r="I1772" s="1" t="s">
        <v>868</v>
      </c>
      <c r="J1772" s="1" t="s">
        <v>869</v>
      </c>
    </row>
    <row r="1773" ht="15.75" customHeight="1">
      <c r="A1773" s="2">
        <v>1772.0</v>
      </c>
      <c r="B1773" s="1" t="s">
        <v>4614</v>
      </c>
      <c r="C1773" s="1" t="s">
        <v>4615</v>
      </c>
      <c r="D1773" s="1" t="s">
        <v>368</v>
      </c>
      <c r="E1773" s="2">
        <v>5.70038000215E11</v>
      </c>
      <c r="F1773" s="1" t="s">
        <v>4616</v>
      </c>
      <c r="G1773" s="1" t="s">
        <v>12</v>
      </c>
      <c r="H1773" s="1" t="s">
        <v>867</v>
      </c>
      <c r="I1773" s="1" t="s">
        <v>868</v>
      </c>
      <c r="J1773" s="1" t="s">
        <v>869</v>
      </c>
    </row>
    <row r="1774" ht="15.75" customHeight="1">
      <c r="A1774" s="2">
        <v>1773.0</v>
      </c>
      <c r="B1774" s="1" t="s">
        <v>4350</v>
      </c>
      <c r="C1774" s="1" t="s">
        <v>137</v>
      </c>
      <c r="D1774" s="1" t="s">
        <v>4617</v>
      </c>
      <c r="E1774" s="2">
        <v>5.7003800022E11</v>
      </c>
      <c r="F1774" s="1" t="s">
        <v>4618</v>
      </c>
      <c r="G1774" s="1" t="s">
        <v>12</v>
      </c>
      <c r="H1774" s="1" t="s">
        <v>867</v>
      </c>
      <c r="I1774" s="1" t="s">
        <v>868</v>
      </c>
      <c r="J1774" s="1" t="s">
        <v>869</v>
      </c>
    </row>
    <row r="1775" ht="15.75" customHeight="1">
      <c r="A1775" s="2">
        <v>1774.0</v>
      </c>
      <c r="B1775" s="1" t="s">
        <v>4619</v>
      </c>
      <c r="C1775" s="1" t="s">
        <v>911</v>
      </c>
      <c r="D1775" s="1" t="s">
        <v>183</v>
      </c>
      <c r="E1775" s="2">
        <v>5.70038000225E11</v>
      </c>
      <c r="F1775" s="1" t="s">
        <v>4620</v>
      </c>
      <c r="G1775" s="1" t="s">
        <v>12</v>
      </c>
      <c r="H1775" s="1" t="s">
        <v>867</v>
      </c>
      <c r="I1775" s="1" t="s">
        <v>868</v>
      </c>
      <c r="J1775" s="1" t="s">
        <v>869</v>
      </c>
    </row>
    <row r="1776" ht="15.75" customHeight="1">
      <c r="A1776" s="2">
        <v>1775.0</v>
      </c>
      <c r="B1776" s="1" t="s">
        <v>4621</v>
      </c>
      <c r="C1776" s="1" t="s">
        <v>4622</v>
      </c>
      <c r="D1776" s="1" t="s">
        <v>97</v>
      </c>
      <c r="E1776" s="2">
        <v>5.70038000226E11</v>
      </c>
      <c r="F1776" s="1" t="s">
        <v>202</v>
      </c>
      <c r="G1776" s="1" t="s">
        <v>12</v>
      </c>
      <c r="H1776" s="1" t="s">
        <v>867</v>
      </c>
      <c r="I1776" s="1" t="s">
        <v>868</v>
      </c>
      <c r="J1776" s="1" t="s">
        <v>869</v>
      </c>
    </row>
    <row r="1777" ht="15.75" customHeight="1">
      <c r="A1777" s="2">
        <v>1776.0</v>
      </c>
      <c r="B1777" s="1" t="s">
        <v>4623</v>
      </c>
      <c r="C1777" s="1" t="s">
        <v>580</v>
      </c>
      <c r="D1777" s="1" t="s">
        <v>1659</v>
      </c>
      <c r="E1777" s="2">
        <v>5.7003800023E11</v>
      </c>
      <c r="F1777" s="1" t="s">
        <v>4624</v>
      </c>
      <c r="G1777" s="1" t="s">
        <v>12</v>
      </c>
      <c r="H1777" s="1" t="s">
        <v>867</v>
      </c>
      <c r="I1777" s="1" t="s">
        <v>868</v>
      </c>
      <c r="J1777" s="1" t="s">
        <v>869</v>
      </c>
    </row>
    <row r="1778" ht="15.75" customHeight="1">
      <c r="A1778" s="2">
        <v>1777.0</v>
      </c>
      <c r="B1778" s="1" t="s">
        <v>2138</v>
      </c>
      <c r="C1778" s="1" t="s">
        <v>3231</v>
      </c>
      <c r="D1778" s="1" t="s">
        <v>4625</v>
      </c>
      <c r="E1778" s="2">
        <v>5.70038000244E11</v>
      </c>
      <c r="F1778" s="1" t="s">
        <v>4626</v>
      </c>
      <c r="G1778" s="1" t="s">
        <v>12</v>
      </c>
      <c r="H1778" s="1" t="s">
        <v>867</v>
      </c>
      <c r="I1778" s="1" t="s">
        <v>868</v>
      </c>
      <c r="J1778" s="1" t="s">
        <v>869</v>
      </c>
    </row>
    <row r="1779" ht="15.75" customHeight="1">
      <c r="A1779" s="2">
        <v>1778.0</v>
      </c>
      <c r="B1779" s="1" t="s">
        <v>1581</v>
      </c>
      <c r="C1779" s="1" t="s">
        <v>4627</v>
      </c>
      <c r="D1779" s="1" t="s">
        <v>4628</v>
      </c>
      <c r="E1779" s="2">
        <v>5.70038000249E11</v>
      </c>
      <c r="F1779" s="1" t="s">
        <v>4629</v>
      </c>
      <c r="G1779" s="1" t="s">
        <v>12</v>
      </c>
      <c r="H1779" s="1" t="s">
        <v>867</v>
      </c>
      <c r="I1779" s="1" t="s">
        <v>868</v>
      </c>
      <c r="J1779" s="1" t="s">
        <v>869</v>
      </c>
    </row>
    <row r="1780" ht="15.75" customHeight="1">
      <c r="A1780" s="2">
        <v>1779.0</v>
      </c>
      <c r="B1780" s="1" t="s">
        <v>4630</v>
      </c>
      <c r="C1780" s="1" t="s">
        <v>4160</v>
      </c>
      <c r="D1780" s="1" t="s">
        <v>4631</v>
      </c>
      <c r="E1780" s="2">
        <v>5.70038000252E11</v>
      </c>
      <c r="F1780" s="1" t="s">
        <v>4632</v>
      </c>
      <c r="G1780" s="1" t="s">
        <v>135</v>
      </c>
      <c r="H1780" s="1" t="s">
        <v>867</v>
      </c>
      <c r="I1780" s="1" t="s">
        <v>868</v>
      </c>
      <c r="J1780" s="1" t="s">
        <v>869</v>
      </c>
    </row>
    <row r="1781" ht="15.75" customHeight="1">
      <c r="A1781" s="2">
        <v>1780.0</v>
      </c>
      <c r="B1781" s="1" t="s">
        <v>4633</v>
      </c>
      <c r="C1781" s="1" t="s">
        <v>4634</v>
      </c>
      <c r="D1781" s="1" t="s">
        <v>4635</v>
      </c>
      <c r="E1781" s="2">
        <v>5.70038000262E11</v>
      </c>
      <c r="F1781" s="1" t="s">
        <v>4636</v>
      </c>
      <c r="G1781" s="1" t="s">
        <v>135</v>
      </c>
      <c r="H1781" s="1" t="s">
        <v>867</v>
      </c>
      <c r="I1781" s="1" t="s">
        <v>868</v>
      </c>
      <c r="J1781" s="1" t="s">
        <v>869</v>
      </c>
    </row>
    <row r="1782" ht="15.75" customHeight="1">
      <c r="A1782" s="2">
        <v>1781.0</v>
      </c>
      <c r="B1782" s="1" t="s">
        <v>957</v>
      </c>
      <c r="C1782" s="1" t="s">
        <v>4637</v>
      </c>
      <c r="D1782" s="1" t="s">
        <v>4638</v>
      </c>
      <c r="E1782" s="2">
        <v>5.70038000274E11</v>
      </c>
      <c r="F1782" s="1" t="s">
        <v>4639</v>
      </c>
      <c r="G1782" s="1" t="s">
        <v>12</v>
      </c>
      <c r="H1782" s="1" t="s">
        <v>867</v>
      </c>
      <c r="I1782" s="1" t="s">
        <v>868</v>
      </c>
      <c r="J1782" s="1" t="s">
        <v>869</v>
      </c>
    </row>
    <row r="1783" ht="15.75" customHeight="1">
      <c r="A1783" s="2">
        <v>1782.0</v>
      </c>
      <c r="B1783" s="1" t="s">
        <v>4640</v>
      </c>
      <c r="C1783" s="1" t="s">
        <v>4641</v>
      </c>
      <c r="D1783" s="1" t="s">
        <v>1765</v>
      </c>
      <c r="E1783" s="2">
        <v>5.70038000275E11</v>
      </c>
      <c r="F1783" s="1" t="s">
        <v>4642</v>
      </c>
      <c r="G1783" s="1" t="s">
        <v>12</v>
      </c>
      <c r="H1783" s="1" t="s">
        <v>867</v>
      </c>
      <c r="I1783" s="1" t="s">
        <v>868</v>
      </c>
      <c r="J1783" s="1" t="s">
        <v>869</v>
      </c>
    </row>
    <row r="1784" ht="15.75" customHeight="1">
      <c r="A1784" s="2">
        <v>1783.0</v>
      </c>
      <c r="B1784" s="1" t="s">
        <v>358</v>
      </c>
      <c r="C1784" s="1" t="s">
        <v>1570</v>
      </c>
      <c r="D1784" s="1" t="s">
        <v>403</v>
      </c>
      <c r="E1784" s="2">
        <v>5.70038000278E11</v>
      </c>
      <c r="F1784" s="1" t="s">
        <v>4643</v>
      </c>
      <c r="G1784" s="1" t="s">
        <v>12</v>
      </c>
      <c r="H1784" s="1" t="s">
        <v>867</v>
      </c>
      <c r="I1784" s="1" t="s">
        <v>868</v>
      </c>
      <c r="J1784" s="1" t="s">
        <v>869</v>
      </c>
    </row>
    <row r="1785" ht="15.75" customHeight="1">
      <c r="A1785" s="2">
        <v>1784.0</v>
      </c>
      <c r="B1785" s="1" t="s">
        <v>4644</v>
      </c>
      <c r="C1785" s="1" t="s">
        <v>4645</v>
      </c>
      <c r="D1785" s="1" t="s">
        <v>228</v>
      </c>
      <c r="E1785" s="2">
        <v>5.70038000284E11</v>
      </c>
      <c r="F1785" s="1" t="s">
        <v>3019</v>
      </c>
      <c r="G1785" s="1" t="s">
        <v>12</v>
      </c>
      <c r="H1785" s="1" t="s">
        <v>867</v>
      </c>
      <c r="I1785" s="1" t="s">
        <v>868</v>
      </c>
      <c r="J1785" s="1" t="s">
        <v>869</v>
      </c>
    </row>
    <row r="1786" ht="15.75" customHeight="1">
      <c r="A1786" s="2">
        <v>1785.0</v>
      </c>
      <c r="B1786" s="1" t="s">
        <v>4646</v>
      </c>
      <c r="C1786" s="1" t="s">
        <v>404</v>
      </c>
      <c r="D1786" s="1" t="s">
        <v>1506</v>
      </c>
      <c r="E1786" s="2">
        <v>5.70038000285E11</v>
      </c>
      <c r="F1786" s="1" t="s">
        <v>4647</v>
      </c>
      <c r="G1786" s="1" t="s">
        <v>12</v>
      </c>
      <c r="H1786" s="1" t="s">
        <v>867</v>
      </c>
      <c r="I1786" s="1" t="s">
        <v>868</v>
      </c>
      <c r="J1786" s="1" t="s">
        <v>869</v>
      </c>
    </row>
    <row r="1787" ht="15.75" customHeight="1">
      <c r="A1787" s="2">
        <v>1786.0</v>
      </c>
      <c r="B1787" s="1" t="s">
        <v>4648</v>
      </c>
      <c r="C1787" s="1" t="s">
        <v>4649</v>
      </c>
      <c r="D1787" s="1" t="s">
        <v>1308</v>
      </c>
      <c r="E1787" s="2">
        <v>5.7003800029E11</v>
      </c>
      <c r="F1787" s="1" t="s">
        <v>4650</v>
      </c>
      <c r="G1787" s="1" t="s">
        <v>12</v>
      </c>
      <c r="H1787" s="1" t="s">
        <v>867</v>
      </c>
      <c r="I1787" s="1" t="s">
        <v>868</v>
      </c>
      <c r="J1787" s="1" t="s">
        <v>869</v>
      </c>
    </row>
    <row r="1788" ht="15.75" customHeight="1">
      <c r="A1788" s="2">
        <v>1787.0</v>
      </c>
      <c r="B1788" s="1" t="s">
        <v>4651</v>
      </c>
      <c r="C1788" s="1" t="s">
        <v>4652</v>
      </c>
      <c r="D1788" s="1" t="s">
        <v>4653</v>
      </c>
      <c r="E1788" s="2">
        <v>5.70038000292E11</v>
      </c>
      <c r="F1788" s="1" t="s">
        <v>4654</v>
      </c>
      <c r="G1788" s="1" t="s">
        <v>12</v>
      </c>
      <c r="H1788" s="1" t="s">
        <v>867</v>
      </c>
      <c r="I1788" s="1" t="s">
        <v>868</v>
      </c>
      <c r="J1788" s="1" t="s">
        <v>869</v>
      </c>
    </row>
    <row r="1789" ht="15.75" customHeight="1">
      <c r="A1789" s="2">
        <v>1788.0</v>
      </c>
      <c r="B1789" s="1" t="s">
        <v>2714</v>
      </c>
      <c r="C1789" s="1" t="s">
        <v>4655</v>
      </c>
      <c r="D1789" s="1" t="s">
        <v>4656</v>
      </c>
      <c r="E1789" s="2">
        <v>5.70038000295E11</v>
      </c>
      <c r="F1789" s="1" t="s">
        <v>4570</v>
      </c>
      <c r="G1789" s="1" t="s">
        <v>12</v>
      </c>
      <c r="H1789" s="1" t="s">
        <v>867</v>
      </c>
      <c r="I1789" s="1" t="s">
        <v>868</v>
      </c>
      <c r="J1789" s="1" t="s">
        <v>869</v>
      </c>
    </row>
    <row r="1790" ht="15.75" customHeight="1">
      <c r="A1790" s="2">
        <v>1789.0</v>
      </c>
      <c r="B1790" s="1" t="s">
        <v>4657</v>
      </c>
      <c r="C1790" s="1" t="s">
        <v>4658</v>
      </c>
      <c r="D1790" s="1" t="s">
        <v>445</v>
      </c>
      <c r="E1790" s="2">
        <v>5.700380003E11</v>
      </c>
      <c r="F1790" s="1" t="s">
        <v>1184</v>
      </c>
      <c r="G1790" s="1" t="s">
        <v>12</v>
      </c>
      <c r="H1790" s="1" t="s">
        <v>867</v>
      </c>
      <c r="I1790" s="1" t="s">
        <v>868</v>
      </c>
      <c r="J1790" s="1" t="s">
        <v>869</v>
      </c>
    </row>
    <row r="1791" ht="15.75" customHeight="1">
      <c r="A1791" s="2">
        <v>1790.0</v>
      </c>
      <c r="B1791" s="1" t="s">
        <v>4659</v>
      </c>
      <c r="C1791" s="1" t="s">
        <v>4660</v>
      </c>
      <c r="D1791" s="1" t="s">
        <v>189</v>
      </c>
      <c r="E1791" s="2">
        <v>5.70038000304E11</v>
      </c>
      <c r="F1791" s="1" t="s">
        <v>4661</v>
      </c>
      <c r="G1791" s="1" t="s">
        <v>12</v>
      </c>
      <c r="H1791" s="1" t="s">
        <v>867</v>
      </c>
      <c r="I1791" s="1" t="s">
        <v>868</v>
      </c>
      <c r="J1791" s="1" t="s">
        <v>869</v>
      </c>
    </row>
    <row r="1792" ht="15.75" customHeight="1">
      <c r="A1792" s="2">
        <v>1791.0</v>
      </c>
      <c r="B1792" s="1" t="s">
        <v>4662</v>
      </c>
      <c r="C1792" s="1" t="s">
        <v>4663</v>
      </c>
      <c r="D1792" s="1" t="s">
        <v>1734</v>
      </c>
      <c r="E1792" s="2">
        <v>5.70038000309E11</v>
      </c>
      <c r="F1792" s="1" t="s">
        <v>4664</v>
      </c>
      <c r="G1792" s="1" t="s">
        <v>12</v>
      </c>
      <c r="H1792" s="1" t="s">
        <v>867</v>
      </c>
      <c r="I1792" s="1" t="s">
        <v>868</v>
      </c>
      <c r="J1792" s="1" t="s">
        <v>869</v>
      </c>
    </row>
    <row r="1793" ht="15.75" customHeight="1">
      <c r="A1793" s="2">
        <v>1792.0</v>
      </c>
      <c r="B1793" s="1" t="s">
        <v>4665</v>
      </c>
      <c r="C1793" s="1" t="s">
        <v>4666</v>
      </c>
      <c r="D1793" s="1" t="s">
        <v>1444</v>
      </c>
      <c r="E1793" s="2">
        <v>5.70038000315E11</v>
      </c>
      <c r="F1793" s="1" t="s">
        <v>4667</v>
      </c>
      <c r="G1793" s="1" t="s">
        <v>12</v>
      </c>
      <c r="H1793" s="1" t="s">
        <v>867</v>
      </c>
      <c r="I1793" s="1" t="s">
        <v>868</v>
      </c>
      <c r="J1793" s="1" t="s">
        <v>869</v>
      </c>
    </row>
    <row r="1794" ht="15.75" customHeight="1">
      <c r="A1794" s="2">
        <v>1793.0</v>
      </c>
      <c r="B1794" s="1" t="s">
        <v>3856</v>
      </c>
      <c r="C1794" s="1" t="s">
        <v>4668</v>
      </c>
      <c r="D1794" s="1" t="s">
        <v>2230</v>
      </c>
      <c r="E1794" s="2">
        <v>5.70038000318E11</v>
      </c>
      <c r="F1794" s="1" t="s">
        <v>4450</v>
      </c>
      <c r="G1794" s="1" t="s">
        <v>12</v>
      </c>
      <c r="H1794" s="1" t="s">
        <v>867</v>
      </c>
      <c r="I1794" s="1" t="s">
        <v>868</v>
      </c>
      <c r="J1794" s="1" t="s">
        <v>869</v>
      </c>
    </row>
    <row r="1795" ht="15.75" customHeight="1">
      <c r="A1795" s="2">
        <v>1794.0</v>
      </c>
      <c r="B1795" s="1" t="s">
        <v>136</v>
      </c>
      <c r="C1795" s="1" t="s">
        <v>4669</v>
      </c>
      <c r="D1795" s="1" t="s">
        <v>60</v>
      </c>
      <c r="E1795" s="2">
        <v>5.70038000321E11</v>
      </c>
      <c r="F1795" s="1" t="s">
        <v>4670</v>
      </c>
      <c r="G1795" s="1" t="s">
        <v>135</v>
      </c>
      <c r="H1795" s="1" t="s">
        <v>867</v>
      </c>
      <c r="I1795" s="1" t="s">
        <v>868</v>
      </c>
      <c r="J1795" s="1" t="s">
        <v>869</v>
      </c>
    </row>
    <row r="1796" ht="15.75" customHeight="1">
      <c r="A1796" s="2">
        <v>1795.0</v>
      </c>
      <c r="B1796" s="1" t="s">
        <v>4671</v>
      </c>
      <c r="C1796" s="1" t="s">
        <v>2686</v>
      </c>
      <c r="D1796" s="1" t="s">
        <v>83</v>
      </c>
      <c r="E1796" s="2">
        <v>5.70038000329E11</v>
      </c>
      <c r="F1796" s="1" t="s">
        <v>4473</v>
      </c>
      <c r="G1796" s="1" t="s">
        <v>135</v>
      </c>
      <c r="H1796" s="1" t="s">
        <v>867</v>
      </c>
      <c r="I1796" s="1" t="s">
        <v>868</v>
      </c>
      <c r="J1796" s="1" t="s">
        <v>869</v>
      </c>
    </row>
    <row r="1797" ht="15.75" customHeight="1">
      <c r="A1797" s="2">
        <v>1796.0</v>
      </c>
      <c r="B1797" s="1" t="s">
        <v>127</v>
      </c>
      <c r="C1797" s="1" t="s">
        <v>1236</v>
      </c>
      <c r="D1797" s="1" t="s">
        <v>1581</v>
      </c>
      <c r="E1797" s="2">
        <v>5.70038000331E11</v>
      </c>
      <c r="F1797" s="1" t="s">
        <v>4672</v>
      </c>
      <c r="G1797" s="1" t="s">
        <v>12</v>
      </c>
      <c r="H1797" s="1" t="s">
        <v>867</v>
      </c>
      <c r="I1797" s="1" t="s">
        <v>868</v>
      </c>
      <c r="J1797" s="1" t="s">
        <v>869</v>
      </c>
    </row>
    <row r="1798" ht="15.75" customHeight="1">
      <c r="A1798" s="2">
        <v>1797.0</v>
      </c>
      <c r="B1798" s="1" t="s">
        <v>1786</v>
      </c>
      <c r="C1798" s="1" t="s">
        <v>4673</v>
      </c>
      <c r="D1798" s="1" t="s">
        <v>3526</v>
      </c>
      <c r="E1798" s="2">
        <v>5.70038000332E11</v>
      </c>
      <c r="F1798" s="1" t="s">
        <v>4674</v>
      </c>
      <c r="G1798" s="1" t="s">
        <v>12</v>
      </c>
      <c r="H1798" s="1" t="s">
        <v>867</v>
      </c>
      <c r="I1798" s="1" t="s">
        <v>868</v>
      </c>
      <c r="J1798" s="1" t="s">
        <v>869</v>
      </c>
    </row>
    <row r="1799" ht="15.75" customHeight="1">
      <c r="A1799" s="2">
        <v>1798.0</v>
      </c>
      <c r="B1799" s="1" t="s">
        <v>397</v>
      </c>
      <c r="C1799" s="1" t="s">
        <v>4675</v>
      </c>
      <c r="D1799" s="1" t="s">
        <v>4676</v>
      </c>
      <c r="E1799" s="2">
        <v>5.70038000333E11</v>
      </c>
      <c r="F1799" s="1" t="s">
        <v>4677</v>
      </c>
      <c r="G1799" s="1" t="s">
        <v>12</v>
      </c>
      <c r="H1799" s="1" t="s">
        <v>867</v>
      </c>
      <c r="I1799" s="1" t="s">
        <v>868</v>
      </c>
      <c r="J1799" s="1" t="s">
        <v>869</v>
      </c>
    </row>
    <row r="1800" ht="15.75" customHeight="1">
      <c r="A1800" s="2">
        <v>1799.0</v>
      </c>
      <c r="B1800" s="1" t="s">
        <v>381</v>
      </c>
      <c r="C1800" s="1" t="s">
        <v>4678</v>
      </c>
      <c r="D1800" s="1" t="s">
        <v>4679</v>
      </c>
      <c r="E1800" s="2">
        <v>5.70038000338E11</v>
      </c>
      <c r="F1800" s="1" t="s">
        <v>4680</v>
      </c>
      <c r="G1800" s="1" t="s">
        <v>12</v>
      </c>
      <c r="H1800" s="1" t="s">
        <v>867</v>
      </c>
      <c r="I1800" s="1" t="s">
        <v>868</v>
      </c>
      <c r="J1800" s="1" t="s">
        <v>869</v>
      </c>
    </row>
    <row r="1801" ht="15.75" customHeight="1">
      <c r="A1801" s="2">
        <v>1800.0</v>
      </c>
      <c r="B1801" s="1" t="s">
        <v>1130</v>
      </c>
      <c r="C1801" s="1" t="s">
        <v>1230</v>
      </c>
      <c r="D1801" s="1" t="s">
        <v>1561</v>
      </c>
      <c r="E1801" s="2">
        <v>5.70038000339E11</v>
      </c>
      <c r="F1801" s="1" t="s">
        <v>4419</v>
      </c>
      <c r="G1801" s="1" t="s">
        <v>12</v>
      </c>
      <c r="H1801" s="1" t="s">
        <v>867</v>
      </c>
      <c r="I1801" s="1" t="s">
        <v>868</v>
      </c>
      <c r="J1801" s="1" t="s">
        <v>869</v>
      </c>
    </row>
    <row r="1802" ht="15.75" customHeight="1">
      <c r="A1802" s="2">
        <v>1801.0</v>
      </c>
      <c r="B1802" s="1" t="s">
        <v>4681</v>
      </c>
      <c r="C1802" s="1" t="s">
        <v>4682</v>
      </c>
      <c r="D1802" s="1" t="s">
        <v>1561</v>
      </c>
      <c r="E1802" s="2">
        <v>5.70038000351E11</v>
      </c>
      <c r="F1802" s="1" t="s">
        <v>4683</v>
      </c>
      <c r="G1802" s="1" t="s">
        <v>12</v>
      </c>
      <c r="H1802" s="1" t="s">
        <v>867</v>
      </c>
      <c r="I1802" s="1" t="s">
        <v>868</v>
      </c>
      <c r="J1802" s="1" t="s">
        <v>869</v>
      </c>
    </row>
    <row r="1803" ht="15.75" customHeight="1">
      <c r="A1803" s="2">
        <v>1802.0</v>
      </c>
      <c r="B1803" s="1" t="s">
        <v>4646</v>
      </c>
      <c r="C1803" s="1" t="s">
        <v>4684</v>
      </c>
      <c r="D1803" s="1" t="s">
        <v>2138</v>
      </c>
      <c r="E1803" s="2">
        <v>5.70038000361E11</v>
      </c>
      <c r="F1803" s="1" t="s">
        <v>4685</v>
      </c>
      <c r="G1803" s="1" t="s">
        <v>135</v>
      </c>
      <c r="H1803" s="3" t="s">
        <v>4686</v>
      </c>
      <c r="I1803" s="1"/>
      <c r="J1803" s="1"/>
    </row>
    <row r="1804" ht="15.75" customHeight="1">
      <c r="A1804" s="2">
        <v>1803.0</v>
      </c>
      <c r="B1804" s="1" t="s">
        <v>4687</v>
      </c>
      <c r="C1804" s="1" t="s">
        <v>4688</v>
      </c>
      <c r="D1804" s="1" t="s">
        <v>552</v>
      </c>
      <c r="E1804" s="2">
        <v>5.7003800037E11</v>
      </c>
      <c r="F1804" s="1" t="s">
        <v>4689</v>
      </c>
      <c r="G1804" s="1" t="s">
        <v>12</v>
      </c>
      <c r="H1804" s="1" t="s">
        <v>867</v>
      </c>
      <c r="I1804" s="1" t="s">
        <v>868</v>
      </c>
      <c r="J1804" s="1" t="s">
        <v>869</v>
      </c>
    </row>
    <row r="1805" ht="15.75" customHeight="1">
      <c r="A1805" s="2">
        <v>1804.0</v>
      </c>
      <c r="B1805" s="1" t="s">
        <v>4690</v>
      </c>
      <c r="C1805" s="1" t="s">
        <v>4691</v>
      </c>
      <c r="D1805" s="1" t="s">
        <v>4692</v>
      </c>
      <c r="E1805" s="2">
        <v>5.70038000372E11</v>
      </c>
      <c r="F1805" s="1" t="s">
        <v>4450</v>
      </c>
      <c r="G1805" s="1" t="s">
        <v>12</v>
      </c>
      <c r="H1805" s="1" t="s">
        <v>867</v>
      </c>
      <c r="I1805" s="1" t="s">
        <v>868</v>
      </c>
      <c r="J1805" s="1" t="s">
        <v>869</v>
      </c>
    </row>
    <row r="1806" ht="15.75" customHeight="1">
      <c r="A1806" s="2">
        <v>1805.0</v>
      </c>
      <c r="B1806" s="1" t="s">
        <v>1958</v>
      </c>
      <c r="C1806" s="1" t="s">
        <v>1570</v>
      </c>
      <c r="D1806" s="1" t="s">
        <v>4693</v>
      </c>
      <c r="E1806" s="2">
        <v>5.70038000378E11</v>
      </c>
      <c r="F1806" s="1" t="s">
        <v>4694</v>
      </c>
      <c r="G1806" s="1" t="s">
        <v>12</v>
      </c>
      <c r="H1806" s="1" t="s">
        <v>867</v>
      </c>
      <c r="I1806" s="1" t="s">
        <v>868</v>
      </c>
      <c r="J1806" s="1" t="s">
        <v>869</v>
      </c>
    </row>
    <row r="1807" ht="15.75" customHeight="1">
      <c r="A1807" s="2">
        <v>1806.0</v>
      </c>
      <c r="B1807" s="1" t="s">
        <v>4695</v>
      </c>
      <c r="C1807" s="1" t="s">
        <v>4696</v>
      </c>
      <c r="D1807" s="1" t="s">
        <v>523</v>
      </c>
      <c r="E1807" s="2">
        <v>5.70038000386E11</v>
      </c>
      <c r="F1807" s="1" t="s">
        <v>4697</v>
      </c>
      <c r="G1807" s="1" t="s">
        <v>135</v>
      </c>
      <c r="H1807" s="1" t="s">
        <v>867</v>
      </c>
      <c r="I1807" s="1" t="s">
        <v>868</v>
      </c>
      <c r="J1807" s="1" t="s">
        <v>869</v>
      </c>
    </row>
    <row r="1808" ht="15.75" customHeight="1">
      <c r="A1808" s="2">
        <v>1807.0</v>
      </c>
      <c r="B1808" s="1" t="s">
        <v>4698</v>
      </c>
      <c r="C1808" s="1" t="s">
        <v>3502</v>
      </c>
      <c r="D1808" s="1" t="s">
        <v>52</v>
      </c>
      <c r="E1808" s="2">
        <v>5.700380004E11</v>
      </c>
      <c r="F1808" s="1" t="s">
        <v>2492</v>
      </c>
      <c r="G1808" s="1" t="s">
        <v>12</v>
      </c>
      <c r="H1808" s="1" t="s">
        <v>867</v>
      </c>
      <c r="I1808" s="1" t="s">
        <v>868</v>
      </c>
      <c r="J1808" s="1" t="s">
        <v>869</v>
      </c>
    </row>
    <row r="1809" ht="15.75" customHeight="1">
      <c r="A1809" s="2">
        <v>1808.0</v>
      </c>
      <c r="B1809" s="1" t="s">
        <v>2743</v>
      </c>
      <c r="C1809" s="1" t="s">
        <v>4699</v>
      </c>
      <c r="D1809" s="1" t="s">
        <v>781</v>
      </c>
      <c r="E1809" s="2">
        <v>5.70038000416E11</v>
      </c>
      <c r="F1809" s="1" t="s">
        <v>4700</v>
      </c>
      <c r="G1809" s="1" t="s">
        <v>12</v>
      </c>
      <c r="H1809" s="1" t="s">
        <v>867</v>
      </c>
      <c r="I1809" s="1" t="s">
        <v>868</v>
      </c>
      <c r="J1809" s="1" t="s">
        <v>869</v>
      </c>
    </row>
    <row r="1810" ht="15.75" customHeight="1">
      <c r="A1810" s="2">
        <v>1809.0</v>
      </c>
      <c r="B1810" s="1" t="s">
        <v>4317</v>
      </c>
      <c r="C1810" s="1" t="s">
        <v>4701</v>
      </c>
      <c r="D1810" s="1" t="s">
        <v>4702</v>
      </c>
      <c r="E1810" s="2">
        <v>5.70038000419E11</v>
      </c>
      <c r="F1810" s="1" t="s">
        <v>4703</v>
      </c>
      <c r="G1810" s="1" t="s">
        <v>12</v>
      </c>
      <c r="H1810" s="1" t="s">
        <v>867</v>
      </c>
      <c r="I1810" s="1" t="s">
        <v>868</v>
      </c>
      <c r="J1810" s="1" t="s">
        <v>869</v>
      </c>
    </row>
    <row r="1811" ht="15.75" customHeight="1">
      <c r="A1811" s="2">
        <v>1810.0</v>
      </c>
      <c r="B1811" s="1" t="s">
        <v>2632</v>
      </c>
      <c r="C1811" s="1" t="s">
        <v>580</v>
      </c>
      <c r="D1811" s="1" t="s">
        <v>608</v>
      </c>
      <c r="E1811" s="2">
        <v>5.70038000427E11</v>
      </c>
      <c r="F1811" s="1" t="s">
        <v>4454</v>
      </c>
      <c r="G1811" s="1" t="s">
        <v>135</v>
      </c>
      <c r="H1811" s="1" t="s">
        <v>867</v>
      </c>
      <c r="I1811" s="1" t="s">
        <v>868</v>
      </c>
      <c r="J1811" s="1" t="s">
        <v>869</v>
      </c>
    </row>
    <row r="1812" ht="15.75" customHeight="1">
      <c r="A1812" s="2">
        <v>1811.0</v>
      </c>
      <c r="B1812" s="1" t="s">
        <v>77</v>
      </c>
      <c r="C1812" s="1" t="s">
        <v>4704</v>
      </c>
      <c r="D1812" s="1" t="s">
        <v>875</v>
      </c>
      <c r="E1812" s="2">
        <v>5.70038000434E11</v>
      </c>
      <c r="F1812" s="1" t="s">
        <v>4705</v>
      </c>
      <c r="G1812" s="1" t="s">
        <v>12</v>
      </c>
      <c r="H1812" s="1" t="s">
        <v>867</v>
      </c>
      <c r="I1812" s="1" t="s">
        <v>868</v>
      </c>
      <c r="J1812" s="1" t="s">
        <v>869</v>
      </c>
    </row>
    <row r="1813" ht="15.75" customHeight="1">
      <c r="A1813" s="2">
        <v>1812.0</v>
      </c>
      <c r="B1813" s="1" t="s">
        <v>1581</v>
      </c>
      <c r="C1813" s="1" t="s">
        <v>4706</v>
      </c>
      <c r="D1813" s="1" t="s">
        <v>4707</v>
      </c>
      <c r="E1813" s="2">
        <v>5.70038000447E11</v>
      </c>
      <c r="F1813" s="1" t="s">
        <v>4450</v>
      </c>
      <c r="G1813" s="1" t="s">
        <v>12</v>
      </c>
      <c r="H1813" s="1" t="s">
        <v>867</v>
      </c>
      <c r="I1813" s="1" t="s">
        <v>868</v>
      </c>
      <c r="J1813" s="1" t="s">
        <v>869</v>
      </c>
    </row>
    <row r="1814" ht="15.75" customHeight="1">
      <c r="A1814" s="2">
        <v>1813.0</v>
      </c>
      <c r="B1814" s="1" t="s">
        <v>4708</v>
      </c>
      <c r="C1814" s="1" t="s">
        <v>3487</v>
      </c>
      <c r="D1814" s="1" t="s">
        <v>4709</v>
      </c>
      <c r="E1814" s="2">
        <v>5.70038000454E11</v>
      </c>
      <c r="F1814" s="1" t="s">
        <v>4496</v>
      </c>
      <c r="G1814" s="1" t="s">
        <v>12</v>
      </c>
      <c r="H1814" s="1" t="s">
        <v>867</v>
      </c>
      <c r="I1814" s="1" t="s">
        <v>868</v>
      </c>
      <c r="J1814" s="1" t="s">
        <v>869</v>
      </c>
    </row>
    <row r="1815" ht="15.75" customHeight="1">
      <c r="A1815" s="2">
        <v>1814.0</v>
      </c>
      <c r="B1815" s="1" t="s">
        <v>4710</v>
      </c>
      <c r="C1815" s="1" t="s">
        <v>3487</v>
      </c>
      <c r="D1815" s="1" t="s">
        <v>4709</v>
      </c>
      <c r="E1815" s="2">
        <v>5.70038000455E11</v>
      </c>
      <c r="F1815" s="1" t="s">
        <v>4496</v>
      </c>
      <c r="G1815" s="1" t="s">
        <v>12</v>
      </c>
      <c r="H1815" s="1" t="s">
        <v>867</v>
      </c>
      <c r="I1815" s="1" t="s">
        <v>868</v>
      </c>
      <c r="J1815" s="1" t="s">
        <v>869</v>
      </c>
    </row>
    <row r="1816" ht="15.75" customHeight="1">
      <c r="A1816" s="2">
        <v>1815.0</v>
      </c>
      <c r="B1816" s="1" t="s">
        <v>2265</v>
      </c>
      <c r="C1816" s="1" t="s">
        <v>4711</v>
      </c>
      <c r="D1816" s="1" t="s">
        <v>228</v>
      </c>
      <c r="E1816" s="2">
        <v>5.7003800047E11</v>
      </c>
      <c r="F1816" s="1" t="s">
        <v>4450</v>
      </c>
      <c r="G1816" s="1" t="s">
        <v>12</v>
      </c>
      <c r="H1816" s="1" t="s">
        <v>867</v>
      </c>
      <c r="I1816" s="1" t="s">
        <v>868</v>
      </c>
      <c r="J1816" s="1" t="s">
        <v>869</v>
      </c>
    </row>
    <row r="1817" ht="15.75" customHeight="1">
      <c r="A1817" s="2">
        <v>1816.0</v>
      </c>
      <c r="B1817" s="1" t="s">
        <v>4712</v>
      </c>
      <c r="C1817" s="1" t="s">
        <v>4713</v>
      </c>
      <c r="D1817" s="1" t="s">
        <v>52</v>
      </c>
      <c r="E1817" s="2">
        <v>5.70038000473E11</v>
      </c>
      <c r="F1817" s="1" t="s">
        <v>4496</v>
      </c>
      <c r="G1817" s="1" t="s">
        <v>12</v>
      </c>
      <c r="H1817" s="1" t="s">
        <v>867</v>
      </c>
      <c r="I1817" s="1" t="s">
        <v>868</v>
      </c>
      <c r="J1817" s="1" t="s">
        <v>869</v>
      </c>
    </row>
    <row r="1818" ht="15.75" customHeight="1">
      <c r="A1818" s="2">
        <v>1817.0</v>
      </c>
      <c r="B1818" s="1" t="s">
        <v>3219</v>
      </c>
      <c r="C1818" s="1" t="s">
        <v>1253</v>
      </c>
      <c r="D1818" s="1" t="s">
        <v>660</v>
      </c>
      <c r="E1818" s="2">
        <v>5.70038000479E11</v>
      </c>
      <c r="F1818" s="1" t="s">
        <v>4568</v>
      </c>
      <c r="G1818" s="1" t="s">
        <v>12</v>
      </c>
      <c r="H1818" s="1" t="s">
        <v>867</v>
      </c>
      <c r="I1818" s="1" t="s">
        <v>868</v>
      </c>
      <c r="J1818" s="1" t="s">
        <v>869</v>
      </c>
    </row>
    <row r="1819" ht="15.75" customHeight="1">
      <c r="A1819" s="2">
        <v>1818.0</v>
      </c>
      <c r="B1819" s="1" t="s">
        <v>4714</v>
      </c>
      <c r="C1819" s="1" t="s">
        <v>4715</v>
      </c>
      <c r="D1819" s="1" t="s">
        <v>4716</v>
      </c>
      <c r="E1819" s="2">
        <v>5.70038000493E11</v>
      </c>
      <c r="F1819" s="1" t="s">
        <v>4717</v>
      </c>
      <c r="G1819" s="1" t="s">
        <v>12</v>
      </c>
      <c r="H1819" s="1" t="s">
        <v>867</v>
      </c>
      <c r="I1819" s="1" t="s">
        <v>868</v>
      </c>
      <c r="J1819" s="1" t="s">
        <v>869</v>
      </c>
    </row>
    <row r="1820" ht="15.75" customHeight="1">
      <c r="A1820" s="2">
        <v>1819.0</v>
      </c>
      <c r="B1820" s="1" t="s">
        <v>4718</v>
      </c>
      <c r="C1820" s="1" t="s">
        <v>2882</v>
      </c>
      <c r="D1820" s="1" t="s">
        <v>4719</v>
      </c>
      <c r="E1820" s="2">
        <v>5.70038000496E11</v>
      </c>
      <c r="F1820" s="1" t="s">
        <v>4720</v>
      </c>
      <c r="G1820" s="1" t="s">
        <v>135</v>
      </c>
      <c r="H1820" s="1" t="s">
        <v>867</v>
      </c>
      <c r="I1820" s="1" t="s">
        <v>868</v>
      </c>
      <c r="J1820" s="1" t="s">
        <v>869</v>
      </c>
    </row>
    <row r="1821" ht="15.75" customHeight="1">
      <c r="A1821" s="2">
        <v>1820.0</v>
      </c>
      <c r="B1821" s="1" t="s">
        <v>4497</v>
      </c>
      <c r="C1821" s="1" t="s">
        <v>1492</v>
      </c>
      <c r="D1821" s="1" t="s">
        <v>641</v>
      </c>
      <c r="E1821" s="2">
        <v>5.70038000501E11</v>
      </c>
      <c r="F1821" s="1" t="s">
        <v>4721</v>
      </c>
      <c r="G1821" s="1" t="s">
        <v>12</v>
      </c>
      <c r="H1821" s="1" t="s">
        <v>867</v>
      </c>
      <c r="I1821" s="1" t="s">
        <v>868</v>
      </c>
      <c r="J1821" s="1" t="s">
        <v>869</v>
      </c>
    </row>
    <row r="1822" ht="15.75" customHeight="1">
      <c r="A1822" s="2">
        <v>1821.0</v>
      </c>
      <c r="B1822" s="1" t="s">
        <v>4662</v>
      </c>
      <c r="C1822" s="1" t="s">
        <v>446</v>
      </c>
      <c r="D1822" s="1" t="s">
        <v>81</v>
      </c>
      <c r="E1822" s="2">
        <v>5.7003800051E11</v>
      </c>
      <c r="F1822" s="1" t="s">
        <v>4722</v>
      </c>
      <c r="G1822" s="1" t="s">
        <v>12</v>
      </c>
      <c r="H1822" s="1" t="s">
        <v>867</v>
      </c>
      <c r="I1822" s="1" t="s">
        <v>868</v>
      </c>
      <c r="J1822" s="1" t="s">
        <v>869</v>
      </c>
    </row>
    <row r="1823" ht="15.75" customHeight="1">
      <c r="A1823" s="2">
        <v>1822.0</v>
      </c>
      <c r="B1823" s="1" t="s">
        <v>4723</v>
      </c>
      <c r="C1823" s="1" t="s">
        <v>4724</v>
      </c>
      <c r="D1823" s="1" t="s">
        <v>4725</v>
      </c>
      <c r="E1823" s="2">
        <v>5.70038000518E11</v>
      </c>
      <c r="F1823" s="1" t="s">
        <v>4496</v>
      </c>
      <c r="G1823" s="1" t="s">
        <v>12</v>
      </c>
      <c r="H1823" s="1" t="s">
        <v>867</v>
      </c>
      <c r="I1823" s="1" t="s">
        <v>868</v>
      </c>
      <c r="J1823" s="1" t="s">
        <v>869</v>
      </c>
    </row>
    <row r="1824" ht="15.75" customHeight="1">
      <c r="A1824" s="2">
        <v>1823.0</v>
      </c>
      <c r="B1824" s="1" t="s">
        <v>4726</v>
      </c>
      <c r="C1824" s="1" t="s">
        <v>4727</v>
      </c>
      <c r="D1824" s="1" t="s">
        <v>793</v>
      </c>
      <c r="E1824" s="2">
        <v>5.7003800052E11</v>
      </c>
      <c r="F1824" s="1" t="s">
        <v>4450</v>
      </c>
      <c r="G1824" s="1" t="s">
        <v>12</v>
      </c>
      <c r="H1824" s="1" t="s">
        <v>867</v>
      </c>
      <c r="I1824" s="1" t="s">
        <v>868</v>
      </c>
      <c r="J1824" s="1" t="s">
        <v>869</v>
      </c>
    </row>
    <row r="1825" ht="15.75" customHeight="1">
      <c r="A1825" s="2">
        <v>1824.0</v>
      </c>
      <c r="B1825" s="1" t="s">
        <v>3922</v>
      </c>
      <c r="C1825" s="1" t="s">
        <v>4655</v>
      </c>
      <c r="D1825" s="1" t="s">
        <v>4656</v>
      </c>
      <c r="E1825" s="2">
        <v>5.70038000521E11</v>
      </c>
      <c r="F1825" s="1" t="s">
        <v>4728</v>
      </c>
      <c r="G1825" s="1" t="s">
        <v>12</v>
      </c>
      <c r="H1825" s="1" t="s">
        <v>867</v>
      </c>
      <c r="I1825" s="1" t="s">
        <v>868</v>
      </c>
      <c r="J1825" s="1" t="s">
        <v>869</v>
      </c>
    </row>
    <row r="1826" ht="15.75" customHeight="1">
      <c r="A1826" s="2">
        <v>1825.0</v>
      </c>
      <c r="B1826" s="1" t="s">
        <v>161</v>
      </c>
      <c r="C1826" s="1" t="s">
        <v>4729</v>
      </c>
      <c r="D1826" s="1" t="s">
        <v>838</v>
      </c>
      <c r="E1826" s="2">
        <v>5.70038000524E11</v>
      </c>
      <c r="F1826" s="1" t="s">
        <v>4730</v>
      </c>
      <c r="G1826" s="1" t="s">
        <v>12</v>
      </c>
      <c r="H1826" s="1" t="s">
        <v>867</v>
      </c>
      <c r="I1826" s="1" t="s">
        <v>868</v>
      </c>
      <c r="J1826" s="1" t="s">
        <v>869</v>
      </c>
    </row>
    <row r="1827" ht="15.75" customHeight="1">
      <c r="A1827" s="2">
        <v>1826.0</v>
      </c>
      <c r="B1827" s="1" t="s">
        <v>838</v>
      </c>
      <c r="C1827" s="1" t="s">
        <v>4452</v>
      </c>
      <c r="D1827" s="1" t="s">
        <v>1308</v>
      </c>
      <c r="E1827" s="2">
        <v>5.70038000525E11</v>
      </c>
      <c r="F1827" s="1" t="s">
        <v>4731</v>
      </c>
      <c r="G1827" s="1" t="s">
        <v>12</v>
      </c>
      <c r="H1827" s="1" t="s">
        <v>867</v>
      </c>
      <c r="I1827" s="1" t="s">
        <v>868</v>
      </c>
      <c r="J1827" s="1" t="s">
        <v>869</v>
      </c>
    </row>
    <row r="1828" ht="15.75" customHeight="1">
      <c r="A1828" s="2">
        <v>1827.0</v>
      </c>
      <c r="B1828" s="1" t="s">
        <v>4732</v>
      </c>
      <c r="C1828" s="1" t="s">
        <v>55</v>
      </c>
      <c r="D1828" s="1" t="s">
        <v>97</v>
      </c>
      <c r="E1828" s="2">
        <v>5.70038000526E11</v>
      </c>
      <c r="F1828" s="1" t="s">
        <v>4733</v>
      </c>
      <c r="G1828" s="1" t="s">
        <v>12</v>
      </c>
      <c r="H1828" s="1" t="s">
        <v>867</v>
      </c>
      <c r="I1828" s="1" t="s">
        <v>868</v>
      </c>
      <c r="J1828" s="1" t="s">
        <v>869</v>
      </c>
    </row>
    <row r="1829" ht="15.75" customHeight="1">
      <c r="A1829" s="2">
        <v>1828.0</v>
      </c>
      <c r="B1829" s="1" t="s">
        <v>4734</v>
      </c>
      <c r="C1829" s="1" t="s">
        <v>4735</v>
      </c>
      <c r="D1829" s="1" t="s">
        <v>3338</v>
      </c>
      <c r="E1829" s="2">
        <v>5.70038000548E11</v>
      </c>
      <c r="F1829" s="1" t="s">
        <v>2063</v>
      </c>
      <c r="G1829" s="1" t="s">
        <v>12</v>
      </c>
      <c r="H1829" s="1" t="s">
        <v>867</v>
      </c>
      <c r="I1829" s="1" t="s">
        <v>868</v>
      </c>
      <c r="J1829" s="1" t="s">
        <v>869</v>
      </c>
    </row>
    <row r="1830" ht="15.75" customHeight="1">
      <c r="A1830" s="2">
        <v>1829.0</v>
      </c>
      <c r="B1830" s="1" t="s">
        <v>4736</v>
      </c>
      <c r="C1830" s="1" t="s">
        <v>4737</v>
      </c>
      <c r="D1830" s="1" t="s">
        <v>4738</v>
      </c>
      <c r="E1830" s="2">
        <v>5.70038000549E11</v>
      </c>
      <c r="F1830" s="1" t="s">
        <v>4739</v>
      </c>
      <c r="G1830" s="1" t="s">
        <v>12</v>
      </c>
      <c r="H1830" s="1" t="s">
        <v>867</v>
      </c>
      <c r="I1830" s="1" t="s">
        <v>868</v>
      </c>
      <c r="J1830" s="1" t="s">
        <v>869</v>
      </c>
    </row>
    <row r="1831" ht="15.75" customHeight="1">
      <c r="A1831" s="2">
        <v>1830.0</v>
      </c>
      <c r="B1831" s="1" t="s">
        <v>2020</v>
      </c>
      <c r="C1831" s="1" t="s">
        <v>4740</v>
      </c>
      <c r="D1831" s="1" t="s">
        <v>4741</v>
      </c>
      <c r="E1831" s="2">
        <v>5.70038000552E11</v>
      </c>
      <c r="F1831" s="1" t="s">
        <v>4742</v>
      </c>
      <c r="G1831" s="1" t="s">
        <v>12</v>
      </c>
      <c r="H1831" s="1" t="s">
        <v>867</v>
      </c>
      <c r="I1831" s="1" t="s">
        <v>868</v>
      </c>
      <c r="J1831" s="1" t="s">
        <v>869</v>
      </c>
    </row>
    <row r="1832" ht="15.75" customHeight="1">
      <c r="A1832" s="2">
        <v>1831.0</v>
      </c>
      <c r="B1832" s="1" t="s">
        <v>4743</v>
      </c>
      <c r="C1832" s="1" t="s">
        <v>4218</v>
      </c>
      <c r="D1832" s="1" t="s">
        <v>166</v>
      </c>
      <c r="E1832" s="2">
        <v>5.70038000218E11</v>
      </c>
      <c r="F1832" s="1" t="s">
        <v>4744</v>
      </c>
      <c r="G1832" s="1" t="s">
        <v>12</v>
      </c>
      <c r="H1832" s="1" t="s">
        <v>867</v>
      </c>
      <c r="I1832" s="1" t="s">
        <v>868</v>
      </c>
      <c r="J1832" s="1" t="s">
        <v>869</v>
      </c>
    </row>
    <row r="1833" ht="15.75" customHeight="1">
      <c r="A1833" s="2">
        <v>1832.0</v>
      </c>
      <c r="B1833" s="1" t="s">
        <v>2005</v>
      </c>
      <c r="C1833" s="1" t="s">
        <v>4745</v>
      </c>
      <c r="D1833" s="1" t="s">
        <v>700</v>
      </c>
      <c r="E1833" s="2">
        <v>5.70038000221E11</v>
      </c>
      <c r="F1833" s="1" t="s">
        <v>4746</v>
      </c>
      <c r="G1833" s="1" t="s">
        <v>12</v>
      </c>
      <c r="H1833" s="1" t="s">
        <v>867</v>
      </c>
      <c r="I1833" s="1" t="s">
        <v>868</v>
      </c>
      <c r="J1833" s="1" t="s">
        <v>869</v>
      </c>
    </row>
    <row r="1834" ht="15.75" customHeight="1">
      <c r="A1834" s="2">
        <v>1833.0</v>
      </c>
      <c r="B1834" s="1" t="s">
        <v>453</v>
      </c>
      <c r="C1834" s="1" t="s">
        <v>4745</v>
      </c>
      <c r="D1834" s="1" t="s">
        <v>4747</v>
      </c>
      <c r="E1834" s="2">
        <v>5.70038000222E11</v>
      </c>
      <c r="F1834" s="1" t="s">
        <v>4748</v>
      </c>
      <c r="G1834" s="1" t="s">
        <v>12</v>
      </c>
      <c r="H1834" s="1" t="s">
        <v>867</v>
      </c>
      <c r="I1834" s="1" t="s">
        <v>868</v>
      </c>
      <c r="J1834" s="1" t="s">
        <v>869</v>
      </c>
    </row>
    <row r="1835" ht="15.75" customHeight="1">
      <c r="A1835" s="2">
        <v>1834.0</v>
      </c>
      <c r="B1835" s="1" t="s">
        <v>4312</v>
      </c>
      <c r="C1835" s="1" t="s">
        <v>3693</v>
      </c>
      <c r="D1835" s="1" t="s">
        <v>1611</v>
      </c>
      <c r="E1835" s="2">
        <v>5.70038000224E11</v>
      </c>
      <c r="F1835" s="1" t="s">
        <v>4749</v>
      </c>
      <c r="G1835" s="1" t="s">
        <v>12</v>
      </c>
      <c r="H1835" s="1" t="s">
        <v>4750</v>
      </c>
      <c r="I1835" s="1" t="s">
        <v>868</v>
      </c>
      <c r="J1835" s="1" t="s">
        <v>869</v>
      </c>
      <c r="K1835" s="1"/>
    </row>
    <row r="1836" ht="15.75" customHeight="1">
      <c r="A1836" s="2">
        <v>1835.0</v>
      </c>
      <c r="B1836" s="1" t="s">
        <v>1581</v>
      </c>
      <c r="C1836" s="1" t="s">
        <v>4751</v>
      </c>
      <c r="D1836" s="1" t="s">
        <v>228</v>
      </c>
      <c r="E1836" s="2">
        <v>5.70038000236E11</v>
      </c>
      <c r="F1836" s="1" t="s">
        <v>4752</v>
      </c>
      <c r="G1836" s="1" t="s">
        <v>12</v>
      </c>
      <c r="H1836" s="1" t="s">
        <v>4750</v>
      </c>
      <c r="I1836" s="1" t="s">
        <v>868</v>
      </c>
      <c r="J1836" s="1" t="s">
        <v>869</v>
      </c>
      <c r="K1836" s="1"/>
    </row>
    <row r="1837" ht="15.75" customHeight="1">
      <c r="A1837" s="2">
        <v>1836.0</v>
      </c>
      <c r="B1837" s="1" t="s">
        <v>4753</v>
      </c>
      <c r="C1837" s="1" t="s">
        <v>4415</v>
      </c>
      <c r="D1837" s="1" t="s">
        <v>4754</v>
      </c>
      <c r="E1837" s="2">
        <v>5.70038000245E11</v>
      </c>
      <c r="F1837" s="1" t="s">
        <v>4755</v>
      </c>
      <c r="G1837" s="1" t="s">
        <v>12</v>
      </c>
      <c r="H1837" s="1" t="s">
        <v>4750</v>
      </c>
      <c r="I1837" s="1" t="s">
        <v>868</v>
      </c>
      <c r="J1837" s="1" t="s">
        <v>869</v>
      </c>
      <c r="K1837" s="1"/>
    </row>
    <row r="1838" ht="15.75" customHeight="1">
      <c r="A1838" s="2">
        <v>1837.0</v>
      </c>
      <c r="B1838" s="1" t="s">
        <v>4756</v>
      </c>
      <c r="C1838" s="1" t="s">
        <v>4757</v>
      </c>
      <c r="D1838" s="1" t="s">
        <v>1477</v>
      </c>
      <c r="E1838" s="2">
        <v>5.70038000253E11</v>
      </c>
      <c r="F1838" s="1" t="s">
        <v>4450</v>
      </c>
      <c r="G1838" s="1" t="s">
        <v>12</v>
      </c>
      <c r="H1838" s="1" t="s">
        <v>4750</v>
      </c>
      <c r="I1838" s="1" t="s">
        <v>868</v>
      </c>
      <c r="J1838" s="1" t="s">
        <v>869</v>
      </c>
      <c r="K1838" s="1"/>
    </row>
    <row r="1839" ht="15.75" customHeight="1">
      <c r="A1839" s="2">
        <v>1838.0</v>
      </c>
      <c r="B1839" s="1" t="s">
        <v>4758</v>
      </c>
      <c r="C1839" s="1" t="s">
        <v>3383</v>
      </c>
      <c r="D1839" s="1" t="s">
        <v>4759</v>
      </c>
      <c r="E1839" s="2">
        <v>5.7003800026E11</v>
      </c>
      <c r="F1839" s="1" t="s">
        <v>4760</v>
      </c>
      <c r="G1839" s="1" t="s">
        <v>12</v>
      </c>
      <c r="H1839" s="1" t="s">
        <v>4750</v>
      </c>
      <c r="I1839" s="1" t="s">
        <v>868</v>
      </c>
      <c r="J1839" s="1" t="s">
        <v>869</v>
      </c>
      <c r="K1839" s="1"/>
    </row>
    <row r="1840" ht="15.75" customHeight="1">
      <c r="A1840" s="2">
        <v>1839.0</v>
      </c>
      <c r="B1840" s="1" t="s">
        <v>136</v>
      </c>
      <c r="C1840" s="1" t="s">
        <v>369</v>
      </c>
      <c r="D1840" s="1" t="s">
        <v>4761</v>
      </c>
      <c r="E1840" s="2">
        <v>5.70038000269E11</v>
      </c>
      <c r="F1840" s="1" t="s">
        <v>4762</v>
      </c>
      <c r="G1840" s="1" t="s">
        <v>12</v>
      </c>
      <c r="H1840" s="1" t="s">
        <v>4750</v>
      </c>
      <c r="I1840" s="1" t="s">
        <v>868</v>
      </c>
      <c r="J1840" s="1" t="s">
        <v>869</v>
      </c>
      <c r="K1840" s="1"/>
    </row>
    <row r="1841" ht="15.75" customHeight="1">
      <c r="A1841" s="2">
        <v>1840.0</v>
      </c>
      <c r="B1841" s="1" t="s">
        <v>4763</v>
      </c>
      <c r="C1841" s="1" t="s">
        <v>351</v>
      </c>
      <c r="D1841" s="1" t="s">
        <v>1997</v>
      </c>
      <c r="E1841" s="2">
        <v>5.70038000271E11</v>
      </c>
      <c r="F1841" s="1" t="s">
        <v>4762</v>
      </c>
      <c r="G1841" s="1" t="s">
        <v>135</v>
      </c>
      <c r="H1841" s="1" t="s">
        <v>4750</v>
      </c>
      <c r="I1841" s="1" t="s">
        <v>868</v>
      </c>
      <c r="J1841" s="1" t="s">
        <v>869</v>
      </c>
      <c r="K1841" s="1"/>
    </row>
    <row r="1842" ht="15.75" customHeight="1">
      <c r="A1842" s="2">
        <v>1841.0</v>
      </c>
      <c r="B1842" s="1" t="s">
        <v>4764</v>
      </c>
      <c r="C1842" s="1" t="s">
        <v>4765</v>
      </c>
      <c r="D1842" s="1" t="s">
        <v>2094</v>
      </c>
      <c r="E1842" s="2">
        <v>5.70038000272E11</v>
      </c>
      <c r="F1842" s="1" t="s">
        <v>4766</v>
      </c>
      <c r="G1842" s="1" t="s">
        <v>135</v>
      </c>
      <c r="H1842" s="1" t="s">
        <v>4750</v>
      </c>
      <c r="I1842" s="1" t="s">
        <v>868</v>
      </c>
      <c r="J1842" s="1" t="s">
        <v>869</v>
      </c>
      <c r="K1842" s="1"/>
    </row>
    <row r="1843" ht="15.75" customHeight="1">
      <c r="A1843" s="2">
        <v>1842.0</v>
      </c>
      <c r="B1843" s="1" t="s">
        <v>4767</v>
      </c>
      <c r="C1843" s="1" t="s">
        <v>4768</v>
      </c>
      <c r="D1843" s="1" t="s">
        <v>4707</v>
      </c>
      <c r="E1843" s="2">
        <v>5.70038000273E11</v>
      </c>
      <c r="F1843" s="1" t="s">
        <v>4766</v>
      </c>
      <c r="G1843" s="1" t="s">
        <v>135</v>
      </c>
      <c r="H1843" s="1" t="s">
        <v>4750</v>
      </c>
      <c r="I1843" s="1" t="s">
        <v>868</v>
      </c>
      <c r="J1843" s="1" t="s">
        <v>869</v>
      </c>
      <c r="K1843" s="1"/>
    </row>
    <row r="1844" ht="15.75" customHeight="1">
      <c r="A1844" s="2">
        <v>1843.0</v>
      </c>
      <c r="B1844" s="1" t="s">
        <v>4769</v>
      </c>
      <c r="C1844" s="1" t="s">
        <v>1253</v>
      </c>
      <c r="D1844" s="1" t="s">
        <v>48</v>
      </c>
      <c r="E1844" s="2">
        <v>5.70038000287E11</v>
      </c>
      <c r="F1844" s="1" t="s">
        <v>4770</v>
      </c>
      <c r="G1844" s="1" t="s">
        <v>135</v>
      </c>
      <c r="H1844" s="1" t="s">
        <v>4750</v>
      </c>
      <c r="I1844" s="1" t="s">
        <v>868</v>
      </c>
      <c r="J1844" s="1" t="s">
        <v>869</v>
      </c>
      <c r="K1844" s="1"/>
    </row>
    <row r="1845" ht="15.75" customHeight="1">
      <c r="A1845" s="2">
        <v>1844.0</v>
      </c>
      <c r="B1845" s="1" t="s">
        <v>4771</v>
      </c>
      <c r="C1845" s="1" t="s">
        <v>4772</v>
      </c>
      <c r="D1845" s="1" t="s">
        <v>1458</v>
      </c>
      <c r="E1845" s="2">
        <v>5.70038000308E11</v>
      </c>
      <c r="F1845" s="1" t="s">
        <v>4773</v>
      </c>
      <c r="G1845" s="1" t="s">
        <v>12</v>
      </c>
      <c r="H1845" s="1" t="s">
        <v>4750</v>
      </c>
      <c r="I1845" s="1" t="s">
        <v>868</v>
      </c>
      <c r="J1845" s="1" t="s">
        <v>869</v>
      </c>
      <c r="K1845" s="1"/>
    </row>
    <row r="1846" ht="15.75" customHeight="1">
      <c r="A1846" s="2">
        <v>1845.0</v>
      </c>
      <c r="B1846" s="1" t="s">
        <v>1477</v>
      </c>
      <c r="C1846" s="1" t="s">
        <v>4774</v>
      </c>
      <c r="D1846" s="1" t="s">
        <v>324</v>
      </c>
      <c r="E1846" s="2">
        <v>5.70038000322E11</v>
      </c>
      <c r="F1846" s="1" t="s">
        <v>4775</v>
      </c>
      <c r="G1846" s="1" t="s">
        <v>12</v>
      </c>
      <c r="H1846" s="1" t="s">
        <v>4750</v>
      </c>
      <c r="I1846" s="1" t="s">
        <v>868</v>
      </c>
      <c r="J1846" s="1" t="s">
        <v>869</v>
      </c>
      <c r="K1846" s="1"/>
    </row>
    <row r="1847" ht="15.75" customHeight="1">
      <c r="A1847" s="2">
        <v>1846.0</v>
      </c>
      <c r="B1847" s="1" t="s">
        <v>199</v>
      </c>
      <c r="C1847" s="1" t="s">
        <v>323</v>
      </c>
      <c r="D1847" s="1" t="s">
        <v>4776</v>
      </c>
      <c r="E1847" s="2">
        <v>5.70038000344E11</v>
      </c>
      <c r="F1847" s="1" t="s">
        <v>4777</v>
      </c>
      <c r="G1847" s="1" t="s">
        <v>12</v>
      </c>
      <c r="H1847" s="1" t="s">
        <v>4750</v>
      </c>
      <c r="I1847" s="1" t="s">
        <v>868</v>
      </c>
      <c r="J1847" s="1" t="s">
        <v>869</v>
      </c>
      <c r="K1847" s="1"/>
    </row>
    <row r="1848" ht="15.75" customHeight="1">
      <c r="A1848" s="2">
        <v>1847.0</v>
      </c>
      <c r="B1848" s="1" t="s">
        <v>3465</v>
      </c>
      <c r="C1848" s="1" t="s">
        <v>4778</v>
      </c>
      <c r="D1848" s="1" t="s">
        <v>290</v>
      </c>
      <c r="E1848" s="2">
        <v>5.70038000352E11</v>
      </c>
      <c r="F1848" s="1" t="s">
        <v>4779</v>
      </c>
      <c r="G1848" s="1" t="s">
        <v>12</v>
      </c>
      <c r="H1848" s="1" t="s">
        <v>4750</v>
      </c>
      <c r="I1848" s="1" t="s">
        <v>868</v>
      </c>
      <c r="J1848" s="1" t="s">
        <v>869</v>
      </c>
      <c r="K1848" s="1"/>
    </row>
    <row r="1849" ht="15.75" customHeight="1">
      <c r="A1849" s="2">
        <v>1848.0</v>
      </c>
      <c r="B1849" s="1" t="s">
        <v>4780</v>
      </c>
      <c r="C1849" s="1" t="s">
        <v>51</v>
      </c>
      <c r="D1849" s="1" t="s">
        <v>166</v>
      </c>
      <c r="E1849" s="2">
        <v>5.70038000356E11</v>
      </c>
      <c r="F1849" s="1" t="s">
        <v>4781</v>
      </c>
      <c r="G1849" s="1" t="s">
        <v>12</v>
      </c>
      <c r="H1849" s="1" t="s">
        <v>4750</v>
      </c>
      <c r="I1849" s="1" t="s">
        <v>868</v>
      </c>
      <c r="J1849" s="1" t="s">
        <v>869</v>
      </c>
      <c r="K1849" s="1"/>
    </row>
    <row r="1850" ht="15.75" customHeight="1">
      <c r="A1850" s="2">
        <v>1849.0</v>
      </c>
      <c r="B1850" s="1" t="s">
        <v>136</v>
      </c>
      <c r="C1850" s="1" t="s">
        <v>43</v>
      </c>
      <c r="D1850" s="1" t="s">
        <v>1548</v>
      </c>
      <c r="E1850" s="2">
        <v>5.70038000388E11</v>
      </c>
      <c r="F1850" s="1" t="s">
        <v>4782</v>
      </c>
      <c r="G1850" s="1" t="s">
        <v>135</v>
      </c>
      <c r="H1850" s="1" t="s">
        <v>4750</v>
      </c>
      <c r="I1850" s="1" t="s">
        <v>868</v>
      </c>
      <c r="J1850" s="1" t="s">
        <v>869</v>
      </c>
      <c r="K1850" s="1"/>
    </row>
    <row r="1851" ht="15.75" customHeight="1">
      <c r="A1851" s="2">
        <v>1850.0</v>
      </c>
      <c r="B1851" s="1" t="s">
        <v>230</v>
      </c>
      <c r="C1851" s="1" t="s">
        <v>1415</v>
      </c>
      <c r="D1851" s="1" t="s">
        <v>852</v>
      </c>
      <c r="E1851" s="2">
        <v>5.7003800039E11</v>
      </c>
      <c r="F1851" s="1" t="s">
        <v>4783</v>
      </c>
      <c r="G1851" s="1" t="s">
        <v>12</v>
      </c>
      <c r="H1851" s="1" t="s">
        <v>4750</v>
      </c>
      <c r="I1851" s="1" t="s">
        <v>868</v>
      </c>
      <c r="J1851" s="1" t="s">
        <v>869</v>
      </c>
      <c r="K1851" s="1"/>
    </row>
    <row r="1852" ht="15.75" customHeight="1">
      <c r="A1852" s="2">
        <v>1851.0</v>
      </c>
      <c r="B1852" s="1" t="s">
        <v>2643</v>
      </c>
      <c r="C1852" s="1" t="s">
        <v>176</v>
      </c>
      <c r="D1852" s="1" t="s">
        <v>4784</v>
      </c>
      <c r="E1852" s="2">
        <v>5.70038000394E11</v>
      </c>
      <c r="F1852" s="1" t="s">
        <v>4785</v>
      </c>
      <c r="G1852" s="1" t="s">
        <v>12</v>
      </c>
      <c r="H1852" s="1" t="s">
        <v>4750</v>
      </c>
      <c r="I1852" s="1" t="s">
        <v>868</v>
      </c>
      <c r="J1852" s="1" t="s">
        <v>869</v>
      </c>
      <c r="K1852" s="1"/>
    </row>
    <row r="1853" ht="15.75" customHeight="1">
      <c r="A1853" s="2">
        <v>1852.0</v>
      </c>
      <c r="B1853" s="1" t="s">
        <v>4786</v>
      </c>
      <c r="C1853" s="1" t="s">
        <v>4603</v>
      </c>
      <c r="D1853" s="1" t="s">
        <v>4787</v>
      </c>
      <c r="E1853" s="2">
        <v>5.70038000395E11</v>
      </c>
      <c r="F1853" s="1" t="s">
        <v>4788</v>
      </c>
      <c r="G1853" s="1" t="s">
        <v>135</v>
      </c>
      <c r="H1853" s="1" t="s">
        <v>4750</v>
      </c>
      <c r="I1853" s="1" t="s">
        <v>868</v>
      </c>
      <c r="J1853" s="1" t="s">
        <v>869</v>
      </c>
      <c r="K1853" s="1"/>
    </row>
    <row r="1854" ht="15.75" customHeight="1">
      <c r="A1854" s="2">
        <v>1853.0</v>
      </c>
      <c r="B1854" s="1" t="s">
        <v>1659</v>
      </c>
      <c r="C1854" s="1" t="s">
        <v>4789</v>
      </c>
      <c r="D1854" s="1" t="s">
        <v>4790</v>
      </c>
      <c r="E1854" s="2">
        <v>5.70038000408E11</v>
      </c>
      <c r="F1854" s="1" t="s">
        <v>4791</v>
      </c>
      <c r="G1854" s="1" t="s">
        <v>12</v>
      </c>
      <c r="H1854" s="1" t="s">
        <v>4750</v>
      </c>
      <c r="I1854" s="1" t="s">
        <v>868</v>
      </c>
      <c r="J1854" s="1" t="s">
        <v>869</v>
      </c>
      <c r="K1854" s="1"/>
    </row>
    <row r="1855" ht="15.75" customHeight="1">
      <c r="A1855" s="2">
        <v>1854.0</v>
      </c>
      <c r="B1855" s="1" t="s">
        <v>4792</v>
      </c>
      <c r="C1855" s="1" t="s">
        <v>954</v>
      </c>
      <c r="D1855" s="1" t="s">
        <v>1599</v>
      </c>
      <c r="E1855" s="2">
        <v>5.70038000412E11</v>
      </c>
      <c r="F1855" s="1" t="s">
        <v>4793</v>
      </c>
      <c r="G1855" s="1" t="s">
        <v>12</v>
      </c>
      <c r="H1855" s="1" t="s">
        <v>4750</v>
      </c>
      <c r="I1855" s="1" t="s">
        <v>868</v>
      </c>
      <c r="J1855" s="1" t="s">
        <v>869</v>
      </c>
      <c r="K1855" s="1"/>
    </row>
    <row r="1856" ht="15.75" customHeight="1">
      <c r="A1856" s="2">
        <v>1855.0</v>
      </c>
      <c r="B1856" s="1" t="s">
        <v>40</v>
      </c>
      <c r="C1856" s="1" t="s">
        <v>4794</v>
      </c>
      <c r="D1856" s="1" t="s">
        <v>290</v>
      </c>
      <c r="E1856" s="2">
        <v>5.70038000417E11</v>
      </c>
      <c r="F1856" s="1" t="s">
        <v>4795</v>
      </c>
      <c r="G1856" s="1" t="s">
        <v>12</v>
      </c>
      <c r="H1856" s="1" t="s">
        <v>4750</v>
      </c>
      <c r="I1856" s="1" t="s">
        <v>868</v>
      </c>
      <c r="J1856" s="1" t="s">
        <v>869</v>
      </c>
      <c r="K1856" s="1"/>
    </row>
    <row r="1857" ht="15.75" customHeight="1">
      <c r="A1857" s="2">
        <v>1856.0</v>
      </c>
      <c r="B1857" s="1" t="s">
        <v>267</v>
      </c>
      <c r="C1857" s="1" t="s">
        <v>4210</v>
      </c>
      <c r="D1857" s="1" t="s">
        <v>157</v>
      </c>
      <c r="E1857" s="2">
        <v>5.70038000444E11</v>
      </c>
      <c r="F1857" s="1" t="s">
        <v>4783</v>
      </c>
      <c r="G1857" s="1" t="s">
        <v>12</v>
      </c>
      <c r="H1857" s="1" t="s">
        <v>4750</v>
      </c>
      <c r="I1857" s="1" t="s">
        <v>868</v>
      </c>
      <c r="J1857" s="1" t="s">
        <v>869</v>
      </c>
      <c r="K1857" s="1"/>
    </row>
    <row r="1858" ht="15.75" customHeight="1">
      <c r="A1858" s="2">
        <v>1857.0</v>
      </c>
      <c r="B1858" s="1" t="s">
        <v>1824</v>
      </c>
      <c r="C1858" s="1" t="s">
        <v>4796</v>
      </c>
      <c r="D1858" s="1" t="s">
        <v>1765</v>
      </c>
      <c r="E1858" s="2">
        <v>5.70038000459E11</v>
      </c>
      <c r="F1858" s="1" t="s">
        <v>4762</v>
      </c>
      <c r="G1858" s="1" t="s">
        <v>12</v>
      </c>
      <c r="H1858" s="1" t="s">
        <v>4750</v>
      </c>
      <c r="I1858" s="1" t="s">
        <v>868</v>
      </c>
      <c r="J1858" s="1" t="s">
        <v>869</v>
      </c>
      <c r="K1858" s="1"/>
    </row>
    <row r="1859" ht="15.75" customHeight="1">
      <c r="A1859" s="2">
        <v>1858.0</v>
      </c>
      <c r="B1859" s="1" t="s">
        <v>4648</v>
      </c>
      <c r="C1859" s="1" t="s">
        <v>4135</v>
      </c>
      <c r="D1859" s="1" t="s">
        <v>1458</v>
      </c>
      <c r="E1859" s="2">
        <v>5.70038000461E11</v>
      </c>
      <c r="F1859" s="1" t="s">
        <v>4797</v>
      </c>
      <c r="G1859" s="1" t="s">
        <v>12</v>
      </c>
      <c r="H1859" s="1" t="s">
        <v>4750</v>
      </c>
      <c r="I1859" s="1" t="s">
        <v>868</v>
      </c>
      <c r="J1859" s="1" t="s">
        <v>869</v>
      </c>
      <c r="K1859" s="1"/>
    </row>
    <row r="1860" ht="15.75" customHeight="1">
      <c r="A1860" s="2">
        <v>1859.0</v>
      </c>
      <c r="B1860" s="1" t="s">
        <v>2714</v>
      </c>
      <c r="C1860" s="1" t="s">
        <v>631</v>
      </c>
      <c r="D1860" s="1" t="s">
        <v>875</v>
      </c>
      <c r="E1860" s="2">
        <v>5.70038000462E11</v>
      </c>
      <c r="F1860" s="1" t="s">
        <v>4762</v>
      </c>
      <c r="G1860" s="1" t="s">
        <v>12</v>
      </c>
      <c r="H1860" s="1" t="s">
        <v>4750</v>
      </c>
      <c r="I1860" s="1" t="s">
        <v>868</v>
      </c>
      <c r="J1860" s="1" t="s">
        <v>869</v>
      </c>
      <c r="K1860" s="1"/>
    </row>
    <row r="1861" ht="15.75" customHeight="1">
      <c r="A1861" s="2">
        <v>1860.0</v>
      </c>
      <c r="B1861" s="1" t="s">
        <v>4798</v>
      </c>
      <c r="C1861" s="1" t="s">
        <v>4799</v>
      </c>
      <c r="D1861" s="1" t="s">
        <v>4800</v>
      </c>
      <c r="E1861" s="2">
        <v>5.70038000465E11</v>
      </c>
      <c r="F1861" s="1" t="s">
        <v>4762</v>
      </c>
      <c r="G1861" s="1" t="s">
        <v>12</v>
      </c>
      <c r="H1861" s="1" t="s">
        <v>4750</v>
      </c>
      <c r="I1861" s="1" t="s">
        <v>868</v>
      </c>
      <c r="J1861" s="1" t="s">
        <v>869</v>
      </c>
      <c r="K1861" s="1"/>
    </row>
    <row r="1862" ht="15.75" customHeight="1">
      <c r="A1862" s="2">
        <v>1861.0</v>
      </c>
      <c r="B1862" s="1" t="s">
        <v>4801</v>
      </c>
      <c r="C1862" s="1" t="s">
        <v>4802</v>
      </c>
      <c r="D1862" s="1" t="s">
        <v>1254</v>
      </c>
      <c r="E1862" s="2">
        <v>5.70038000469E11</v>
      </c>
      <c r="F1862" s="1" t="s">
        <v>4803</v>
      </c>
      <c r="G1862" s="1" t="s">
        <v>12</v>
      </c>
      <c r="H1862" s="1" t="s">
        <v>4750</v>
      </c>
      <c r="I1862" s="1" t="s">
        <v>868</v>
      </c>
      <c r="J1862" s="1" t="s">
        <v>869</v>
      </c>
      <c r="K1862" s="1"/>
    </row>
    <row r="1863" ht="15.75" customHeight="1">
      <c r="A1863" s="2">
        <v>1862.0</v>
      </c>
      <c r="B1863" s="1" t="s">
        <v>4804</v>
      </c>
      <c r="C1863" s="1" t="s">
        <v>4805</v>
      </c>
      <c r="D1863" s="1" t="s">
        <v>901</v>
      </c>
      <c r="E1863" s="2">
        <v>5.70038000471E11</v>
      </c>
      <c r="F1863" s="1" t="s">
        <v>4806</v>
      </c>
      <c r="G1863" s="1" t="s">
        <v>135</v>
      </c>
      <c r="H1863" s="1" t="s">
        <v>4750</v>
      </c>
      <c r="I1863" s="1" t="s">
        <v>868</v>
      </c>
      <c r="J1863" s="1" t="s">
        <v>869</v>
      </c>
      <c r="K1863" s="1"/>
    </row>
    <row r="1864" ht="15.75" customHeight="1">
      <c r="A1864" s="2">
        <v>1863.0</v>
      </c>
      <c r="B1864" s="1" t="s">
        <v>4807</v>
      </c>
      <c r="C1864" s="1" t="s">
        <v>400</v>
      </c>
      <c r="D1864" s="1" t="s">
        <v>42</v>
      </c>
      <c r="E1864" s="2">
        <v>5.70038000482E11</v>
      </c>
      <c r="F1864" s="1" t="s">
        <v>4808</v>
      </c>
      <c r="G1864" s="1" t="s">
        <v>12</v>
      </c>
      <c r="H1864" s="1" t="s">
        <v>4750</v>
      </c>
      <c r="I1864" s="1" t="s">
        <v>868</v>
      </c>
      <c r="J1864" s="1" t="s">
        <v>869</v>
      </c>
      <c r="K1864" s="1"/>
    </row>
    <row r="1865" ht="15.75" customHeight="1">
      <c r="A1865" s="2">
        <v>1864.0</v>
      </c>
      <c r="B1865" s="1" t="s">
        <v>1824</v>
      </c>
      <c r="C1865" s="1" t="s">
        <v>4809</v>
      </c>
      <c r="D1865" s="1" t="s">
        <v>1649</v>
      </c>
      <c r="E1865" s="2">
        <v>5.70038000516E11</v>
      </c>
      <c r="F1865" s="1" t="s">
        <v>4810</v>
      </c>
      <c r="G1865" s="1" t="s">
        <v>12</v>
      </c>
      <c r="H1865" s="1" t="s">
        <v>4750</v>
      </c>
      <c r="I1865" s="1" t="s">
        <v>868</v>
      </c>
      <c r="J1865" s="1" t="s">
        <v>869</v>
      </c>
      <c r="K1865" s="1"/>
    </row>
    <row r="1866" ht="15.75" customHeight="1">
      <c r="A1866" s="2">
        <v>1865.0</v>
      </c>
      <c r="B1866" s="1" t="s">
        <v>149</v>
      </c>
      <c r="C1866" s="1" t="s">
        <v>4811</v>
      </c>
      <c r="D1866" s="1" t="s">
        <v>433</v>
      </c>
      <c r="E1866" s="2">
        <v>5.70038000517E11</v>
      </c>
      <c r="F1866" s="1" t="s">
        <v>4812</v>
      </c>
      <c r="G1866" s="1" t="s">
        <v>12</v>
      </c>
      <c r="H1866" s="1" t="s">
        <v>4750</v>
      </c>
      <c r="I1866" s="1" t="s">
        <v>868</v>
      </c>
      <c r="J1866" s="1" t="s">
        <v>869</v>
      </c>
      <c r="K1866" s="1"/>
    </row>
    <row r="1867" ht="15.75" customHeight="1">
      <c r="A1867" s="2">
        <v>1866.0</v>
      </c>
      <c r="B1867" s="1" t="s">
        <v>974</v>
      </c>
      <c r="C1867" s="1" t="s">
        <v>4813</v>
      </c>
      <c r="D1867" s="1" t="s">
        <v>2288</v>
      </c>
      <c r="E1867" s="2">
        <v>5.70038000519E11</v>
      </c>
      <c r="F1867" s="1" t="s">
        <v>4762</v>
      </c>
      <c r="G1867" s="1" t="s">
        <v>12</v>
      </c>
      <c r="H1867" s="1" t="s">
        <v>4750</v>
      </c>
      <c r="I1867" s="1" t="s">
        <v>868</v>
      </c>
      <c r="J1867" s="1" t="s">
        <v>869</v>
      </c>
      <c r="K1867" s="1"/>
    </row>
    <row r="1868" ht="15.75" customHeight="1">
      <c r="A1868" s="2">
        <v>1867.0</v>
      </c>
      <c r="B1868" s="1" t="s">
        <v>4814</v>
      </c>
      <c r="C1868" s="1" t="s">
        <v>67</v>
      </c>
      <c r="D1868" s="1" t="s">
        <v>513</v>
      </c>
      <c r="E1868" s="2">
        <v>5.70038000228E11</v>
      </c>
      <c r="F1868" s="1" t="s">
        <v>4815</v>
      </c>
      <c r="G1868" s="1" t="s">
        <v>417</v>
      </c>
      <c r="H1868" s="1" t="s">
        <v>4750</v>
      </c>
      <c r="I1868" s="1" t="s">
        <v>868</v>
      </c>
      <c r="J1868" s="1" t="s">
        <v>869</v>
      </c>
      <c r="K1868" s="1"/>
    </row>
    <row r="1869" ht="15.75" customHeight="1">
      <c r="A1869" s="2">
        <v>1868.0</v>
      </c>
      <c r="B1869" s="1" t="s">
        <v>974</v>
      </c>
      <c r="C1869" s="1" t="s">
        <v>4816</v>
      </c>
      <c r="D1869" s="1" t="s">
        <v>4817</v>
      </c>
      <c r="E1869" s="2">
        <v>5.70038000231E11</v>
      </c>
      <c r="F1869" s="1" t="s">
        <v>4818</v>
      </c>
      <c r="G1869" s="1" t="s">
        <v>135</v>
      </c>
      <c r="H1869" s="1" t="s">
        <v>4750</v>
      </c>
      <c r="I1869" s="1" t="s">
        <v>868</v>
      </c>
      <c r="J1869" s="1" t="s">
        <v>869</v>
      </c>
      <c r="K1869" s="1"/>
    </row>
    <row r="1870" ht="15.75" customHeight="1">
      <c r="A1870" s="2">
        <v>1869.0</v>
      </c>
      <c r="B1870" s="1" t="s">
        <v>4819</v>
      </c>
      <c r="C1870" s="1" t="s">
        <v>4820</v>
      </c>
      <c r="D1870" s="1" t="s">
        <v>279</v>
      </c>
      <c r="E1870" s="2">
        <v>5.70038000246E11</v>
      </c>
      <c r="F1870" s="1" t="s">
        <v>4821</v>
      </c>
      <c r="G1870" s="1" t="s">
        <v>135</v>
      </c>
      <c r="H1870" s="1" t="s">
        <v>4750</v>
      </c>
      <c r="I1870" s="1" t="s">
        <v>868</v>
      </c>
      <c r="J1870" s="1" t="s">
        <v>869</v>
      </c>
      <c r="K1870" s="1"/>
    </row>
    <row r="1871" ht="15.75" customHeight="1">
      <c r="A1871" s="2">
        <v>1870.0</v>
      </c>
      <c r="B1871" s="1" t="s">
        <v>4822</v>
      </c>
      <c r="C1871" s="1" t="s">
        <v>4823</v>
      </c>
      <c r="D1871" s="1" t="s">
        <v>97</v>
      </c>
      <c r="E1871" s="2">
        <v>5.70038000257E11</v>
      </c>
      <c r="F1871" s="1" t="s">
        <v>4824</v>
      </c>
      <c r="G1871" s="1" t="s">
        <v>12</v>
      </c>
      <c r="H1871" s="1" t="s">
        <v>4750</v>
      </c>
      <c r="I1871" s="1" t="s">
        <v>868</v>
      </c>
      <c r="J1871" s="1" t="s">
        <v>869</v>
      </c>
      <c r="K1871" s="1"/>
    </row>
    <row r="1872" ht="15.75" customHeight="1">
      <c r="A1872" s="2">
        <v>1871.0</v>
      </c>
      <c r="B1872" s="1" t="s">
        <v>4825</v>
      </c>
      <c r="C1872" s="1" t="s">
        <v>4826</v>
      </c>
      <c r="D1872" s="1" t="s">
        <v>324</v>
      </c>
      <c r="E1872" s="2">
        <v>5.70038000268E11</v>
      </c>
      <c r="F1872" s="1" t="s">
        <v>4827</v>
      </c>
      <c r="G1872" s="1" t="s">
        <v>135</v>
      </c>
      <c r="H1872" s="1" t="s">
        <v>4750</v>
      </c>
      <c r="I1872" s="1" t="s">
        <v>868</v>
      </c>
      <c r="J1872" s="1" t="s">
        <v>869</v>
      </c>
      <c r="K1872" s="1"/>
    </row>
    <row r="1873" ht="15.75" customHeight="1">
      <c r="A1873" s="2">
        <v>1872.0</v>
      </c>
      <c r="B1873" s="1" t="s">
        <v>4828</v>
      </c>
      <c r="C1873" s="1" t="s">
        <v>3769</v>
      </c>
      <c r="D1873" s="1" t="s">
        <v>455</v>
      </c>
      <c r="E1873" s="2">
        <v>5.70038000276E11</v>
      </c>
      <c r="F1873" s="1" t="s">
        <v>4829</v>
      </c>
      <c r="G1873" s="1" t="s">
        <v>135</v>
      </c>
      <c r="H1873" s="1" t="s">
        <v>4750</v>
      </c>
      <c r="I1873" s="1" t="s">
        <v>868</v>
      </c>
      <c r="J1873" s="1" t="s">
        <v>869</v>
      </c>
      <c r="K1873" s="1"/>
    </row>
    <row r="1874" ht="15.75" customHeight="1">
      <c r="A1874" s="2">
        <v>1873.0</v>
      </c>
      <c r="B1874" s="1" t="s">
        <v>1609</v>
      </c>
      <c r="C1874" s="1" t="s">
        <v>176</v>
      </c>
      <c r="D1874" s="1" t="s">
        <v>10</v>
      </c>
      <c r="E1874" s="2">
        <v>5.70038000279E11</v>
      </c>
      <c r="F1874" s="1" t="s">
        <v>4830</v>
      </c>
      <c r="G1874" s="1" t="s">
        <v>12</v>
      </c>
      <c r="H1874" s="1" t="s">
        <v>4750</v>
      </c>
      <c r="I1874" s="1" t="s">
        <v>868</v>
      </c>
      <c r="J1874" s="1" t="s">
        <v>869</v>
      </c>
      <c r="K1874" s="1"/>
    </row>
    <row r="1875" ht="15.75" customHeight="1">
      <c r="A1875" s="2">
        <v>1874.0</v>
      </c>
      <c r="B1875" s="1" t="s">
        <v>18</v>
      </c>
      <c r="C1875" s="1" t="s">
        <v>1293</v>
      </c>
      <c r="D1875" s="1" t="s">
        <v>267</v>
      </c>
      <c r="E1875" s="2">
        <v>5.70038000283E11</v>
      </c>
      <c r="F1875" s="1" t="s">
        <v>4829</v>
      </c>
      <c r="G1875" s="1" t="s">
        <v>12</v>
      </c>
      <c r="H1875" s="1" t="s">
        <v>4750</v>
      </c>
      <c r="I1875" s="1" t="s">
        <v>868</v>
      </c>
      <c r="J1875" s="1" t="s">
        <v>869</v>
      </c>
      <c r="K1875" s="1"/>
    </row>
    <row r="1876" ht="15.75" customHeight="1">
      <c r="A1876" s="2">
        <v>1875.0</v>
      </c>
      <c r="B1876" s="1" t="s">
        <v>4831</v>
      </c>
      <c r="C1876" s="1" t="s">
        <v>3369</v>
      </c>
      <c r="D1876" s="1" t="s">
        <v>4832</v>
      </c>
      <c r="E1876" s="2">
        <v>5.70038000303E11</v>
      </c>
      <c r="F1876" s="1" t="s">
        <v>4833</v>
      </c>
      <c r="G1876" s="1" t="s">
        <v>12</v>
      </c>
      <c r="H1876" s="1" t="s">
        <v>4750</v>
      </c>
      <c r="I1876" s="1" t="s">
        <v>868</v>
      </c>
      <c r="J1876" s="1" t="s">
        <v>869</v>
      </c>
      <c r="K1876" s="1"/>
    </row>
    <row r="1877" ht="15.75" customHeight="1">
      <c r="A1877" s="2">
        <v>1876.0</v>
      </c>
      <c r="B1877" s="1" t="s">
        <v>4834</v>
      </c>
      <c r="C1877" s="1" t="s">
        <v>3426</v>
      </c>
      <c r="D1877" s="1" t="s">
        <v>4835</v>
      </c>
      <c r="E1877" s="2">
        <v>5.70038000306E11</v>
      </c>
      <c r="F1877" s="1" t="s">
        <v>4836</v>
      </c>
      <c r="G1877" s="1" t="s">
        <v>12</v>
      </c>
      <c r="H1877" s="1" t="s">
        <v>4750</v>
      </c>
      <c r="I1877" s="1" t="s">
        <v>868</v>
      </c>
      <c r="J1877" s="1" t="s">
        <v>869</v>
      </c>
      <c r="K1877" s="1"/>
    </row>
    <row r="1878" ht="15.75" customHeight="1">
      <c r="A1878" s="2">
        <v>1877.0</v>
      </c>
      <c r="B1878" s="1" t="s">
        <v>471</v>
      </c>
      <c r="C1878" s="1" t="s">
        <v>4837</v>
      </c>
      <c r="D1878" s="1" t="s">
        <v>540</v>
      </c>
      <c r="E1878" s="2">
        <v>5.70038000307E11</v>
      </c>
      <c r="F1878" s="1" t="s">
        <v>4833</v>
      </c>
      <c r="G1878" s="1" t="s">
        <v>12</v>
      </c>
      <c r="H1878" s="1" t="s">
        <v>4750</v>
      </c>
      <c r="I1878" s="1" t="s">
        <v>868</v>
      </c>
      <c r="J1878" s="1" t="s">
        <v>869</v>
      </c>
      <c r="K1878" s="1"/>
    </row>
    <row r="1879" ht="15.75" customHeight="1">
      <c r="A1879" s="2">
        <v>1878.0</v>
      </c>
      <c r="B1879" s="1" t="s">
        <v>1708</v>
      </c>
      <c r="C1879" s="1" t="s">
        <v>820</v>
      </c>
      <c r="D1879" s="1" t="s">
        <v>384</v>
      </c>
      <c r="E1879" s="2">
        <v>5.70038000319E11</v>
      </c>
      <c r="F1879" s="1" t="s">
        <v>4838</v>
      </c>
      <c r="G1879" s="1" t="s">
        <v>135</v>
      </c>
      <c r="H1879" s="1" t="s">
        <v>4750</v>
      </c>
      <c r="I1879" s="1" t="s">
        <v>868</v>
      </c>
      <c r="J1879" s="1" t="s">
        <v>869</v>
      </c>
      <c r="K1879" s="1"/>
    </row>
    <row r="1880" ht="15.75" customHeight="1">
      <c r="A1880" s="2">
        <v>1879.0</v>
      </c>
      <c r="B1880" s="1" t="s">
        <v>4839</v>
      </c>
      <c r="C1880" s="1" t="s">
        <v>4840</v>
      </c>
      <c r="D1880" s="1" t="s">
        <v>3359</v>
      </c>
      <c r="E1880" s="2">
        <v>5.70038000334E11</v>
      </c>
      <c r="F1880" s="1" t="s">
        <v>4841</v>
      </c>
      <c r="G1880" s="1" t="s">
        <v>135</v>
      </c>
      <c r="H1880" s="1" t="s">
        <v>4750</v>
      </c>
      <c r="I1880" s="1" t="s">
        <v>868</v>
      </c>
      <c r="J1880" s="1" t="s">
        <v>869</v>
      </c>
      <c r="K1880" s="1"/>
    </row>
    <row r="1881" ht="15.75" customHeight="1">
      <c r="A1881" s="2">
        <v>1880.0</v>
      </c>
      <c r="B1881" s="1" t="s">
        <v>4842</v>
      </c>
      <c r="C1881" s="1" t="s">
        <v>4843</v>
      </c>
      <c r="D1881" s="1" t="s">
        <v>4844</v>
      </c>
      <c r="E1881" s="2">
        <v>5.70038000336E11</v>
      </c>
      <c r="F1881" s="1" t="s">
        <v>4845</v>
      </c>
      <c r="G1881" s="1" t="s">
        <v>12</v>
      </c>
      <c r="H1881" s="1" t="s">
        <v>4750</v>
      </c>
      <c r="I1881" s="1" t="s">
        <v>868</v>
      </c>
      <c r="J1881" s="1" t="s">
        <v>869</v>
      </c>
      <c r="K1881" s="1"/>
    </row>
    <row r="1882" ht="15.75" customHeight="1">
      <c r="A1882" s="2">
        <v>1881.0</v>
      </c>
      <c r="B1882" s="1" t="s">
        <v>4846</v>
      </c>
      <c r="C1882" s="1" t="s">
        <v>4847</v>
      </c>
      <c r="D1882" s="1" t="s">
        <v>3776</v>
      </c>
      <c r="E1882" s="2">
        <v>5.70038000345E11</v>
      </c>
      <c r="F1882" s="1" t="s">
        <v>4848</v>
      </c>
      <c r="G1882" s="1" t="s">
        <v>135</v>
      </c>
      <c r="H1882" s="1" t="s">
        <v>4750</v>
      </c>
      <c r="I1882" s="1" t="s">
        <v>868</v>
      </c>
      <c r="J1882" s="1" t="s">
        <v>869</v>
      </c>
      <c r="K1882" s="1"/>
    </row>
    <row r="1883" ht="15.75" customHeight="1">
      <c r="A1883" s="2">
        <v>1882.0</v>
      </c>
      <c r="B1883" s="1" t="s">
        <v>1674</v>
      </c>
      <c r="C1883" s="1" t="s">
        <v>4849</v>
      </c>
      <c r="D1883" s="1" t="s">
        <v>4399</v>
      </c>
      <c r="E1883" s="2">
        <v>5.7003800035E11</v>
      </c>
      <c r="F1883" s="1" t="s">
        <v>4850</v>
      </c>
      <c r="G1883" s="1" t="s">
        <v>135</v>
      </c>
      <c r="H1883" s="1" t="s">
        <v>4750</v>
      </c>
      <c r="I1883" s="1" t="s">
        <v>868</v>
      </c>
      <c r="J1883" s="1" t="s">
        <v>869</v>
      </c>
      <c r="K1883" s="1"/>
    </row>
    <row r="1884" ht="15.75" customHeight="1">
      <c r="A1884" s="2">
        <v>1883.0</v>
      </c>
      <c r="B1884" s="1" t="s">
        <v>297</v>
      </c>
      <c r="C1884" s="1" t="s">
        <v>1156</v>
      </c>
      <c r="D1884" s="1" t="s">
        <v>679</v>
      </c>
      <c r="E1884" s="2">
        <v>5.70038000355E11</v>
      </c>
      <c r="F1884" s="1" t="s">
        <v>4836</v>
      </c>
      <c r="G1884" s="1" t="s">
        <v>135</v>
      </c>
      <c r="H1884" s="1" t="s">
        <v>4750</v>
      </c>
      <c r="I1884" s="1" t="s">
        <v>868</v>
      </c>
      <c r="J1884" s="1" t="s">
        <v>869</v>
      </c>
      <c r="K1884" s="1"/>
    </row>
    <row r="1885" ht="15.75" customHeight="1">
      <c r="A1885" s="2">
        <v>1884.0</v>
      </c>
      <c r="B1885" s="1" t="s">
        <v>4851</v>
      </c>
      <c r="C1885" s="1" t="s">
        <v>4852</v>
      </c>
      <c r="D1885" s="1" t="s">
        <v>4853</v>
      </c>
      <c r="E1885" s="2">
        <v>5.70038000363E11</v>
      </c>
      <c r="F1885" s="1" t="s">
        <v>4854</v>
      </c>
      <c r="G1885" s="1" t="s">
        <v>135</v>
      </c>
      <c r="H1885" s="1" t="s">
        <v>4750</v>
      </c>
      <c r="I1885" s="1" t="s">
        <v>868</v>
      </c>
      <c r="J1885" s="1" t="s">
        <v>869</v>
      </c>
      <c r="K1885" s="1"/>
    </row>
    <row r="1886" ht="15.75" customHeight="1">
      <c r="A1886" s="2">
        <v>1885.0</v>
      </c>
      <c r="B1886" s="1" t="s">
        <v>4855</v>
      </c>
      <c r="C1886" s="1" t="s">
        <v>4856</v>
      </c>
      <c r="D1886" s="1" t="s">
        <v>18</v>
      </c>
      <c r="E1886" s="2">
        <v>5.70038000374E11</v>
      </c>
      <c r="F1886" s="1" t="s">
        <v>4857</v>
      </c>
      <c r="G1886" s="1" t="s">
        <v>12</v>
      </c>
      <c r="H1886" s="1" t="s">
        <v>4750</v>
      </c>
      <c r="I1886" s="1" t="s">
        <v>868</v>
      </c>
      <c r="J1886" s="1" t="s">
        <v>869</v>
      </c>
      <c r="K1886" s="1"/>
    </row>
    <row r="1887" ht="15.75" customHeight="1">
      <c r="A1887" s="2">
        <v>1886.0</v>
      </c>
      <c r="B1887" s="1" t="s">
        <v>4858</v>
      </c>
      <c r="C1887" s="1" t="s">
        <v>4859</v>
      </c>
      <c r="D1887" s="1" t="s">
        <v>48</v>
      </c>
      <c r="E1887" s="2">
        <v>5.70038000379E11</v>
      </c>
      <c r="F1887" s="1" t="s">
        <v>4838</v>
      </c>
      <c r="G1887" s="1" t="s">
        <v>12</v>
      </c>
      <c r="H1887" s="1" t="s">
        <v>4750</v>
      </c>
      <c r="I1887" s="1" t="s">
        <v>868</v>
      </c>
      <c r="J1887" s="1" t="s">
        <v>869</v>
      </c>
      <c r="K1887" s="1"/>
    </row>
    <row r="1888" ht="15.75" customHeight="1">
      <c r="A1888" s="2">
        <v>1887.0</v>
      </c>
      <c r="B1888" s="1" t="s">
        <v>1708</v>
      </c>
      <c r="C1888" s="1" t="s">
        <v>1570</v>
      </c>
      <c r="D1888" s="1" t="s">
        <v>552</v>
      </c>
      <c r="E1888" s="2">
        <v>5.70038000381E11</v>
      </c>
      <c r="F1888" s="1" t="s">
        <v>4860</v>
      </c>
      <c r="G1888" s="1" t="s">
        <v>12</v>
      </c>
      <c r="H1888" s="1" t="s">
        <v>4750</v>
      </c>
      <c r="I1888" s="1" t="s">
        <v>868</v>
      </c>
      <c r="J1888" s="1" t="s">
        <v>869</v>
      </c>
      <c r="K1888" s="1"/>
    </row>
    <row r="1889" ht="15.75" customHeight="1">
      <c r="A1889" s="2">
        <v>1888.0</v>
      </c>
      <c r="B1889" s="1" t="s">
        <v>4861</v>
      </c>
      <c r="C1889" s="1" t="s">
        <v>4862</v>
      </c>
      <c r="D1889" s="1" t="s">
        <v>3737</v>
      </c>
      <c r="E1889" s="2">
        <v>5.70038000384E11</v>
      </c>
      <c r="F1889" s="1" t="s">
        <v>4863</v>
      </c>
      <c r="G1889" s="1" t="s">
        <v>135</v>
      </c>
      <c r="H1889" s="1" t="s">
        <v>4750</v>
      </c>
      <c r="I1889" s="1" t="s">
        <v>868</v>
      </c>
      <c r="J1889" s="1" t="s">
        <v>869</v>
      </c>
      <c r="K1889" s="1"/>
    </row>
    <row r="1890" ht="15.75" customHeight="1">
      <c r="A1890" s="2">
        <v>1889.0</v>
      </c>
      <c r="B1890" s="1" t="s">
        <v>2651</v>
      </c>
      <c r="C1890" s="1" t="s">
        <v>4864</v>
      </c>
      <c r="D1890" s="1" t="s">
        <v>498</v>
      </c>
      <c r="E1890" s="2">
        <v>5.70038000399E11</v>
      </c>
      <c r="F1890" s="1" t="s">
        <v>4829</v>
      </c>
      <c r="G1890" s="1" t="s">
        <v>12</v>
      </c>
      <c r="H1890" s="1" t="s">
        <v>4750</v>
      </c>
      <c r="I1890" s="1" t="s">
        <v>868</v>
      </c>
      <c r="J1890" s="1" t="s">
        <v>869</v>
      </c>
      <c r="K1890" s="1"/>
    </row>
    <row r="1891" ht="15.75" customHeight="1">
      <c r="A1891" s="2">
        <v>1890.0</v>
      </c>
      <c r="B1891" s="1" t="s">
        <v>4438</v>
      </c>
      <c r="C1891" s="1" t="s">
        <v>4865</v>
      </c>
      <c r="D1891" s="1" t="s">
        <v>482</v>
      </c>
      <c r="E1891" s="2">
        <v>5.70038000403E11</v>
      </c>
      <c r="F1891" s="1" t="s">
        <v>4866</v>
      </c>
      <c r="G1891" s="1" t="s">
        <v>12</v>
      </c>
      <c r="H1891" s="1" t="s">
        <v>4750</v>
      </c>
      <c r="I1891" s="1" t="s">
        <v>868</v>
      </c>
      <c r="J1891" s="1" t="s">
        <v>869</v>
      </c>
      <c r="K1891" s="1"/>
    </row>
    <row r="1892" ht="15.75" customHeight="1">
      <c r="A1892" s="2">
        <v>1891.0</v>
      </c>
      <c r="B1892" s="1" t="s">
        <v>571</v>
      </c>
      <c r="C1892" s="1" t="s">
        <v>4622</v>
      </c>
      <c r="D1892" s="1" t="s">
        <v>97</v>
      </c>
      <c r="E1892" s="2">
        <v>5.7003800041E11</v>
      </c>
      <c r="F1892" s="1" t="s">
        <v>4867</v>
      </c>
      <c r="G1892" s="1" t="s">
        <v>12</v>
      </c>
      <c r="H1892" s="1" t="s">
        <v>4750</v>
      </c>
      <c r="I1892" s="1" t="s">
        <v>868</v>
      </c>
      <c r="J1892" s="1" t="s">
        <v>869</v>
      </c>
      <c r="K1892" s="1"/>
    </row>
    <row r="1893" ht="15.75" customHeight="1">
      <c r="A1893" s="2">
        <v>1892.0</v>
      </c>
      <c r="B1893" s="1" t="s">
        <v>303</v>
      </c>
      <c r="C1893" s="1" t="s">
        <v>4868</v>
      </c>
      <c r="D1893" s="1" t="s">
        <v>1771</v>
      </c>
      <c r="E1893" s="2">
        <v>5.70038000411E11</v>
      </c>
      <c r="F1893" s="1" t="s">
        <v>4838</v>
      </c>
      <c r="G1893" s="1" t="s">
        <v>12</v>
      </c>
      <c r="H1893" s="1" t="s">
        <v>4750</v>
      </c>
      <c r="I1893" s="1" t="s">
        <v>868</v>
      </c>
      <c r="J1893" s="1" t="s">
        <v>869</v>
      </c>
      <c r="K1893" s="1"/>
    </row>
    <row r="1894" ht="15.75" customHeight="1">
      <c r="A1894" s="2">
        <v>1893.0</v>
      </c>
      <c r="B1894" s="1" t="s">
        <v>4869</v>
      </c>
      <c r="C1894" s="1" t="s">
        <v>4870</v>
      </c>
      <c r="D1894" s="1" t="s">
        <v>228</v>
      </c>
      <c r="E1894" s="2">
        <v>5.70038000436E11</v>
      </c>
      <c r="F1894" s="1" t="s">
        <v>4871</v>
      </c>
      <c r="G1894" s="1" t="s">
        <v>135</v>
      </c>
      <c r="H1894" s="1" t="s">
        <v>4750</v>
      </c>
      <c r="I1894" s="1" t="s">
        <v>868</v>
      </c>
      <c r="J1894" s="1" t="s">
        <v>869</v>
      </c>
      <c r="K1894" s="1"/>
    </row>
    <row r="1895" ht="15.75" customHeight="1">
      <c r="A1895" s="2">
        <v>1894.0</v>
      </c>
      <c r="B1895" s="1" t="s">
        <v>4872</v>
      </c>
      <c r="C1895" s="1" t="s">
        <v>1504</v>
      </c>
      <c r="D1895" s="1" t="s">
        <v>4873</v>
      </c>
      <c r="E1895" s="2">
        <v>5.70038000438E11</v>
      </c>
      <c r="F1895" s="1" t="s">
        <v>4874</v>
      </c>
      <c r="G1895" s="1" t="s">
        <v>135</v>
      </c>
      <c r="H1895" s="1" t="s">
        <v>4750</v>
      </c>
      <c r="I1895" s="1" t="s">
        <v>868</v>
      </c>
      <c r="J1895" s="1" t="s">
        <v>869</v>
      </c>
      <c r="K1895" s="1"/>
    </row>
    <row r="1896" ht="15.75" customHeight="1">
      <c r="A1896" s="2">
        <v>1895.0</v>
      </c>
      <c r="B1896" s="1" t="s">
        <v>4875</v>
      </c>
      <c r="C1896" s="1" t="s">
        <v>4876</v>
      </c>
      <c r="D1896" s="1" t="s">
        <v>4877</v>
      </c>
      <c r="E1896" s="2">
        <v>5.70038000445E11</v>
      </c>
      <c r="F1896" s="1" t="s">
        <v>4878</v>
      </c>
      <c r="G1896" s="1" t="s">
        <v>12</v>
      </c>
      <c r="H1896" s="1" t="s">
        <v>4750</v>
      </c>
      <c r="I1896" s="1" t="s">
        <v>868</v>
      </c>
      <c r="J1896" s="1" t="s">
        <v>869</v>
      </c>
      <c r="K1896" s="1"/>
    </row>
    <row r="1897" ht="15.75" customHeight="1">
      <c r="A1897" s="2">
        <v>1896.0</v>
      </c>
      <c r="B1897" s="1" t="s">
        <v>1254</v>
      </c>
      <c r="C1897" s="1" t="s">
        <v>2844</v>
      </c>
      <c r="D1897" s="1" t="s">
        <v>161</v>
      </c>
      <c r="E1897" s="2">
        <v>5.70038000449E11</v>
      </c>
      <c r="F1897" s="1" t="s">
        <v>4879</v>
      </c>
      <c r="G1897" s="1" t="s">
        <v>12</v>
      </c>
      <c r="H1897" s="1" t="s">
        <v>4750</v>
      </c>
      <c r="I1897" s="1" t="s">
        <v>868</v>
      </c>
      <c r="J1897" s="1" t="s">
        <v>869</v>
      </c>
      <c r="K1897" s="1"/>
    </row>
    <row r="1898" ht="15.75" customHeight="1">
      <c r="A1898" s="2">
        <v>1897.0</v>
      </c>
      <c r="B1898" s="1" t="s">
        <v>131</v>
      </c>
      <c r="C1898" s="1" t="s">
        <v>1176</v>
      </c>
      <c r="D1898" s="1" t="s">
        <v>4880</v>
      </c>
      <c r="E1898" s="2">
        <v>5.70038000452E11</v>
      </c>
      <c r="F1898" s="1" t="s">
        <v>4830</v>
      </c>
      <c r="G1898" s="1" t="s">
        <v>12</v>
      </c>
      <c r="H1898" s="1" t="s">
        <v>4750</v>
      </c>
      <c r="I1898" s="1" t="s">
        <v>868</v>
      </c>
      <c r="J1898" s="1" t="s">
        <v>869</v>
      </c>
      <c r="K1898" s="1"/>
    </row>
    <row r="1899" ht="15.75" customHeight="1">
      <c r="A1899" s="2">
        <v>1898.0</v>
      </c>
      <c r="B1899" s="1" t="s">
        <v>4881</v>
      </c>
      <c r="C1899" s="1" t="s">
        <v>4882</v>
      </c>
      <c r="D1899" s="1" t="s">
        <v>4393</v>
      </c>
      <c r="E1899" s="2">
        <v>5.70038000467E11</v>
      </c>
      <c r="F1899" s="1" t="s">
        <v>4830</v>
      </c>
      <c r="G1899" s="1" t="s">
        <v>12</v>
      </c>
      <c r="H1899" s="1" t="s">
        <v>4750</v>
      </c>
      <c r="I1899" s="1" t="s">
        <v>868</v>
      </c>
      <c r="J1899" s="1" t="s">
        <v>869</v>
      </c>
      <c r="K1899" s="1"/>
    </row>
    <row r="1900" ht="15.75" customHeight="1">
      <c r="A1900" s="2">
        <v>1899.0</v>
      </c>
      <c r="B1900" s="1" t="s">
        <v>4801</v>
      </c>
      <c r="C1900" s="1" t="s">
        <v>2581</v>
      </c>
      <c r="D1900" s="1" t="s">
        <v>58</v>
      </c>
      <c r="E1900" s="2">
        <v>5.70038000474E11</v>
      </c>
      <c r="F1900" s="1" t="s">
        <v>4830</v>
      </c>
      <c r="G1900" s="1" t="s">
        <v>12</v>
      </c>
      <c r="H1900" s="1" t="s">
        <v>4750</v>
      </c>
      <c r="I1900" s="1" t="s">
        <v>868</v>
      </c>
      <c r="J1900" s="1" t="s">
        <v>869</v>
      </c>
      <c r="K1900" s="1"/>
    </row>
    <row r="1901" ht="15.75" customHeight="1">
      <c r="A1901" s="2">
        <v>1900.0</v>
      </c>
      <c r="B1901" s="1" t="s">
        <v>183</v>
      </c>
      <c r="C1901" s="1" t="s">
        <v>4883</v>
      </c>
      <c r="D1901" s="1" t="s">
        <v>789</v>
      </c>
      <c r="E1901" s="2">
        <v>5.7003800048E11</v>
      </c>
      <c r="F1901" s="1" t="s">
        <v>4884</v>
      </c>
      <c r="G1901" s="1" t="s">
        <v>12</v>
      </c>
      <c r="H1901" s="1" t="s">
        <v>4750</v>
      </c>
      <c r="I1901" s="1" t="s">
        <v>868</v>
      </c>
      <c r="J1901" s="1" t="s">
        <v>869</v>
      </c>
      <c r="K1901" s="1"/>
    </row>
    <row r="1902" ht="15.75" customHeight="1">
      <c r="A1902" s="2">
        <v>1901.0</v>
      </c>
      <c r="B1902" s="1" t="s">
        <v>901</v>
      </c>
      <c r="C1902" s="1" t="s">
        <v>4885</v>
      </c>
      <c r="D1902" s="1" t="s">
        <v>4886</v>
      </c>
      <c r="E1902" s="2">
        <v>5.70038000483E11</v>
      </c>
      <c r="F1902" s="1" t="s">
        <v>4830</v>
      </c>
      <c r="G1902" s="1" t="s">
        <v>12</v>
      </c>
      <c r="H1902" s="1" t="s">
        <v>4750</v>
      </c>
      <c r="I1902" s="1" t="s">
        <v>868</v>
      </c>
      <c r="J1902" s="1" t="s">
        <v>869</v>
      </c>
      <c r="K1902" s="1"/>
    </row>
    <row r="1903" ht="15.75" customHeight="1">
      <c r="A1903" s="2">
        <v>1902.0</v>
      </c>
      <c r="B1903" s="1" t="s">
        <v>10</v>
      </c>
      <c r="C1903" s="1" t="s">
        <v>1091</v>
      </c>
      <c r="D1903" s="1" t="s">
        <v>2346</v>
      </c>
      <c r="E1903" s="2">
        <v>5.70038000484E11</v>
      </c>
      <c r="F1903" s="1" t="s">
        <v>4887</v>
      </c>
      <c r="G1903" s="1" t="s">
        <v>12</v>
      </c>
      <c r="H1903" s="1" t="s">
        <v>4750</v>
      </c>
      <c r="I1903" s="1" t="s">
        <v>868</v>
      </c>
      <c r="J1903" s="1" t="s">
        <v>869</v>
      </c>
      <c r="K1903" s="1"/>
    </row>
    <row r="1904" ht="15.75" customHeight="1">
      <c r="A1904" s="2">
        <v>1903.0</v>
      </c>
      <c r="B1904" s="1" t="s">
        <v>4888</v>
      </c>
      <c r="C1904" s="1" t="s">
        <v>4889</v>
      </c>
      <c r="D1904" s="1" t="s">
        <v>1433</v>
      </c>
      <c r="E1904" s="2">
        <v>5.7003800049E11</v>
      </c>
      <c r="F1904" s="1" t="s">
        <v>4890</v>
      </c>
      <c r="G1904" s="1" t="s">
        <v>12</v>
      </c>
      <c r="H1904" s="1" t="s">
        <v>4750</v>
      </c>
      <c r="I1904" s="1" t="s">
        <v>868</v>
      </c>
      <c r="J1904" s="1" t="s">
        <v>869</v>
      </c>
      <c r="K1904" s="1"/>
    </row>
    <row r="1905" ht="15.75" customHeight="1">
      <c r="A1905" s="2">
        <v>1904.0</v>
      </c>
      <c r="B1905" s="1" t="s">
        <v>1824</v>
      </c>
      <c r="C1905" s="1" t="s">
        <v>1332</v>
      </c>
      <c r="D1905" s="1" t="s">
        <v>168</v>
      </c>
      <c r="E1905" s="2">
        <v>5.70038000497E11</v>
      </c>
      <c r="F1905" s="1" t="s">
        <v>4891</v>
      </c>
      <c r="G1905" s="1" t="s">
        <v>12</v>
      </c>
      <c r="H1905" s="1" t="s">
        <v>4750</v>
      </c>
      <c r="I1905" s="1" t="s">
        <v>868</v>
      </c>
      <c r="J1905" s="1" t="s">
        <v>869</v>
      </c>
      <c r="K1905" s="1"/>
    </row>
    <row r="1906" ht="15.75" customHeight="1">
      <c r="A1906" s="2">
        <v>1905.0</v>
      </c>
      <c r="B1906" s="1" t="s">
        <v>4892</v>
      </c>
      <c r="C1906" s="1" t="s">
        <v>4893</v>
      </c>
      <c r="D1906" s="1" t="s">
        <v>4350</v>
      </c>
      <c r="E1906" s="2">
        <v>5.700380005E11</v>
      </c>
      <c r="F1906" s="1" t="s">
        <v>4894</v>
      </c>
      <c r="G1906" s="1" t="s">
        <v>12</v>
      </c>
      <c r="H1906" s="1" t="s">
        <v>4750</v>
      </c>
      <c r="I1906" s="1" t="s">
        <v>868</v>
      </c>
      <c r="J1906" s="1" t="s">
        <v>869</v>
      </c>
      <c r="K1906" s="1"/>
    </row>
    <row r="1907" ht="15.75" customHeight="1">
      <c r="A1907" s="2">
        <v>1906.0</v>
      </c>
      <c r="B1907" s="1" t="s">
        <v>4895</v>
      </c>
      <c r="C1907" s="1" t="s">
        <v>4896</v>
      </c>
      <c r="D1907" s="1" t="s">
        <v>362</v>
      </c>
      <c r="E1907" s="2">
        <v>5.70038000502E11</v>
      </c>
      <c r="F1907" s="1" t="s">
        <v>4897</v>
      </c>
      <c r="G1907" s="1" t="s">
        <v>12</v>
      </c>
      <c r="H1907" s="1" t="s">
        <v>4750</v>
      </c>
      <c r="I1907" s="1" t="s">
        <v>868</v>
      </c>
      <c r="J1907" s="1" t="s">
        <v>869</v>
      </c>
      <c r="K1907" s="1"/>
    </row>
    <row r="1908" ht="15.75" customHeight="1">
      <c r="A1908" s="2">
        <v>1907.0</v>
      </c>
      <c r="B1908" s="1" t="s">
        <v>4898</v>
      </c>
      <c r="C1908" s="1" t="s">
        <v>351</v>
      </c>
      <c r="D1908" s="1" t="s">
        <v>1997</v>
      </c>
      <c r="E1908" s="2">
        <v>5.7003800027E11</v>
      </c>
      <c r="F1908" s="1" t="s">
        <v>4899</v>
      </c>
      <c r="G1908" s="1" t="s">
        <v>135</v>
      </c>
      <c r="H1908" s="1" t="s">
        <v>4750</v>
      </c>
      <c r="I1908" s="1" t="s">
        <v>868</v>
      </c>
      <c r="J1908" s="1" t="s">
        <v>869</v>
      </c>
      <c r="K1908" s="1"/>
    </row>
    <row r="1909" ht="15.75" customHeight="1">
      <c r="A1909" s="2">
        <v>1908.0</v>
      </c>
      <c r="B1909" s="1" t="s">
        <v>4900</v>
      </c>
      <c r="C1909" s="1" t="s">
        <v>4901</v>
      </c>
      <c r="D1909" s="1" t="s">
        <v>738</v>
      </c>
      <c r="E1909" s="2">
        <v>5.7003800028E11</v>
      </c>
      <c r="F1909" s="1" t="s">
        <v>4902</v>
      </c>
      <c r="G1909" s="1" t="s">
        <v>135</v>
      </c>
      <c r="H1909" s="1" t="s">
        <v>4750</v>
      </c>
      <c r="I1909" s="1" t="s">
        <v>868</v>
      </c>
      <c r="J1909" s="1" t="s">
        <v>869</v>
      </c>
      <c r="K1909" s="1"/>
    </row>
    <row r="1910" ht="15.75" customHeight="1">
      <c r="A1910" s="2">
        <v>1909.0</v>
      </c>
      <c r="B1910" s="1" t="s">
        <v>4903</v>
      </c>
      <c r="C1910" s="1" t="s">
        <v>4904</v>
      </c>
      <c r="D1910" s="1" t="s">
        <v>2905</v>
      </c>
      <c r="E1910" s="2">
        <v>5.70038000282E11</v>
      </c>
      <c r="F1910" s="1" t="s">
        <v>4905</v>
      </c>
      <c r="G1910" s="1" t="s">
        <v>12</v>
      </c>
      <c r="H1910" s="1" t="s">
        <v>4750</v>
      </c>
      <c r="I1910" s="1" t="s">
        <v>868</v>
      </c>
      <c r="J1910" s="1" t="s">
        <v>869</v>
      </c>
      <c r="K1910" s="1"/>
    </row>
    <row r="1911" ht="15.75" customHeight="1">
      <c r="A1911" s="2">
        <v>1910.0</v>
      </c>
      <c r="B1911" s="1" t="s">
        <v>4362</v>
      </c>
      <c r="C1911" s="1" t="s">
        <v>3844</v>
      </c>
      <c r="D1911" s="1" t="s">
        <v>4906</v>
      </c>
      <c r="E1911" s="2">
        <v>5.70038000288E11</v>
      </c>
      <c r="F1911" s="1" t="s">
        <v>4907</v>
      </c>
      <c r="G1911" s="1" t="s">
        <v>12</v>
      </c>
      <c r="H1911" s="1" t="s">
        <v>4750</v>
      </c>
      <c r="I1911" s="1" t="s">
        <v>868</v>
      </c>
      <c r="J1911" s="1" t="s">
        <v>869</v>
      </c>
      <c r="K1911" s="1"/>
    </row>
    <row r="1912" ht="15.75" customHeight="1">
      <c r="A1912" s="2">
        <v>1911.0</v>
      </c>
      <c r="B1912" s="1" t="s">
        <v>4908</v>
      </c>
      <c r="C1912" s="1" t="s">
        <v>4909</v>
      </c>
      <c r="D1912" s="1" t="s">
        <v>333</v>
      </c>
      <c r="E1912" s="2">
        <v>5.70038000289E11</v>
      </c>
      <c r="F1912" s="1" t="s">
        <v>4910</v>
      </c>
      <c r="G1912" s="1" t="s">
        <v>12</v>
      </c>
      <c r="H1912" s="1" t="s">
        <v>4911</v>
      </c>
      <c r="I1912" s="1" t="s">
        <v>4912</v>
      </c>
      <c r="J1912" s="1" t="s">
        <v>868</v>
      </c>
      <c r="K1912" s="1" t="s">
        <v>869</v>
      </c>
    </row>
    <row r="1913" ht="15.75" customHeight="1">
      <c r="A1913" s="2">
        <v>1912.0</v>
      </c>
      <c r="B1913" s="1" t="s">
        <v>1824</v>
      </c>
      <c r="C1913" s="1" t="s">
        <v>4913</v>
      </c>
      <c r="D1913" s="1" t="s">
        <v>596</v>
      </c>
      <c r="E1913" s="2">
        <v>5.70038000299E11</v>
      </c>
      <c r="F1913" s="1" t="s">
        <v>4914</v>
      </c>
      <c r="G1913" s="1" t="s">
        <v>12</v>
      </c>
      <c r="H1913" s="1" t="s">
        <v>4750</v>
      </c>
      <c r="I1913" s="1" t="s">
        <v>868</v>
      </c>
      <c r="J1913" s="1" t="s">
        <v>869</v>
      </c>
      <c r="K1913" s="1"/>
    </row>
    <row r="1914" ht="15.75" customHeight="1">
      <c r="A1914" s="2">
        <v>1913.0</v>
      </c>
      <c r="B1914" s="1" t="s">
        <v>1581</v>
      </c>
      <c r="C1914" s="1" t="s">
        <v>3968</v>
      </c>
      <c r="D1914" s="1" t="s">
        <v>1308</v>
      </c>
      <c r="E1914" s="2">
        <v>5.70038000314E11</v>
      </c>
      <c r="F1914" s="1" t="s">
        <v>4915</v>
      </c>
      <c r="G1914" s="1" t="s">
        <v>12</v>
      </c>
      <c r="H1914" s="1" t="s">
        <v>4750</v>
      </c>
      <c r="I1914" s="1" t="s">
        <v>868</v>
      </c>
      <c r="J1914" s="1" t="s">
        <v>869</v>
      </c>
      <c r="K1914" s="1"/>
    </row>
    <row r="1915" ht="15.75" customHeight="1">
      <c r="A1915" s="2">
        <v>1914.0</v>
      </c>
      <c r="B1915" s="1" t="s">
        <v>1130</v>
      </c>
      <c r="C1915" s="1" t="s">
        <v>4916</v>
      </c>
      <c r="D1915" s="1" t="s">
        <v>621</v>
      </c>
      <c r="E1915" s="2">
        <v>5.7003800032E11</v>
      </c>
      <c r="F1915" s="1" t="s">
        <v>4917</v>
      </c>
      <c r="G1915" s="1" t="s">
        <v>135</v>
      </c>
      <c r="H1915" s="1" t="s">
        <v>4750</v>
      </c>
      <c r="I1915" s="1" t="s">
        <v>868</v>
      </c>
      <c r="J1915" s="1" t="s">
        <v>869</v>
      </c>
      <c r="K1915" s="1"/>
    </row>
    <row r="1916" ht="15.75" customHeight="1">
      <c r="A1916" s="2">
        <v>1915.0</v>
      </c>
      <c r="B1916" s="1" t="s">
        <v>879</v>
      </c>
      <c r="C1916" s="1" t="s">
        <v>4918</v>
      </c>
      <c r="D1916" s="1" t="s">
        <v>1997</v>
      </c>
      <c r="E1916" s="2">
        <v>5.70038000335E11</v>
      </c>
      <c r="F1916" s="1" t="s">
        <v>4919</v>
      </c>
      <c r="G1916" s="1" t="s">
        <v>12</v>
      </c>
      <c r="H1916" s="1" t="s">
        <v>4750</v>
      </c>
      <c r="I1916" s="1" t="s">
        <v>868</v>
      </c>
      <c r="J1916" s="1" t="s">
        <v>869</v>
      </c>
      <c r="K1916" s="1"/>
    </row>
    <row r="1917" ht="15.75" customHeight="1">
      <c r="A1917" s="2">
        <v>1916.0</v>
      </c>
      <c r="B1917" s="1" t="s">
        <v>4920</v>
      </c>
      <c r="C1917" s="1" t="s">
        <v>452</v>
      </c>
      <c r="D1917" s="1" t="s">
        <v>3962</v>
      </c>
      <c r="E1917" s="2">
        <v>5.70038000341E11</v>
      </c>
      <c r="F1917" s="1" t="s">
        <v>4921</v>
      </c>
      <c r="G1917" s="1" t="s">
        <v>135</v>
      </c>
      <c r="H1917" s="1" t="s">
        <v>4750</v>
      </c>
      <c r="I1917" s="1" t="s">
        <v>868</v>
      </c>
      <c r="J1917" s="1" t="s">
        <v>869</v>
      </c>
      <c r="K1917" s="1"/>
    </row>
    <row r="1918" ht="15.75" customHeight="1">
      <c r="A1918" s="2">
        <v>1917.0</v>
      </c>
      <c r="B1918" s="1" t="s">
        <v>4922</v>
      </c>
      <c r="C1918" s="1" t="s">
        <v>4923</v>
      </c>
      <c r="D1918" s="1" t="s">
        <v>1080</v>
      </c>
      <c r="E1918" s="2">
        <v>5.70038000366E11</v>
      </c>
      <c r="F1918" s="1" t="s">
        <v>4924</v>
      </c>
      <c r="G1918" s="1" t="s">
        <v>135</v>
      </c>
      <c r="H1918" s="1" t="s">
        <v>4750</v>
      </c>
      <c r="I1918" s="1" t="s">
        <v>868</v>
      </c>
      <c r="J1918" s="1" t="s">
        <v>869</v>
      </c>
      <c r="K1918" s="1"/>
    </row>
    <row r="1919" ht="15.75" customHeight="1">
      <c r="A1919" s="2">
        <v>1918.0</v>
      </c>
      <c r="B1919" s="1" t="s">
        <v>957</v>
      </c>
      <c r="C1919" s="1" t="s">
        <v>4925</v>
      </c>
      <c r="D1919" s="1" t="s">
        <v>10</v>
      </c>
      <c r="E1919" s="2">
        <v>5.70038000371E11</v>
      </c>
      <c r="F1919" s="1" t="s">
        <v>4926</v>
      </c>
      <c r="G1919" s="1" t="s">
        <v>12</v>
      </c>
      <c r="H1919" s="1" t="s">
        <v>4750</v>
      </c>
      <c r="I1919" s="1" t="s">
        <v>868</v>
      </c>
      <c r="J1919" s="1" t="s">
        <v>869</v>
      </c>
      <c r="K1919" s="1"/>
    </row>
    <row r="1920" ht="15.75" customHeight="1">
      <c r="A1920" s="2">
        <v>1919.0</v>
      </c>
      <c r="B1920" s="1" t="s">
        <v>4927</v>
      </c>
      <c r="C1920" s="1" t="s">
        <v>954</v>
      </c>
      <c r="D1920" s="1" t="s">
        <v>611</v>
      </c>
      <c r="E1920" s="2">
        <v>5.70038000387E11</v>
      </c>
      <c r="F1920" s="1" t="s">
        <v>4928</v>
      </c>
      <c r="G1920" s="1" t="s">
        <v>135</v>
      </c>
      <c r="H1920" s="1" t="s">
        <v>4750</v>
      </c>
      <c r="I1920" s="1" t="s">
        <v>868</v>
      </c>
      <c r="J1920" s="1" t="s">
        <v>869</v>
      </c>
      <c r="K1920" s="1"/>
    </row>
    <row r="1921" ht="15.75" customHeight="1">
      <c r="A1921" s="2">
        <v>1920.0</v>
      </c>
      <c r="B1921" s="1" t="s">
        <v>4842</v>
      </c>
      <c r="C1921" s="1" t="s">
        <v>4929</v>
      </c>
      <c r="D1921" s="1" t="s">
        <v>4350</v>
      </c>
      <c r="E1921" s="2">
        <v>5.70038000392E11</v>
      </c>
      <c r="F1921" s="1" t="s">
        <v>4930</v>
      </c>
      <c r="G1921" s="1" t="s">
        <v>12</v>
      </c>
      <c r="H1921" s="1" t="s">
        <v>4750</v>
      </c>
      <c r="I1921" s="1" t="s">
        <v>868</v>
      </c>
      <c r="J1921" s="1" t="s">
        <v>869</v>
      </c>
      <c r="K1921" s="1"/>
    </row>
    <row r="1922" ht="15.75" customHeight="1">
      <c r="A1922" s="2">
        <v>1921.0</v>
      </c>
      <c r="B1922" s="1" t="s">
        <v>4931</v>
      </c>
      <c r="C1922" s="1" t="s">
        <v>759</v>
      </c>
      <c r="D1922" s="1" t="s">
        <v>1375</v>
      </c>
      <c r="E1922" s="2">
        <v>5.70038000401E11</v>
      </c>
      <c r="F1922" s="1" t="s">
        <v>4932</v>
      </c>
      <c r="G1922" s="1" t="s">
        <v>12</v>
      </c>
      <c r="H1922" s="1" t="s">
        <v>4750</v>
      </c>
      <c r="I1922" s="1" t="s">
        <v>868</v>
      </c>
      <c r="J1922" s="1" t="s">
        <v>869</v>
      </c>
      <c r="K1922" s="1"/>
    </row>
    <row r="1923" ht="15.75" customHeight="1">
      <c r="A1923" s="2">
        <v>1922.0</v>
      </c>
      <c r="B1923" s="1" t="s">
        <v>199</v>
      </c>
      <c r="C1923" s="1" t="s">
        <v>4933</v>
      </c>
      <c r="D1923" s="1" t="s">
        <v>475</v>
      </c>
      <c r="E1923" s="2">
        <v>5.70038000423E11</v>
      </c>
      <c r="F1923" s="1" t="s">
        <v>4934</v>
      </c>
      <c r="G1923" s="1" t="s">
        <v>135</v>
      </c>
      <c r="H1923" s="1" t="s">
        <v>4750</v>
      </c>
      <c r="I1923" s="1" t="s">
        <v>868</v>
      </c>
      <c r="J1923" s="1" t="s">
        <v>869</v>
      </c>
      <c r="K1923" s="1"/>
    </row>
    <row r="1924" ht="15.75" customHeight="1">
      <c r="A1924" s="2">
        <v>1923.0</v>
      </c>
      <c r="B1924" s="1" t="s">
        <v>4935</v>
      </c>
      <c r="C1924" s="1" t="s">
        <v>4936</v>
      </c>
      <c r="D1924" s="1" t="s">
        <v>8</v>
      </c>
      <c r="E1924" s="2">
        <v>5.70038000442E11</v>
      </c>
      <c r="F1924" s="1" t="s">
        <v>4937</v>
      </c>
      <c r="G1924" s="1" t="s">
        <v>135</v>
      </c>
      <c r="H1924" s="1" t="s">
        <v>4750</v>
      </c>
      <c r="I1924" s="1" t="s">
        <v>868</v>
      </c>
      <c r="J1924" s="1" t="s">
        <v>869</v>
      </c>
      <c r="K1924" s="1"/>
    </row>
    <row r="1925" ht="15.75" customHeight="1">
      <c r="A1925" s="2">
        <v>1924.0</v>
      </c>
      <c r="B1925" s="1" t="s">
        <v>4938</v>
      </c>
      <c r="C1925" s="1" t="s">
        <v>1983</v>
      </c>
      <c r="D1925" s="1" t="s">
        <v>4939</v>
      </c>
      <c r="E1925" s="2">
        <v>5.70038000488E11</v>
      </c>
      <c r="F1925" s="1" t="s">
        <v>4940</v>
      </c>
      <c r="G1925" s="1" t="s">
        <v>135</v>
      </c>
      <c r="H1925" s="1" t="s">
        <v>4750</v>
      </c>
      <c r="I1925" s="1" t="s">
        <v>868</v>
      </c>
      <c r="J1925" s="1" t="s">
        <v>869</v>
      </c>
      <c r="K1925" s="1"/>
    </row>
    <row r="1926" ht="15.75" customHeight="1">
      <c r="A1926" s="2">
        <v>1925.0</v>
      </c>
      <c r="B1926" s="1" t="s">
        <v>1554</v>
      </c>
      <c r="C1926" s="1" t="s">
        <v>446</v>
      </c>
      <c r="D1926" s="1" t="s">
        <v>4941</v>
      </c>
      <c r="E1926" s="2">
        <v>5.70038000511E11</v>
      </c>
      <c r="F1926" s="1" t="s">
        <v>4942</v>
      </c>
      <c r="G1926" s="1" t="s">
        <v>135</v>
      </c>
      <c r="H1926" s="1" t="s">
        <v>4750</v>
      </c>
      <c r="I1926" s="1" t="s">
        <v>868</v>
      </c>
      <c r="J1926" s="1" t="s">
        <v>869</v>
      </c>
      <c r="K1926" s="1"/>
    </row>
    <row r="1927" ht="15.75" customHeight="1">
      <c r="A1927" s="2">
        <v>1926.0</v>
      </c>
      <c r="B1927" s="1" t="s">
        <v>477</v>
      </c>
      <c r="C1927" s="1" t="s">
        <v>1105</v>
      </c>
      <c r="D1927" s="1" t="s">
        <v>4943</v>
      </c>
      <c r="E1927" s="2">
        <v>5.70038000512E11</v>
      </c>
      <c r="F1927" s="1" t="s">
        <v>4944</v>
      </c>
      <c r="G1927" s="1" t="s">
        <v>12</v>
      </c>
      <c r="H1927" s="1" t="s">
        <v>4750</v>
      </c>
      <c r="I1927" s="1" t="s">
        <v>868</v>
      </c>
      <c r="J1927" s="1" t="s">
        <v>869</v>
      </c>
      <c r="K1927" s="1"/>
    </row>
    <row r="1928" ht="15.75" customHeight="1">
      <c r="A1928" s="2">
        <v>1927.0</v>
      </c>
      <c r="B1928" s="1" t="s">
        <v>1209</v>
      </c>
      <c r="C1928" s="1" t="s">
        <v>3383</v>
      </c>
      <c r="D1928" s="1" t="s">
        <v>4945</v>
      </c>
      <c r="E1928" s="2">
        <v>5.70038000515E11</v>
      </c>
      <c r="F1928" s="1" t="s">
        <v>4899</v>
      </c>
      <c r="G1928" s="1" t="s">
        <v>12</v>
      </c>
      <c r="H1928" s="1" t="s">
        <v>4750</v>
      </c>
      <c r="I1928" s="1" t="s">
        <v>868</v>
      </c>
      <c r="J1928" s="1" t="s">
        <v>869</v>
      </c>
      <c r="K1928" s="1"/>
    </row>
    <row r="1929" ht="15.75" customHeight="1">
      <c r="A1929" s="2">
        <v>1928.0</v>
      </c>
      <c r="B1929" s="1" t="s">
        <v>199</v>
      </c>
      <c r="C1929" s="1" t="s">
        <v>204</v>
      </c>
      <c r="D1929" s="1" t="s">
        <v>928</v>
      </c>
      <c r="E1929" s="2">
        <v>5.70038000529E11</v>
      </c>
      <c r="F1929" s="1" t="s">
        <v>4946</v>
      </c>
      <c r="G1929" s="1" t="s">
        <v>12</v>
      </c>
      <c r="H1929" s="1" t="s">
        <v>4750</v>
      </c>
      <c r="I1929" s="1" t="s">
        <v>868</v>
      </c>
      <c r="J1929" s="1" t="s">
        <v>869</v>
      </c>
      <c r="K1929" s="1"/>
    </row>
    <row r="1930" ht="15.75" customHeight="1">
      <c r="A1930" s="2">
        <v>1929.0</v>
      </c>
      <c r="B1930" s="1" t="s">
        <v>4947</v>
      </c>
      <c r="C1930" s="1" t="s">
        <v>3844</v>
      </c>
      <c r="D1930" s="1" t="s">
        <v>1444</v>
      </c>
      <c r="E1930" s="2">
        <v>5.7003800053E11</v>
      </c>
      <c r="F1930" s="1" t="s">
        <v>4946</v>
      </c>
      <c r="G1930" s="1" t="s">
        <v>12</v>
      </c>
      <c r="H1930" s="1" t="s">
        <v>4750</v>
      </c>
      <c r="I1930" s="1" t="s">
        <v>868</v>
      </c>
      <c r="J1930" s="1" t="s">
        <v>869</v>
      </c>
      <c r="K1930" s="1"/>
    </row>
    <row r="1931" ht="15.75" customHeight="1">
      <c r="A1931" s="2">
        <v>1930.0</v>
      </c>
      <c r="B1931" s="1" t="s">
        <v>4948</v>
      </c>
      <c r="C1931" s="1" t="s">
        <v>4949</v>
      </c>
      <c r="D1931" s="1" t="s">
        <v>1765</v>
      </c>
      <c r="E1931" s="2">
        <v>5.70038000531E11</v>
      </c>
      <c r="F1931" s="1" t="s">
        <v>4946</v>
      </c>
      <c r="G1931" s="1" t="s">
        <v>12</v>
      </c>
      <c r="H1931" s="1" t="s">
        <v>4750</v>
      </c>
      <c r="I1931" s="1" t="s">
        <v>868</v>
      </c>
      <c r="J1931" s="1" t="s">
        <v>869</v>
      </c>
      <c r="K1931" s="1"/>
    </row>
    <row r="1932" ht="15.75" customHeight="1">
      <c r="A1932" s="2">
        <v>1931.0</v>
      </c>
      <c r="B1932" s="1" t="s">
        <v>1102</v>
      </c>
      <c r="C1932" s="1" t="s">
        <v>43</v>
      </c>
      <c r="D1932" s="1" t="s">
        <v>228</v>
      </c>
      <c r="E1932" s="2">
        <v>5.70038000532E11</v>
      </c>
      <c r="F1932" s="1" t="s">
        <v>4950</v>
      </c>
      <c r="G1932" s="1" t="s">
        <v>12</v>
      </c>
      <c r="H1932" s="1" t="s">
        <v>4750</v>
      </c>
      <c r="I1932" s="1" t="s">
        <v>868</v>
      </c>
      <c r="J1932" s="1" t="s">
        <v>869</v>
      </c>
      <c r="K1932" s="1"/>
    </row>
    <row r="1933" ht="15.75" customHeight="1">
      <c r="A1933" s="2">
        <v>1932.0</v>
      </c>
      <c r="B1933" s="1" t="s">
        <v>2350</v>
      </c>
      <c r="C1933" s="1" t="s">
        <v>4951</v>
      </c>
      <c r="D1933" s="1" t="s">
        <v>48</v>
      </c>
      <c r="E1933" s="2">
        <v>5.70038000533E11</v>
      </c>
      <c r="F1933" s="1" t="s">
        <v>4946</v>
      </c>
      <c r="G1933" s="1" t="s">
        <v>12</v>
      </c>
      <c r="H1933" s="1" t="s">
        <v>4750</v>
      </c>
      <c r="I1933" s="1" t="s">
        <v>868</v>
      </c>
      <c r="J1933" s="1" t="s">
        <v>869</v>
      </c>
      <c r="K1933" s="1"/>
    </row>
    <row r="1934" ht="15.75" customHeight="1">
      <c r="A1934" s="2">
        <v>1933.0</v>
      </c>
      <c r="B1934" s="1" t="s">
        <v>131</v>
      </c>
      <c r="C1934" s="1" t="s">
        <v>398</v>
      </c>
      <c r="D1934" s="1" t="s">
        <v>335</v>
      </c>
      <c r="E1934" s="2">
        <v>5.70038000538E11</v>
      </c>
      <c r="F1934" s="1" t="s">
        <v>4952</v>
      </c>
      <c r="G1934" s="1" t="s">
        <v>135</v>
      </c>
      <c r="H1934" s="1" t="s">
        <v>4750</v>
      </c>
      <c r="I1934" s="1" t="s">
        <v>868</v>
      </c>
      <c r="J1934" s="1" t="s">
        <v>869</v>
      </c>
      <c r="K1934" s="1"/>
    </row>
    <row r="1935" ht="15.75" customHeight="1">
      <c r="A1935" s="2">
        <v>1934.0</v>
      </c>
      <c r="B1935" s="1" t="s">
        <v>1052</v>
      </c>
      <c r="C1935" s="1" t="s">
        <v>4953</v>
      </c>
      <c r="D1935" s="1" t="s">
        <v>4954</v>
      </c>
      <c r="E1935" s="2">
        <v>5.70038000541E11</v>
      </c>
      <c r="F1935" s="1" t="s">
        <v>4946</v>
      </c>
      <c r="G1935" s="1" t="s">
        <v>12</v>
      </c>
      <c r="H1935" s="1" t="s">
        <v>4750</v>
      </c>
      <c r="I1935" s="1" t="s">
        <v>868</v>
      </c>
      <c r="J1935" s="1" t="s">
        <v>869</v>
      </c>
      <c r="K1935" s="1"/>
    </row>
    <row r="1936" ht="15.75" customHeight="1">
      <c r="A1936" s="2">
        <v>1935.0</v>
      </c>
      <c r="B1936" s="1" t="s">
        <v>4955</v>
      </c>
      <c r="C1936" s="1" t="s">
        <v>4660</v>
      </c>
      <c r="D1936" s="1" t="s">
        <v>1734</v>
      </c>
      <c r="E1936" s="2">
        <v>5.70038000546E11</v>
      </c>
      <c r="F1936" s="1" t="s">
        <v>4956</v>
      </c>
      <c r="G1936" s="1" t="s">
        <v>135</v>
      </c>
      <c r="H1936" s="1" t="s">
        <v>4750</v>
      </c>
      <c r="I1936" s="1" t="s">
        <v>868</v>
      </c>
      <c r="J1936" s="1" t="s">
        <v>869</v>
      </c>
      <c r="K1936" s="1"/>
    </row>
    <row r="1937" ht="15.75" customHeight="1">
      <c r="A1937" s="2">
        <v>1936.0</v>
      </c>
      <c r="B1937" s="1" t="s">
        <v>3219</v>
      </c>
      <c r="C1937" s="1" t="s">
        <v>4655</v>
      </c>
      <c r="D1937" s="1" t="s">
        <v>4350</v>
      </c>
      <c r="E1937" s="2">
        <v>5.70038000554E11</v>
      </c>
      <c r="F1937" s="1" t="s">
        <v>4957</v>
      </c>
      <c r="G1937" s="1" t="s">
        <v>4958</v>
      </c>
      <c r="H1937" s="1" t="s">
        <v>4750</v>
      </c>
      <c r="I1937" s="1" t="s">
        <v>868</v>
      </c>
      <c r="J1937" s="1" t="s">
        <v>869</v>
      </c>
      <c r="K1937" s="1"/>
    </row>
    <row r="1938" ht="15.75" customHeight="1">
      <c r="A1938" s="2">
        <v>1937.0</v>
      </c>
      <c r="B1938" s="1" t="s">
        <v>4959</v>
      </c>
      <c r="C1938" s="1" t="s">
        <v>4960</v>
      </c>
      <c r="D1938" s="1" t="s">
        <v>48</v>
      </c>
      <c r="E1938" s="2">
        <v>5.70038000439E11</v>
      </c>
      <c r="F1938" s="1" t="s">
        <v>4961</v>
      </c>
      <c r="G1938" s="1" t="s">
        <v>12</v>
      </c>
      <c r="H1938" s="1" t="s">
        <v>4750</v>
      </c>
      <c r="I1938" s="1" t="s">
        <v>868</v>
      </c>
      <c r="J1938" s="1" t="s">
        <v>869</v>
      </c>
      <c r="K1938" s="1"/>
    </row>
    <row r="1939" ht="15.75" customHeight="1">
      <c r="A1939" s="2">
        <v>1938.0</v>
      </c>
      <c r="B1939" s="1" t="s">
        <v>4962</v>
      </c>
      <c r="C1939" s="1" t="s">
        <v>446</v>
      </c>
      <c r="D1939" s="1" t="s">
        <v>1700</v>
      </c>
      <c r="E1939" s="2">
        <v>5.70038000556E11</v>
      </c>
      <c r="F1939" s="1" t="s">
        <v>4963</v>
      </c>
      <c r="G1939" s="1" t="s">
        <v>12</v>
      </c>
      <c r="H1939" s="1" t="s">
        <v>4750</v>
      </c>
      <c r="I1939" s="1" t="s">
        <v>868</v>
      </c>
      <c r="J1939" s="1" t="s">
        <v>869</v>
      </c>
      <c r="K1939" s="1"/>
    </row>
    <row r="1940" ht="15.75" customHeight="1">
      <c r="A1940" s="2">
        <v>1939.0</v>
      </c>
      <c r="B1940" s="1" t="s">
        <v>4964</v>
      </c>
      <c r="C1940" s="1" t="s">
        <v>4965</v>
      </c>
      <c r="D1940" s="1" t="s">
        <v>4966</v>
      </c>
      <c r="E1940" s="2">
        <v>5.70038000558E11</v>
      </c>
      <c r="F1940" s="1" t="s">
        <v>4967</v>
      </c>
      <c r="G1940" s="1" t="s">
        <v>12</v>
      </c>
      <c r="H1940" s="1" t="s">
        <v>4750</v>
      </c>
      <c r="I1940" s="1" t="s">
        <v>868</v>
      </c>
      <c r="J1940" s="1" t="s">
        <v>869</v>
      </c>
      <c r="K1940" s="1"/>
    </row>
    <row r="1941" ht="15.75" customHeight="1">
      <c r="A1941" s="2">
        <v>1940.0</v>
      </c>
      <c r="B1941" s="1" t="s">
        <v>4968</v>
      </c>
      <c r="C1941" s="1" t="s">
        <v>4969</v>
      </c>
      <c r="D1941" s="1" t="s">
        <v>1977</v>
      </c>
      <c r="E1941" s="2">
        <v>5.70038000559E11</v>
      </c>
      <c r="F1941" s="1" t="s">
        <v>4970</v>
      </c>
      <c r="G1941" s="1" t="s">
        <v>12</v>
      </c>
      <c r="H1941" s="1" t="s">
        <v>4750</v>
      </c>
      <c r="I1941" s="1" t="s">
        <v>868</v>
      </c>
      <c r="J1941" s="1" t="s">
        <v>869</v>
      </c>
      <c r="K1941" s="1"/>
    </row>
    <row r="1942" ht="15.75" customHeight="1">
      <c r="A1942" s="2">
        <v>1941.0</v>
      </c>
      <c r="B1942" s="1" t="s">
        <v>4971</v>
      </c>
      <c r="C1942" s="1" t="s">
        <v>1570</v>
      </c>
      <c r="D1942" s="1" t="s">
        <v>1159</v>
      </c>
      <c r="E1942" s="2">
        <v>5.70038000561E11</v>
      </c>
      <c r="F1942" s="1" t="s">
        <v>2827</v>
      </c>
      <c r="G1942" s="1" t="s">
        <v>12</v>
      </c>
      <c r="H1942" s="1" t="s">
        <v>4750</v>
      </c>
      <c r="I1942" s="1" t="s">
        <v>868</v>
      </c>
      <c r="J1942" s="1" t="s">
        <v>869</v>
      </c>
      <c r="K1942" s="1"/>
    </row>
    <row r="1943" ht="15.75" customHeight="1">
      <c r="A1943" s="2">
        <v>1942.0</v>
      </c>
      <c r="B1943" s="1" t="s">
        <v>1581</v>
      </c>
      <c r="C1943" s="1" t="s">
        <v>204</v>
      </c>
      <c r="D1943" s="1" t="s">
        <v>917</v>
      </c>
      <c r="E1943" s="2">
        <v>5.70038000563E11</v>
      </c>
      <c r="F1943" s="1" t="s">
        <v>4565</v>
      </c>
      <c r="G1943" s="1" t="s">
        <v>12</v>
      </c>
      <c r="H1943" s="1" t="s">
        <v>4750</v>
      </c>
      <c r="I1943" s="1" t="s">
        <v>868</v>
      </c>
      <c r="J1943" s="1" t="s">
        <v>869</v>
      </c>
      <c r="K1943" s="1"/>
    </row>
    <row r="1944" ht="15.75" customHeight="1">
      <c r="A1944" s="2">
        <v>1943.0</v>
      </c>
      <c r="B1944" s="1" t="s">
        <v>1067</v>
      </c>
      <c r="C1944" s="1" t="s">
        <v>4972</v>
      </c>
      <c r="D1944" s="1" t="s">
        <v>2846</v>
      </c>
      <c r="E1944" s="2">
        <v>5.70038000565E11</v>
      </c>
      <c r="F1944" s="1" t="s">
        <v>4973</v>
      </c>
      <c r="G1944" s="1" t="s">
        <v>135</v>
      </c>
      <c r="H1944" s="1" t="s">
        <v>4750</v>
      </c>
      <c r="I1944" s="1" t="s">
        <v>868</v>
      </c>
      <c r="J1944" s="1" t="s">
        <v>869</v>
      </c>
      <c r="K1944" s="1"/>
    </row>
    <row r="1945" ht="15.75" customHeight="1">
      <c r="A1945" s="2">
        <v>1944.0</v>
      </c>
      <c r="B1945" s="1" t="s">
        <v>825</v>
      </c>
      <c r="C1945" s="1" t="s">
        <v>192</v>
      </c>
      <c r="D1945" s="1" t="s">
        <v>62</v>
      </c>
      <c r="E1945" s="2">
        <v>5.70038000566E11</v>
      </c>
      <c r="F1945" s="1" t="s">
        <v>4974</v>
      </c>
      <c r="G1945" s="1" t="s">
        <v>12</v>
      </c>
      <c r="H1945" s="1" t="s">
        <v>4750</v>
      </c>
      <c r="I1945" s="1" t="s">
        <v>868</v>
      </c>
      <c r="J1945" s="1" t="s">
        <v>869</v>
      </c>
      <c r="K1945" s="1"/>
    </row>
    <row r="1946" ht="15.75" customHeight="1">
      <c r="A1946" s="2">
        <v>1945.0</v>
      </c>
      <c r="B1946" s="1" t="s">
        <v>4975</v>
      </c>
      <c r="C1946" s="1" t="s">
        <v>4976</v>
      </c>
      <c r="D1946" s="1" t="s">
        <v>4954</v>
      </c>
      <c r="E1946" s="2">
        <v>5.70038000567E11</v>
      </c>
      <c r="F1946" s="1" t="s">
        <v>4766</v>
      </c>
      <c r="G1946" s="1" t="s">
        <v>12</v>
      </c>
      <c r="H1946" s="1" t="s">
        <v>4750</v>
      </c>
      <c r="I1946" s="1" t="s">
        <v>868</v>
      </c>
      <c r="J1946" s="1" t="s">
        <v>869</v>
      </c>
      <c r="K1946" s="1"/>
    </row>
    <row r="1947" ht="15.75" customHeight="1">
      <c r="A1947" s="2">
        <v>1946.0</v>
      </c>
      <c r="B1947" s="1" t="s">
        <v>4977</v>
      </c>
      <c r="C1947" s="1" t="s">
        <v>192</v>
      </c>
      <c r="D1947" s="1" t="s">
        <v>313</v>
      </c>
      <c r="E1947" s="2">
        <v>5.70038000568E11</v>
      </c>
      <c r="F1947" s="1" t="s">
        <v>4978</v>
      </c>
      <c r="G1947" s="1" t="s">
        <v>135</v>
      </c>
      <c r="H1947" s="1" t="s">
        <v>4750</v>
      </c>
      <c r="I1947" s="1" t="s">
        <v>868</v>
      </c>
      <c r="J1947" s="1" t="s">
        <v>869</v>
      </c>
      <c r="K1947" s="1"/>
    </row>
    <row r="1948" ht="15.75" customHeight="1">
      <c r="A1948" s="2">
        <v>1947.0</v>
      </c>
      <c r="B1948" s="1" t="s">
        <v>224</v>
      </c>
      <c r="C1948" s="1" t="s">
        <v>4979</v>
      </c>
      <c r="D1948" s="1" t="s">
        <v>60</v>
      </c>
      <c r="E1948" s="2">
        <v>5.70038000569E11</v>
      </c>
      <c r="F1948" s="1" t="s">
        <v>4980</v>
      </c>
      <c r="G1948" s="1" t="s">
        <v>135</v>
      </c>
      <c r="H1948" s="1" t="s">
        <v>4750</v>
      </c>
      <c r="I1948" s="1" t="s">
        <v>868</v>
      </c>
      <c r="J1948" s="1" t="s">
        <v>869</v>
      </c>
      <c r="K1948" s="1"/>
    </row>
    <row r="1949" ht="15.75" customHeight="1">
      <c r="A1949" s="2">
        <v>1948.0</v>
      </c>
      <c r="B1949" s="1" t="s">
        <v>279</v>
      </c>
      <c r="C1949" s="1" t="s">
        <v>4981</v>
      </c>
      <c r="D1949" s="1" t="s">
        <v>4982</v>
      </c>
      <c r="E1949" s="2">
        <v>5.7003800057E11</v>
      </c>
      <c r="F1949" s="1" t="s">
        <v>4983</v>
      </c>
      <c r="G1949" s="1" t="s">
        <v>12</v>
      </c>
      <c r="H1949" s="1" t="s">
        <v>4750</v>
      </c>
      <c r="I1949" s="1" t="s">
        <v>868</v>
      </c>
      <c r="J1949" s="1" t="s">
        <v>869</v>
      </c>
      <c r="K1949" s="1"/>
    </row>
    <row r="1950" ht="15.75" customHeight="1">
      <c r="A1950" s="2">
        <v>1949.0</v>
      </c>
      <c r="B1950" s="1" t="s">
        <v>4143</v>
      </c>
      <c r="C1950" s="1" t="s">
        <v>1570</v>
      </c>
      <c r="D1950" s="1" t="s">
        <v>230</v>
      </c>
      <c r="E1950" s="2">
        <v>5.70038000571E11</v>
      </c>
      <c r="F1950" s="1" t="s">
        <v>4984</v>
      </c>
      <c r="G1950" s="1" t="s">
        <v>12</v>
      </c>
      <c r="H1950" s="1" t="s">
        <v>4750</v>
      </c>
      <c r="I1950" s="1" t="s">
        <v>868</v>
      </c>
      <c r="J1950" s="1" t="s">
        <v>869</v>
      </c>
      <c r="K1950" s="1"/>
    </row>
    <row r="1951" ht="15.75" customHeight="1">
      <c r="A1951" s="2">
        <v>1950.0</v>
      </c>
      <c r="B1951" s="1" t="s">
        <v>2866</v>
      </c>
      <c r="C1951" s="1" t="s">
        <v>446</v>
      </c>
      <c r="D1951" s="1" t="s">
        <v>18</v>
      </c>
      <c r="E1951" s="2">
        <v>5.70038000572E11</v>
      </c>
      <c r="F1951" s="1" t="s">
        <v>4985</v>
      </c>
      <c r="G1951" s="1" t="s">
        <v>12</v>
      </c>
      <c r="H1951" s="1" t="s">
        <v>4750</v>
      </c>
      <c r="I1951" s="1" t="s">
        <v>868</v>
      </c>
      <c r="J1951" s="1" t="s">
        <v>869</v>
      </c>
      <c r="K1951" s="1"/>
    </row>
    <row r="1952" ht="15.75" customHeight="1">
      <c r="A1952" s="2">
        <v>1951.0</v>
      </c>
      <c r="B1952" s="1" t="s">
        <v>127</v>
      </c>
      <c r="C1952" s="1" t="s">
        <v>1156</v>
      </c>
      <c r="D1952" s="1" t="s">
        <v>594</v>
      </c>
      <c r="E1952" s="2">
        <v>5.70038000573E11</v>
      </c>
      <c r="F1952" s="1" t="s">
        <v>4986</v>
      </c>
      <c r="G1952" s="1" t="s">
        <v>12</v>
      </c>
      <c r="H1952" s="1" t="s">
        <v>4750</v>
      </c>
      <c r="I1952" s="1" t="s">
        <v>868</v>
      </c>
      <c r="J1952" s="1" t="s">
        <v>869</v>
      </c>
      <c r="K1952" s="1"/>
    </row>
    <row r="1953" ht="15.75" customHeight="1">
      <c r="A1953" s="2">
        <v>1952.0</v>
      </c>
      <c r="B1953" s="1" t="s">
        <v>471</v>
      </c>
      <c r="C1953" s="1" t="s">
        <v>4987</v>
      </c>
      <c r="D1953" s="1" t="s">
        <v>4988</v>
      </c>
      <c r="E1953" s="2">
        <v>5.70038000574E11</v>
      </c>
      <c r="F1953" s="1" t="s">
        <v>4989</v>
      </c>
      <c r="G1953" s="1" t="s">
        <v>12</v>
      </c>
      <c r="H1953" s="1" t="s">
        <v>4750</v>
      </c>
      <c r="I1953" s="1" t="s">
        <v>868</v>
      </c>
      <c r="J1953" s="1" t="s">
        <v>869</v>
      </c>
      <c r="K1953" s="1"/>
    </row>
    <row r="1954" ht="15.75" customHeight="1">
      <c r="A1954" s="2">
        <v>1953.0</v>
      </c>
      <c r="B1954" s="1" t="s">
        <v>4990</v>
      </c>
      <c r="C1954" s="1" t="s">
        <v>4445</v>
      </c>
      <c r="D1954" s="1" t="s">
        <v>2350</v>
      </c>
      <c r="E1954" s="2">
        <v>5.70038000575E11</v>
      </c>
      <c r="F1954" s="1" t="s">
        <v>4991</v>
      </c>
      <c r="G1954" s="1" t="s">
        <v>12</v>
      </c>
      <c r="H1954" s="1" t="s">
        <v>4750</v>
      </c>
      <c r="I1954" s="1" t="s">
        <v>868</v>
      </c>
      <c r="J1954" s="1" t="s">
        <v>869</v>
      </c>
      <c r="K1954" s="1"/>
    </row>
    <row r="1955" ht="15.75" customHeight="1">
      <c r="A1955" s="2">
        <v>1954.0</v>
      </c>
      <c r="B1955" s="1" t="s">
        <v>2866</v>
      </c>
      <c r="C1955" s="1" t="s">
        <v>580</v>
      </c>
      <c r="D1955" s="1" t="s">
        <v>611</v>
      </c>
      <c r="E1955" s="2">
        <v>5.70038000578E11</v>
      </c>
      <c r="F1955" s="1" t="s">
        <v>4992</v>
      </c>
      <c r="G1955" s="1" t="s">
        <v>12</v>
      </c>
      <c r="H1955" s="1" t="s">
        <v>4750</v>
      </c>
      <c r="I1955" s="1" t="s">
        <v>868</v>
      </c>
      <c r="J1955" s="1" t="s">
        <v>869</v>
      </c>
      <c r="K1955" s="1"/>
    </row>
    <row r="1956" ht="15.75" customHeight="1">
      <c r="A1956" s="2">
        <v>1955.0</v>
      </c>
      <c r="B1956" s="1" t="s">
        <v>4484</v>
      </c>
      <c r="C1956" s="1" t="s">
        <v>755</v>
      </c>
      <c r="D1956" s="1" t="s">
        <v>179</v>
      </c>
      <c r="E1956" s="2">
        <v>5.70038000579E11</v>
      </c>
      <c r="F1956" s="1" t="s">
        <v>4993</v>
      </c>
      <c r="G1956" s="1" t="s">
        <v>12</v>
      </c>
      <c r="H1956" s="1" t="s">
        <v>4750</v>
      </c>
      <c r="I1956" s="1" t="s">
        <v>868</v>
      </c>
      <c r="J1956" s="1" t="s">
        <v>869</v>
      </c>
      <c r="K1956" s="1"/>
    </row>
    <row r="1957" ht="15.75" customHeight="1">
      <c r="A1957" s="2">
        <v>1956.0</v>
      </c>
      <c r="B1957" s="1" t="s">
        <v>4994</v>
      </c>
      <c r="C1957" s="1" t="s">
        <v>4995</v>
      </c>
      <c r="D1957" s="1" t="s">
        <v>4996</v>
      </c>
      <c r="E1957" s="2">
        <v>5.70038000582E11</v>
      </c>
      <c r="F1957" s="1" t="s">
        <v>4419</v>
      </c>
      <c r="G1957" s="1" t="s">
        <v>12</v>
      </c>
      <c r="H1957" s="1" t="s">
        <v>4750</v>
      </c>
      <c r="I1957" s="1" t="s">
        <v>868</v>
      </c>
      <c r="J1957" s="1" t="s">
        <v>869</v>
      </c>
      <c r="K1957" s="1"/>
    </row>
    <row r="1958" ht="15.75" customHeight="1">
      <c r="A1958" s="2">
        <v>1957.0</v>
      </c>
      <c r="B1958" s="1" t="s">
        <v>2300</v>
      </c>
      <c r="C1958" s="1" t="s">
        <v>765</v>
      </c>
      <c r="D1958" s="1" t="s">
        <v>4997</v>
      </c>
      <c r="E1958" s="2">
        <v>5.70038000583E11</v>
      </c>
      <c r="F1958" s="1" t="s">
        <v>4998</v>
      </c>
      <c r="G1958" s="1" t="s">
        <v>12</v>
      </c>
      <c r="H1958" s="1" t="s">
        <v>4750</v>
      </c>
      <c r="I1958" s="1" t="s">
        <v>868</v>
      </c>
      <c r="J1958" s="1" t="s">
        <v>869</v>
      </c>
      <c r="K1958" s="1"/>
    </row>
    <row r="1959" ht="15.75" customHeight="1">
      <c r="A1959" s="2">
        <v>1958.0</v>
      </c>
      <c r="B1959" s="1" t="s">
        <v>4999</v>
      </c>
      <c r="C1959" s="1" t="s">
        <v>5000</v>
      </c>
      <c r="D1959" s="1" t="s">
        <v>5001</v>
      </c>
      <c r="E1959" s="2">
        <v>5.70038000588E11</v>
      </c>
      <c r="F1959" s="1" t="s">
        <v>5002</v>
      </c>
      <c r="G1959" s="1" t="s">
        <v>12</v>
      </c>
      <c r="H1959" s="1" t="s">
        <v>4750</v>
      </c>
      <c r="I1959" s="1" t="s">
        <v>868</v>
      </c>
      <c r="J1959" s="1" t="s">
        <v>869</v>
      </c>
      <c r="K1959" s="1"/>
    </row>
    <row r="1960" ht="15.75" customHeight="1">
      <c r="A1960" s="2">
        <v>1959.0</v>
      </c>
      <c r="B1960" s="1" t="s">
        <v>521</v>
      </c>
      <c r="C1960" s="1" t="s">
        <v>5003</v>
      </c>
      <c r="D1960" s="1" t="s">
        <v>5004</v>
      </c>
      <c r="E1960" s="2">
        <v>5.7003800059E11</v>
      </c>
      <c r="F1960" s="1" t="s">
        <v>5005</v>
      </c>
      <c r="G1960" s="1" t="s">
        <v>12</v>
      </c>
      <c r="H1960" s="1" t="s">
        <v>4750</v>
      </c>
      <c r="I1960" s="1" t="s">
        <v>868</v>
      </c>
      <c r="J1960" s="1" t="s">
        <v>869</v>
      </c>
      <c r="K1960" s="1"/>
    </row>
    <row r="1961" ht="15.75" customHeight="1">
      <c r="A1961" s="2">
        <v>1960.0</v>
      </c>
      <c r="B1961" s="1" t="s">
        <v>5006</v>
      </c>
      <c r="C1961" s="1" t="s">
        <v>880</v>
      </c>
      <c r="D1961" s="1" t="s">
        <v>734</v>
      </c>
      <c r="E1961" s="2">
        <v>5.70038000591E11</v>
      </c>
      <c r="F1961" s="1" t="s">
        <v>5007</v>
      </c>
      <c r="G1961" s="1" t="s">
        <v>135</v>
      </c>
      <c r="H1961" s="1" t="s">
        <v>4750</v>
      </c>
      <c r="I1961" s="1" t="s">
        <v>868</v>
      </c>
      <c r="J1961" s="1" t="s">
        <v>869</v>
      </c>
      <c r="K1961" s="1"/>
    </row>
    <row r="1962" ht="15.75" customHeight="1">
      <c r="A1962" s="2">
        <v>1961.0</v>
      </c>
      <c r="B1962" s="1" t="s">
        <v>4955</v>
      </c>
      <c r="C1962" s="1" t="s">
        <v>2844</v>
      </c>
      <c r="D1962" s="1" t="s">
        <v>1477</v>
      </c>
      <c r="E1962" s="2">
        <v>5.70038000594E11</v>
      </c>
      <c r="F1962" s="1" t="s">
        <v>5008</v>
      </c>
      <c r="G1962" s="1" t="s">
        <v>12</v>
      </c>
      <c r="H1962" s="1" t="s">
        <v>4750</v>
      </c>
      <c r="I1962" s="1" t="s">
        <v>868</v>
      </c>
      <c r="J1962" s="1" t="s">
        <v>869</v>
      </c>
      <c r="K1962" s="1"/>
    </row>
    <row r="1963" ht="15.75" customHeight="1">
      <c r="A1963" s="2">
        <v>1962.0</v>
      </c>
      <c r="B1963" s="1" t="s">
        <v>2500</v>
      </c>
      <c r="C1963" s="1" t="s">
        <v>4820</v>
      </c>
      <c r="D1963" s="1" t="s">
        <v>592</v>
      </c>
      <c r="E1963" s="2">
        <v>5.70038000597E11</v>
      </c>
      <c r="F1963" s="1" t="s">
        <v>5009</v>
      </c>
      <c r="G1963" s="1" t="s">
        <v>12</v>
      </c>
      <c r="H1963" s="1" t="s">
        <v>4750</v>
      </c>
      <c r="I1963" s="1" t="s">
        <v>868</v>
      </c>
      <c r="J1963" s="1" t="s">
        <v>869</v>
      </c>
      <c r="K1963" s="1"/>
    </row>
    <row r="1964" ht="15.75" customHeight="1">
      <c r="A1964" s="2">
        <v>1963.0</v>
      </c>
      <c r="B1964" s="1" t="s">
        <v>101</v>
      </c>
      <c r="C1964" s="1" t="s">
        <v>5010</v>
      </c>
      <c r="D1964" s="1" t="s">
        <v>48</v>
      </c>
      <c r="E1964" s="2">
        <v>5.70038000598E11</v>
      </c>
      <c r="F1964" s="1" t="s">
        <v>5011</v>
      </c>
      <c r="G1964" s="1" t="s">
        <v>12</v>
      </c>
      <c r="H1964" s="1" t="s">
        <v>4750</v>
      </c>
      <c r="I1964" s="1" t="s">
        <v>868</v>
      </c>
      <c r="J1964" s="1" t="s">
        <v>869</v>
      </c>
      <c r="K1964" s="1"/>
    </row>
    <row r="1965" ht="15.75" customHeight="1">
      <c r="A1965" s="2">
        <v>1964.0</v>
      </c>
      <c r="B1965" s="1" t="s">
        <v>5012</v>
      </c>
      <c r="C1965" s="1" t="s">
        <v>5013</v>
      </c>
      <c r="D1965" s="1" t="s">
        <v>1649</v>
      </c>
      <c r="E1965" s="2">
        <v>5.700380006E11</v>
      </c>
      <c r="F1965" s="1" t="s">
        <v>5014</v>
      </c>
      <c r="G1965" s="1" t="s">
        <v>12</v>
      </c>
      <c r="H1965" s="1" t="s">
        <v>4750</v>
      </c>
      <c r="I1965" s="1" t="s">
        <v>868</v>
      </c>
      <c r="J1965" s="1" t="s">
        <v>869</v>
      </c>
      <c r="K1965" s="1"/>
    </row>
    <row r="1966" ht="15.75" customHeight="1">
      <c r="A1966" s="2">
        <v>1965.0</v>
      </c>
      <c r="B1966" s="1" t="s">
        <v>5015</v>
      </c>
      <c r="C1966" s="1" t="s">
        <v>192</v>
      </c>
      <c r="D1966" s="1" t="s">
        <v>5016</v>
      </c>
      <c r="E1966" s="2">
        <v>5.70038000602E11</v>
      </c>
      <c r="F1966" s="1" t="s">
        <v>5017</v>
      </c>
      <c r="G1966" s="1" t="s">
        <v>12</v>
      </c>
      <c r="H1966" s="1" t="s">
        <v>4750</v>
      </c>
      <c r="I1966" s="1" t="s">
        <v>868</v>
      </c>
      <c r="J1966" s="1" t="s">
        <v>869</v>
      </c>
      <c r="K1966" s="1"/>
    </row>
    <row r="1967" ht="15.75" customHeight="1">
      <c r="A1967" s="2">
        <v>1966.0</v>
      </c>
      <c r="B1967" s="1" t="s">
        <v>4846</v>
      </c>
      <c r="C1967" s="1" t="s">
        <v>5018</v>
      </c>
      <c r="D1967" s="1" t="s">
        <v>5019</v>
      </c>
      <c r="E1967" s="2">
        <v>5.70038000604E11</v>
      </c>
      <c r="F1967" s="1" t="s">
        <v>5020</v>
      </c>
      <c r="G1967" s="1" t="s">
        <v>12</v>
      </c>
      <c r="H1967" s="1" t="s">
        <v>4750</v>
      </c>
      <c r="I1967" s="1" t="s">
        <v>868</v>
      </c>
      <c r="J1967" s="1" t="s">
        <v>869</v>
      </c>
      <c r="K1967" s="1"/>
    </row>
    <row r="1968" ht="15.75" customHeight="1">
      <c r="A1968" s="2">
        <v>1967.0</v>
      </c>
      <c r="B1968" s="1" t="s">
        <v>1958</v>
      </c>
      <c r="C1968" s="1" t="s">
        <v>5021</v>
      </c>
      <c r="D1968" s="1" t="s">
        <v>455</v>
      </c>
      <c r="E1968" s="2">
        <v>5.70038000605E11</v>
      </c>
      <c r="F1968" s="1" t="s">
        <v>5022</v>
      </c>
      <c r="G1968" s="1" t="s">
        <v>12</v>
      </c>
      <c r="H1968" s="1" t="s">
        <v>4750</v>
      </c>
      <c r="I1968" s="1" t="s">
        <v>868</v>
      </c>
      <c r="J1968" s="1" t="s">
        <v>869</v>
      </c>
      <c r="K1968" s="1"/>
    </row>
    <row r="1969" ht="15.75" customHeight="1">
      <c r="A1969" s="2">
        <v>1968.0</v>
      </c>
      <c r="B1969" s="1" t="s">
        <v>4726</v>
      </c>
      <c r="C1969" s="1" t="s">
        <v>5023</v>
      </c>
      <c r="D1969" s="1" t="s">
        <v>5024</v>
      </c>
      <c r="E1969" s="2">
        <v>5.70038000606E11</v>
      </c>
      <c r="F1969" s="1" t="s">
        <v>5025</v>
      </c>
      <c r="G1969" s="1" t="s">
        <v>12</v>
      </c>
      <c r="H1969" s="1" t="s">
        <v>4750</v>
      </c>
      <c r="I1969" s="1" t="s">
        <v>868</v>
      </c>
      <c r="J1969" s="1" t="s">
        <v>869</v>
      </c>
      <c r="K1969" s="1"/>
    </row>
    <row r="1970" ht="15.75" customHeight="1">
      <c r="A1970" s="2">
        <v>1969.0</v>
      </c>
      <c r="B1970" s="1" t="s">
        <v>5026</v>
      </c>
      <c r="C1970" s="1" t="s">
        <v>5027</v>
      </c>
      <c r="D1970" s="1" t="s">
        <v>97</v>
      </c>
      <c r="E1970" s="2">
        <v>5.70038000608E11</v>
      </c>
      <c r="F1970" s="1" t="s">
        <v>4984</v>
      </c>
      <c r="G1970" s="1" t="s">
        <v>12</v>
      </c>
      <c r="H1970" s="1" t="s">
        <v>4750</v>
      </c>
      <c r="I1970" s="1" t="s">
        <v>868</v>
      </c>
      <c r="J1970" s="1" t="s">
        <v>869</v>
      </c>
      <c r="K1970" s="1"/>
    </row>
    <row r="1971" ht="15.75" customHeight="1">
      <c r="A1971" s="2">
        <v>1970.0</v>
      </c>
      <c r="B1971" s="1" t="s">
        <v>571</v>
      </c>
      <c r="C1971" s="1" t="s">
        <v>5028</v>
      </c>
      <c r="D1971" s="1" t="s">
        <v>368</v>
      </c>
      <c r="E1971" s="2">
        <v>5.70038000609E11</v>
      </c>
      <c r="F1971" s="1" t="s">
        <v>4998</v>
      </c>
      <c r="G1971" s="1" t="s">
        <v>12</v>
      </c>
      <c r="H1971" s="1" t="s">
        <v>5029</v>
      </c>
      <c r="I1971" s="1" t="s">
        <v>4750</v>
      </c>
      <c r="J1971" s="1" t="s">
        <v>868</v>
      </c>
      <c r="K1971" s="1" t="s">
        <v>869</v>
      </c>
    </row>
    <row r="1972" ht="15.75" customHeight="1">
      <c r="A1972" s="2">
        <v>1971.0</v>
      </c>
      <c r="B1972" s="1" t="s">
        <v>4955</v>
      </c>
      <c r="C1972" s="1" t="s">
        <v>3844</v>
      </c>
      <c r="D1972" s="1" t="s">
        <v>2230</v>
      </c>
      <c r="E1972" s="2">
        <v>5.7003800061E11</v>
      </c>
      <c r="F1972" s="1" t="s">
        <v>5030</v>
      </c>
      <c r="G1972" s="1" t="s">
        <v>12</v>
      </c>
      <c r="H1972" s="1" t="s">
        <v>4750</v>
      </c>
      <c r="I1972" s="1" t="s">
        <v>868</v>
      </c>
      <c r="J1972" s="1" t="s">
        <v>869</v>
      </c>
      <c r="K1972" s="1"/>
    </row>
    <row r="1973" ht="15.75" customHeight="1">
      <c r="A1973" s="2">
        <v>1972.0</v>
      </c>
      <c r="B1973" s="1" t="s">
        <v>5031</v>
      </c>
      <c r="C1973" s="1" t="s">
        <v>5032</v>
      </c>
      <c r="D1973" s="1" t="s">
        <v>307</v>
      </c>
      <c r="E1973" s="2">
        <v>5.70038000612E11</v>
      </c>
      <c r="F1973" s="1" t="s">
        <v>5033</v>
      </c>
      <c r="G1973" s="1" t="s">
        <v>12</v>
      </c>
      <c r="H1973" s="1" t="s">
        <v>4750</v>
      </c>
      <c r="I1973" s="1" t="s">
        <v>868</v>
      </c>
      <c r="J1973" s="1" t="s">
        <v>869</v>
      </c>
      <c r="K1973" s="1"/>
    </row>
    <row r="1974" ht="15.75" customHeight="1">
      <c r="A1974" s="2">
        <v>1973.0</v>
      </c>
      <c r="B1974" s="1" t="s">
        <v>1824</v>
      </c>
      <c r="C1974" s="1" t="s">
        <v>3963</v>
      </c>
      <c r="D1974" s="1" t="s">
        <v>258</v>
      </c>
      <c r="E1974" s="2">
        <v>5.70038000613E11</v>
      </c>
      <c r="F1974" s="1" t="s">
        <v>5034</v>
      </c>
      <c r="G1974" s="1" t="s">
        <v>12</v>
      </c>
      <c r="H1974" s="1" t="s">
        <v>4750</v>
      </c>
      <c r="I1974" s="1" t="s">
        <v>868</v>
      </c>
      <c r="J1974" s="1" t="s">
        <v>869</v>
      </c>
      <c r="K1974" s="1"/>
    </row>
    <row r="1975" ht="15.75" customHeight="1">
      <c r="A1975" s="2">
        <v>1974.0</v>
      </c>
      <c r="B1975" s="1" t="s">
        <v>5035</v>
      </c>
      <c r="C1975" s="1" t="s">
        <v>398</v>
      </c>
      <c r="D1975" s="1" t="s">
        <v>5036</v>
      </c>
      <c r="E1975" s="2">
        <v>5.70038000614E11</v>
      </c>
      <c r="F1975" s="1" t="s">
        <v>5037</v>
      </c>
      <c r="G1975" s="1" t="s">
        <v>12</v>
      </c>
      <c r="H1975" s="1" t="s">
        <v>4750</v>
      </c>
      <c r="I1975" s="1" t="s">
        <v>868</v>
      </c>
      <c r="J1975" s="1" t="s">
        <v>869</v>
      </c>
      <c r="K1975" s="1"/>
    </row>
    <row r="1976" ht="15.75" customHeight="1">
      <c r="A1976" s="2">
        <v>1975.0</v>
      </c>
      <c r="B1976" s="1" t="s">
        <v>2657</v>
      </c>
      <c r="C1976" s="1" t="s">
        <v>5038</v>
      </c>
      <c r="D1976" s="1" t="s">
        <v>600</v>
      </c>
      <c r="E1976" s="2">
        <v>5.70038000615E11</v>
      </c>
      <c r="F1976" s="1" t="s">
        <v>5039</v>
      </c>
      <c r="G1976" s="1" t="s">
        <v>135</v>
      </c>
      <c r="H1976" s="1" t="s">
        <v>4750</v>
      </c>
      <c r="I1976" s="1" t="s">
        <v>868</v>
      </c>
      <c r="J1976" s="1" t="s">
        <v>869</v>
      </c>
      <c r="K1976" s="1"/>
    </row>
    <row r="1977" ht="15.75" customHeight="1">
      <c r="A1977" s="2">
        <v>1976.0</v>
      </c>
      <c r="B1977" s="1" t="s">
        <v>1824</v>
      </c>
      <c r="C1977" s="1" t="s">
        <v>5040</v>
      </c>
      <c r="D1977" s="1" t="s">
        <v>5041</v>
      </c>
      <c r="E1977" s="2">
        <v>5.70038000619E11</v>
      </c>
      <c r="F1977" s="1" t="s">
        <v>5042</v>
      </c>
      <c r="G1977" s="1" t="s">
        <v>12</v>
      </c>
      <c r="H1977" s="1" t="s">
        <v>4750</v>
      </c>
      <c r="I1977" s="1" t="s">
        <v>868</v>
      </c>
      <c r="J1977" s="1" t="s">
        <v>869</v>
      </c>
      <c r="K1977" s="1"/>
    </row>
    <row r="1978" ht="15.75" customHeight="1">
      <c r="A1978" s="2">
        <v>1977.0</v>
      </c>
      <c r="B1978" s="1" t="s">
        <v>5043</v>
      </c>
      <c r="C1978" s="1" t="s">
        <v>4660</v>
      </c>
      <c r="D1978" s="1" t="s">
        <v>1521</v>
      </c>
      <c r="E1978" s="2">
        <v>5.7003800062E11</v>
      </c>
      <c r="F1978" s="1" t="s">
        <v>5044</v>
      </c>
      <c r="G1978" s="1" t="s">
        <v>135</v>
      </c>
      <c r="H1978" s="1" t="s">
        <v>4750</v>
      </c>
      <c r="I1978" s="1" t="s">
        <v>868</v>
      </c>
      <c r="J1978" s="1" t="s">
        <v>869</v>
      </c>
      <c r="K1978" s="1"/>
    </row>
    <row r="1979" ht="15.75" customHeight="1">
      <c r="A1979" s="2">
        <v>1978.0</v>
      </c>
      <c r="B1979" s="1" t="s">
        <v>5045</v>
      </c>
      <c r="C1979" s="1" t="s">
        <v>3624</v>
      </c>
      <c r="D1979" s="1" t="s">
        <v>5046</v>
      </c>
      <c r="E1979" s="2">
        <v>5.70038000621E11</v>
      </c>
      <c r="F1979" s="1" t="s">
        <v>5047</v>
      </c>
      <c r="G1979" s="1" t="s">
        <v>135</v>
      </c>
      <c r="H1979" s="1" t="s">
        <v>4750</v>
      </c>
      <c r="I1979" s="1" t="s">
        <v>868</v>
      </c>
      <c r="J1979" s="1" t="s">
        <v>869</v>
      </c>
      <c r="K1979" s="1"/>
    </row>
    <row r="1980" ht="15.75" customHeight="1">
      <c r="A1980" s="2">
        <v>1979.0</v>
      </c>
      <c r="B1980" s="1" t="s">
        <v>258</v>
      </c>
      <c r="C1980" s="1" t="s">
        <v>948</v>
      </c>
      <c r="D1980" s="1" t="s">
        <v>822</v>
      </c>
      <c r="E1980" s="2">
        <v>5.70038000622E11</v>
      </c>
      <c r="F1980" s="1" t="s">
        <v>4857</v>
      </c>
      <c r="G1980" s="1" t="s">
        <v>12</v>
      </c>
      <c r="H1980" s="1" t="s">
        <v>4750</v>
      </c>
      <c r="I1980" s="1" t="s">
        <v>868</v>
      </c>
      <c r="J1980" s="1" t="s">
        <v>869</v>
      </c>
      <c r="K1980" s="1"/>
    </row>
    <row r="1981" ht="15.75" customHeight="1">
      <c r="A1981" s="2">
        <v>1980.0</v>
      </c>
      <c r="B1981" s="1" t="s">
        <v>131</v>
      </c>
      <c r="C1981" s="1" t="s">
        <v>400</v>
      </c>
      <c r="D1981" s="1" t="s">
        <v>5048</v>
      </c>
      <c r="E1981" s="2">
        <v>5.70038000625E11</v>
      </c>
      <c r="F1981" s="1" t="s">
        <v>5049</v>
      </c>
      <c r="G1981" s="1" t="s">
        <v>12</v>
      </c>
      <c r="H1981" s="1" t="s">
        <v>4750</v>
      </c>
      <c r="I1981" s="1" t="s">
        <v>868</v>
      </c>
      <c r="J1981" s="1" t="s">
        <v>869</v>
      </c>
      <c r="K1981" s="1"/>
    </row>
    <row r="1982" ht="15.75" customHeight="1">
      <c r="A1982" s="2">
        <v>1981.0</v>
      </c>
      <c r="B1982" s="1" t="s">
        <v>5050</v>
      </c>
      <c r="C1982" s="1" t="s">
        <v>5051</v>
      </c>
      <c r="D1982" s="1" t="s">
        <v>5052</v>
      </c>
      <c r="E1982" s="2">
        <v>5.70038000626E11</v>
      </c>
      <c r="F1982" s="1" t="s">
        <v>5053</v>
      </c>
      <c r="G1982" s="1" t="s">
        <v>135</v>
      </c>
      <c r="H1982" s="1" t="s">
        <v>4750</v>
      </c>
      <c r="I1982" s="1" t="s">
        <v>868</v>
      </c>
      <c r="J1982" s="1" t="s">
        <v>869</v>
      </c>
      <c r="K1982" s="1"/>
    </row>
    <row r="1983" ht="15.75" customHeight="1">
      <c r="A1983" s="2">
        <v>1982.0</v>
      </c>
      <c r="B1983" s="1" t="s">
        <v>5054</v>
      </c>
      <c r="C1983" s="1" t="s">
        <v>4965</v>
      </c>
      <c r="D1983" s="1" t="s">
        <v>5055</v>
      </c>
      <c r="E1983" s="2">
        <v>5.70038000627E11</v>
      </c>
      <c r="F1983" s="1" t="s">
        <v>5056</v>
      </c>
      <c r="G1983" s="1" t="s">
        <v>135</v>
      </c>
      <c r="H1983" s="1" t="s">
        <v>4750</v>
      </c>
      <c r="I1983" s="1" t="s">
        <v>868</v>
      </c>
      <c r="J1983" s="1" t="s">
        <v>869</v>
      </c>
      <c r="K1983" s="1"/>
    </row>
    <row r="1984" ht="15.75" customHeight="1">
      <c r="A1984" s="2">
        <v>1983.0</v>
      </c>
      <c r="B1984" s="1" t="s">
        <v>427</v>
      </c>
      <c r="C1984" s="1" t="s">
        <v>1098</v>
      </c>
      <c r="D1984" s="1" t="s">
        <v>2377</v>
      </c>
      <c r="E1984" s="2">
        <v>5.70038000628E11</v>
      </c>
      <c r="F1984" s="1" t="s">
        <v>5057</v>
      </c>
      <c r="G1984" s="1" t="s">
        <v>12</v>
      </c>
      <c r="H1984" s="1" t="s">
        <v>4750</v>
      </c>
      <c r="I1984" s="1" t="s">
        <v>868</v>
      </c>
      <c r="J1984" s="1" t="s">
        <v>869</v>
      </c>
      <c r="K1984" s="1"/>
    </row>
    <row r="1985" ht="15.75" customHeight="1">
      <c r="A1985" s="2">
        <v>1984.0</v>
      </c>
      <c r="B1985" s="1" t="s">
        <v>183</v>
      </c>
      <c r="C1985" s="1" t="s">
        <v>4820</v>
      </c>
      <c r="D1985" s="1" t="s">
        <v>5058</v>
      </c>
      <c r="E1985" s="2">
        <v>5.70038000629E11</v>
      </c>
      <c r="F1985" s="1" t="s">
        <v>5059</v>
      </c>
      <c r="G1985" s="1" t="s">
        <v>12</v>
      </c>
      <c r="H1985" s="1" t="s">
        <v>4750</v>
      </c>
      <c r="I1985" s="1" t="s">
        <v>868</v>
      </c>
      <c r="J1985" s="1" t="s">
        <v>869</v>
      </c>
      <c r="K1985" s="1"/>
    </row>
    <row r="1986" ht="15.75" customHeight="1">
      <c r="A1986" s="2">
        <v>1985.0</v>
      </c>
      <c r="B1986" s="1" t="s">
        <v>445</v>
      </c>
      <c r="C1986" s="1" t="s">
        <v>5060</v>
      </c>
      <c r="D1986" s="1" t="s">
        <v>1557</v>
      </c>
      <c r="E1986" s="2">
        <v>5.70038000638E11</v>
      </c>
      <c r="F1986" s="1" t="s">
        <v>5061</v>
      </c>
      <c r="G1986" s="1" t="s">
        <v>12</v>
      </c>
      <c r="H1986" s="1" t="s">
        <v>4750</v>
      </c>
      <c r="I1986" s="1" t="s">
        <v>868</v>
      </c>
      <c r="J1986" s="1" t="s">
        <v>869</v>
      </c>
      <c r="K1986" s="1"/>
    </row>
    <row r="1987" ht="15.75" customHeight="1">
      <c r="A1987" s="2">
        <v>1986.0</v>
      </c>
      <c r="B1987" s="1" t="s">
        <v>5062</v>
      </c>
      <c r="C1987" s="1" t="s">
        <v>4862</v>
      </c>
      <c r="D1987" s="1" t="s">
        <v>5063</v>
      </c>
      <c r="E1987" s="2">
        <v>5.70038000639E11</v>
      </c>
      <c r="F1987" s="1" t="s">
        <v>5064</v>
      </c>
      <c r="G1987" s="1" t="s">
        <v>135</v>
      </c>
      <c r="H1987" s="1" t="s">
        <v>4750</v>
      </c>
      <c r="I1987" s="1" t="s">
        <v>868</v>
      </c>
      <c r="J1987" s="1" t="s">
        <v>869</v>
      </c>
      <c r="K1987" s="1"/>
    </row>
    <row r="1988" ht="15.75" customHeight="1">
      <c r="A1988" s="2">
        <v>1987.0</v>
      </c>
      <c r="B1988" s="1" t="s">
        <v>5065</v>
      </c>
      <c r="C1988" s="1" t="s">
        <v>5066</v>
      </c>
      <c r="D1988" s="1" t="s">
        <v>324</v>
      </c>
      <c r="E1988" s="2">
        <v>5.7003800064E11</v>
      </c>
      <c r="F1988" s="1" t="s">
        <v>5067</v>
      </c>
      <c r="G1988" s="1" t="s">
        <v>12</v>
      </c>
      <c r="H1988" s="1" t="s">
        <v>4750</v>
      </c>
      <c r="I1988" s="1" t="s">
        <v>868</v>
      </c>
      <c r="J1988" s="1" t="s">
        <v>869</v>
      </c>
      <c r="K1988" s="1"/>
    </row>
    <row r="1989" ht="15.75" customHeight="1">
      <c r="A1989" s="2">
        <v>1988.0</v>
      </c>
      <c r="B1989" s="1" t="s">
        <v>101</v>
      </c>
      <c r="C1989" s="1" t="s">
        <v>472</v>
      </c>
      <c r="D1989" s="1" t="s">
        <v>5068</v>
      </c>
      <c r="E1989" s="2">
        <v>5.70038000642E11</v>
      </c>
      <c r="F1989" s="1" t="s">
        <v>5069</v>
      </c>
      <c r="G1989" s="1" t="s">
        <v>12</v>
      </c>
      <c r="H1989" s="1" t="s">
        <v>4750</v>
      </c>
      <c r="I1989" s="1" t="s">
        <v>868</v>
      </c>
      <c r="J1989" s="1" t="s">
        <v>869</v>
      </c>
      <c r="K1989" s="1"/>
    </row>
    <row r="1990" ht="15.75" customHeight="1">
      <c r="A1990" s="2">
        <v>1989.0</v>
      </c>
      <c r="B1990" s="1" t="s">
        <v>5070</v>
      </c>
      <c r="C1990" s="1" t="s">
        <v>5071</v>
      </c>
      <c r="D1990" s="1" t="s">
        <v>5072</v>
      </c>
      <c r="E1990" s="2">
        <v>5.70038000646E11</v>
      </c>
      <c r="F1990" s="1" t="s">
        <v>5073</v>
      </c>
      <c r="G1990" s="1" t="s">
        <v>5074</v>
      </c>
      <c r="H1990" s="1" t="s">
        <v>4750</v>
      </c>
      <c r="I1990" s="1" t="s">
        <v>868</v>
      </c>
      <c r="J1990" s="1" t="s">
        <v>869</v>
      </c>
      <c r="K1990" s="1"/>
    </row>
    <row r="1991" ht="15.75" customHeight="1">
      <c r="A1991" s="2">
        <v>1990.0</v>
      </c>
      <c r="B1991" s="1" t="s">
        <v>2632</v>
      </c>
      <c r="C1991" s="1" t="s">
        <v>5075</v>
      </c>
      <c r="D1991" s="1" t="s">
        <v>5076</v>
      </c>
      <c r="E1991" s="2">
        <v>5.70038000647E11</v>
      </c>
      <c r="F1991" s="1" t="s">
        <v>5077</v>
      </c>
      <c r="G1991" s="1" t="s">
        <v>5074</v>
      </c>
      <c r="H1991" s="1" t="s">
        <v>4750</v>
      </c>
      <c r="I1991" s="1" t="s">
        <v>868</v>
      </c>
      <c r="J1991" s="1" t="s">
        <v>869</v>
      </c>
      <c r="K1991" s="1"/>
    </row>
    <row r="1992" ht="15.75" customHeight="1">
      <c r="A1992" s="2">
        <v>1991.0</v>
      </c>
      <c r="B1992" s="1" t="s">
        <v>5078</v>
      </c>
      <c r="C1992" s="1" t="s">
        <v>5079</v>
      </c>
      <c r="D1992" s="1" t="s">
        <v>552</v>
      </c>
      <c r="E1992" s="2">
        <v>5.70038000648E11</v>
      </c>
      <c r="F1992" s="1" t="s">
        <v>5080</v>
      </c>
      <c r="G1992" s="1" t="s">
        <v>5074</v>
      </c>
      <c r="H1992" s="1" t="s">
        <v>5081</v>
      </c>
      <c r="I1992" s="1" t="s">
        <v>4750</v>
      </c>
      <c r="J1992" s="1" t="s">
        <v>868</v>
      </c>
      <c r="K1992" s="1" t="s">
        <v>869</v>
      </c>
    </row>
    <row r="1993" ht="15.75" customHeight="1">
      <c r="A1993" s="2">
        <v>1992.0</v>
      </c>
      <c r="B1993" s="1" t="s">
        <v>5082</v>
      </c>
      <c r="C1993" s="1" t="s">
        <v>5083</v>
      </c>
      <c r="D1993" s="1" t="s">
        <v>5084</v>
      </c>
      <c r="E1993" s="2">
        <v>5.70038000649E11</v>
      </c>
      <c r="F1993" s="1" t="s">
        <v>4978</v>
      </c>
      <c r="G1993" s="1" t="s">
        <v>5074</v>
      </c>
      <c r="H1993" s="1" t="s">
        <v>4750</v>
      </c>
      <c r="I1993" s="1" t="s">
        <v>868</v>
      </c>
      <c r="J1993" s="1" t="s">
        <v>869</v>
      </c>
      <c r="K1993" s="1"/>
    </row>
    <row r="1994" ht="15.75" customHeight="1">
      <c r="A1994" s="2">
        <v>1993.0</v>
      </c>
      <c r="B1994" s="1" t="s">
        <v>1521</v>
      </c>
      <c r="C1994" s="1" t="s">
        <v>5085</v>
      </c>
      <c r="D1994" s="1" t="s">
        <v>540</v>
      </c>
      <c r="E1994" s="2">
        <v>5.70038000652E11</v>
      </c>
      <c r="F1994" s="1" t="s">
        <v>5053</v>
      </c>
      <c r="G1994" s="1" t="s">
        <v>5074</v>
      </c>
      <c r="H1994" s="1" t="s">
        <v>4750</v>
      </c>
      <c r="I1994" s="1" t="s">
        <v>868</v>
      </c>
      <c r="J1994" s="1" t="s">
        <v>869</v>
      </c>
      <c r="K1994" s="1"/>
    </row>
    <row r="1995" ht="15.75" customHeight="1">
      <c r="A1995" s="2">
        <v>1994.0</v>
      </c>
      <c r="B1995" s="1" t="s">
        <v>5086</v>
      </c>
      <c r="C1995" s="1" t="s">
        <v>5087</v>
      </c>
      <c r="D1995" s="1" t="s">
        <v>5088</v>
      </c>
      <c r="E1995" s="2">
        <v>5.70038000653E11</v>
      </c>
      <c r="F1995" s="1" t="s">
        <v>4694</v>
      </c>
      <c r="G1995" s="1" t="s">
        <v>5074</v>
      </c>
      <c r="H1995" s="1" t="s">
        <v>4750</v>
      </c>
      <c r="I1995" s="1" t="s">
        <v>868</v>
      </c>
      <c r="J1995" s="1" t="s">
        <v>869</v>
      </c>
      <c r="K1995" s="1"/>
    </row>
    <row r="1996" ht="15.75" customHeight="1">
      <c r="A1996" s="2">
        <v>1995.0</v>
      </c>
      <c r="B1996" s="1" t="s">
        <v>5089</v>
      </c>
      <c r="C1996" s="1" t="s">
        <v>5090</v>
      </c>
      <c r="D1996" s="1" t="s">
        <v>1191</v>
      </c>
      <c r="E1996" s="2">
        <v>5.70038000654E11</v>
      </c>
      <c r="F1996" s="1" t="s">
        <v>5091</v>
      </c>
      <c r="G1996" s="1" t="s">
        <v>12</v>
      </c>
      <c r="H1996" s="1" t="s">
        <v>4750</v>
      </c>
      <c r="I1996" s="1" t="s">
        <v>868</v>
      </c>
      <c r="J1996" s="1" t="s">
        <v>869</v>
      </c>
      <c r="K1996" s="1"/>
    </row>
    <row r="1997" ht="15.75" customHeight="1">
      <c r="A1997" s="2">
        <v>1996.0</v>
      </c>
      <c r="B1997" s="1" t="s">
        <v>4662</v>
      </c>
      <c r="C1997" s="1" t="s">
        <v>137</v>
      </c>
      <c r="D1997" s="1" t="s">
        <v>600</v>
      </c>
      <c r="E1997" s="2">
        <v>5.70038000656E11</v>
      </c>
      <c r="F1997" s="1" t="s">
        <v>5014</v>
      </c>
      <c r="G1997" s="1" t="s">
        <v>12</v>
      </c>
      <c r="H1997" s="1" t="s">
        <v>4750</v>
      </c>
      <c r="I1997" s="1" t="s">
        <v>868</v>
      </c>
      <c r="J1997" s="1" t="s">
        <v>869</v>
      </c>
      <c r="K1997" s="1"/>
    </row>
    <row r="1998" ht="15.75" customHeight="1">
      <c r="A1998" s="2">
        <v>1997.0</v>
      </c>
      <c r="B1998" s="1" t="s">
        <v>1503</v>
      </c>
      <c r="C1998" s="1" t="s">
        <v>5092</v>
      </c>
      <c r="D1998" s="1" t="s">
        <v>269</v>
      </c>
      <c r="E1998" s="2">
        <v>5.70038000657E11</v>
      </c>
      <c r="F1998" s="1" t="s">
        <v>4989</v>
      </c>
      <c r="G1998" s="1" t="s">
        <v>12</v>
      </c>
      <c r="H1998" s="1" t="s">
        <v>4750</v>
      </c>
      <c r="I1998" s="1" t="s">
        <v>868</v>
      </c>
      <c r="J1998" s="1" t="s">
        <v>869</v>
      </c>
      <c r="K1998" s="1"/>
    </row>
    <row r="1999" ht="15.75" customHeight="1">
      <c r="A1999" s="2">
        <v>1998.0</v>
      </c>
      <c r="B1999" s="1" t="s">
        <v>5093</v>
      </c>
      <c r="C1999" s="1" t="s">
        <v>5094</v>
      </c>
      <c r="D1999" s="1" t="s">
        <v>5095</v>
      </c>
      <c r="E1999" s="2">
        <v>5.7003800066E11</v>
      </c>
      <c r="F1999" s="1" t="s">
        <v>5096</v>
      </c>
      <c r="G1999" s="1" t="s">
        <v>5074</v>
      </c>
      <c r="H1999" s="1" t="s">
        <v>4750</v>
      </c>
      <c r="I1999" s="1" t="s">
        <v>868</v>
      </c>
      <c r="J1999" s="1" t="s">
        <v>869</v>
      </c>
      <c r="K1999" s="1"/>
    </row>
    <row r="2000" ht="15.75" customHeight="1">
      <c r="A2000" s="2">
        <v>1999.0</v>
      </c>
      <c r="B2000" s="1" t="s">
        <v>5097</v>
      </c>
      <c r="C2000" s="1" t="s">
        <v>5098</v>
      </c>
      <c r="D2000" s="1" t="s">
        <v>263</v>
      </c>
      <c r="E2000" s="2">
        <v>5.70038000661E11</v>
      </c>
      <c r="F2000" s="1" t="s">
        <v>5099</v>
      </c>
      <c r="G2000" s="1" t="s">
        <v>5074</v>
      </c>
      <c r="H2000" s="1" t="s">
        <v>4750</v>
      </c>
      <c r="I2000" s="1" t="s">
        <v>868</v>
      </c>
      <c r="J2000" s="1" t="s">
        <v>869</v>
      </c>
      <c r="K2000" s="1"/>
    </row>
    <row r="2001" ht="15.75" customHeight="1">
      <c r="A2001" s="2">
        <v>2000.0</v>
      </c>
      <c r="B2001" s="1" t="s">
        <v>5100</v>
      </c>
      <c r="C2001" s="1" t="s">
        <v>5101</v>
      </c>
      <c r="D2001" s="1" t="s">
        <v>42</v>
      </c>
      <c r="E2001" s="2">
        <v>5.70038000662E11</v>
      </c>
      <c r="F2001" s="1" t="s">
        <v>5102</v>
      </c>
      <c r="G2001" s="1" t="s">
        <v>12</v>
      </c>
      <c r="H2001" s="1" t="s">
        <v>5103</v>
      </c>
      <c r="I2001" s="1" t="s">
        <v>4750</v>
      </c>
      <c r="J2001" s="1" t="s">
        <v>868</v>
      </c>
      <c r="K2001" s="1" t="s">
        <v>869</v>
      </c>
    </row>
    <row r="2002" ht="15.75" customHeight="1">
      <c r="A2002" s="2">
        <v>2001.0</v>
      </c>
      <c r="B2002" s="1" t="s">
        <v>5104</v>
      </c>
      <c r="C2002" s="1" t="s">
        <v>1242</v>
      </c>
      <c r="D2002" s="1" t="s">
        <v>1829</v>
      </c>
      <c r="E2002" s="2">
        <v>5.70038000664E11</v>
      </c>
      <c r="F2002" s="1" t="s">
        <v>4496</v>
      </c>
      <c r="G2002" s="1" t="s">
        <v>5074</v>
      </c>
      <c r="H2002" s="1" t="s">
        <v>4750</v>
      </c>
      <c r="I2002" s="1" t="s">
        <v>868</v>
      </c>
      <c r="J2002" s="1" t="s">
        <v>869</v>
      </c>
      <c r="K2002" s="1"/>
    </row>
    <row r="2003" ht="15.75" customHeight="1">
      <c r="A2003" s="2">
        <v>2002.0</v>
      </c>
      <c r="B2003" s="1" t="s">
        <v>4990</v>
      </c>
      <c r="C2003" s="1" t="s">
        <v>3316</v>
      </c>
      <c r="D2003" s="1" t="s">
        <v>3232</v>
      </c>
      <c r="E2003" s="2">
        <v>5.70038000676E11</v>
      </c>
      <c r="F2003" s="1" t="s">
        <v>5105</v>
      </c>
      <c r="G2003" s="1" t="s">
        <v>12</v>
      </c>
      <c r="H2003" s="1" t="s">
        <v>4750</v>
      </c>
      <c r="I2003" s="1" t="s">
        <v>868</v>
      </c>
      <c r="J2003" s="1" t="s">
        <v>869</v>
      </c>
      <c r="K2003" s="1"/>
    </row>
    <row r="2004" ht="15.75" customHeight="1">
      <c r="A2004" s="2">
        <v>2003.0</v>
      </c>
      <c r="B2004" s="1" t="s">
        <v>5106</v>
      </c>
      <c r="C2004" s="1" t="s">
        <v>4929</v>
      </c>
      <c r="D2004" s="1" t="s">
        <v>1649</v>
      </c>
      <c r="E2004" s="2">
        <v>5.70038000677E11</v>
      </c>
      <c r="F2004" s="1" t="s">
        <v>5107</v>
      </c>
      <c r="G2004" s="1" t="s">
        <v>12</v>
      </c>
      <c r="H2004" s="1" t="s">
        <v>4750</v>
      </c>
      <c r="I2004" s="1" t="s">
        <v>868</v>
      </c>
      <c r="J2004" s="1" t="s">
        <v>869</v>
      </c>
      <c r="K2004" s="1"/>
    </row>
    <row r="2005" ht="15.75" customHeight="1">
      <c r="A2005" s="2">
        <v>2004.0</v>
      </c>
      <c r="B2005" s="1" t="s">
        <v>179</v>
      </c>
      <c r="C2005" s="1" t="s">
        <v>5108</v>
      </c>
      <c r="D2005" s="1" t="s">
        <v>5109</v>
      </c>
      <c r="E2005" s="2">
        <v>5.70038000679E11</v>
      </c>
      <c r="F2005" s="1" t="s">
        <v>5110</v>
      </c>
      <c r="G2005" s="1" t="s">
        <v>12</v>
      </c>
      <c r="H2005" s="1" t="s">
        <v>5111</v>
      </c>
      <c r="I2005" s="1" t="s">
        <v>4750</v>
      </c>
      <c r="J2005" s="1" t="s">
        <v>868</v>
      </c>
      <c r="K2005" s="1" t="s">
        <v>869</v>
      </c>
    </row>
    <row r="2006" ht="15.75" customHeight="1">
      <c r="A2006" s="2">
        <v>2005.0</v>
      </c>
      <c r="B2006" s="1" t="s">
        <v>592</v>
      </c>
      <c r="C2006" s="1" t="s">
        <v>5112</v>
      </c>
      <c r="D2006" s="1" t="s">
        <v>3583</v>
      </c>
      <c r="E2006" s="2">
        <v>5.70038000681E11</v>
      </c>
      <c r="F2006" s="1" t="s">
        <v>5113</v>
      </c>
      <c r="G2006" s="1" t="s">
        <v>135</v>
      </c>
      <c r="H2006" s="1" t="s">
        <v>4750</v>
      </c>
      <c r="I2006" s="1" t="s">
        <v>868</v>
      </c>
      <c r="J2006" s="1" t="s">
        <v>869</v>
      </c>
      <c r="K2006" s="1"/>
    </row>
    <row r="2007" ht="15.75" customHeight="1">
      <c r="A2007" s="2">
        <v>2006.0</v>
      </c>
      <c r="B2007" s="1" t="s">
        <v>5114</v>
      </c>
      <c r="C2007" s="1" t="s">
        <v>4976</v>
      </c>
      <c r="D2007" s="1" t="s">
        <v>5115</v>
      </c>
      <c r="E2007" s="2">
        <v>5.7003800069E11</v>
      </c>
      <c r="F2007" s="1" t="s">
        <v>5116</v>
      </c>
      <c r="G2007" s="1" t="s">
        <v>135</v>
      </c>
      <c r="H2007" s="1" t="s">
        <v>4750</v>
      </c>
      <c r="I2007" s="1" t="s">
        <v>868</v>
      </c>
      <c r="J2007" s="1" t="s">
        <v>869</v>
      </c>
      <c r="K2007" s="1"/>
    </row>
    <row r="2008" ht="15.75" customHeight="1">
      <c r="A2008" s="2">
        <v>2007.0</v>
      </c>
      <c r="B2008" s="1" t="s">
        <v>5117</v>
      </c>
      <c r="C2008" s="1" t="s">
        <v>5118</v>
      </c>
      <c r="D2008" s="1" t="s">
        <v>85</v>
      </c>
      <c r="E2008" s="2">
        <v>5.70038000694E11</v>
      </c>
      <c r="F2008" s="1" t="s">
        <v>5119</v>
      </c>
      <c r="G2008" s="1" t="s">
        <v>12</v>
      </c>
      <c r="H2008" s="1" t="s">
        <v>4750</v>
      </c>
      <c r="I2008" s="1" t="s">
        <v>868</v>
      </c>
      <c r="J2008" s="1" t="s">
        <v>869</v>
      </c>
      <c r="K2008" s="1"/>
    </row>
    <row r="2009" ht="15.75" customHeight="1">
      <c r="A2009" s="2">
        <v>2008.0</v>
      </c>
      <c r="B2009" s="1" t="s">
        <v>1995</v>
      </c>
      <c r="C2009" s="1" t="s">
        <v>55</v>
      </c>
      <c r="D2009" s="1" t="s">
        <v>161</v>
      </c>
      <c r="E2009" s="2">
        <v>5.70038000695E11</v>
      </c>
      <c r="F2009" s="1" t="s">
        <v>5120</v>
      </c>
      <c r="G2009" s="1" t="s">
        <v>12</v>
      </c>
      <c r="H2009" s="1" t="s">
        <v>4750</v>
      </c>
      <c r="I2009" s="1" t="s">
        <v>868</v>
      </c>
      <c r="J2009" s="1" t="s">
        <v>869</v>
      </c>
      <c r="K2009" s="1"/>
    </row>
    <row r="2010" ht="15.75" customHeight="1">
      <c r="A2010" s="2">
        <v>2009.0</v>
      </c>
      <c r="B2010" s="1" t="s">
        <v>4143</v>
      </c>
      <c r="C2010" s="1" t="s">
        <v>3316</v>
      </c>
      <c r="D2010" s="1" t="s">
        <v>5121</v>
      </c>
      <c r="E2010" s="2">
        <v>5.70038000697E11</v>
      </c>
      <c r="F2010" s="1" t="s">
        <v>5122</v>
      </c>
      <c r="G2010" s="1" t="s">
        <v>12</v>
      </c>
      <c r="H2010" s="1" t="s">
        <v>4750</v>
      </c>
      <c r="I2010" s="1" t="s">
        <v>868</v>
      </c>
      <c r="J2010" s="1" t="s">
        <v>869</v>
      </c>
      <c r="K2010" s="1"/>
    </row>
    <row r="2011" ht="15.75" customHeight="1">
      <c r="A2011" s="2">
        <v>2010.0</v>
      </c>
      <c r="B2011" s="1" t="s">
        <v>5123</v>
      </c>
      <c r="C2011" s="1" t="s">
        <v>5124</v>
      </c>
      <c r="D2011" s="1" t="s">
        <v>5125</v>
      </c>
      <c r="E2011" s="2">
        <v>5.70038000698E11</v>
      </c>
      <c r="F2011" s="1" t="s">
        <v>5126</v>
      </c>
      <c r="G2011" s="1" t="s">
        <v>12</v>
      </c>
      <c r="H2011" s="1" t="s">
        <v>4750</v>
      </c>
      <c r="I2011" s="1" t="s">
        <v>868</v>
      </c>
      <c r="J2011" s="1" t="s">
        <v>869</v>
      </c>
      <c r="K2011" s="1"/>
    </row>
    <row r="2012" ht="15.75" customHeight="1">
      <c r="A2012" s="2">
        <v>2011.0</v>
      </c>
      <c r="B2012" s="1" t="s">
        <v>5127</v>
      </c>
      <c r="C2012" s="1" t="s">
        <v>5128</v>
      </c>
      <c r="D2012" s="1" t="s">
        <v>838</v>
      </c>
      <c r="E2012" s="2">
        <v>5.70038000699E11</v>
      </c>
      <c r="F2012" s="1" t="s">
        <v>5116</v>
      </c>
      <c r="G2012" s="1" t="s">
        <v>135</v>
      </c>
      <c r="H2012" s="1" t="s">
        <v>4750</v>
      </c>
      <c r="I2012" s="1" t="s">
        <v>868</v>
      </c>
      <c r="J2012" s="1" t="s">
        <v>869</v>
      </c>
      <c r="K2012" s="1"/>
    </row>
    <row r="2013" ht="15.75" customHeight="1">
      <c r="A2013" s="2">
        <v>2012.0</v>
      </c>
      <c r="B2013" s="1" t="s">
        <v>4250</v>
      </c>
      <c r="C2013" s="1" t="s">
        <v>5129</v>
      </c>
      <c r="D2013" s="1" t="s">
        <v>62</v>
      </c>
      <c r="E2013" s="2">
        <v>5.70038000701E11</v>
      </c>
      <c r="F2013" s="1" t="s">
        <v>5130</v>
      </c>
      <c r="G2013" s="1" t="s">
        <v>135</v>
      </c>
      <c r="H2013" s="1" t="s">
        <v>4750</v>
      </c>
      <c r="I2013" s="1" t="s">
        <v>868</v>
      </c>
      <c r="J2013" s="1" t="s">
        <v>869</v>
      </c>
      <c r="K2013" s="1"/>
    </row>
    <row r="2014" ht="15.75" customHeight="1">
      <c r="A2014" s="2">
        <v>2013.0</v>
      </c>
      <c r="B2014" s="1" t="s">
        <v>445</v>
      </c>
      <c r="C2014" s="1" t="s">
        <v>5131</v>
      </c>
      <c r="D2014" s="1" t="s">
        <v>879</v>
      </c>
      <c r="E2014" s="2">
        <v>5.70038000702E11</v>
      </c>
      <c r="F2014" s="1" t="s">
        <v>5132</v>
      </c>
      <c r="G2014" s="1" t="s">
        <v>12</v>
      </c>
      <c r="H2014" s="1" t="s">
        <v>4912</v>
      </c>
      <c r="I2014" s="1" t="s">
        <v>868</v>
      </c>
      <c r="J2014" s="1" t="s">
        <v>869</v>
      </c>
      <c r="K2014" s="1"/>
    </row>
    <row r="2015" ht="15.75" customHeight="1">
      <c r="A2015" s="2">
        <v>2014.0</v>
      </c>
      <c r="B2015" s="1" t="s">
        <v>5133</v>
      </c>
      <c r="C2015" s="1" t="s">
        <v>5134</v>
      </c>
      <c r="D2015" s="1" t="s">
        <v>5135</v>
      </c>
      <c r="E2015" s="2">
        <v>5.70038000703E11</v>
      </c>
      <c r="F2015" s="1" t="s">
        <v>5136</v>
      </c>
      <c r="G2015" s="1" t="s">
        <v>12</v>
      </c>
      <c r="H2015" s="1" t="s">
        <v>4750</v>
      </c>
      <c r="I2015" s="1" t="s">
        <v>868</v>
      </c>
      <c r="J2015" s="1" t="s">
        <v>869</v>
      </c>
      <c r="K2015" s="1"/>
    </row>
    <row r="2016" ht="15.75" customHeight="1">
      <c r="A2016" s="2">
        <v>2015.0</v>
      </c>
      <c r="B2016" s="1" t="s">
        <v>5137</v>
      </c>
      <c r="C2016" s="1" t="s">
        <v>5138</v>
      </c>
      <c r="D2016" s="1" t="s">
        <v>4199</v>
      </c>
      <c r="E2016" s="2">
        <v>5.70038000704E11</v>
      </c>
      <c r="F2016" s="1" t="s">
        <v>5139</v>
      </c>
      <c r="G2016" s="1" t="s">
        <v>135</v>
      </c>
      <c r="H2016" s="1" t="s">
        <v>4750</v>
      </c>
      <c r="I2016" s="1" t="s">
        <v>868</v>
      </c>
      <c r="J2016" s="1" t="s">
        <v>869</v>
      </c>
      <c r="K2016" s="1"/>
    </row>
    <row r="2017" ht="15.75" customHeight="1">
      <c r="A2017" s="2">
        <v>2016.0</v>
      </c>
      <c r="B2017" s="1" t="s">
        <v>5140</v>
      </c>
      <c r="C2017" s="1" t="s">
        <v>5141</v>
      </c>
      <c r="D2017" s="1" t="s">
        <v>5142</v>
      </c>
      <c r="E2017" s="2">
        <v>5.70038000705E11</v>
      </c>
      <c r="F2017" s="1" t="s">
        <v>5143</v>
      </c>
      <c r="G2017" s="1" t="s">
        <v>135</v>
      </c>
      <c r="H2017" s="1" t="s">
        <v>4750</v>
      </c>
      <c r="I2017" s="1" t="s">
        <v>868</v>
      </c>
      <c r="J2017" s="1" t="s">
        <v>869</v>
      </c>
      <c r="K2017" s="1"/>
    </row>
    <row r="2018" ht="15.75" customHeight="1">
      <c r="A2018" s="2">
        <v>2017.0</v>
      </c>
      <c r="B2018" s="1" t="s">
        <v>5144</v>
      </c>
      <c r="C2018" s="1" t="s">
        <v>487</v>
      </c>
      <c r="D2018" s="1" t="s">
        <v>3475</v>
      </c>
      <c r="E2018" s="2">
        <v>5.7003800071E11</v>
      </c>
      <c r="F2018" s="1" t="s">
        <v>5145</v>
      </c>
      <c r="G2018" s="1" t="s">
        <v>12</v>
      </c>
      <c r="H2018" s="1" t="s">
        <v>4750</v>
      </c>
      <c r="I2018" s="1" t="s">
        <v>868</v>
      </c>
      <c r="J2018" s="1" t="s">
        <v>869</v>
      </c>
      <c r="K2018" s="1"/>
    </row>
    <row r="2019" ht="15.75" customHeight="1">
      <c r="A2019" s="2">
        <v>2018.0</v>
      </c>
      <c r="B2019" s="1" t="s">
        <v>5146</v>
      </c>
      <c r="C2019" s="1" t="s">
        <v>5147</v>
      </c>
      <c r="D2019" s="1" t="s">
        <v>5148</v>
      </c>
      <c r="E2019" s="2">
        <v>5.70038000718E11</v>
      </c>
      <c r="F2019" s="1" t="s">
        <v>5149</v>
      </c>
      <c r="G2019" s="1" t="s">
        <v>12</v>
      </c>
      <c r="H2019" s="1" t="s">
        <v>4750</v>
      </c>
      <c r="I2019" s="1" t="s">
        <v>868</v>
      </c>
      <c r="J2019" s="1" t="s">
        <v>869</v>
      </c>
      <c r="K2019" s="1"/>
    </row>
    <row r="2020" ht="15.75" customHeight="1">
      <c r="A2020" s="2">
        <v>2019.0</v>
      </c>
      <c r="B2020" s="1" t="s">
        <v>5150</v>
      </c>
      <c r="C2020" s="1" t="s">
        <v>3520</v>
      </c>
      <c r="D2020" s="1" t="s">
        <v>4083</v>
      </c>
      <c r="E2020" s="2">
        <v>5.7003800072E11</v>
      </c>
      <c r="F2020" s="1" t="s">
        <v>5151</v>
      </c>
      <c r="G2020" s="1" t="s">
        <v>135</v>
      </c>
      <c r="H2020" s="1" t="s">
        <v>4750</v>
      </c>
      <c r="I2020" s="1" t="s">
        <v>868</v>
      </c>
      <c r="J2020" s="1" t="s">
        <v>869</v>
      </c>
      <c r="K2020" s="1"/>
    </row>
    <row r="2021" ht="15.75" customHeight="1">
      <c r="A2021" s="2">
        <v>2020.0</v>
      </c>
      <c r="B2021" s="1" t="s">
        <v>5152</v>
      </c>
      <c r="C2021" s="1" t="s">
        <v>5153</v>
      </c>
      <c r="D2021" s="1" t="s">
        <v>5154</v>
      </c>
      <c r="E2021" s="2">
        <v>5.70038000715E11</v>
      </c>
      <c r="F2021" s="1" t="s">
        <v>1703</v>
      </c>
      <c r="G2021" s="1" t="s">
        <v>12</v>
      </c>
      <c r="H2021" s="1" t="s">
        <v>4750</v>
      </c>
      <c r="I2021" s="1" t="s">
        <v>868</v>
      </c>
      <c r="J2021" s="1" t="s">
        <v>869</v>
      </c>
      <c r="K2021" s="1"/>
    </row>
    <row r="2022" ht="15.75" customHeight="1">
      <c r="A2022" s="2">
        <v>2021.0</v>
      </c>
      <c r="B2022" s="1" t="s">
        <v>5155</v>
      </c>
      <c r="C2022" s="1" t="s">
        <v>5156</v>
      </c>
      <c r="D2022" s="1" t="s">
        <v>5157</v>
      </c>
      <c r="E2022" s="2">
        <v>5.70038000671E11</v>
      </c>
      <c r="F2022" s="1" t="s">
        <v>5158</v>
      </c>
      <c r="G2022" s="1" t="s">
        <v>261</v>
      </c>
      <c r="H2022" s="1" t="s">
        <v>4750</v>
      </c>
      <c r="I2022" s="1" t="s">
        <v>868</v>
      </c>
      <c r="J2022" s="1" t="s">
        <v>869</v>
      </c>
      <c r="K2022" s="1"/>
    </row>
    <row r="2023" ht="15.75" customHeight="1">
      <c r="A2023" s="2">
        <v>2022.0</v>
      </c>
      <c r="B2023" s="1" t="s">
        <v>5159</v>
      </c>
      <c r="C2023" s="1" t="s">
        <v>5160</v>
      </c>
      <c r="D2023" s="1" t="s">
        <v>5161</v>
      </c>
      <c r="E2023" s="2">
        <v>5.70038000674E11</v>
      </c>
      <c r="F2023" s="1" t="s">
        <v>5162</v>
      </c>
      <c r="G2023" s="1" t="s">
        <v>417</v>
      </c>
      <c r="H2023" s="1" t="s">
        <v>4750</v>
      </c>
      <c r="I2023" s="1" t="s">
        <v>868</v>
      </c>
      <c r="J2023" s="1" t="s">
        <v>869</v>
      </c>
      <c r="K2023" s="1"/>
    </row>
    <row r="2024" ht="15.75" customHeight="1">
      <c r="A2024" s="2">
        <v>2023.0</v>
      </c>
      <c r="B2024" s="1" t="s">
        <v>5163</v>
      </c>
      <c r="C2024" s="1" t="s">
        <v>5164</v>
      </c>
      <c r="D2024" s="1" t="s">
        <v>5165</v>
      </c>
      <c r="E2024" s="2">
        <v>5.70038000722E11</v>
      </c>
      <c r="F2024" s="1" t="s">
        <v>5166</v>
      </c>
      <c r="G2024" s="1" t="s">
        <v>12</v>
      </c>
      <c r="H2024" s="1" t="s">
        <v>4750</v>
      </c>
      <c r="I2024" s="1" t="s">
        <v>868</v>
      </c>
      <c r="J2024" s="1" t="s">
        <v>869</v>
      </c>
      <c r="K2024" s="1"/>
    </row>
    <row r="2025" ht="15.75" customHeight="1">
      <c r="A2025" s="2">
        <v>2024.0</v>
      </c>
      <c r="B2025" s="1" t="s">
        <v>445</v>
      </c>
      <c r="C2025" s="1" t="s">
        <v>446</v>
      </c>
      <c r="D2025" s="1" t="s">
        <v>455</v>
      </c>
      <c r="E2025" s="2">
        <v>5.70038000724E11</v>
      </c>
      <c r="F2025" s="1" t="s">
        <v>5167</v>
      </c>
      <c r="G2025" s="1" t="s">
        <v>12</v>
      </c>
      <c r="H2025" s="1" t="s">
        <v>4750</v>
      </c>
      <c r="I2025" s="1" t="s">
        <v>868</v>
      </c>
      <c r="J2025" s="1" t="s">
        <v>869</v>
      </c>
      <c r="K2025" s="1"/>
    </row>
    <row r="2026" ht="15.75" customHeight="1">
      <c r="A2026" s="2">
        <v>2025.0</v>
      </c>
      <c r="B2026" s="1" t="s">
        <v>2632</v>
      </c>
      <c r="C2026" s="1" t="s">
        <v>2693</v>
      </c>
      <c r="D2026" s="1" t="s">
        <v>2138</v>
      </c>
      <c r="E2026" s="2">
        <v>5.70038000728E11</v>
      </c>
      <c r="F2026" s="1" t="s">
        <v>5168</v>
      </c>
      <c r="G2026" s="1" t="s">
        <v>135</v>
      </c>
      <c r="H2026" s="1" t="s">
        <v>4750</v>
      </c>
      <c r="I2026" s="1" t="s">
        <v>868</v>
      </c>
      <c r="J2026" s="1" t="s">
        <v>869</v>
      </c>
      <c r="K2026" s="1"/>
    </row>
    <row r="2027" ht="15.75" customHeight="1">
      <c r="A2027" s="2">
        <v>2026.0</v>
      </c>
      <c r="B2027" s="1" t="s">
        <v>5169</v>
      </c>
      <c r="C2027" s="1" t="s">
        <v>3844</v>
      </c>
      <c r="D2027" s="1" t="s">
        <v>928</v>
      </c>
      <c r="E2027" s="2">
        <v>5.70038000729E11</v>
      </c>
      <c r="F2027" s="1" t="s">
        <v>5170</v>
      </c>
      <c r="G2027" s="1" t="s">
        <v>135</v>
      </c>
      <c r="H2027" s="1" t="s">
        <v>4750</v>
      </c>
      <c r="I2027" s="1" t="s">
        <v>868</v>
      </c>
      <c r="J2027" s="1" t="s">
        <v>869</v>
      </c>
      <c r="K2027" s="1"/>
    </row>
    <row r="2028" ht="15.75" customHeight="1">
      <c r="A2028" s="2">
        <v>2027.0</v>
      </c>
      <c r="B2028" s="1" t="s">
        <v>1130</v>
      </c>
      <c r="C2028" s="1" t="s">
        <v>5171</v>
      </c>
      <c r="D2028" s="1" t="s">
        <v>324</v>
      </c>
      <c r="E2028" s="2">
        <v>5.7003800073E11</v>
      </c>
      <c r="F2028" s="1" t="s">
        <v>5172</v>
      </c>
      <c r="G2028" s="1" t="s">
        <v>12</v>
      </c>
      <c r="H2028" s="1" t="s">
        <v>4750</v>
      </c>
      <c r="I2028" s="1" t="s">
        <v>868</v>
      </c>
      <c r="J2028" s="1" t="s">
        <v>869</v>
      </c>
      <c r="K2028" s="1"/>
    </row>
    <row r="2029" ht="15.75" customHeight="1">
      <c r="A2029" s="2">
        <v>2028.0</v>
      </c>
      <c r="B2029" s="1" t="s">
        <v>375</v>
      </c>
      <c r="C2029" s="1" t="s">
        <v>51</v>
      </c>
      <c r="D2029" s="1" t="s">
        <v>384</v>
      </c>
      <c r="E2029" s="2">
        <v>5.70038000731E11</v>
      </c>
      <c r="F2029" s="1" t="s">
        <v>5173</v>
      </c>
      <c r="G2029" s="1" t="s">
        <v>12</v>
      </c>
      <c r="H2029" s="1" t="s">
        <v>4750</v>
      </c>
      <c r="I2029" s="1" t="s">
        <v>868</v>
      </c>
      <c r="J2029" s="1" t="s">
        <v>869</v>
      </c>
      <c r="K2029" s="1"/>
    </row>
    <row r="2030" ht="15.75" customHeight="1">
      <c r="A2030" s="2">
        <v>2029.0</v>
      </c>
      <c r="B2030" s="1" t="s">
        <v>5174</v>
      </c>
      <c r="C2030" s="1" t="s">
        <v>1253</v>
      </c>
      <c r="D2030" s="1" t="s">
        <v>781</v>
      </c>
      <c r="E2030" s="2">
        <v>5.70038000732E11</v>
      </c>
      <c r="F2030" s="1" t="s">
        <v>5175</v>
      </c>
      <c r="G2030" s="1" t="s">
        <v>135</v>
      </c>
      <c r="H2030" s="1" t="s">
        <v>4750</v>
      </c>
      <c r="I2030" s="1" t="s">
        <v>868</v>
      </c>
      <c r="J2030" s="1" t="s">
        <v>869</v>
      </c>
      <c r="K2030" s="1"/>
    </row>
    <row r="2031" ht="15.75" customHeight="1">
      <c r="A2031" s="2">
        <v>2030.0</v>
      </c>
      <c r="B2031" s="1" t="s">
        <v>4217</v>
      </c>
      <c r="C2031" s="1" t="s">
        <v>5176</v>
      </c>
      <c r="D2031" s="1" t="s">
        <v>269</v>
      </c>
      <c r="E2031" s="2">
        <v>5.70038000733E11</v>
      </c>
      <c r="F2031" s="1" t="s">
        <v>5177</v>
      </c>
      <c r="G2031" s="1" t="s">
        <v>135</v>
      </c>
      <c r="H2031" s="1" t="s">
        <v>4750</v>
      </c>
      <c r="I2031" s="1" t="s">
        <v>868</v>
      </c>
      <c r="J2031" s="1" t="s">
        <v>869</v>
      </c>
      <c r="K2031" s="1"/>
    </row>
    <row r="2032" ht="15.75" customHeight="1">
      <c r="A2032" s="2">
        <v>2031.0</v>
      </c>
      <c r="B2032" s="1" t="s">
        <v>5178</v>
      </c>
      <c r="C2032" s="1" t="s">
        <v>323</v>
      </c>
      <c r="D2032" s="1" t="s">
        <v>239</v>
      </c>
      <c r="E2032" s="2">
        <v>5.70038000734E11</v>
      </c>
      <c r="F2032" s="1" t="s">
        <v>5179</v>
      </c>
      <c r="G2032" s="1" t="s">
        <v>135</v>
      </c>
      <c r="H2032" s="1" t="s">
        <v>4750</v>
      </c>
      <c r="I2032" s="1" t="s">
        <v>868</v>
      </c>
      <c r="J2032" s="1" t="s">
        <v>869</v>
      </c>
      <c r="K2032" s="1"/>
    </row>
    <row r="2033" ht="15.75" customHeight="1">
      <c r="A2033" s="2">
        <v>2032.0</v>
      </c>
      <c r="B2033" s="1" t="s">
        <v>3486</v>
      </c>
      <c r="C2033" s="1" t="s">
        <v>132</v>
      </c>
      <c r="D2033" s="1" t="s">
        <v>77</v>
      </c>
      <c r="E2033" s="2">
        <v>5.70038000735E11</v>
      </c>
      <c r="F2033" s="1" t="s">
        <v>5180</v>
      </c>
      <c r="G2033" s="1" t="s">
        <v>135</v>
      </c>
      <c r="H2033" s="1" t="s">
        <v>4750</v>
      </c>
      <c r="I2033" s="1" t="s">
        <v>868</v>
      </c>
      <c r="J2033" s="1" t="s">
        <v>869</v>
      </c>
      <c r="K2033" s="1"/>
    </row>
    <row r="2034" ht="15.75" customHeight="1">
      <c r="A2034" s="2">
        <v>2033.0</v>
      </c>
      <c r="B2034" s="1" t="s">
        <v>974</v>
      </c>
      <c r="C2034" s="1" t="s">
        <v>5181</v>
      </c>
      <c r="D2034" s="1" t="s">
        <v>313</v>
      </c>
      <c r="E2034" s="2">
        <v>5.70038000736E11</v>
      </c>
      <c r="F2034" s="1" t="s">
        <v>5182</v>
      </c>
      <c r="G2034" s="1" t="s">
        <v>135</v>
      </c>
      <c r="H2034" s="1" t="s">
        <v>4750</v>
      </c>
      <c r="I2034" s="1" t="s">
        <v>868</v>
      </c>
      <c r="J2034" s="1" t="s">
        <v>869</v>
      </c>
      <c r="K2034" s="1"/>
    </row>
    <row r="2035" ht="15.75" customHeight="1">
      <c r="A2035" s="2">
        <v>2034.0</v>
      </c>
      <c r="B2035" s="1" t="s">
        <v>4442</v>
      </c>
      <c r="C2035" s="1" t="s">
        <v>516</v>
      </c>
      <c r="D2035" s="1" t="s">
        <v>161</v>
      </c>
      <c r="E2035" s="2">
        <v>5.70038000737E11</v>
      </c>
      <c r="F2035" s="1" t="s">
        <v>5183</v>
      </c>
      <c r="G2035" s="1" t="s">
        <v>12</v>
      </c>
      <c r="H2035" s="1" t="s">
        <v>4750</v>
      </c>
      <c r="I2035" s="1" t="s">
        <v>868</v>
      </c>
      <c r="J2035" s="1" t="s">
        <v>869</v>
      </c>
      <c r="K2035" s="1"/>
    </row>
    <row r="2036" ht="15.75" customHeight="1">
      <c r="A2036" s="2">
        <v>2035.0</v>
      </c>
      <c r="B2036" s="1" t="s">
        <v>136</v>
      </c>
      <c r="C2036" s="1" t="s">
        <v>369</v>
      </c>
      <c r="D2036" s="1" t="s">
        <v>5184</v>
      </c>
      <c r="E2036" s="2">
        <v>5.7003800074E11</v>
      </c>
      <c r="F2036" s="1" t="s">
        <v>5185</v>
      </c>
      <c r="G2036" s="1" t="s">
        <v>12</v>
      </c>
      <c r="H2036" s="1" t="s">
        <v>4750</v>
      </c>
      <c r="I2036" s="1" t="s">
        <v>868</v>
      </c>
      <c r="J2036" s="1" t="s">
        <v>869</v>
      </c>
      <c r="K2036" s="1"/>
    </row>
    <row r="2037" ht="15.75" customHeight="1">
      <c r="A2037" s="2">
        <v>2036.0</v>
      </c>
      <c r="B2037" s="1" t="s">
        <v>5186</v>
      </c>
      <c r="C2037" s="1" t="s">
        <v>5187</v>
      </c>
      <c r="D2037" s="1" t="s">
        <v>1052</v>
      </c>
      <c r="E2037" s="2">
        <v>5.70038000743E11</v>
      </c>
      <c r="F2037" s="1" t="s">
        <v>5188</v>
      </c>
      <c r="G2037" s="1" t="s">
        <v>12</v>
      </c>
      <c r="H2037" s="1" t="s">
        <v>4750</v>
      </c>
      <c r="I2037" s="1" t="s">
        <v>868</v>
      </c>
      <c r="J2037" s="1" t="s">
        <v>869</v>
      </c>
      <c r="K2037" s="1"/>
    </row>
    <row r="2038" ht="15.75" customHeight="1">
      <c r="A2038" s="2">
        <v>2037.0</v>
      </c>
      <c r="B2038" s="1" t="s">
        <v>5006</v>
      </c>
      <c r="C2038" s="1" t="s">
        <v>2686</v>
      </c>
      <c r="D2038" s="1" t="s">
        <v>295</v>
      </c>
      <c r="E2038" s="2">
        <v>5.70038000745E11</v>
      </c>
      <c r="F2038" s="1" t="s">
        <v>4946</v>
      </c>
      <c r="G2038" s="1" t="s">
        <v>12</v>
      </c>
      <c r="H2038" s="1" t="s">
        <v>4750</v>
      </c>
      <c r="I2038" s="1" t="s">
        <v>868</v>
      </c>
      <c r="J2038" s="1" t="s">
        <v>869</v>
      </c>
      <c r="K2038" s="1"/>
    </row>
    <row r="2039" ht="15.75" customHeight="1">
      <c r="A2039" s="2">
        <v>2038.0</v>
      </c>
      <c r="B2039" s="1" t="s">
        <v>5189</v>
      </c>
      <c r="C2039" s="1" t="s">
        <v>5190</v>
      </c>
      <c r="D2039" s="1" t="s">
        <v>1521</v>
      </c>
      <c r="E2039" s="2">
        <v>5.70038000746E11</v>
      </c>
      <c r="F2039" s="1" t="s">
        <v>5191</v>
      </c>
      <c r="G2039" s="1" t="s">
        <v>12</v>
      </c>
      <c r="H2039" s="1" t="s">
        <v>4750</v>
      </c>
      <c r="I2039" s="1" t="s">
        <v>868</v>
      </c>
      <c r="J2039" s="1" t="s">
        <v>869</v>
      </c>
      <c r="K2039" s="1"/>
    </row>
    <row r="2040" ht="15.75" customHeight="1">
      <c r="A2040" s="2">
        <v>2039.0</v>
      </c>
      <c r="B2040" s="1" t="s">
        <v>199</v>
      </c>
      <c r="C2040" s="1" t="s">
        <v>5192</v>
      </c>
      <c r="D2040" s="1" t="s">
        <v>1557</v>
      </c>
      <c r="E2040" s="2">
        <v>5.70038000751E11</v>
      </c>
      <c r="F2040" s="1" t="s">
        <v>4891</v>
      </c>
      <c r="G2040" s="1" t="s">
        <v>12</v>
      </c>
      <c r="H2040" s="1" t="s">
        <v>4750</v>
      </c>
      <c r="I2040" s="1" t="s">
        <v>868</v>
      </c>
      <c r="J2040" s="1" t="s">
        <v>869</v>
      </c>
      <c r="K2040" s="1"/>
    </row>
    <row r="2041" ht="15.75" customHeight="1">
      <c r="A2041" s="2">
        <v>2040.0</v>
      </c>
      <c r="B2041" s="1" t="s">
        <v>5193</v>
      </c>
      <c r="C2041" s="1" t="s">
        <v>323</v>
      </c>
      <c r="D2041" s="1" t="s">
        <v>52</v>
      </c>
      <c r="E2041" s="2">
        <v>5.70038000753E11</v>
      </c>
      <c r="F2041" s="1" t="s">
        <v>5194</v>
      </c>
      <c r="G2041" s="1" t="s">
        <v>12</v>
      </c>
      <c r="H2041" s="1" t="s">
        <v>4750</v>
      </c>
      <c r="I2041" s="1" t="s">
        <v>868</v>
      </c>
      <c r="J2041" s="1" t="s">
        <v>869</v>
      </c>
      <c r="K2041" s="1"/>
    </row>
    <row r="2042" ht="15.75" customHeight="1">
      <c r="A2042" s="2">
        <v>2041.0</v>
      </c>
      <c r="B2042" s="1" t="s">
        <v>1581</v>
      </c>
      <c r="C2042" s="1" t="s">
        <v>3901</v>
      </c>
      <c r="D2042" s="1" t="s">
        <v>2230</v>
      </c>
      <c r="E2042" s="2">
        <v>5.70038000754E11</v>
      </c>
      <c r="F2042" s="1" t="s">
        <v>5195</v>
      </c>
      <c r="G2042" s="1" t="s">
        <v>12</v>
      </c>
      <c r="H2042" s="1" t="s">
        <v>4750</v>
      </c>
      <c r="I2042" s="1" t="s">
        <v>868</v>
      </c>
      <c r="J2042" s="1" t="s">
        <v>869</v>
      </c>
      <c r="K2042" s="1"/>
    </row>
    <row r="2043" ht="15.75" customHeight="1">
      <c r="A2043" s="2">
        <v>2042.0</v>
      </c>
      <c r="B2043" s="1" t="s">
        <v>1052</v>
      </c>
      <c r="C2043" s="1" t="s">
        <v>4691</v>
      </c>
      <c r="D2043" s="1" t="s">
        <v>2946</v>
      </c>
      <c r="E2043" s="2">
        <v>5.70038000755E11</v>
      </c>
      <c r="F2043" s="1" t="s">
        <v>5196</v>
      </c>
      <c r="G2043" s="1" t="s">
        <v>12</v>
      </c>
      <c r="H2043" s="1" t="s">
        <v>4750</v>
      </c>
      <c r="I2043" s="1" t="s">
        <v>868</v>
      </c>
      <c r="J2043" s="1" t="s">
        <v>869</v>
      </c>
      <c r="K2043" s="1"/>
    </row>
    <row r="2044" ht="15.75" customHeight="1">
      <c r="A2044" s="2">
        <v>2043.0</v>
      </c>
      <c r="B2044" s="1" t="s">
        <v>5197</v>
      </c>
      <c r="C2044" s="1" t="s">
        <v>1127</v>
      </c>
      <c r="D2044" s="1" t="s">
        <v>5198</v>
      </c>
      <c r="E2044" s="2">
        <v>5.70038000757E11</v>
      </c>
      <c r="F2044" s="1" t="s">
        <v>5199</v>
      </c>
      <c r="G2044" s="1" t="s">
        <v>12</v>
      </c>
      <c r="H2044" s="1" t="s">
        <v>4750</v>
      </c>
      <c r="I2044" s="1" t="s">
        <v>868</v>
      </c>
      <c r="J2044" s="1" t="s">
        <v>869</v>
      </c>
      <c r="K2044" s="1"/>
    </row>
    <row r="2045" ht="15.75" customHeight="1">
      <c r="A2045" s="2">
        <v>2044.0</v>
      </c>
      <c r="B2045" s="1" t="s">
        <v>5200</v>
      </c>
      <c r="C2045" s="1" t="s">
        <v>5201</v>
      </c>
      <c r="D2045" s="1" t="s">
        <v>5202</v>
      </c>
      <c r="E2045" s="2">
        <v>5.70038000758E11</v>
      </c>
      <c r="F2045" s="1" t="s">
        <v>5196</v>
      </c>
      <c r="G2045" s="1" t="s">
        <v>12</v>
      </c>
      <c r="H2045" s="1" t="s">
        <v>4750</v>
      </c>
      <c r="I2045" s="1" t="s">
        <v>868</v>
      </c>
      <c r="J2045" s="1" t="s">
        <v>869</v>
      </c>
      <c r="K2045" s="1"/>
    </row>
    <row r="2046" ht="15.75" customHeight="1">
      <c r="A2046" s="2">
        <v>2045.0</v>
      </c>
      <c r="B2046" s="1" t="s">
        <v>333</v>
      </c>
      <c r="C2046" s="1" t="s">
        <v>5203</v>
      </c>
      <c r="D2046" s="1" t="s">
        <v>1308</v>
      </c>
      <c r="E2046" s="2">
        <v>5.7003800076E11</v>
      </c>
      <c r="F2046" s="1" t="s">
        <v>5204</v>
      </c>
      <c r="G2046" s="1" t="s">
        <v>12</v>
      </c>
      <c r="H2046" s="1" t="s">
        <v>4750</v>
      </c>
      <c r="I2046" s="1" t="s">
        <v>868</v>
      </c>
      <c r="J2046" s="1" t="s">
        <v>869</v>
      </c>
      <c r="K2046" s="1"/>
    </row>
    <row r="2047" ht="15.75" customHeight="1">
      <c r="A2047" s="2">
        <v>2046.0</v>
      </c>
      <c r="B2047" s="1" t="s">
        <v>5205</v>
      </c>
      <c r="C2047" s="1" t="s">
        <v>5206</v>
      </c>
      <c r="D2047" s="1" t="s">
        <v>957</v>
      </c>
      <c r="E2047" s="2">
        <v>5.70038000764E11</v>
      </c>
      <c r="F2047" s="1" t="s">
        <v>4717</v>
      </c>
      <c r="G2047" s="1" t="s">
        <v>261</v>
      </c>
      <c r="H2047" s="1" t="s">
        <v>4750</v>
      </c>
      <c r="I2047" s="1" t="s">
        <v>868</v>
      </c>
      <c r="J2047" s="1" t="s">
        <v>869</v>
      </c>
      <c r="K2047" s="1"/>
    </row>
    <row r="2048" ht="15.75" customHeight="1">
      <c r="A2048" s="2">
        <v>2047.0</v>
      </c>
      <c r="B2048" s="1" t="s">
        <v>5207</v>
      </c>
      <c r="C2048" s="1" t="s">
        <v>5208</v>
      </c>
      <c r="D2048" s="1" t="s">
        <v>1790</v>
      </c>
      <c r="E2048" s="2">
        <v>5.70038000766E11</v>
      </c>
      <c r="F2048" s="1" t="s">
        <v>4860</v>
      </c>
      <c r="G2048" s="1" t="s">
        <v>12</v>
      </c>
      <c r="H2048" s="1" t="s">
        <v>4750</v>
      </c>
      <c r="I2048" s="1" t="s">
        <v>868</v>
      </c>
      <c r="J2048" s="1" t="s">
        <v>869</v>
      </c>
      <c r="K2048" s="1"/>
    </row>
    <row r="2049" ht="15.75" customHeight="1">
      <c r="A2049" s="2">
        <v>2048.0</v>
      </c>
      <c r="B2049" s="1" t="s">
        <v>5209</v>
      </c>
      <c r="C2049" s="1" t="s">
        <v>5210</v>
      </c>
      <c r="D2049" s="1" t="s">
        <v>5211</v>
      </c>
      <c r="E2049" s="2">
        <v>5.70038000772E11</v>
      </c>
      <c r="F2049" s="1" t="s">
        <v>5212</v>
      </c>
      <c r="G2049" s="1" t="s">
        <v>135</v>
      </c>
      <c r="H2049" s="1" t="s">
        <v>4750</v>
      </c>
      <c r="I2049" s="1" t="s">
        <v>868</v>
      </c>
      <c r="J2049" s="1" t="s">
        <v>869</v>
      </c>
      <c r="K2049" s="1"/>
    </row>
    <row r="2050" ht="15.75" customHeight="1">
      <c r="A2050" s="2">
        <v>2049.0</v>
      </c>
      <c r="B2050" s="1" t="s">
        <v>550</v>
      </c>
      <c r="C2050" s="1" t="s">
        <v>487</v>
      </c>
      <c r="D2050" s="1" t="s">
        <v>596</v>
      </c>
      <c r="E2050" s="2">
        <v>5.70038000773E11</v>
      </c>
      <c r="F2050" s="1" t="s">
        <v>5213</v>
      </c>
      <c r="G2050" s="1" t="s">
        <v>135</v>
      </c>
      <c r="H2050" s="1" t="s">
        <v>4750</v>
      </c>
      <c r="I2050" s="1" t="s">
        <v>868</v>
      </c>
      <c r="J2050" s="1" t="s">
        <v>869</v>
      </c>
      <c r="K2050" s="1"/>
    </row>
    <row r="2051" ht="15.75" customHeight="1">
      <c r="A2051" s="2">
        <v>2050.0</v>
      </c>
      <c r="B2051" s="1" t="s">
        <v>5214</v>
      </c>
      <c r="C2051" s="1" t="s">
        <v>323</v>
      </c>
      <c r="D2051" s="1" t="s">
        <v>2481</v>
      </c>
      <c r="E2051" s="2">
        <v>5.70038000775E11</v>
      </c>
      <c r="F2051" s="1" t="s">
        <v>5215</v>
      </c>
      <c r="G2051" s="1" t="s">
        <v>135</v>
      </c>
      <c r="H2051" s="1" t="s">
        <v>4750</v>
      </c>
      <c r="I2051" s="1" t="s">
        <v>868</v>
      </c>
      <c r="J2051" s="1" t="s">
        <v>869</v>
      </c>
      <c r="K2051" s="1"/>
    </row>
    <row r="2052" ht="15.75" customHeight="1">
      <c r="A2052" s="2">
        <v>2051.0</v>
      </c>
      <c r="B2052" s="1" t="s">
        <v>5216</v>
      </c>
      <c r="C2052" s="1" t="s">
        <v>5217</v>
      </c>
      <c r="D2052" s="1" t="s">
        <v>5218</v>
      </c>
      <c r="E2052" s="2">
        <v>5.70038000779E11</v>
      </c>
      <c r="F2052" s="1" t="s">
        <v>4884</v>
      </c>
      <c r="G2052" s="1" t="s">
        <v>12</v>
      </c>
      <c r="H2052" s="1" t="s">
        <v>4750</v>
      </c>
      <c r="I2052" s="1" t="s">
        <v>868</v>
      </c>
      <c r="J2052" s="1" t="s">
        <v>869</v>
      </c>
      <c r="K2052" s="1"/>
    </row>
    <row r="2053" ht="15.75" customHeight="1">
      <c r="A2053" s="2">
        <v>2052.0</v>
      </c>
      <c r="B2053" s="1" t="s">
        <v>1659</v>
      </c>
      <c r="C2053" s="1" t="s">
        <v>5219</v>
      </c>
      <c r="D2053" s="1" t="s">
        <v>515</v>
      </c>
      <c r="E2053" s="2">
        <v>5.7003800078E11</v>
      </c>
      <c r="F2053" s="1" t="s">
        <v>5213</v>
      </c>
      <c r="G2053" s="1" t="s">
        <v>12</v>
      </c>
      <c r="H2053" s="1" t="s">
        <v>4750</v>
      </c>
      <c r="I2053" s="1" t="s">
        <v>868</v>
      </c>
      <c r="J2053" s="1" t="s">
        <v>869</v>
      </c>
      <c r="K2053" s="1"/>
    </row>
    <row r="2054" ht="15.75" customHeight="1">
      <c r="A2054" s="2">
        <v>2053.0</v>
      </c>
      <c r="B2054" s="1" t="s">
        <v>5220</v>
      </c>
      <c r="C2054" s="1" t="s">
        <v>5221</v>
      </c>
      <c r="D2054" s="1" t="s">
        <v>127</v>
      </c>
      <c r="E2054" s="2">
        <v>5.70038000781E11</v>
      </c>
      <c r="F2054" s="1" t="s">
        <v>5222</v>
      </c>
      <c r="G2054" s="1" t="s">
        <v>12</v>
      </c>
      <c r="H2054" s="1" t="s">
        <v>4750</v>
      </c>
      <c r="I2054" s="1" t="s">
        <v>868</v>
      </c>
      <c r="J2054" s="1" t="s">
        <v>869</v>
      </c>
      <c r="K2054" s="1"/>
    </row>
    <row r="2055" ht="15.75" customHeight="1">
      <c r="A2055" s="2">
        <v>2054.0</v>
      </c>
      <c r="B2055" s="1" t="s">
        <v>2632</v>
      </c>
      <c r="C2055" s="1" t="s">
        <v>4597</v>
      </c>
      <c r="D2055" s="1" t="s">
        <v>230</v>
      </c>
      <c r="E2055" s="2">
        <v>5.70038000783E11</v>
      </c>
      <c r="F2055" s="1" t="s">
        <v>5223</v>
      </c>
      <c r="G2055" s="1" t="s">
        <v>135</v>
      </c>
      <c r="H2055" s="1" t="s">
        <v>4750</v>
      </c>
      <c r="I2055" s="1" t="s">
        <v>868</v>
      </c>
      <c r="J2055" s="1" t="s">
        <v>869</v>
      </c>
      <c r="K2055" s="1"/>
    </row>
    <row r="2056" ht="15.75" customHeight="1">
      <c r="A2056" s="2">
        <v>2055.0</v>
      </c>
      <c r="B2056" s="1" t="s">
        <v>5224</v>
      </c>
      <c r="C2056" s="1" t="s">
        <v>749</v>
      </c>
      <c r="D2056" s="1" t="s">
        <v>42</v>
      </c>
      <c r="E2056" s="2">
        <v>5.70038000785E11</v>
      </c>
      <c r="F2056" s="1" t="s">
        <v>5225</v>
      </c>
      <c r="G2056" s="1" t="s">
        <v>135</v>
      </c>
      <c r="H2056" s="1" t="s">
        <v>4750</v>
      </c>
      <c r="I2056" s="1" t="s">
        <v>868</v>
      </c>
      <c r="J2056" s="1" t="s">
        <v>869</v>
      </c>
      <c r="K2056" s="1"/>
    </row>
    <row r="2057" ht="15.75" customHeight="1">
      <c r="A2057" s="2">
        <v>2056.0</v>
      </c>
      <c r="B2057" s="1" t="s">
        <v>5226</v>
      </c>
      <c r="C2057" s="1" t="s">
        <v>5227</v>
      </c>
      <c r="D2057" s="1" t="s">
        <v>313</v>
      </c>
      <c r="E2057" s="2">
        <v>5.7003800079E11</v>
      </c>
      <c r="F2057" s="1" t="s">
        <v>5228</v>
      </c>
      <c r="G2057" s="1" t="s">
        <v>135</v>
      </c>
      <c r="H2057" s="1" t="s">
        <v>4750</v>
      </c>
      <c r="I2057" s="1" t="s">
        <v>868</v>
      </c>
      <c r="J2057" s="1" t="s">
        <v>869</v>
      </c>
      <c r="K2057" s="1"/>
    </row>
    <row r="2058" ht="15.75" customHeight="1">
      <c r="A2058" s="2">
        <v>2057.0</v>
      </c>
      <c r="B2058" s="1" t="s">
        <v>5229</v>
      </c>
      <c r="C2058" s="1" t="s">
        <v>5230</v>
      </c>
      <c r="D2058" s="1" t="s">
        <v>77</v>
      </c>
      <c r="E2058" s="2">
        <v>5.70038000804E11</v>
      </c>
      <c r="F2058" s="1" t="s">
        <v>5231</v>
      </c>
      <c r="G2058" s="1" t="s">
        <v>135</v>
      </c>
      <c r="H2058" s="1" t="s">
        <v>4750</v>
      </c>
      <c r="I2058" s="1" t="s">
        <v>868</v>
      </c>
      <c r="J2058" s="1" t="s">
        <v>869</v>
      </c>
      <c r="K2058" s="1"/>
    </row>
    <row r="2059" ht="15.75" customHeight="1">
      <c r="A2059" s="2">
        <v>2058.0</v>
      </c>
      <c r="B2059" s="1" t="s">
        <v>879</v>
      </c>
      <c r="C2059" s="1" t="s">
        <v>4108</v>
      </c>
      <c r="D2059" s="1" t="s">
        <v>40</v>
      </c>
      <c r="E2059" s="2">
        <v>5.70038000805E11</v>
      </c>
      <c r="F2059" s="1" t="s">
        <v>5232</v>
      </c>
      <c r="G2059" s="1" t="s">
        <v>135</v>
      </c>
      <c r="H2059" s="1" t="s">
        <v>4750</v>
      </c>
      <c r="I2059" s="1" t="s">
        <v>868</v>
      </c>
      <c r="J2059" s="1" t="s">
        <v>869</v>
      </c>
      <c r="K2059" s="1"/>
    </row>
    <row r="2060" ht="15.75" customHeight="1">
      <c r="A2060" s="2">
        <v>2059.0</v>
      </c>
      <c r="B2060" s="1" t="s">
        <v>5233</v>
      </c>
      <c r="C2060" s="1" t="s">
        <v>5234</v>
      </c>
      <c r="D2060" s="1" t="s">
        <v>5235</v>
      </c>
      <c r="E2060" s="2">
        <v>5.7003800081E11</v>
      </c>
      <c r="F2060" s="1" t="s">
        <v>5236</v>
      </c>
      <c r="G2060" s="1" t="s">
        <v>135</v>
      </c>
      <c r="H2060" s="1" t="s">
        <v>4750</v>
      </c>
      <c r="I2060" s="1" t="s">
        <v>868</v>
      </c>
      <c r="J2060" s="1" t="s">
        <v>869</v>
      </c>
      <c r="K2060" s="1"/>
    </row>
    <row r="2061" ht="15.75" customHeight="1">
      <c r="A2061" s="2">
        <v>2060.0</v>
      </c>
      <c r="B2061" s="1" t="s">
        <v>5237</v>
      </c>
      <c r="C2061" s="1" t="s">
        <v>5238</v>
      </c>
      <c r="D2061" s="1" t="s">
        <v>5239</v>
      </c>
      <c r="E2061" s="2">
        <v>5.70038000812E11</v>
      </c>
      <c r="F2061" s="1" t="s">
        <v>5240</v>
      </c>
      <c r="G2061" s="1" t="s">
        <v>135</v>
      </c>
      <c r="H2061" s="1" t="s">
        <v>4750</v>
      </c>
      <c r="I2061" s="1" t="s">
        <v>868</v>
      </c>
      <c r="J2061" s="1" t="s">
        <v>869</v>
      </c>
      <c r="K2061" s="1"/>
    </row>
    <row r="2062" ht="15.75" customHeight="1">
      <c r="A2062" s="2">
        <v>2061.0</v>
      </c>
      <c r="B2062" s="1" t="s">
        <v>1506</v>
      </c>
      <c r="C2062" s="1" t="s">
        <v>5241</v>
      </c>
      <c r="D2062" s="1" t="s">
        <v>172</v>
      </c>
      <c r="E2062" s="2">
        <v>5.70038000814E11</v>
      </c>
      <c r="F2062" s="1" t="s">
        <v>5242</v>
      </c>
      <c r="G2062" s="1" t="s">
        <v>12</v>
      </c>
      <c r="H2062" s="1" t="s">
        <v>4750</v>
      </c>
      <c r="I2062" s="1" t="s">
        <v>868</v>
      </c>
      <c r="J2062" s="1" t="s">
        <v>869</v>
      </c>
      <c r="K2062" s="1"/>
    </row>
    <row r="2063" ht="15.75" customHeight="1">
      <c r="A2063" s="2">
        <v>2062.0</v>
      </c>
      <c r="B2063" s="1" t="s">
        <v>5243</v>
      </c>
      <c r="C2063" s="1" t="s">
        <v>3968</v>
      </c>
      <c r="D2063" s="1" t="s">
        <v>5244</v>
      </c>
      <c r="E2063" s="2">
        <v>5.70038000815E11</v>
      </c>
      <c r="F2063" s="1" t="s">
        <v>5245</v>
      </c>
      <c r="G2063" s="1" t="s">
        <v>135</v>
      </c>
      <c r="H2063" s="1" t="s">
        <v>4750</v>
      </c>
      <c r="I2063" s="1" t="s">
        <v>868</v>
      </c>
      <c r="J2063" s="1" t="s">
        <v>869</v>
      </c>
      <c r="K2063" s="1"/>
    </row>
    <row r="2064" ht="15.75" customHeight="1">
      <c r="A2064" s="2">
        <v>2063.0</v>
      </c>
      <c r="B2064" s="1" t="s">
        <v>5246</v>
      </c>
      <c r="C2064" s="1" t="s">
        <v>5247</v>
      </c>
      <c r="D2064" s="1" t="s">
        <v>419</v>
      </c>
      <c r="E2064" s="2">
        <v>5.70038000816E11</v>
      </c>
      <c r="F2064" s="1" t="s">
        <v>5248</v>
      </c>
      <c r="G2064" s="1" t="s">
        <v>135</v>
      </c>
      <c r="H2064" s="1" t="s">
        <v>4750</v>
      </c>
      <c r="I2064" s="1" t="s">
        <v>868</v>
      </c>
      <c r="J2064" s="1" t="s">
        <v>869</v>
      </c>
      <c r="K2064" s="1"/>
    </row>
    <row r="2065" ht="15.75" customHeight="1">
      <c r="A2065" s="2">
        <v>2064.0</v>
      </c>
      <c r="B2065" s="1" t="s">
        <v>5249</v>
      </c>
      <c r="C2065" s="1" t="s">
        <v>516</v>
      </c>
      <c r="D2065" s="1" t="s">
        <v>5250</v>
      </c>
      <c r="E2065" s="2">
        <v>5.70038000817E11</v>
      </c>
      <c r="F2065" s="1" t="s">
        <v>5105</v>
      </c>
      <c r="G2065" s="1" t="s">
        <v>12</v>
      </c>
      <c r="H2065" s="1" t="s">
        <v>4750</v>
      </c>
      <c r="I2065" s="1" t="s">
        <v>868</v>
      </c>
      <c r="J2065" s="1" t="s">
        <v>869</v>
      </c>
      <c r="K2065" s="1"/>
    </row>
    <row r="2066" ht="15.75" customHeight="1">
      <c r="A2066" s="2">
        <v>2065.0</v>
      </c>
      <c r="B2066" s="1" t="s">
        <v>1815</v>
      </c>
      <c r="C2066" s="1" t="s">
        <v>4514</v>
      </c>
      <c r="D2066" s="1" t="s">
        <v>2725</v>
      </c>
      <c r="E2066" s="2">
        <v>5.70038000819E11</v>
      </c>
      <c r="F2066" s="1" t="s">
        <v>4419</v>
      </c>
      <c r="G2066" s="1" t="s">
        <v>12</v>
      </c>
      <c r="H2066" s="1" t="s">
        <v>4750</v>
      </c>
      <c r="I2066" s="1" t="s">
        <v>868</v>
      </c>
      <c r="J2066" s="1" t="s">
        <v>869</v>
      </c>
      <c r="K2066" s="1"/>
    </row>
    <row r="2067" ht="15.75" customHeight="1">
      <c r="A2067" s="2">
        <v>2066.0</v>
      </c>
      <c r="B2067" s="1" t="s">
        <v>5251</v>
      </c>
      <c r="C2067" s="1" t="s">
        <v>5252</v>
      </c>
      <c r="D2067" s="1" t="s">
        <v>5253</v>
      </c>
      <c r="E2067" s="2">
        <v>5.70038000823E11</v>
      </c>
      <c r="F2067" s="1" t="s">
        <v>4467</v>
      </c>
      <c r="G2067" s="1" t="s">
        <v>12</v>
      </c>
      <c r="H2067" s="1" t="s">
        <v>4750</v>
      </c>
      <c r="I2067" s="1" t="s">
        <v>868</v>
      </c>
      <c r="J2067" s="1" t="s">
        <v>869</v>
      </c>
      <c r="K2067" s="1"/>
    </row>
    <row r="2068" ht="15.75" customHeight="1">
      <c r="A2068" s="2">
        <v>2067.0</v>
      </c>
      <c r="B2068" s="1" t="s">
        <v>4955</v>
      </c>
      <c r="C2068" s="1" t="s">
        <v>5254</v>
      </c>
      <c r="D2068" s="1" t="s">
        <v>5255</v>
      </c>
      <c r="E2068" s="2">
        <v>5.70038000831E11</v>
      </c>
      <c r="F2068" s="1" t="s">
        <v>5256</v>
      </c>
      <c r="G2068" s="1" t="s">
        <v>12</v>
      </c>
      <c r="H2068" s="1" t="s">
        <v>4750</v>
      </c>
      <c r="I2068" s="1" t="s">
        <v>868</v>
      </c>
      <c r="J2068" s="1" t="s">
        <v>869</v>
      </c>
      <c r="K2068" s="1"/>
    </row>
    <row r="2069" ht="15.75" customHeight="1">
      <c r="A2069" s="2">
        <v>2068.0</v>
      </c>
      <c r="B2069" s="1" t="s">
        <v>375</v>
      </c>
      <c r="C2069" s="1" t="s">
        <v>351</v>
      </c>
      <c r="D2069" s="1" t="s">
        <v>1455</v>
      </c>
      <c r="E2069" s="2">
        <v>5.70038000836E11</v>
      </c>
      <c r="F2069" s="1" t="s">
        <v>5257</v>
      </c>
      <c r="G2069" s="1" t="s">
        <v>12</v>
      </c>
      <c r="H2069" s="1" t="s">
        <v>4750</v>
      </c>
      <c r="I2069" s="1" t="s">
        <v>868</v>
      </c>
      <c r="J2069" s="1" t="s">
        <v>869</v>
      </c>
      <c r="K2069" s="1"/>
    </row>
    <row r="2070" ht="15.75" customHeight="1">
      <c r="A2070" s="2">
        <v>2069.0</v>
      </c>
      <c r="B2070" s="1" t="s">
        <v>592</v>
      </c>
      <c r="C2070" s="1" t="s">
        <v>5258</v>
      </c>
      <c r="D2070" s="1" t="s">
        <v>1525</v>
      </c>
      <c r="E2070" s="2">
        <v>5.70038000837E11</v>
      </c>
      <c r="F2070" s="1" t="s">
        <v>5259</v>
      </c>
      <c r="G2070" s="1" t="s">
        <v>135</v>
      </c>
      <c r="H2070" s="1" t="s">
        <v>4750</v>
      </c>
      <c r="I2070" s="1" t="s">
        <v>868</v>
      </c>
      <c r="J2070" s="1" t="s">
        <v>869</v>
      </c>
      <c r="K2070" s="1"/>
    </row>
    <row r="2071" ht="15.75" customHeight="1">
      <c r="A2071" s="2">
        <v>2070.0</v>
      </c>
      <c r="B2071" s="1" t="s">
        <v>5260</v>
      </c>
      <c r="C2071" s="1" t="s">
        <v>5261</v>
      </c>
      <c r="D2071" s="1" t="s">
        <v>1790</v>
      </c>
      <c r="E2071" s="2">
        <v>5.70038000839E11</v>
      </c>
      <c r="F2071" s="1" t="s">
        <v>5262</v>
      </c>
      <c r="G2071" s="1" t="s">
        <v>12</v>
      </c>
      <c r="H2071" s="1" t="s">
        <v>4750</v>
      </c>
      <c r="I2071" s="1" t="s">
        <v>868</v>
      </c>
      <c r="J2071" s="1" t="s">
        <v>869</v>
      </c>
      <c r="K2071" s="1"/>
    </row>
    <row r="2072" ht="15.75" customHeight="1">
      <c r="A2072" s="2">
        <v>2071.0</v>
      </c>
      <c r="B2072" s="1" t="s">
        <v>5263</v>
      </c>
      <c r="C2072" s="1" t="s">
        <v>5264</v>
      </c>
      <c r="D2072" s="1" t="s">
        <v>5265</v>
      </c>
      <c r="E2072" s="2">
        <v>5.70038000841E11</v>
      </c>
      <c r="F2072" s="1" t="s">
        <v>5266</v>
      </c>
      <c r="G2072" s="1" t="s">
        <v>12</v>
      </c>
      <c r="H2072" s="1" t="s">
        <v>4750</v>
      </c>
      <c r="I2072" s="1" t="s">
        <v>868</v>
      </c>
      <c r="J2072" s="1" t="s">
        <v>869</v>
      </c>
      <c r="K2072" s="1"/>
    </row>
    <row r="2073" ht="15.75" customHeight="1">
      <c r="A2073" s="2">
        <v>2072.0</v>
      </c>
      <c r="B2073" s="1" t="s">
        <v>199</v>
      </c>
      <c r="C2073" s="1" t="s">
        <v>5267</v>
      </c>
      <c r="D2073" s="1" t="s">
        <v>3990</v>
      </c>
      <c r="E2073" s="2">
        <v>5.70038000846E11</v>
      </c>
      <c r="F2073" s="1" t="s">
        <v>5222</v>
      </c>
      <c r="G2073" s="1" t="s">
        <v>135</v>
      </c>
      <c r="H2073" s="1" t="s">
        <v>4750</v>
      </c>
      <c r="I2073" s="1" t="s">
        <v>868</v>
      </c>
      <c r="J2073" s="1" t="s">
        <v>869</v>
      </c>
      <c r="K2073" s="1"/>
    </row>
    <row r="2074" ht="15.75" customHeight="1">
      <c r="A2074" s="2">
        <v>2073.0</v>
      </c>
      <c r="B2074" s="1" t="s">
        <v>5268</v>
      </c>
      <c r="C2074" s="1" t="s">
        <v>5269</v>
      </c>
      <c r="D2074" s="1" t="s">
        <v>679</v>
      </c>
      <c r="E2074" s="2">
        <v>5.70038000847E11</v>
      </c>
      <c r="F2074" s="1" t="s">
        <v>5270</v>
      </c>
      <c r="G2074" s="1" t="s">
        <v>261</v>
      </c>
      <c r="H2074" s="1" t="s">
        <v>4750</v>
      </c>
      <c r="I2074" s="1" t="s">
        <v>868</v>
      </c>
      <c r="J2074" s="1" t="s">
        <v>869</v>
      </c>
      <c r="K2074" s="1"/>
    </row>
    <row r="2075" ht="15.75" customHeight="1">
      <c r="A2075" s="2">
        <v>2074.0</v>
      </c>
      <c r="B2075" s="1" t="s">
        <v>4846</v>
      </c>
      <c r="C2075" s="1" t="s">
        <v>4274</v>
      </c>
      <c r="D2075" s="1" t="s">
        <v>585</v>
      </c>
      <c r="E2075" s="2">
        <v>5.7003800085E11</v>
      </c>
      <c r="F2075" s="1" t="s">
        <v>5271</v>
      </c>
      <c r="G2075" s="1" t="s">
        <v>12</v>
      </c>
      <c r="H2075" s="1" t="s">
        <v>4750</v>
      </c>
      <c r="I2075" s="1" t="s">
        <v>868</v>
      </c>
      <c r="J2075" s="1" t="s">
        <v>869</v>
      </c>
      <c r="K2075" s="1"/>
    </row>
    <row r="2076" ht="15.75" customHeight="1">
      <c r="A2076" s="2">
        <v>2075.0</v>
      </c>
      <c r="B2076" s="1" t="s">
        <v>5272</v>
      </c>
      <c r="C2076" s="1" t="s">
        <v>1373</v>
      </c>
      <c r="D2076" s="1" t="s">
        <v>3532</v>
      </c>
      <c r="E2076" s="2">
        <v>5.70038000855E11</v>
      </c>
      <c r="F2076" s="1" t="s">
        <v>5273</v>
      </c>
      <c r="G2076" s="1" t="s">
        <v>12</v>
      </c>
      <c r="H2076" s="1" t="s">
        <v>4750</v>
      </c>
      <c r="I2076" s="1" t="s">
        <v>868</v>
      </c>
      <c r="J2076" s="1" t="s">
        <v>869</v>
      </c>
      <c r="K2076" s="1"/>
    </row>
    <row r="2077" ht="15.75" customHeight="1">
      <c r="A2077" s="2">
        <v>2076.0</v>
      </c>
      <c r="B2077" s="1" t="s">
        <v>5274</v>
      </c>
      <c r="C2077" s="1" t="s">
        <v>15</v>
      </c>
      <c r="D2077" s="1" t="s">
        <v>725</v>
      </c>
      <c r="E2077" s="2">
        <v>5.70038000857E11</v>
      </c>
      <c r="F2077" s="1" t="s">
        <v>5275</v>
      </c>
      <c r="G2077" s="1" t="s">
        <v>12</v>
      </c>
      <c r="H2077" s="1" t="s">
        <v>4750</v>
      </c>
      <c r="I2077" s="1" t="s">
        <v>868</v>
      </c>
      <c r="J2077" s="1" t="s">
        <v>869</v>
      </c>
      <c r="K2077" s="1"/>
    </row>
    <row r="2078" ht="15.75" customHeight="1">
      <c r="A2078" s="2">
        <v>2077.0</v>
      </c>
      <c r="B2078" s="1" t="s">
        <v>5276</v>
      </c>
      <c r="C2078" s="1" t="s">
        <v>5277</v>
      </c>
      <c r="D2078" s="1" t="s">
        <v>5278</v>
      </c>
      <c r="E2078" s="2">
        <v>5.70038000858E11</v>
      </c>
      <c r="F2078" s="1" t="s">
        <v>5279</v>
      </c>
      <c r="G2078" s="1" t="s">
        <v>12</v>
      </c>
      <c r="H2078" s="1" t="s">
        <v>4750</v>
      </c>
      <c r="I2078" s="1" t="s">
        <v>868</v>
      </c>
      <c r="J2078" s="1" t="s">
        <v>869</v>
      </c>
      <c r="K2078" s="1"/>
    </row>
    <row r="2079" ht="15.75" customHeight="1">
      <c r="A2079" s="2">
        <v>2078.0</v>
      </c>
      <c r="B2079" s="1" t="s">
        <v>3944</v>
      </c>
      <c r="C2079" s="1" t="s">
        <v>5280</v>
      </c>
      <c r="D2079" s="1" t="s">
        <v>60</v>
      </c>
      <c r="E2079" s="2">
        <v>5.70038000863E11</v>
      </c>
      <c r="F2079" s="1" t="s">
        <v>4946</v>
      </c>
      <c r="G2079" s="1" t="s">
        <v>12</v>
      </c>
      <c r="H2079" s="1" t="s">
        <v>4750</v>
      </c>
      <c r="I2079" s="1" t="s">
        <v>868</v>
      </c>
      <c r="J2079" s="1" t="s">
        <v>869</v>
      </c>
      <c r="K2079" s="1"/>
    </row>
    <row r="2080" ht="15.75" customHeight="1">
      <c r="A2080" s="2">
        <v>2079.0</v>
      </c>
      <c r="B2080" s="1" t="s">
        <v>4648</v>
      </c>
      <c r="C2080" s="1" t="s">
        <v>5281</v>
      </c>
      <c r="D2080" s="1" t="s">
        <v>1203</v>
      </c>
      <c r="E2080" s="2">
        <v>5.70038000864E11</v>
      </c>
      <c r="F2080" s="1" t="s">
        <v>5282</v>
      </c>
      <c r="G2080" s="1" t="s">
        <v>135</v>
      </c>
      <c r="H2080" s="1" t="s">
        <v>4750</v>
      </c>
      <c r="I2080" s="1" t="s">
        <v>868</v>
      </c>
      <c r="J2080" s="1" t="s">
        <v>869</v>
      </c>
      <c r="K2080" s="1"/>
    </row>
    <row r="2081" ht="15.75" customHeight="1">
      <c r="A2081" s="2">
        <v>2080.0</v>
      </c>
      <c r="B2081" s="1" t="s">
        <v>5283</v>
      </c>
      <c r="C2081" s="1" t="s">
        <v>1373</v>
      </c>
      <c r="D2081" s="1" t="s">
        <v>324</v>
      </c>
      <c r="E2081" s="2">
        <v>5.70038000871E11</v>
      </c>
      <c r="F2081" s="1" t="s">
        <v>5256</v>
      </c>
      <c r="G2081" s="1" t="s">
        <v>12</v>
      </c>
      <c r="H2081" s="1" t="s">
        <v>4750</v>
      </c>
      <c r="I2081" s="1" t="s">
        <v>868</v>
      </c>
      <c r="J2081" s="1" t="s">
        <v>869</v>
      </c>
      <c r="K2081" s="1"/>
    </row>
    <row r="2082" ht="15.75" customHeight="1">
      <c r="A2082" s="2">
        <v>2081.0</v>
      </c>
      <c r="B2082" s="1" t="s">
        <v>4726</v>
      </c>
      <c r="C2082" s="1" t="s">
        <v>5284</v>
      </c>
      <c r="D2082" s="1" t="s">
        <v>5285</v>
      </c>
      <c r="E2082" s="2">
        <v>5.70038000872E11</v>
      </c>
      <c r="F2082" s="1" t="s">
        <v>5286</v>
      </c>
      <c r="G2082" s="1" t="s">
        <v>12</v>
      </c>
      <c r="H2082" s="1" t="s">
        <v>4750</v>
      </c>
      <c r="I2082" s="1" t="s">
        <v>868</v>
      </c>
      <c r="J2082" s="1" t="s">
        <v>869</v>
      </c>
      <c r="K2082" s="1"/>
    </row>
    <row r="2083" ht="15.75" customHeight="1">
      <c r="A2083" s="2">
        <v>2082.0</v>
      </c>
      <c r="B2083" s="1" t="s">
        <v>3219</v>
      </c>
      <c r="C2083" s="1" t="s">
        <v>5287</v>
      </c>
      <c r="D2083" s="1" t="s">
        <v>1774</v>
      </c>
      <c r="E2083" s="2">
        <v>5.70038000876E11</v>
      </c>
      <c r="F2083" s="1" t="s">
        <v>5288</v>
      </c>
      <c r="G2083" s="1" t="s">
        <v>12</v>
      </c>
      <c r="H2083" s="1" t="s">
        <v>4750</v>
      </c>
      <c r="I2083" s="1" t="s">
        <v>868</v>
      </c>
      <c r="J2083" s="1" t="s">
        <v>869</v>
      </c>
      <c r="K2083" s="1"/>
    </row>
    <row r="2084" ht="15.75" customHeight="1">
      <c r="A2084" s="2">
        <v>2083.0</v>
      </c>
      <c r="B2084" s="1" t="s">
        <v>2683</v>
      </c>
      <c r="C2084" s="1" t="s">
        <v>3497</v>
      </c>
      <c r="D2084" s="1" t="s">
        <v>5289</v>
      </c>
      <c r="E2084" s="2">
        <v>5.70038000878E11</v>
      </c>
      <c r="F2084" s="1" t="s">
        <v>5290</v>
      </c>
      <c r="G2084" s="1" t="s">
        <v>12</v>
      </c>
      <c r="H2084" s="1" t="s">
        <v>4750</v>
      </c>
      <c r="I2084" s="1" t="s">
        <v>868</v>
      </c>
      <c r="J2084" s="1" t="s">
        <v>869</v>
      </c>
      <c r="K2084" s="1"/>
    </row>
    <row r="2085" ht="15.75" customHeight="1">
      <c r="A2085" s="2">
        <v>2084.0</v>
      </c>
      <c r="B2085" s="1" t="s">
        <v>5291</v>
      </c>
      <c r="C2085" s="1" t="s">
        <v>1373</v>
      </c>
      <c r="D2085" s="1" t="s">
        <v>1477</v>
      </c>
      <c r="E2085" s="2">
        <v>5.70038000881E11</v>
      </c>
      <c r="F2085" s="1" t="s">
        <v>5292</v>
      </c>
      <c r="G2085" s="1" t="s">
        <v>12</v>
      </c>
      <c r="H2085" s="1" t="s">
        <v>4750</v>
      </c>
      <c r="I2085" s="1" t="s">
        <v>868</v>
      </c>
      <c r="J2085" s="1" t="s">
        <v>869</v>
      </c>
      <c r="K2085" s="1"/>
    </row>
    <row r="2086" ht="15.75" customHeight="1">
      <c r="A2086" s="2">
        <v>2085.0</v>
      </c>
      <c r="B2086" s="1" t="s">
        <v>4955</v>
      </c>
      <c r="C2086" s="1" t="s">
        <v>4813</v>
      </c>
      <c r="D2086" s="1" t="s">
        <v>5293</v>
      </c>
      <c r="E2086" s="2">
        <v>5.70038000887E11</v>
      </c>
      <c r="F2086" s="1" t="s">
        <v>5294</v>
      </c>
      <c r="G2086" s="1" t="s">
        <v>12</v>
      </c>
      <c r="H2086" s="1" t="s">
        <v>4750</v>
      </c>
      <c r="I2086" s="1" t="s">
        <v>868</v>
      </c>
      <c r="J2086" s="1" t="s">
        <v>869</v>
      </c>
      <c r="K2086" s="1"/>
    </row>
    <row r="2087" ht="15.75" customHeight="1">
      <c r="A2087" s="2">
        <v>2086.0</v>
      </c>
      <c r="B2087" s="1" t="s">
        <v>335</v>
      </c>
      <c r="C2087" s="1" t="s">
        <v>4929</v>
      </c>
      <c r="D2087" s="1" t="s">
        <v>5295</v>
      </c>
      <c r="E2087" s="2">
        <v>5.70038000888E11</v>
      </c>
      <c r="F2087" s="1" t="s">
        <v>5294</v>
      </c>
      <c r="G2087" s="1" t="s">
        <v>12</v>
      </c>
      <c r="H2087" s="1" t="s">
        <v>4750</v>
      </c>
      <c r="I2087" s="1" t="s">
        <v>868</v>
      </c>
      <c r="J2087" s="1" t="s">
        <v>869</v>
      </c>
      <c r="K2087" s="1"/>
    </row>
    <row r="2088" ht="15.75" customHeight="1">
      <c r="A2088" s="2">
        <v>2087.0</v>
      </c>
      <c r="B2088" s="1" t="s">
        <v>335</v>
      </c>
      <c r="C2088" s="1" t="s">
        <v>5296</v>
      </c>
      <c r="D2088" s="1" t="s">
        <v>3246</v>
      </c>
      <c r="E2088" s="2">
        <v>5.70038000889E11</v>
      </c>
      <c r="F2088" s="1" t="s">
        <v>5294</v>
      </c>
      <c r="G2088" s="1" t="s">
        <v>12</v>
      </c>
      <c r="H2088" s="1" t="s">
        <v>4750</v>
      </c>
      <c r="I2088" s="1" t="s">
        <v>868</v>
      </c>
      <c r="J2088" s="1" t="s">
        <v>869</v>
      </c>
      <c r="K2088" s="1"/>
    </row>
    <row r="2089" ht="15.75" customHeight="1">
      <c r="A2089" s="2">
        <v>2088.0</v>
      </c>
      <c r="B2089" s="1" t="s">
        <v>199</v>
      </c>
      <c r="C2089" s="1" t="s">
        <v>5297</v>
      </c>
      <c r="D2089" s="1" t="s">
        <v>275</v>
      </c>
      <c r="E2089" s="2">
        <v>5.70038000725E11</v>
      </c>
      <c r="F2089" s="1" t="s">
        <v>5298</v>
      </c>
      <c r="G2089" s="1" t="s">
        <v>12</v>
      </c>
      <c r="H2089" s="1" t="s">
        <v>4750</v>
      </c>
      <c r="I2089" s="1" t="s">
        <v>868</v>
      </c>
      <c r="J2089" s="1" t="s">
        <v>869</v>
      </c>
      <c r="K2089" s="1"/>
    </row>
    <row r="2090" ht="15.75" customHeight="1">
      <c r="A2090" s="2">
        <v>2089.0</v>
      </c>
      <c r="B2090" s="1" t="s">
        <v>775</v>
      </c>
      <c r="C2090" s="1" t="s">
        <v>5299</v>
      </c>
      <c r="D2090" s="1" t="s">
        <v>5300</v>
      </c>
      <c r="E2090" s="2">
        <v>5.70038000727E11</v>
      </c>
      <c r="F2090" s="1" t="s">
        <v>5301</v>
      </c>
      <c r="G2090" s="1" t="s">
        <v>12</v>
      </c>
      <c r="H2090" s="1" t="s">
        <v>5302</v>
      </c>
      <c r="I2090" s="1" t="s">
        <v>4750</v>
      </c>
      <c r="J2090" s="1" t="s">
        <v>868</v>
      </c>
      <c r="K2090" s="1" t="s">
        <v>869</v>
      </c>
    </row>
    <row r="2091" ht="15.75" customHeight="1">
      <c r="A2091" s="2">
        <v>2090.0</v>
      </c>
      <c r="B2091" s="1" t="s">
        <v>5303</v>
      </c>
      <c r="C2091" s="1" t="s">
        <v>5304</v>
      </c>
      <c r="D2091" s="1" t="s">
        <v>89</v>
      </c>
      <c r="E2091" s="2">
        <v>5.70038000885E11</v>
      </c>
      <c r="F2091" s="1" t="s">
        <v>186</v>
      </c>
      <c r="G2091" s="1" t="s">
        <v>12</v>
      </c>
      <c r="H2091" s="1" t="s">
        <v>4750</v>
      </c>
      <c r="I2091" s="1" t="s">
        <v>868</v>
      </c>
      <c r="J2091" s="1" t="s">
        <v>869</v>
      </c>
      <c r="K2091" s="1"/>
    </row>
    <row r="2092" ht="15.75" customHeight="1">
      <c r="A2092" s="2">
        <v>2091.0</v>
      </c>
      <c r="B2092" s="1" t="s">
        <v>5305</v>
      </c>
      <c r="C2092" s="1" t="s">
        <v>5306</v>
      </c>
      <c r="D2092" s="1" t="s">
        <v>704</v>
      </c>
      <c r="E2092" s="2">
        <v>5.70038000891E11</v>
      </c>
      <c r="F2092" s="1" t="s">
        <v>5307</v>
      </c>
      <c r="G2092" s="1" t="s">
        <v>135</v>
      </c>
      <c r="H2092" s="1" t="s">
        <v>4750</v>
      </c>
      <c r="I2092" s="1" t="s">
        <v>868</v>
      </c>
      <c r="J2092" s="1" t="s">
        <v>869</v>
      </c>
      <c r="K2092" s="1"/>
    </row>
    <row r="2093" ht="15.75" customHeight="1">
      <c r="A2093" s="2">
        <v>2092.0</v>
      </c>
      <c r="B2093" s="1" t="s">
        <v>5308</v>
      </c>
      <c r="C2093" s="1" t="s">
        <v>5309</v>
      </c>
      <c r="D2093" s="1" t="s">
        <v>153</v>
      </c>
      <c r="E2093" s="2">
        <v>5.70038000895E11</v>
      </c>
      <c r="F2093" s="1" t="s">
        <v>5310</v>
      </c>
      <c r="G2093" s="1" t="s">
        <v>12</v>
      </c>
      <c r="H2093" s="1" t="s">
        <v>4750</v>
      </c>
      <c r="I2093" s="1" t="s">
        <v>868</v>
      </c>
      <c r="J2093" s="1" t="s">
        <v>869</v>
      </c>
      <c r="K2093" s="1"/>
    </row>
    <row r="2094" ht="15.75" customHeight="1">
      <c r="A2094" s="2">
        <v>2093.0</v>
      </c>
      <c r="B2094" s="1" t="s">
        <v>4842</v>
      </c>
      <c r="C2094" s="1" t="s">
        <v>5311</v>
      </c>
      <c r="D2094" s="1" t="s">
        <v>421</v>
      </c>
      <c r="E2094" s="2">
        <v>5.70038000896E11</v>
      </c>
      <c r="F2094" s="1" t="s">
        <v>5312</v>
      </c>
      <c r="G2094" s="1" t="s">
        <v>12</v>
      </c>
      <c r="H2094" s="1" t="s">
        <v>4750</v>
      </c>
      <c r="I2094" s="1" t="s">
        <v>868</v>
      </c>
      <c r="J2094" s="1" t="s">
        <v>869</v>
      </c>
      <c r="K2094" s="1"/>
    </row>
    <row r="2095" ht="15.75" customHeight="1">
      <c r="A2095" s="2">
        <v>2094.0</v>
      </c>
      <c r="B2095" s="1" t="s">
        <v>5006</v>
      </c>
      <c r="C2095" s="1" t="s">
        <v>176</v>
      </c>
      <c r="D2095" s="1" t="s">
        <v>77</v>
      </c>
      <c r="E2095" s="2">
        <v>5.70038000897E11</v>
      </c>
      <c r="F2095" s="1" t="s">
        <v>5313</v>
      </c>
      <c r="G2095" s="1" t="s">
        <v>12</v>
      </c>
      <c r="H2095" s="1" t="s">
        <v>4750</v>
      </c>
      <c r="I2095" s="1" t="s">
        <v>868</v>
      </c>
      <c r="J2095" s="1" t="s">
        <v>869</v>
      </c>
      <c r="K2095" s="1"/>
    </row>
    <row r="2096" ht="15.75" customHeight="1">
      <c r="A2096" s="2">
        <v>2095.0</v>
      </c>
      <c r="B2096" s="1" t="s">
        <v>2483</v>
      </c>
      <c r="C2096" s="1" t="s">
        <v>5314</v>
      </c>
      <c r="D2096" s="1" t="s">
        <v>360</v>
      </c>
      <c r="E2096" s="2">
        <v>5.70038000898E11</v>
      </c>
      <c r="F2096" s="1" t="s">
        <v>5315</v>
      </c>
      <c r="G2096" s="1" t="s">
        <v>12</v>
      </c>
      <c r="H2096" s="1" t="s">
        <v>4750</v>
      </c>
      <c r="I2096" s="1" t="s">
        <v>868</v>
      </c>
      <c r="J2096" s="1" t="s">
        <v>869</v>
      </c>
      <c r="K2096" s="1"/>
    </row>
    <row r="2097" ht="15.75" customHeight="1">
      <c r="A2097" s="2">
        <v>2096.0</v>
      </c>
      <c r="B2097" s="1" t="s">
        <v>5316</v>
      </c>
      <c r="C2097" s="1" t="s">
        <v>5317</v>
      </c>
      <c r="D2097" s="1" t="s">
        <v>1649</v>
      </c>
      <c r="E2097" s="2">
        <v>5.70038000904E11</v>
      </c>
      <c r="F2097" s="1" t="s">
        <v>5318</v>
      </c>
      <c r="G2097" s="1" t="s">
        <v>135</v>
      </c>
      <c r="H2097" s="1" t="s">
        <v>4750</v>
      </c>
      <c r="I2097" s="1" t="s">
        <v>868</v>
      </c>
      <c r="J2097" s="1" t="s">
        <v>869</v>
      </c>
      <c r="K2097" s="1"/>
    </row>
    <row r="2098" ht="15.75" customHeight="1">
      <c r="A2098" s="2">
        <v>2097.0</v>
      </c>
      <c r="B2098" s="1" t="s">
        <v>5319</v>
      </c>
      <c r="C2098" s="1" t="s">
        <v>5320</v>
      </c>
      <c r="D2098" s="1" t="s">
        <v>3993</v>
      </c>
      <c r="E2098" s="2">
        <v>5.70038000905E11</v>
      </c>
      <c r="F2098" s="1" t="s">
        <v>5321</v>
      </c>
      <c r="G2098" s="1" t="s">
        <v>135</v>
      </c>
      <c r="H2098" s="1" t="s">
        <v>4750</v>
      </c>
      <c r="I2098" s="1" t="s">
        <v>868</v>
      </c>
      <c r="J2098" s="1" t="s">
        <v>869</v>
      </c>
      <c r="K2098" s="1"/>
    </row>
    <row r="2099" ht="15.75" customHeight="1">
      <c r="A2099" s="2">
        <v>2098.0</v>
      </c>
      <c r="B2099" s="1" t="s">
        <v>5322</v>
      </c>
      <c r="C2099" s="1" t="s">
        <v>1504</v>
      </c>
      <c r="D2099" s="1" t="s">
        <v>585</v>
      </c>
      <c r="E2099" s="2">
        <v>5.70038000913E11</v>
      </c>
      <c r="F2099" s="1" t="s">
        <v>5323</v>
      </c>
      <c r="G2099" s="1" t="s">
        <v>135</v>
      </c>
      <c r="H2099" s="1" t="s">
        <v>4750</v>
      </c>
      <c r="I2099" s="1" t="s">
        <v>868</v>
      </c>
      <c r="J2099" s="1" t="s">
        <v>869</v>
      </c>
      <c r="K2099" s="1"/>
    </row>
    <row r="2100" ht="15.75" customHeight="1">
      <c r="A2100" s="2">
        <v>2099.0</v>
      </c>
      <c r="B2100" s="1" t="s">
        <v>133</v>
      </c>
      <c r="C2100" s="1" t="s">
        <v>176</v>
      </c>
      <c r="D2100" s="1" t="s">
        <v>1581</v>
      </c>
      <c r="E2100" s="2">
        <v>5.70038000914E11</v>
      </c>
      <c r="F2100" s="1" t="s">
        <v>5324</v>
      </c>
      <c r="G2100" s="1" t="s">
        <v>135</v>
      </c>
      <c r="H2100" s="1" t="s">
        <v>4750</v>
      </c>
      <c r="I2100" s="1" t="s">
        <v>868</v>
      </c>
      <c r="J2100" s="1" t="s">
        <v>869</v>
      </c>
      <c r="K2100" s="1"/>
    </row>
    <row r="2101" ht="15.75" customHeight="1">
      <c r="A2101" s="2">
        <v>2100.0</v>
      </c>
      <c r="B2101" s="1" t="s">
        <v>1306</v>
      </c>
      <c r="C2101" s="1" t="s">
        <v>369</v>
      </c>
      <c r="D2101" s="1" t="s">
        <v>611</v>
      </c>
      <c r="E2101" s="2">
        <v>5.70038000916E11</v>
      </c>
      <c r="F2101" s="1" t="s">
        <v>5325</v>
      </c>
      <c r="G2101" s="1" t="s">
        <v>135</v>
      </c>
      <c r="H2101" s="1" t="s">
        <v>4750</v>
      </c>
      <c r="I2101" s="1" t="s">
        <v>868</v>
      </c>
      <c r="J2101" s="1" t="s">
        <v>869</v>
      </c>
      <c r="K2101" s="1"/>
    </row>
    <row r="2102" ht="15.75" customHeight="1">
      <c r="A2102" s="2">
        <v>2101.0</v>
      </c>
      <c r="B2102" s="1" t="s">
        <v>5326</v>
      </c>
      <c r="C2102" s="1" t="s">
        <v>1492</v>
      </c>
      <c r="D2102" s="1" t="s">
        <v>1254</v>
      </c>
      <c r="E2102" s="2">
        <v>5.70038000917E11</v>
      </c>
      <c r="F2102" s="1" t="s">
        <v>5327</v>
      </c>
      <c r="G2102" s="1" t="s">
        <v>135</v>
      </c>
      <c r="H2102" s="1" t="s">
        <v>4750</v>
      </c>
      <c r="I2102" s="1" t="s">
        <v>868</v>
      </c>
      <c r="J2102" s="1" t="s">
        <v>869</v>
      </c>
      <c r="K2102" s="1"/>
    </row>
    <row r="2103" ht="15.75" customHeight="1">
      <c r="A2103" s="2">
        <v>2102.0</v>
      </c>
      <c r="B2103" s="1" t="s">
        <v>4822</v>
      </c>
      <c r="C2103" s="1" t="s">
        <v>5328</v>
      </c>
      <c r="D2103" s="1" t="s">
        <v>1911</v>
      </c>
      <c r="E2103" s="2">
        <v>5.70038000921E11</v>
      </c>
      <c r="F2103" s="1" t="s">
        <v>5329</v>
      </c>
      <c r="G2103" s="1" t="s">
        <v>135</v>
      </c>
      <c r="H2103" s="1" t="s">
        <v>4750</v>
      </c>
      <c r="I2103" s="1" t="s">
        <v>868</v>
      </c>
      <c r="J2103" s="1" t="s">
        <v>869</v>
      </c>
      <c r="K2103" s="1"/>
    </row>
    <row r="2104" ht="15.75" customHeight="1">
      <c r="A2104" s="2">
        <v>2103.0</v>
      </c>
      <c r="B2104" s="1" t="s">
        <v>5006</v>
      </c>
      <c r="C2104" s="1" t="s">
        <v>5330</v>
      </c>
      <c r="D2104" s="1" t="s">
        <v>149</v>
      </c>
      <c r="E2104" s="2">
        <v>5.70038000922E11</v>
      </c>
      <c r="F2104" s="1" t="s">
        <v>5331</v>
      </c>
      <c r="G2104" s="1" t="s">
        <v>135</v>
      </c>
      <c r="H2104" s="1" t="s">
        <v>4750</v>
      </c>
      <c r="I2104" s="1" t="s">
        <v>868</v>
      </c>
      <c r="J2104" s="1" t="s">
        <v>869</v>
      </c>
      <c r="K2104" s="1"/>
    </row>
    <row r="2105" ht="15.75" customHeight="1">
      <c r="A2105" s="2">
        <v>2104.0</v>
      </c>
      <c r="B2105" s="1" t="s">
        <v>5332</v>
      </c>
      <c r="C2105" s="1" t="s">
        <v>404</v>
      </c>
      <c r="D2105" s="1" t="s">
        <v>5333</v>
      </c>
      <c r="E2105" s="2">
        <v>5.70038000923E11</v>
      </c>
      <c r="F2105" s="1" t="s">
        <v>5334</v>
      </c>
      <c r="G2105" s="1" t="s">
        <v>135</v>
      </c>
      <c r="H2105" s="1" t="s">
        <v>4750</v>
      </c>
      <c r="I2105" s="1" t="s">
        <v>868</v>
      </c>
      <c r="J2105" s="1" t="s">
        <v>869</v>
      </c>
      <c r="K2105" s="1"/>
    </row>
    <row r="2106" ht="15.75" customHeight="1">
      <c r="A2106" s="2">
        <v>2105.0</v>
      </c>
      <c r="B2106" s="1" t="s">
        <v>5335</v>
      </c>
      <c r="C2106" s="1" t="s">
        <v>5336</v>
      </c>
      <c r="D2106" s="1" t="s">
        <v>1193</v>
      </c>
      <c r="E2106" s="2">
        <v>5.70038000926E11</v>
      </c>
      <c r="F2106" s="1" t="s">
        <v>5337</v>
      </c>
      <c r="G2106" s="1" t="s">
        <v>135</v>
      </c>
      <c r="H2106" s="1" t="s">
        <v>4750</v>
      </c>
      <c r="I2106" s="1" t="s">
        <v>868</v>
      </c>
      <c r="J2106" s="1" t="s">
        <v>869</v>
      </c>
      <c r="K2106" s="1"/>
    </row>
    <row r="2107" ht="15.75" customHeight="1">
      <c r="A2107" s="2">
        <v>2106.0</v>
      </c>
      <c r="B2107" s="1" t="s">
        <v>5338</v>
      </c>
      <c r="C2107" s="1" t="s">
        <v>39</v>
      </c>
      <c r="D2107" s="1" t="s">
        <v>1458</v>
      </c>
      <c r="E2107" s="2">
        <v>5.7003800093E11</v>
      </c>
      <c r="F2107" s="1" t="s">
        <v>5339</v>
      </c>
      <c r="G2107" s="1" t="s">
        <v>12</v>
      </c>
      <c r="H2107" s="1" t="s">
        <v>4750</v>
      </c>
      <c r="I2107" s="1" t="s">
        <v>868</v>
      </c>
      <c r="J2107" s="1" t="s">
        <v>869</v>
      </c>
      <c r="K2107" s="1"/>
    </row>
    <row r="2108" ht="15.75" customHeight="1">
      <c r="A2108" s="2">
        <v>2107.0</v>
      </c>
      <c r="B2108" s="1" t="s">
        <v>5340</v>
      </c>
      <c r="C2108" s="1" t="s">
        <v>3450</v>
      </c>
      <c r="D2108" s="1" t="s">
        <v>710</v>
      </c>
      <c r="E2108" s="2">
        <v>5.70038000931E11</v>
      </c>
      <c r="F2108" s="1" t="s">
        <v>5341</v>
      </c>
      <c r="G2108" s="1" t="s">
        <v>12</v>
      </c>
      <c r="H2108" s="1" t="s">
        <v>4750</v>
      </c>
      <c r="I2108" s="1" t="s">
        <v>868</v>
      </c>
      <c r="J2108" s="1" t="s">
        <v>869</v>
      </c>
      <c r="K2108" s="1"/>
    </row>
    <row r="2109" ht="15.75" customHeight="1">
      <c r="A2109" s="2">
        <v>2108.0</v>
      </c>
      <c r="B2109" s="1" t="s">
        <v>1565</v>
      </c>
      <c r="C2109" s="1" t="s">
        <v>5342</v>
      </c>
      <c r="D2109" s="1" t="s">
        <v>1276</v>
      </c>
      <c r="E2109" s="2">
        <v>5.70038000932E11</v>
      </c>
      <c r="F2109" s="1" t="s">
        <v>5343</v>
      </c>
      <c r="G2109" s="1" t="s">
        <v>135</v>
      </c>
      <c r="H2109" s="1" t="s">
        <v>4750</v>
      </c>
      <c r="I2109" s="1" t="s">
        <v>868</v>
      </c>
      <c r="J2109" s="1" t="s">
        <v>869</v>
      </c>
      <c r="K2109" s="1"/>
    </row>
    <row r="2110" ht="15.75" customHeight="1">
      <c r="A2110" s="2">
        <v>2109.0</v>
      </c>
      <c r="B2110" s="1" t="s">
        <v>4143</v>
      </c>
      <c r="C2110" s="1" t="s">
        <v>351</v>
      </c>
      <c r="D2110" s="1" t="s">
        <v>42</v>
      </c>
      <c r="E2110" s="2">
        <v>5.70038000933E11</v>
      </c>
      <c r="F2110" s="1" t="s">
        <v>5344</v>
      </c>
      <c r="G2110" s="1" t="s">
        <v>135</v>
      </c>
      <c r="H2110" s="1" t="s">
        <v>4750</v>
      </c>
      <c r="I2110" s="1" t="s">
        <v>868</v>
      </c>
      <c r="J2110" s="1" t="s">
        <v>869</v>
      </c>
      <c r="K2110" s="1"/>
    </row>
    <row r="2111" ht="15.75" customHeight="1">
      <c r="A2111" s="2">
        <v>2110.0</v>
      </c>
      <c r="B2111" s="1" t="s">
        <v>5345</v>
      </c>
      <c r="C2111" s="1" t="s">
        <v>3857</v>
      </c>
      <c r="D2111" s="1" t="s">
        <v>679</v>
      </c>
      <c r="E2111" s="2">
        <v>5.70038000934E11</v>
      </c>
      <c r="F2111" s="1" t="s">
        <v>5346</v>
      </c>
      <c r="G2111" s="1" t="s">
        <v>135</v>
      </c>
      <c r="H2111" s="1" t="s">
        <v>4750</v>
      </c>
      <c r="I2111" s="1" t="s">
        <v>868</v>
      </c>
      <c r="J2111" s="1" t="s">
        <v>869</v>
      </c>
      <c r="K2111" s="1"/>
    </row>
    <row r="2112" ht="15.75" customHeight="1">
      <c r="A2112" s="2">
        <v>2111.0</v>
      </c>
      <c r="B2112" s="1" t="s">
        <v>297</v>
      </c>
      <c r="C2112" s="1" t="s">
        <v>3541</v>
      </c>
      <c r="D2112" s="1" t="s">
        <v>179</v>
      </c>
      <c r="E2112" s="2">
        <v>5.70038000935E11</v>
      </c>
      <c r="F2112" s="1" t="s">
        <v>5347</v>
      </c>
      <c r="G2112" s="1" t="s">
        <v>135</v>
      </c>
      <c r="H2112" s="1" t="s">
        <v>4750</v>
      </c>
      <c r="I2112" s="1" t="s">
        <v>868</v>
      </c>
      <c r="J2112" s="1" t="s">
        <v>869</v>
      </c>
      <c r="K2112" s="1"/>
    </row>
    <row r="2113" ht="15.75" customHeight="1">
      <c r="A2113" s="2">
        <v>2112.0</v>
      </c>
      <c r="B2113" s="1" t="s">
        <v>5348</v>
      </c>
      <c r="C2113" s="1" t="s">
        <v>5349</v>
      </c>
      <c r="D2113" s="1" t="s">
        <v>1838</v>
      </c>
      <c r="E2113" s="2">
        <v>5.70038000937E11</v>
      </c>
      <c r="F2113" s="1" t="s">
        <v>5350</v>
      </c>
      <c r="G2113" s="1" t="s">
        <v>135</v>
      </c>
      <c r="H2113" s="1" t="s">
        <v>4750</v>
      </c>
      <c r="I2113" s="1" t="s">
        <v>868</v>
      </c>
      <c r="J2113" s="1" t="s">
        <v>869</v>
      </c>
      <c r="K2113" s="1"/>
    </row>
    <row r="2114" ht="15.75" customHeight="1">
      <c r="A2114" s="2">
        <v>2113.0</v>
      </c>
      <c r="B2114" s="1" t="s">
        <v>5351</v>
      </c>
      <c r="C2114" s="1" t="s">
        <v>4965</v>
      </c>
      <c r="D2114" s="1" t="s">
        <v>1458</v>
      </c>
      <c r="E2114" s="2">
        <v>5.70038000938E11</v>
      </c>
      <c r="F2114" s="1" t="s">
        <v>5352</v>
      </c>
      <c r="G2114" s="1" t="s">
        <v>135</v>
      </c>
      <c r="H2114" s="1" t="s">
        <v>4750</v>
      </c>
      <c r="I2114" s="1" t="s">
        <v>868</v>
      </c>
      <c r="J2114" s="1" t="s">
        <v>869</v>
      </c>
      <c r="K2114" s="1"/>
    </row>
    <row r="2115" ht="15.75" customHeight="1">
      <c r="A2115" s="2">
        <v>2114.0</v>
      </c>
      <c r="B2115" s="1" t="s">
        <v>550</v>
      </c>
      <c r="C2115" s="1" t="s">
        <v>446</v>
      </c>
      <c r="D2115" s="1" t="s">
        <v>153</v>
      </c>
      <c r="E2115" s="2">
        <v>5.70038000939E11</v>
      </c>
      <c r="F2115" s="1" t="s">
        <v>5353</v>
      </c>
      <c r="G2115" s="1" t="s">
        <v>12</v>
      </c>
      <c r="H2115" s="1" t="s">
        <v>4750</v>
      </c>
      <c r="I2115" s="1" t="s">
        <v>868</v>
      </c>
      <c r="J2115" s="1" t="s">
        <v>869</v>
      </c>
      <c r="K2115" s="1"/>
    </row>
    <row r="2116" ht="15.75" customHeight="1">
      <c r="A2116" s="2">
        <v>2115.0</v>
      </c>
      <c r="B2116" s="1" t="s">
        <v>5354</v>
      </c>
      <c r="C2116" s="1" t="s">
        <v>5355</v>
      </c>
      <c r="D2116" s="1" t="s">
        <v>427</v>
      </c>
      <c r="E2116" s="2">
        <v>5.7003800094E11</v>
      </c>
      <c r="F2116" s="1" t="s">
        <v>5356</v>
      </c>
      <c r="G2116" s="1" t="s">
        <v>135</v>
      </c>
      <c r="H2116" s="1" t="s">
        <v>4750</v>
      </c>
      <c r="I2116" s="1" t="s">
        <v>868</v>
      </c>
      <c r="J2116" s="1" t="s">
        <v>869</v>
      </c>
      <c r="K2116" s="1"/>
    </row>
    <row r="2117" ht="15.75" customHeight="1">
      <c r="A2117" s="2">
        <v>2116.0</v>
      </c>
      <c r="B2117" s="1" t="s">
        <v>1581</v>
      </c>
      <c r="C2117" s="1" t="s">
        <v>5357</v>
      </c>
      <c r="D2117" s="1" t="s">
        <v>513</v>
      </c>
      <c r="E2117" s="2">
        <v>5.70038000941E11</v>
      </c>
      <c r="F2117" s="1" t="s">
        <v>5358</v>
      </c>
      <c r="G2117" s="1" t="s">
        <v>135</v>
      </c>
      <c r="H2117" s="1" t="s">
        <v>4750</v>
      </c>
      <c r="I2117" s="1" t="s">
        <v>868</v>
      </c>
      <c r="J2117" s="1" t="s">
        <v>869</v>
      </c>
      <c r="K2117" s="1"/>
    </row>
    <row r="2118" ht="15.75" customHeight="1">
      <c r="A2118" s="2">
        <v>2117.0</v>
      </c>
      <c r="B2118" s="1" t="s">
        <v>5359</v>
      </c>
      <c r="C2118" s="1" t="s">
        <v>4593</v>
      </c>
      <c r="D2118" s="1" t="s">
        <v>266</v>
      </c>
      <c r="E2118" s="2">
        <v>5.70038000943E11</v>
      </c>
      <c r="F2118" s="1" t="s">
        <v>4887</v>
      </c>
      <c r="G2118" s="1" t="s">
        <v>12</v>
      </c>
      <c r="H2118" s="1" t="s">
        <v>4750</v>
      </c>
      <c r="I2118" s="1" t="s">
        <v>868</v>
      </c>
      <c r="J2118" s="1" t="s">
        <v>869</v>
      </c>
      <c r="K2118" s="1"/>
    </row>
    <row r="2119" ht="15.75" customHeight="1">
      <c r="A2119" s="2">
        <v>2118.0</v>
      </c>
      <c r="B2119" s="1" t="s">
        <v>3238</v>
      </c>
      <c r="C2119" s="1" t="s">
        <v>5360</v>
      </c>
      <c r="D2119" s="1" t="s">
        <v>552</v>
      </c>
      <c r="E2119" s="2">
        <v>5.70038000945E11</v>
      </c>
      <c r="F2119" s="1" t="s">
        <v>5194</v>
      </c>
      <c r="G2119" s="1" t="s">
        <v>12</v>
      </c>
      <c r="H2119" s="1" t="s">
        <v>4750</v>
      </c>
      <c r="I2119" s="1" t="s">
        <v>868</v>
      </c>
      <c r="J2119" s="1" t="s">
        <v>869</v>
      </c>
      <c r="K2119" s="1"/>
    </row>
    <row r="2120" ht="15.75" customHeight="1">
      <c r="A2120" s="2">
        <v>2119.0</v>
      </c>
      <c r="B2120" s="1" t="s">
        <v>5220</v>
      </c>
      <c r="C2120" s="1" t="s">
        <v>1156</v>
      </c>
      <c r="D2120" s="1" t="s">
        <v>550</v>
      </c>
      <c r="E2120" s="2">
        <v>5.70038000946E11</v>
      </c>
      <c r="F2120" s="1" t="s">
        <v>5361</v>
      </c>
      <c r="G2120" s="1" t="s">
        <v>135</v>
      </c>
      <c r="H2120" s="1" t="s">
        <v>4750</v>
      </c>
      <c r="I2120" s="1" t="s">
        <v>868</v>
      </c>
      <c r="J2120" s="1" t="s">
        <v>869</v>
      </c>
      <c r="K2120" s="1"/>
    </row>
    <row r="2121" ht="15.75" customHeight="1">
      <c r="A2121" s="2">
        <v>2120.0</v>
      </c>
      <c r="B2121" s="1" t="s">
        <v>5362</v>
      </c>
      <c r="C2121" s="1" t="s">
        <v>5363</v>
      </c>
      <c r="D2121" s="1" t="s">
        <v>157</v>
      </c>
      <c r="E2121" s="2">
        <v>5.70038000959E11</v>
      </c>
      <c r="F2121" s="1" t="s">
        <v>5364</v>
      </c>
      <c r="G2121" s="1" t="s">
        <v>135</v>
      </c>
      <c r="H2121" s="1" t="s">
        <v>4750</v>
      </c>
      <c r="I2121" s="1" t="s">
        <v>868</v>
      </c>
      <c r="J2121" s="1" t="s">
        <v>869</v>
      </c>
      <c r="K2121" s="1"/>
    </row>
    <row r="2122" ht="15.75" customHeight="1">
      <c r="A2122" s="2">
        <v>2121.0</v>
      </c>
      <c r="B2122" s="1" t="s">
        <v>2632</v>
      </c>
      <c r="C2122" s="1" t="s">
        <v>5365</v>
      </c>
      <c r="D2122" s="1" t="s">
        <v>368</v>
      </c>
      <c r="E2122" s="2">
        <v>5.70038000968E11</v>
      </c>
      <c r="F2122" s="1" t="s">
        <v>5366</v>
      </c>
      <c r="G2122" s="1" t="s">
        <v>135</v>
      </c>
      <c r="H2122" s="3" t="s">
        <v>13</v>
      </c>
      <c r="I2122" s="1"/>
      <c r="J2122" s="1"/>
      <c r="K2122" s="1"/>
    </row>
    <row r="2123" ht="15.75" customHeight="1">
      <c r="A2123" s="4">
        <v>2122.0</v>
      </c>
      <c r="B2123" s="1"/>
      <c r="C2123" s="1"/>
      <c r="D2123" s="1"/>
      <c r="E2123" s="2"/>
      <c r="F2123" s="1"/>
      <c r="G2123" s="1"/>
      <c r="H2123" s="3"/>
      <c r="I2123" s="1"/>
      <c r="J2123" s="1"/>
      <c r="K2123" s="1"/>
    </row>
    <row r="2124" ht="15.75" customHeight="1">
      <c r="A2124" s="2">
        <v>2123.0</v>
      </c>
      <c r="B2124" s="1" t="s">
        <v>5367</v>
      </c>
      <c r="C2124" s="1" t="s">
        <v>5368</v>
      </c>
      <c r="D2124" s="1" t="s">
        <v>1209</v>
      </c>
      <c r="E2124" s="2">
        <v>5.70038000971E11</v>
      </c>
      <c r="F2124" s="1" t="s">
        <v>5369</v>
      </c>
      <c r="G2124" s="1" t="s">
        <v>135</v>
      </c>
      <c r="H2124" s="3" t="s">
        <v>13</v>
      </c>
      <c r="I2124" s="1"/>
      <c r="J2124" s="1"/>
      <c r="K2124" s="1"/>
    </row>
    <row r="2125" ht="15.75" customHeight="1">
      <c r="A2125" s="2">
        <v>2124.0</v>
      </c>
      <c r="B2125" s="1" t="s">
        <v>4662</v>
      </c>
      <c r="C2125" s="1" t="s">
        <v>5370</v>
      </c>
      <c r="D2125" s="1" t="s">
        <v>490</v>
      </c>
      <c r="E2125" s="2">
        <v>5.70038000972E11</v>
      </c>
      <c r="F2125" s="1" t="s">
        <v>5371</v>
      </c>
      <c r="G2125" s="1" t="s">
        <v>12</v>
      </c>
      <c r="H2125" s="3" t="s">
        <v>13</v>
      </c>
      <c r="I2125" s="1"/>
      <c r="J2125" s="1"/>
      <c r="K2125" s="1"/>
    </row>
    <row r="2126" ht="15.75" customHeight="1">
      <c r="A2126" s="2">
        <v>2125.0</v>
      </c>
      <c r="B2126" s="1" t="s">
        <v>5372</v>
      </c>
      <c r="C2126" s="1" t="s">
        <v>5373</v>
      </c>
      <c r="D2126" s="1" t="s">
        <v>5374</v>
      </c>
      <c r="E2126" s="2">
        <v>5.70038000976E11</v>
      </c>
      <c r="F2126" s="1" t="s">
        <v>5375</v>
      </c>
      <c r="G2126" s="1" t="s">
        <v>135</v>
      </c>
      <c r="H2126" s="3" t="s">
        <v>13</v>
      </c>
      <c r="I2126" s="1"/>
      <c r="J2126" s="1"/>
      <c r="K2126" s="1"/>
    </row>
    <row r="2127" ht="15.75" customHeight="1">
      <c r="A2127" s="2">
        <v>2126.0</v>
      </c>
      <c r="B2127" s="1" t="s">
        <v>3984</v>
      </c>
      <c r="C2127" s="1" t="s">
        <v>5376</v>
      </c>
      <c r="D2127" s="1" t="s">
        <v>770</v>
      </c>
      <c r="E2127" s="2">
        <v>5.70038000977E11</v>
      </c>
      <c r="F2127" s="1" t="s">
        <v>5377</v>
      </c>
      <c r="G2127" s="1" t="s">
        <v>12</v>
      </c>
      <c r="H2127" s="3" t="s">
        <v>13</v>
      </c>
      <c r="I2127" s="1"/>
      <c r="J2127" s="1"/>
      <c r="K2127" s="1"/>
    </row>
    <row r="2128" ht="15.75" customHeight="1">
      <c r="A2128" s="2">
        <v>2127.0</v>
      </c>
      <c r="B2128" s="1" t="s">
        <v>5378</v>
      </c>
      <c r="C2128" s="1" t="s">
        <v>5379</v>
      </c>
      <c r="D2128" s="1" t="s">
        <v>513</v>
      </c>
      <c r="E2128" s="2">
        <v>5.70038000979E11</v>
      </c>
      <c r="F2128" s="1" t="s">
        <v>5380</v>
      </c>
      <c r="G2128" s="1" t="s">
        <v>135</v>
      </c>
      <c r="H2128" s="3" t="s">
        <v>13</v>
      </c>
      <c r="I2128" s="1"/>
      <c r="J2128" s="1"/>
      <c r="K2128" s="1"/>
    </row>
    <row r="2129" ht="15.75" customHeight="1">
      <c r="A2129" s="2">
        <v>2128.0</v>
      </c>
      <c r="B2129" s="1" t="s">
        <v>297</v>
      </c>
      <c r="C2129" s="1" t="s">
        <v>5381</v>
      </c>
      <c r="D2129" s="1" t="s">
        <v>4350</v>
      </c>
      <c r="E2129" s="2">
        <v>5.7003800098E11</v>
      </c>
      <c r="F2129" s="1" t="s">
        <v>5382</v>
      </c>
      <c r="G2129" s="1" t="s">
        <v>135</v>
      </c>
      <c r="H2129" s="3" t="s">
        <v>13</v>
      </c>
      <c r="I2129" s="1"/>
      <c r="J2129" s="1"/>
      <c r="K2129" s="1"/>
    </row>
    <row r="2130" ht="15.75" customHeight="1">
      <c r="A2130" s="2">
        <v>2129.0</v>
      </c>
      <c r="B2130" s="1" t="s">
        <v>5383</v>
      </c>
      <c r="C2130" s="1" t="s">
        <v>5384</v>
      </c>
      <c r="D2130" s="1" t="s">
        <v>1904</v>
      </c>
      <c r="E2130" s="2">
        <v>5.70038000981E11</v>
      </c>
      <c r="F2130" s="1" t="s">
        <v>5385</v>
      </c>
      <c r="G2130" s="1" t="s">
        <v>135</v>
      </c>
      <c r="H2130" s="3" t="s">
        <v>13</v>
      </c>
      <c r="I2130" s="1"/>
      <c r="J2130" s="1"/>
      <c r="K2130" s="1"/>
    </row>
    <row r="2131" ht="15.75" customHeight="1">
      <c r="A2131" s="2">
        <v>2130.0</v>
      </c>
      <c r="B2131" s="1" t="s">
        <v>1609</v>
      </c>
      <c r="C2131" s="1" t="s">
        <v>5386</v>
      </c>
      <c r="D2131" s="1" t="s">
        <v>532</v>
      </c>
      <c r="E2131" s="2">
        <v>5.70038000982E11</v>
      </c>
      <c r="F2131" s="1" t="s">
        <v>5387</v>
      </c>
      <c r="G2131" s="1" t="s">
        <v>135</v>
      </c>
      <c r="H2131" s="3" t="s">
        <v>13</v>
      </c>
      <c r="I2131" s="1"/>
      <c r="J2131" s="1"/>
      <c r="K2131" s="1"/>
    </row>
    <row r="2132" ht="15.75" customHeight="1">
      <c r="A2132" s="2">
        <v>2131.0</v>
      </c>
      <c r="B2132" s="1" t="s">
        <v>2905</v>
      </c>
      <c r="C2132" s="1" t="s">
        <v>5388</v>
      </c>
      <c r="D2132" s="1" t="s">
        <v>1287</v>
      </c>
      <c r="E2132" s="2">
        <v>5.70038000983E11</v>
      </c>
      <c r="F2132" s="1" t="s">
        <v>5389</v>
      </c>
      <c r="G2132" s="1" t="s">
        <v>135</v>
      </c>
      <c r="H2132" s="3" t="s">
        <v>13</v>
      </c>
      <c r="I2132" s="1"/>
      <c r="J2132" s="1"/>
      <c r="K2132" s="1"/>
    </row>
    <row r="2133" ht="15.75" customHeight="1">
      <c r="A2133" s="2">
        <v>2132.0</v>
      </c>
      <c r="B2133" s="1" t="s">
        <v>2907</v>
      </c>
      <c r="C2133" s="1" t="s">
        <v>2405</v>
      </c>
      <c r="D2133" s="1" t="s">
        <v>3454</v>
      </c>
      <c r="E2133" s="2">
        <v>5.70038000984E11</v>
      </c>
      <c r="F2133" s="1" t="s">
        <v>5390</v>
      </c>
      <c r="G2133" s="1" t="s">
        <v>135</v>
      </c>
      <c r="H2133" s="3" t="s">
        <v>13</v>
      </c>
      <c r="I2133" s="1"/>
      <c r="J2133" s="1"/>
      <c r="K2133" s="1"/>
    </row>
    <row r="2134" ht="15.75" customHeight="1">
      <c r="A2134" s="2">
        <v>2133.0</v>
      </c>
      <c r="B2134" s="1" t="s">
        <v>5391</v>
      </c>
      <c r="C2134" s="1" t="s">
        <v>5392</v>
      </c>
      <c r="D2134" s="1" t="s">
        <v>2310</v>
      </c>
      <c r="E2134" s="2">
        <v>5.70038000985E11</v>
      </c>
      <c r="F2134" s="1" t="s">
        <v>5393</v>
      </c>
      <c r="G2134" s="1" t="s">
        <v>135</v>
      </c>
      <c r="H2134" s="3" t="s">
        <v>13</v>
      </c>
      <c r="I2134" s="1"/>
      <c r="J2134" s="1"/>
      <c r="K2134" s="1"/>
    </row>
    <row r="2135" ht="15.75" customHeight="1">
      <c r="A2135" s="2">
        <v>2134.0</v>
      </c>
      <c r="B2135" s="1" t="s">
        <v>5394</v>
      </c>
      <c r="C2135" s="1" t="s">
        <v>5395</v>
      </c>
      <c r="D2135" s="1" t="s">
        <v>273</v>
      </c>
      <c r="E2135" s="2">
        <v>5.70038000989E11</v>
      </c>
      <c r="F2135" s="1" t="s">
        <v>5396</v>
      </c>
      <c r="G2135" s="1" t="s">
        <v>135</v>
      </c>
      <c r="H2135" s="3" t="s">
        <v>13</v>
      </c>
      <c r="I2135" s="1"/>
      <c r="J2135" s="1"/>
      <c r="K2135" s="1"/>
    </row>
    <row r="2136" ht="15.75" customHeight="1">
      <c r="A2136" s="2">
        <v>2135.0</v>
      </c>
      <c r="B2136" s="1" t="s">
        <v>5335</v>
      </c>
      <c r="C2136" s="1" t="s">
        <v>5397</v>
      </c>
      <c r="D2136" s="1" t="s">
        <v>228</v>
      </c>
      <c r="E2136" s="2">
        <v>5.7003800099E11</v>
      </c>
      <c r="F2136" s="1" t="s">
        <v>5398</v>
      </c>
      <c r="G2136" s="1" t="s">
        <v>135</v>
      </c>
      <c r="H2136" s="3" t="s">
        <v>13</v>
      </c>
      <c r="I2136" s="1"/>
      <c r="J2136" s="1"/>
      <c r="K2136" s="1"/>
    </row>
    <row r="2137" ht="15.75" customHeight="1">
      <c r="A2137" s="2">
        <v>2136.0</v>
      </c>
      <c r="B2137" s="1" t="s">
        <v>5399</v>
      </c>
      <c r="C2137" s="1" t="s">
        <v>5400</v>
      </c>
      <c r="D2137" s="1" t="s">
        <v>1226</v>
      </c>
      <c r="E2137" s="2">
        <v>5.70038000992E11</v>
      </c>
      <c r="F2137" s="1" t="s">
        <v>5401</v>
      </c>
      <c r="G2137" s="1" t="s">
        <v>135</v>
      </c>
      <c r="H2137" s="3" t="s">
        <v>13</v>
      </c>
      <c r="I2137" s="1"/>
      <c r="J2137" s="1"/>
      <c r="K2137" s="1"/>
    </row>
    <row r="2138" ht="15.75" customHeight="1">
      <c r="A2138" s="2">
        <v>2137.0</v>
      </c>
      <c r="B2138" s="1" t="s">
        <v>5402</v>
      </c>
      <c r="C2138" s="1" t="s">
        <v>5403</v>
      </c>
      <c r="D2138" s="1" t="s">
        <v>822</v>
      </c>
      <c r="E2138" s="2">
        <v>5.70038000994E11</v>
      </c>
      <c r="F2138" s="1" t="s">
        <v>5380</v>
      </c>
      <c r="G2138" s="1" t="s">
        <v>135</v>
      </c>
      <c r="H2138" s="3" t="s">
        <v>13</v>
      </c>
      <c r="I2138" s="1"/>
      <c r="J2138" s="1"/>
      <c r="K2138" s="1"/>
    </row>
    <row r="2139" ht="15.75" customHeight="1">
      <c r="A2139" s="2">
        <v>2138.0</v>
      </c>
      <c r="B2139" s="1" t="s">
        <v>3721</v>
      </c>
      <c r="C2139" s="1" t="s">
        <v>5404</v>
      </c>
      <c r="D2139" s="1" t="s">
        <v>540</v>
      </c>
      <c r="E2139" s="2">
        <v>5.70038001E11</v>
      </c>
      <c r="F2139" s="1" t="s">
        <v>5405</v>
      </c>
      <c r="G2139" s="1" t="s">
        <v>135</v>
      </c>
      <c r="H2139" s="3" t="s">
        <v>13</v>
      </c>
      <c r="I2139" s="1"/>
      <c r="J2139" s="1"/>
      <c r="K2139" s="1"/>
    </row>
    <row r="2140" ht="15.75" customHeight="1">
      <c r="A2140" s="2">
        <v>2139.0</v>
      </c>
      <c r="B2140" s="1" t="s">
        <v>5406</v>
      </c>
      <c r="C2140" s="1" t="s">
        <v>5407</v>
      </c>
      <c r="D2140" s="1" t="s">
        <v>5408</v>
      </c>
      <c r="E2140" s="2">
        <v>5.70038001005E11</v>
      </c>
      <c r="F2140" s="1" t="s">
        <v>5409</v>
      </c>
      <c r="G2140" s="1" t="s">
        <v>135</v>
      </c>
      <c r="H2140" s="3" t="s">
        <v>13</v>
      </c>
      <c r="I2140" s="1"/>
      <c r="J2140" s="1"/>
      <c r="K2140" s="1"/>
    </row>
    <row r="2141" ht="15.75" customHeight="1">
      <c r="A2141" s="2">
        <v>2140.0</v>
      </c>
      <c r="B2141" s="1" t="s">
        <v>5410</v>
      </c>
      <c r="C2141" s="1" t="s">
        <v>5411</v>
      </c>
      <c r="D2141" s="1" t="s">
        <v>455</v>
      </c>
      <c r="E2141" s="2">
        <v>5.70038001008E11</v>
      </c>
      <c r="F2141" s="1" t="s">
        <v>5412</v>
      </c>
      <c r="G2141" s="1" t="s">
        <v>135</v>
      </c>
      <c r="H2141" s="3" t="s">
        <v>13</v>
      </c>
      <c r="I2141" s="1"/>
      <c r="J2141" s="1"/>
      <c r="K2141" s="1"/>
    </row>
    <row r="2142" ht="15.75" customHeight="1">
      <c r="A2142" s="2">
        <v>2141.0</v>
      </c>
      <c r="B2142" s="1" t="s">
        <v>4662</v>
      </c>
      <c r="C2142" s="1" t="s">
        <v>1791</v>
      </c>
      <c r="D2142" s="1" t="s">
        <v>42</v>
      </c>
      <c r="E2142" s="2">
        <v>5.70038001009E11</v>
      </c>
      <c r="F2142" s="1" t="s">
        <v>5390</v>
      </c>
      <c r="G2142" s="1" t="s">
        <v>135</v>
      </c>
      <c r="H2142" s="3" t="s">
        <v>13</v>
      </c>
      <c r="I2142" s="1"/>
      <c r="J2142" s="1"/>
      <c r="K2142" s="1"/>
    </row>
    <row r="2143" ht="15.75" customHeight="1">
      <c r="A2143" s="2">
        <v>2142.0</v>
      </c>
      <c r="B2143" s="1" t="s">
        <v>5413</v>
      </c>
      <c r="C2143" s="1" t="s">
        <v>5414</v>
      </c>
      <c r="D2143" s="1" t="s">
        <v>979</v>
      </c>
      <c r="E2143" s="2">
        <v>5.70038001012E11</v>
      </c>
      <c r="F2143" s="1" t="s">
        <v>5415</v>
      </c>
      <c r="G2143" s="1" t="s">
        <v>135</v>
      </c>
      <c r="H2143" s="3" t="s">
        <v>13</v>
      </c>
      <c r="I2143" s="1"/>
      <c r="J2143" s="1"/>
      <c r="K2143" s="1"/>
    </row>
    <row r="2144" ht="15.75" customHeight="1">
      <c r="A2144" s="2">
        <v>2143.0</v>
      </c>
      <c r="B2144" s="1" t="s">
        <v>4143</v>
      </c>
      <c r="C2144" s="1" t="s">
        <v>5416</v>
      </c>
      <c r="D2144" s="1" t="s">
        <v>2020</v>
      </c>
      <c r="E2144" s="2">
        <v>5.70038001016E11</v>
      </c>
      <c r="F2144" s="1" t="s">
        <v>5417</v>
      </c>
      <c r="G2144" s="1" t="s">
        <v>135</v>
      </c>
      <c r="H2144" s="3" t="s">
        <v>13</v>
      </c>
      <c r="I2144" s="1"/>
      <c r="J2144" s="1"/>
      <c r="K2144" s="1"/>
    </row>
    <row r="2145" ht="15.75" customHeight="1">
      <c r="A2145" s="2">
        <v>2144.0</v>
      </c>
      <c r="B2145" s="1" t="s">
        <v>5418</v>
      </c>
      <c r="C2145" s="1" t="s">
        <v>5419</v>
      </c>
      <c r="D2145" s="1" t="s">
        <v>1765</v>
      </c>
      <c r="E2145" s="2">
        <v>5.70038001017E11</v>
      </c>
      <c r="F2145" s="1" t="s">
        <v>5420</v>
      </c>
      <c r="G2145" s="1" t="s">
        <v>135</v>
      </c>
      <c r="H2145" s="3" t="s">
        <v>13</v>
      </c>
      <c r="I2145" s="1"/>
      <c r="J2145" s="1"/>
      <c r="K2145" s="1"/>
    </row>
    <row r="2146" ht="15.75" customHeight="1">
      <c r="A2146" s="2">
        <v>2145.0</v>
      </c>
      <c r="B2146" s="1" t="s">
        <v>397</v>
      </c>
      <c r="C2146" s="1" t="s">
        <v>5395</v>
      </c>
      <c r="D2146" s="1" t="s">
        <v>3683</v>
      </c>
      <c r="E2146" s="2">
        <v>5.70038001018E11</v>
      </c>
      <c r="F2146" s="1" t="s">
        <v>5421</v>
      </c>
      <c r="G2146" s="1" t="s">
        <v>5422</v>
      </c>
      <c r="H2146" s="3" t="s">
        <v>13</v>
      </c>
      <c r="I2146" s="1"/>
      <c r="J2146" s="1"/>
      <c r="K2146" s="1"/>
    </row>
    <row r="2147" ht="15.75" customHeight="1">
      <c r="A2147" s="2">
        <v>2146.0</v>
      </c>
      <c r="B2147" s="1" t="s">
        <v>550</v>
      </c>
      <c r="C2147" s="1" t="s">
        <v>5423</v>
      </c>
      <c r="D2147" s="1" t="s">
        <v>228</v>
      </c>
      <c r="E2147" s="2">
        <v>5.70038001019E11</v>
      </c>
      <c r="F2147" s="1" t="s">
        <v>5424</v>
      </c>
      <c r="G2147" s="1" t="s">
        <v>135</v>
      </c>
      <c r="H2147" s="3" t="s">
        <v>13</v>
      </c>
      <c r="I2147" s="1"/>
      <c r="J2147" s="1"/>
      <c r="K2147" s="1"/>
    </row>
    <row r="2148" ht="15.75" customHeight="1">
      <c r="A2148" s="2">
        <v>2147.0</v>
      </c>
      <c r="B2148" s="1" t="s">
        <v>281</v>
      </c>
      <c r="C2148" s="1" t="s">
        <v>5425</v>
      </c>
      <c r="D2148" s="1" t="s">
        <v>5426</v>
      </c>
      <c r="E2148" s="2">
        <v>5.70038001047E11</v>
      </c>
      <c r="F2148" s="1" t="s">
        <v>5427</v>
      </c>
      <c r="G2148" s="1" t="s">
        <v>12</v>
      </c>
      <c r="H2148" s="3" t="s">
        <v>13</v>
      </c>
      <c r="I2148" s="1"/>
      <c r="J2148" s="1"/>
      <c r="K2148" s="1"/>
    </row>
    <row r="2149" ht="15.75" customHeight="1">
      <c r="A2149" s="2">
        <v>2148.0</v>
      </c>
      <c r="B2149" s="1" t="s">
        <v>5428</v>
      </c>
      <c r="C2149" s="1" t="s">
        <v>5429</v>
      </c>
      <c r="D2149" s="1" t="s">
        <v>5430</v>
      </c>
      <c r="E2149" s="2">
        <v>5.70038000948E11</v>
      </c>
      <c r="F2149" s="1" t="s">
        <v>1560</v>
      </c>
      <c r="G2149" s="1" t="s">
        <v>12</v>
      </c>
      <c r="H2149" s="3" t="s">
        <v>13</v>
      </c>
      <c r="I2149" s="1"/>
      <c r="J2149" s="1"/>
      <c r="K2149" s="1"/>
    </row>
    <row r="2150" ht="15.75" customHeight="1">
      <c r="A2150" s="2">
        <v>2149.0</v>
      </c>
      <c r="B2150" s="1" t="s">
        <v>5335</v>
      </c>
      <c r="C2150" s="1" t="s">
        <v>5431</v>
      </c>
      <c r="D2150" s="1" t="s">
        <v>5432</v>
      </c>
      <c r="E2150" s="2">
        <v>5.7003800095E11</v>
      </c>
      <c r="F2150" s="1" t="s">
        <v>5433</v>
      </c>
      <c r="G2150" s="1" t="s">
        <v>12</v>
      </c>
      <c r="H2150" s="3" t="s">
        <v>13</v>
      </c>
      <c r="I2150" s="1"/>
      <c r="J2150" s="1"/>
      <c r="K2150" s="1"/>
    </row>
    <row r="2151" ht="15.75" customHeight="1">
      <c r="A2151" s="2">
        <v>2150.0</v>
      </c>
      <c r="B2151" s="1" t="s">
        <v>5434</v>
      </c>
      <c r="C2151" s="1" t="s">
        <v>1791</v>
      </c>
      <c r="D2151" s="1" t="s">
        <v>415</v>
      </c>
      <c r="E2151" s="2">
        <v>5.70038000951E11</v>
      </c>
      <c r="F2151" s="1" t="s">
        <v>5435</v>
      </c>
      <c r="G2151" s="1" t="s">
        <v>12</v>
      </c>
      <c r="H2151" s="3" t="s">
        <v>13</v>
      </c>
      <c r="I2151" s="1"/>
      <c r="J2151" s="1"/>
      <c r="K2151" s="1"/>
    </row>
    <row r="2152" ht="15.75" customHeight="1">
      <c r="A2152" s="2">
        <v>2151.0</v>
      </c>
      <c r="B2152" s="1" t="s">
        <v>5436</v>
      </c>
      <c r="C2152" s="1" t="s">
        <v>5437</v>
      </c>
      <c r="D2152" s="1" t="s">
        <v>1515</v>
      </c>
      <c r="E2152" s="2">
        <v>5.70038000953E11</v>
      </c>
      <c r="F2152" s="1" t="s">
        <v>5067</v>
      </c>
      <c r="G2152" s="1" t="s">
        <v>12</v>
      </c>
      <c r="H2152" s="3" t="s">
        <v>13</v>
      </c>
      <c r="I2152" s="1"/>
      <c r="J2152" s="1"/>
      <c r="K2152" s="1"/>
    </row>
    <row r="2153" ht="15.75" customHeight="1">
      <c r="A2153" s="2">
        <v>2152.0</v>
      </c>
      <c r="B2153" s="1" t="s">
        <v>5438</v>
      </c>
      <c r="C2153" s="1" t="s">
        <v>5439</v>
      </c>
      <c r="D2153" s="1" t="s">
        <v>5440</v>
      </c>
      <c r="E2153" s="2">
        <v>5.70038000955E11</v>
      </c>
      <c r="F2153" s="1" t="s">
        <v>5441</v>
      </c>
      <c r="G2153" s="1" t="s">
        <v>135</v>
      </c>
      <c r="H2153" s="3" t="s">
        <v>13</v>
      </c>
      <c r="I2153" s="1"/>
      <c r="J2153" s="1"/>
      <c r="K2153" s="1"/>
    </row>
    <row r="2154" ht="15.75" customHeight="1">
      <c r="A2154" s="2">
        <v>2153.0</v>
      </c>
      <c r="B2154" s="1" t="s">
        <v>5442</v>
      </c>
      <c r="C2154" s="1" t="s">
        <v>5443</v>
      </c>
      <c r="D2154" s="1" t="s">
        <v>5444</v>
      </c>
      <c r="E2154" s="2">
        <v>5.70038000956E11</v>
      </c>
      <c r="F2154" s="1" t="s">
        <v>5445</v>
      </c>
      <c r="G2154" s="1" t="s">
        <v>12</v>
      </c>
      <c r="H2154" s="3" t="s">
        <v>13</v>
      </c>
      <c r="I2154" s="1"/>
      <c r="J2154" s="1"/>
      <c r="K2154" s="1"/>
    </row>
    <row r="2155" ht="15.75" customHeight="1">
      <c r="A2155" s="2">
        <v>2154.0</v>
      </c>
      <c r="B2155" s="1" t="s">
        <v>5446</v>
      </c>
      <c r="C2155" s="1" t="s">
        <v>5447</v>
      </c>
      <c r="D2155" s="1" t="s">
        <v>660</v>
      </c>
      <c r="E2155" s="2">
        <v>5.70038001025E11</v>
      </c>
      <c r="F2155" s="1" t="s">
        <v>5448</v>
      </c>
      <c r="G2155" s="1" t="s">
        <v>12</v>
      </c>
      <c r="H2155" s="3" t="s">
        <v>5449</v>
      </c>
      <c r="I2155" s="1"/>
      <c r="J2155" s="1"/>
      <c r="K2155" s="1"/>
    </row>
    <row r="2156" ht="15.75" customHeight="1">
      <c r="A2156" s="2">
        <v>2155.0</v>
      </c>
      <c r="B2156" s="1" t="s">
        <v>5450</v>
      </c>
      <c r="C2156" s="1" t="s">
        <v>5451</v>
      </c>
      <c r="D2156" s="1" t="s">
        <v>5452</v>
      </c>
      <c r="E2156" s="2">
        <v>5.70038001026E11</v>
      </c>
      <c r="F2156" s="1" t="s">
        <v>5453</v>
      </c>
      <c r="G2156" s="1" t="s">
        <v>135</v>
      </c>
      <c r="H2156" s="3" t="s">
        <v>13</v>
      </c>
      <c r="I2156" s="1"/>
      <c r="J2156" s="1"/>
      <c r="K2156" s="1"/>
    </row>
    <row r="2157" ht="15.75" customHeight="1">
      <c r="A2157" s="2">
        <v>2156.0</v>
      </c>
      <c r="B2157" s="1" t="s">
        <v>4846</v>
      </c>
      <c r="C2157" s="1" t="s">
        <v>5454</v>
      </c>
      <c r="D2157" s="1" t="s">
        <v>5455</v>
      </c>
      <c r="E2157" s="2">
        <v>5.70038001027E11</v>
      </c>
      <c r="F2157" s="1" t="s">
        <v>5456</v>
      </c>
      <c r="G2157" s="1" t="s">
        <v>12</v>
      </c>
      <c r="H2157" s="3" t="s">
        <v>13</v>
      </c>
      <c r="I2157" s="1"/>
      <c r="J2157" s="1"/>
      <c r="K2157" s="1"/>
    </row>
    <row r="2158" ht="15.75" customHeight="1">
      <c r="A2158" s="2">
        <v>2157.0</v>
      </c>
      <c r="B2158" s="1" t="s">
        <v>1193</v>
      </c>
      <c r="C2158" s="1" t="s">
        <v>5457</v>
      </c>
      <c r="D2158" s="1" t="s">
        <v>5458</v>
      </c>
      <c r="E2158" s="2">
        <v>5.70038001032E11</v>
      </c>
      <c r="F2158" s="1" t="s">
        <v>5459</v>
      </c>
      <c r="G2158" s="1" t="s">
        <v>12</v>
      </c>
      <c r="H2158" s="3" t="s">
        <v>5460</v>
      </c>
      <c r="I2158" s="1"/>
      <c r="J2158" s="1"/>
      <c r="K2158" s="1"/>
    </row>
    <row r="2159" ht="15.75" customHeight="1">
      <c r="A2159" s="2">
        <v>2158.0</v>
      </c>
      <c r="B2159" s="1" t="s">
        <v>5461</v>
      </c>
      <c r="C2159" s="1" t="s">
        <v>5462</v>
      </c>
      <c r="D2159" s="1" t="s">
        <v>3466</v>
      </c>
      <c r="E2159" s="2">
        <v>5.70038001034E11</v>
      </c>
      <c r="F2159" s="1" t="s">
        <v>5463</v>
      </c>
      <c r="G2159" s="1" t="s">
        <v>12</v>
      </c>
      <c r="H2159" s="3" t="s">
        <v>13</v>
      </c>
      <c r="I2159" s="1"/>
      <c r="J2159" s="1"/>
      <c r="K2159" s="1"/>
    </row>
    <row r="2160" ht="15.75" customHeight="1">
      <c r="A2160" s="2">
        <v>2159.0</v>
      </c>
      <c r="B2160" s="1" t="s">
        <v>2743</v>
      </c>
      <c r="C2160" s="1" t="s">
        <v>5464</v>
      </c>
      <c r="D2160" s="1" t="s">
        <v>5465</v>
      </c>
      <c r="E2160" s="2">
        <v>5.70038001036E11</v>
      </c>
      <c r="F2160" s="1" t="s">
        <v>5466</v>
      </c>
      <c r="G2160" s="1" t="s">
        <v>135</v>
      </c>
      <c r="H2160" s="3" t="s">
        <v>13</v>
      </c>
      <c r="I2160" s="1"/>
      <c r="J2160" s="1"/>
      <c r="K2160" s="1"/>
    </row>
    <row r="2161" ht="15.75" customHeight="1">
      <c r="A2161" s="2">
        <v>2160.0</v>
      </c>
      <c r="B2161" s="1" t="s">
        <v>5467</v>
      </c>
      <c r="C2161" s="1" t="s">
        <v>5468</v>
      </c>
      <c r="D2161" s="1" t="s">
        <v>5469</v>
      </c>
      <c r="E2161" s="2">
        <v>5.7003800104E11</v>
      </c>
      <c r="F2161" s="1" t="s">
        <v>5470</v>
      </c>
      <c r="G2161" s="1" t="s">
        <v>12</v>
      </c>
      <c r="H2161" s="3" t="s">
        <v>5471</v>
      </c>
      <c r="I2161" s="1"/>
      <c r="J2161" s="1"/>
      <c r="K2161" s="1"/>
    </row>
    <row r="2162" ht="15.75" customHeight="1">
      <c r="A2162" s="2">
        <v>2161.0</v>
      </c>
      <c r="B2162" s="1" t="s">
        <v>2753</v>
      </c>
      <c r="C2162" s="1" t="s">
        <v>5472</v>
      </c>
      <c r="D2162" s="1" t="s">
        <v>50</v>
      </c>
      <c r="E2162" s="2">
        <v>5.70038001041E11</v>
      </c>
      <c r="F2162" s="1" t="s">
        <v>5473</v>
      </c>
      <c r="G2162" s="1" t="s">
        <v>12</v>
      </c>
      <c r="H2162" s="3" t="s">
        <v>13</v>
      </c>
      <c r="I2162" s="1"/>
      <c r="J2162" s="1"/>
      <c r="K2162" s="1"/>
    </row>
    <row r="2163" ht="15.75" customHeight="1">
      <c r="A2163" s="2">
        <v>2162.0</v>
      </c>
      <c r="B2163" s="1" t="s">
        <v>127</v>
      </c>
      <c r="C2163" s="1" t="s">
        <v>1905</v>
      </c>
      <c r="D2163" s="1" t="s">
        <v>1774</v>
      </c>
      <c r="E2163" s="2">
        <v>5.70038001042E11</v>
      </c>
      <c r="F2163" s="1" t="s">
        <v>5474</v>
      </c>
      <c r="G2163" s="1" t="s">
        <v>12</v>
      </c>
      <c r="H2163" s="3" t="s">
        <v>5475</v>
      </c>
      <c r="I2163" s="1"/>
      <c r="J2163" s="1"/>
      <c r="K2163" s="1"/>
    </row>
    <row r="2164" ht="15.75" customHeight="1">
      <c r="A2164" s="2">
        <v>2163.0</v>
      </c>
      <c r="B2164" s="1" t="s">
        <v>5476</v>
      </c>
      <c r="C2164" s="1" t="s">
        <v>5477</v>
      </c>
      <c r="D2164" s="1" t="s">
        <v>5478</v>
      </c>
      <c r="E2164" s="2">
        <v>5.70038001048E11</v>
      </c>
      <c r="F2164" s="1" t="s">
        <v>5479</v>
      </c>
      <c r="G2164" s="1" t="s">
        <v>12</v>
      </c>
      <c r="H2164" s="3" t="s">
        <v>5480</v>
      </c>
      <c r="I2164" s="1"/>
      <c r="J2164" s="1"/>
      <c r="K2164" s="1"/>
    </row>
    <row r="2165" ht="15.75" customHeight="1">
      <c r="A2165" s="2">
        <v>2164.0</v>
      </c>
      <c r="B2165" s="1" t="s">
        <v>5481</v>
      </c>
      <c r="C2165" s="1" t="s">
        <v>5482</v>
      </c>
      <c r="D2165" s="1" t="s">
        <v>179</v>
      </c>
      <c r="E2165" s="2">
        <v>5.70038001049E11</v>
      </c>
      <c r="F2165" s="1" t="s">
        <v>5483</v>
      </c>
      <c r="G2165" s="1" t="s">
        <v>135</v>
      </c>
      <c r="H2165" s="3" t="s">
        <v>13</v>
      </c>
      <c r="I2165" s="1"/>
      <c r="J2165" s="1"/>
      <c r="K2165" s="1"/>
    </row>
    <row r="2166" ht="15.75" customHeight="1">
      <c r="A2166" s="2">
        <v>2165.0</v>
      </c>
      <c r="B2166" s="1" t="s">
        <v>897</v>
      </c>
      <c r="C2166" s="1" t="s">
        <v>5484</v>
      </c>
      <c r="D2166" s="1" t="s">
        <v>5485</v>
      </c>
      <c r="E2166" s="2">
        <v>5.7003800105E11</v>
      </c>
      <c r="F2166" s="1" t="s">
        <v>5486</v>
      </c>
      <c r="G2166" s="1" t="s">
        <v>12</v>
      </c>
      <c r="H2166" s="3" t="s">
        <v>13</v>
      </c>
      <c r="I2166" s="1"/>
      <c r="J2166" s="1"/>
      <c r="K2166" s="1"/>
    </row>
    <row r="2167" ht="15.75" customHeight="1">
      <c r="A2167" s="2">
        <v>2166.0</v>
      </c>
      <c r="B2167" s="1" t="s">
        <v>5487</v>
      </c>
      <c r="C2167" s="1" t="s">
        <v>5488</v>
      </c>
      <c r="D2167" s="1" t="s">
        <v>346</v>
      </c>
      <c r="E2167" s="2">
        <v>5.70038001051E11</v>
      </c>
      <c r="F2167" s="1" t="s">
        <v>5489</v>
      </c>
      <c r="G2167" s="1" t="s">
        <v>12</v>
      </c>
      <c r="H2167" s="3" t="s">
        <v>5490</v>
      </c>
      <c r="I2167" s="1"/>
      <c r="J2167" s="1"/>
      <c r="K2167" s="1"/>
    </row>
    <row r="2168" ht="15.75" customHeight="1">
      <c r="A2168" s="2">
        <v>2167.0</v>
      </c>
      <c r="B2168" s="1" t="s">
        <v>462</v>
      </c>
      <c r="C2168" s="1" t="s">
        <v>5491</v>
      </c>
      <c r="D2168" s="1" t="s">
        <v>5492</v>
      </c>
      <c r="E2168" s="2">
        <v>5.70038001053E11</v>
      </c>
      <c r="F2168" s="1" t="s">
        <v>5329</v>
      </c>
      <c r="G2168" s="1" t="s">
        <v>12</v>
      </c>
      <c r="H2168" s="3" t="s">
        <v>13</v>
      </c>
      <c r="I2168" s="1"/>
      <c r="J2168" s="1"/>
      <c r="K2168" s="1"/>
    </row>
    <row r="2169" ht="15.75" customHeight="1">
      <c r="A2169" s="2">
        <v>2168.0</v>
      </c>
      <c r="B2169" s="1" t="s">
        <v>2907</v>
      </c>
      <c r="C2169" s="1" t="s">
        <v>5493</v>
      </c>
      <c r="D2169" s="1" t="s">
        <v>362</v>
      </c>
      <c r="E2169" s="2">
        <v>5.70038001054E11</v>
      </c>
      <c r="F2169" s="1" t="s">
        <v>5494</v>
      </c>
      <c r="G2169" s="1" t="s">
        <v>135</v>
      </c>
      <c r="H2169" s="3" t="s">
        <v>5495</v>
      </c>
      <c r="I2169" s="1"/>
      <c r="J2169" s="1"/>
      <c r="K2169" s="1"/>
    </row>
    <row r="2170" ht="15.75" customHeight="1">
      <c r="A2170" s="2">
        <v>2169.0</v>
      </c>
      <c r="B2170" s="1" t="s">
        <v>5496</v>
      </c>
      <c r="C2170" s="1" t="s">
        <v>5497</v>
      </c>
      <c r="D2170" s="1" t="s">
        <v>5498</v>
      </c>
      <c r="E2170" s="2">
        <v>5.70038001055E11</v>
      </c>
      <c r="F2170" s="1" t="s">
        <v>5499</v>
      </c>
      <c r="G2170" s="1" t="s">
        <v>12</v>
      </c>
      <c r="H2170" s="3" t="s">
        <v>13</v>
      </c>
      <c r="I2170" s="1"/>
      <c r="J2170" s="1"/>
      <c r="K2170" s="1"/>
    </row>
    <row r="2171" ht="15.75" customHeight="1">
      <c r="A2171" s="2">
        <v>2170.0</v>
      </c>
      <c r="B2171" s="1" t="s">
        <v>5500</v>
      </c>
      <c r="C2171" s="1" t="s">
        <v>5501</v>
      </c>
      <c r="D2171" s="1" t="s">
        <v>5502</v>
      </c>
      <c r="E2171" s="2">
        <v>5.70038001056E11</v>
      </c>
      <c r="F2171" s="1" t="s">
        <v>5321</v>
      </c>
      <c r="G2171" s="1" t="s">
        <v>135</v>
      </c>
      <c r="H2171" s="3" t="s">
        <v>13</v>
      </c>
      <c r="I2171" s="1"/>
      <c r="J2171" s="1"/>
      <c r="K2171" s="1"/>
    </row>
    <row r="2172" ht="15.75" customHeight="1">
      <c r="A2172" s="2">
        <v>2171.0</v>
      </c>
      <c r="B2172" s="1" t="s">
        <v>5503</v>
      </c>
      <c r="C2172" s="1" t="s">
        <v>5504</v>
      </c>
      <c r="D2172" s="1" t="s">
        <v>5505</v>
      </c>
      <c r="E2172" s="2">
        <v>5.70038001057E11</v>
      </c>
      <c r="F2172" s="1" t="s">
        <v>5506</v>
      </c>
      <c r="G2172" s="1" t="s">
        <v>12</v>
      </c>
      <c r="H2172" s="3" t="s">
        <v>13</v>
      </c>
      <c r="I2172" s="1"/>
      <c r="J2172" s="1"/>
      <c r="K2172" s="1"/>
    </row>
    <row r="2173" ht="15.75" customHeight="1">
      <c r="A2173" s="2">
        <v>2172.0</v>
      </c>
      <c r="B2173" s="1" t="s">
        <v>5507</v>
      </c>
      <c r="C2173" s="1" t="s">
        <v>2139</v>
      </c>
      <c r="D2173" s="1" t="s">
        <v>5508</v>
      </c>
      <c r="E2173" s="2">
        <v>5.70038001058E11</v>
      </c>
      <c r="F2173" s="1" t="s">
        <v>5509</v>
      </c>
      <c r="G2173" s="1" t="s">
        <v>12</v>
      </c>
      <c r="H2173" s="3" t="s">
        <v>13</v>
      </c>
      <c r="I2173" s="1"/>
      <c r="J2173" s="1"/>
      <c r="K2173" s="1"/>
    </row>
    <row r="2174" ht="15.75" customHeight="1">
      <c r="A2174" s="2">
        <v>2173.0</v>
      </c>
      <c r="B2174" s="1" t="s">
        <v>3230</v>
      </c>
      <c r="C2174" s="1" t="s">
        <v>5510</v>
      </c>
      <c r="D2174" s="1" t="s">
        <v>77</v>
      </c>
      <c r="E2174" s="2">
        <v>5.7003800106E11</v>
      </c>
      <c r="F2174" s="1" t="s">
        <v>4848</v>
      </c>
      <c r="G2174" s="1" t="s">
        <v>12</v>
      </c>
      <c r="H2174" s="3" t="s">
        <v>13</v>
      </c>
      <c r="I2174" s="1"/>
      <c r="J2174" s="1"/>
      <c r="K2174" s="1"/>
    </row>
    <row r="2175" ht="15.75" customHeight="1">
      <c r="A2175" s="2">
        <v>2174.0</v>
      </c>
      <c r="B2175" s="1" t="s">
        <v>5511</v>
      </c>
      <c r="C2175" s="1" t="s">
        <v>5512</v>
      </c>
      <c r="D2175" s="1" t="s">
        <v>5513</v>
      </c>
      <c r="E2175" s="2">
        <v>5.70038001061E11</v>
      </c>
      <c r="F2175" s="1" t="s">
        <v>5514</v>
      </c>
      <c r="G2175" s="1" t="s">
        <v>12</v>
      </c>
      <c r="H2175" s="3" t="s">
        <v>13</v>
      </c>
      <c r="I2175" s="1"/>
      <c r="J2175" s="1"/>
      <c r="K2175" s="1"/>
    </row>
    <row r="2176" ht="15.75" customHeight="1">
      <c r="A2176" s="2">
        <v>2175.0</v>
      </c>
      <c r="B2176" s="1" t="s">
        <v>5515</v>
      </c>
      <c r="C2176" s="1" t="s">
        <v>5516</v>
      </c>
      <c r="D2176" s="1" t="s">
        <v>872</v>
      </c>
      <c r="E2176" s="2">
        <v>5.70038001063E11</v>
      </c>
      <c r="F2176" s="1" t="s">
        <v>5047</v>
      </c>
      <c r="G2176" s="1" t="s">
        <v>135</v>
      </c>
      <c r="H2176" s="3" t="s">
        <v>13</v>
      </c>
      <c r="I2176" s="1"/>
      <c r="J2176" s="1"/>
      <c r="K2176" s="1"/>
    </row>
    <row r="2177" ht="15.75" customHeight="1">
      <c r="A2177" s="2">
        <v>2176.0</v>
      </c>
      <c r="B2177" s="1" t="s">
        <v>1774</v>
      </c>
      <c r="C2177" s="1" t="s">
        <v>5517</v>
      </c>
      <c r="D2177" s="1" t="s">
        <v>5518</v>
      </c>
      <c r="E2177" s="2">
        <v>5.70038001065E11</v>
      </c>
      <c r="F2177" s="1" t="s">
        <v>5519</v>
      </c>
      <c r="G2177" s="1" t="s">
        <v>135</v>
      </c>
      <c r="H2177" s="3" t="s">
        <v>13</v>
      </c>
      <c r="I2177" s="1"/>
      <c r="J2177" s="1"/>
      <c r="K2177" s="1"/>
    </row>
    <row r="2178" ht="15.75" customHeight="1">
      <c r="A2178" s="2">
        <v>2177.0</v>
      </c>
      <c r="B2178" s="1" t="s">
        <v>3984</v>
      </c>
      <c r="C2178" s="1" t="s">
        <v>5520</v>
      </c>
      <c r="D2178" s="1" t="s">
        <v>3056</v>
      </c>
      <c r="E2178" s="2">
        <v>5.70038001067E11</v>
      </c>
      <c r="F2178" s="1" t="s">
        <v>5266</v>
      </c>
      <c r="G2178" s="1" t="s">
        <v>12</v>
      </c>
      <c r="H2178" s="3" t="s">
        <v>5521</v>
      </c>
      <c r="I2178" s="1"/>
      <c r="J2178" s="1"/>
      <c r="K2178" s="1"/>
    </row>
    <row r="2179" ht="15.75" customHeight="1">
      <c r="A2179" s="2">
        <v>2178.0</v>
      </c>
      <c r="B2179" s="1" t="s">
        <v>5522</v>
      </c>
      <c r="C2179" s="1" t="s">
        <v>5523</v>
      </c>
      <c r="D2179" s="1" t="s">
        <v>5524</v>
      </c>
      <c r="E2179" s="2">
        <v>5.70038001072E11</v>
      </c>
      <c r="F2179" s="1" t="s">
        <v>5525</v>
      </c>
      <c r="G2179" s="1" t="s">
        <v>12</v>
      </c>
      <c r="H2179" s="3" t="s">
        <v>5526</v>
      </c>
      <c r="I2179" s="1"/>
      <c r="J2179" s="1"/>
      <c r="K2179" s="1"/>
    </row>
    <row r="2180" ht="15.75" customHeight="1">
      <c r="A2180" s="2">
        <v>2179.0</v>
      </c>
      <c r="B2180" s="1" t="s">
        <v>157</v>
      </c>
      <c r="C2180" s="1" t="s">
        <v>5527</v>
      </c>
      <c r="D2180" s="1" t="s">
        <v>5528</v>
      </c>
      <c r="E2180" s="2">
        <v>5.70038001073E11</v>
      </c>
      <c r="F2180" s="1" t="s">
        <v>5529</v>
      </c>
      <c r="G2180" s="1" t="s">
        <v>12</v>
      </c>
      <c r="H2180" s="3" t="s">
        <v>5490</v>
      </c>
      <c r="I2180" s="1"/>
      <c r="J2180" s="1"/>
      <c r="K2180" s="1"/>
    </row>
    <row r="2181" ht="15.75" customHeight="1">
      <c r="A2181" s="2">
        <v>2180.0</v>
      </c>
      <c r="B2181" s="1" t="s">
        <v>2743</v>
      </c>
      <c r="C2181" s="1" t="s">
        <v>5530</v>
      </c>
      <c r="D2181" s="1" t="s">
        <v>5505</v>
      </c>
      <c r="E2181" s="2">
        <v>5.70038001074E11</v>
      </c>
      <c r="F2181" s="1" t="s">
        <v>5531</v>
      </c>
      <c r="G2181" s="1" t="s">
        <v>12</v>
      </c>
      <c r="H2181" s="3" t="s">
        <v>5532</v>
      </c>
      <c r="I2181" s="1"/>
      <c r="J2181" s="1"/>
      <c r="K2181" s="1"/>
    </row>
    <row r="2182" ht="15.75" customHeight="1">
      <c r="A2182" s="2">
        <v>2181.0</v>
      </c>
      <c r="B2182" s="1" t="s">
        <v>5533</v>
      </c>
      <c r="C2182" s="1" t="s">
        <v>5534</v>
      </c>
      <c r="D2182" s="1" t="s">
        <v>5535</v>
      </c>
      <c r="E2182" s="2">
        <v>5.70038001076E11</v>
      </c>
      <c r="F2182" s="1" t="s">
        <v>5536</v>
      </c>
      <c r="G2182" s="1" t="s">
        <v>12</v>
      </c>
      <c r="H2182" s="3" t="s">
        <v>13</v>
      </c>
      <c r="I2182" s="1"/>
      <c r="J2182" s="1"/>
      <c r="K2182" s="1"/>
    </row>
    <row r="2183" ht="15.75" customHeight="1">
      <c r="A2183" s="2">
        <v>2182.0</v>
      </c>
      <c r="B2183" s="1" t="s">
        <v>5006</v>
      </c>
      <c r="C2183" s="1" t="s">
        <v>5537</v>
      </c>
      <c r="D2183" s="1" t="s">
        <v>1777</v>
      </c>
      <c r="E2183" s="2">
        <v>5.70038001077E11</v>
      </c>
      <c r="F2183" s="1" t="s">
        <v>5273</v>
      </c>
      <c r="G2183" s="1" t="s">
        <v>12</v>
      </c>
      <c r="H2183" s="3" t="s">
        <v>5521</v>
      </c>
      <c r="I2183" s="1"/>
      <c r="J2183" s="1"/>
      <c r="K2183" s="1"/>
    </row>
    <row r="2184" ht="15.75" customHeight="1">
      <c r="A2184" s="2">
        <v>2183.0</v>
      </c>
      <c r="B2184" s="1" t="s">
        <v>5538</v>
      </c>
      <c r="C2184" s="1" t="s">
        <v>5539</v>
      </c>
      <c r="D2184" s="1" t="s">
        <v>5540</v>
      </c>
      <c r="E2184" s="2">
        <v>5.70038001079E11</v>
      </c>
      <c r="F2184" s="1" t="s">
        <v>5541</v>
      </c>
      <c r="G2184" s="1" t="s">
        <v>12</v>
      </c>
      <c r="H2184" s="3" t="s">
        <v>5475</v>
      </c>
      <c r="I2184" s="1"/>
      <c r="J2184" s="1"/>
      <c r="K2184" s="1"/>
    </row>
    <row r="2185" ht="15.75" customHeight="1">
      <c r="A2185" s="2">
        <v>2184.0</v>
      </c>
      <c r="B2185" s="1" t="s">
        <v>5542</v>
      </c>
      <c r="C2185" s="1" t="s">
        <v>15</v>
      </c>
      <c r="D2185" s="1" t="s">
        <v>5543</v>
      </c>
      <c r="E2185" s="2">
        <v>5.7003800108E11</v>
      </c>
      <c r="F2185" s="1" t="s">
        <v>5544</v>
      </c>
      <c r="G2185" s="1" t="s">
        <v>12</v>
      </c>
      <c r="H2185" s="3" t="s">
        <v>5471</v>
      </c>
      <c r="I2185" s="1"/>
      <c r="J2185" s="1"/>
      <c r="K2185" s="1"/>
    </row>
    <row r="2186" ht="15.75" customHeight="1">
      <c r="A2186" s="2">
        <v>2185.0</v>
      </c>
      <c r="B2186" s="1" t="s">
        <v>1264</v>
      </c>
      <c r="C2186" s="1" t="s">
        <v>5545</v>
      </c>
      <c r="D2186" s="1" t="s">
        <v>775</v>
      </c>
      <c r="E2186" s="2">
        <v>5.70038001081E11</v>
      </c>
      <c r="F2186" s="1" t="s">
        <v>5546</v>
      </c>
      <c r="G2186" s="1" t="s">
        <v>135</v>
      </c>
      <c r="H2186" s="3" t="s">
        <v>5490</v>
      </c>
      <c r="I2186" s="1"/>
      <c r="J2186" s="1"/>
      <c r="K2186" s="1"/>
    </row>
    <row r="2187" ht="15.75" customHeight="1">
      <c r="A2187" s="2">
        <v>2186.0</v>
      </c>
      <c r="B2187" s="1" t="s">
        <v>679</v>
      </c>
      <c r="C2187" s="1" t="s">
        <v>5547</v>
      </c>
      <c r="D2187" s="1" t="s">
        <v>1323</v>
      </c>
      <c r="E2187" s="2">
        <v>5.70038001083E11</v>
      </c>
      <c r="F2187" s="1" t="s">
        <v>5548</v>
      </c>
      <c r="G2187" s="1" t="s">
        <v>135</v>
      </c>
      <c r="H2187" s="3" t="s">
        <v>5471</v>
      </c>
      <c r="I2187" s="1"/>
      <c r="J2187" s="1"/>
      <c r="K2187" s="1"/>
    </row>
    <row r="2188" ht="15.75" customHeight="1">
      <c r="A2188" s="2">
        <v>2187.0</v>
      </c>
      <c r="B2188" s="1" t="s">
        <v>5006</v>
      </c>
      <c r="C2188" s="1" t="s">
        <v>5549</v>
      </c>
      <c r="D2188" s="1" t="s">
        <v>2862</v>
      </c>
      <c r="E2188" s="2">
        <v>5.70038001084E11</v>
      </c>
      <c r="F2188" s="1" t="s">
        <v>5550</v>
      </c>
      <c r="G2188" s="1" t="s">
        <v>135</v>
      </c>
      <c r="H2188" s="3" t="s">
        <v>13</v>
      </c>
      <c r="I2188" s="1"/>
      <c r="J2188" s="1"/>
      <c r="K2188" s="1"/>
    </row>
    <row r="2189" ht="15.75" customHeight="1">
      <c r="A2189" s="2">
        <v>2188.0</v>
      </c>
      <c r="B2189" s="1" t="s">
        <v>1950</v>
      </c>
      <c r="C2189" s="1" t="s">
        <v>5551</v>
      </c>
      <c r="D2189" s="1" t="s">
        <v>1893</v>
      </c>
      <c r="E2189" s="2">
        <v>5.70038001085E11</v>
      </c>
      <c r="F2189" s="1" t="s">
        <v>4879</v>
      </c>
      <c r="G2189" s="1" t="s">
        <v>12</v>
      </c>
      <c r="H2189" s="3" t="s">
        <v>13</v>
      </c>
      <c r="I2189" s="1"/>
      <c r="J2189" s="1"/>
      <c r="K2189" s="1"/>
    </row>
    <row r="2190" ht="15.75" customHeight="1">
      <c r="A2190" s="2">
        <v>2189.0</v>
      </c>
      <c r="B2190" s="1" t="s">
        <v>2545</v>
      </c>
      <c r="C2190" s="1" t="s">
        <v>1914</v>
      </c>
      <c r="D2190" s="1" t="s">
        <v>5552</v>
      </c>
      <c r="E2190" s="2">
        <v>5.70038001087E11</v>
      </c>
      <c r="F2190" s="1" t="s">
        <v>5553</v>
      </c>
      <c r="G2190" s="1" t="s">
        <v>12</v>
      </c>
      <c r="H2190" s="3" t="s">
        <v>13</v>
      </c>
      <c r="I2190" s="1"/>
      <c r="J2190" s="1"/>
      <c r="K2190" s="1"/>
    </row>
    <row r="2191" ht="15.75" customHeight="1">
      <c r="A2191" s="2">
        <v>2190.0</v>
      </c>
      <c r="B2191" s="1" t="s">
        <v>77</v>
      </c>
      <c r="C2191" s="1" t="s">
        <v>5554</v>
      </c>
      <c r="D2191" s="1" t="s">
        <v>4835</v>
      </c>
      <c r="E2191" s="2">
        <v>5.7003800109E11</v>
      </c>
      <c r="F2191" s="1" t="s">
        <v>5555</v>
      </c>
      <c r="G2191" s="1" t="s">
        <v>12</v>
      </c>
      <c r="H2191" s="3" t="s">
        <v>13</v>
      </c>
      <c r="I2191" s="1"/>
      <c r="J2191" s="1"/>
      <c r="K2191" s="1"/>
    </row>
    <row r="2192" ht="15.75" customHeight="1">
      <c r="A2192" s="2">
        <v>2191.0</v>
      </c>
      <c r="B2192" s="1" t="s">
        <v>1503</v>
      </c>
      <c r="C2192" s="1" t="s">
        <v>5556</v>
      </c>
      <c r="D2192" s="1" t="s">
        <v>1829</v>
      </c>
      <c r="E2192" s="2">
        <v>5.70038001092E11</v>
      </c>
      <c r="F2192" s="1" t="s">
        <v>5557</v>
      </c>
      <c r="G2192" s="1" t="s">
        <v>12</v>
      </c>
      <c r="H2192" s="3" t="s">
        <v>13</v>
      </c>
      <c r="I2192" s="1"/>
      <c r="J2192" s="1"/>
      <c r="K2192" s="1"/>
    </row>
    <row r="2193" ht="15.75" customHeight="1">
      <c r="A2193" s="2">
        <v>2192.0</v>
      </c>
      <c r="B2193" s="1" t="s">
        <v>5558</v>
      </c>
      <c r="C2193" s="1" t="s">
        <v>5559</v>
      </c>
      <c r="D2193" s="1" t="s">
        <v>1308</v>
      </c>
      <c r="E2193" s="2">
        <v>5.70038001093E11</v>
      </c>
      <c r="F2193" s="1" t="s">
        <v>5560</v>
      </c>
      <c r="G2193" s="1" t="s">
        <v>12</v>
      </c>
      <c r="H2193" s="3" t="s">
        <v>5561</v>
      </c>
      <c r="I2193" s="1"/>
      <c r="J2193" s="1"/>
      <c r="K2193" s="1"/>
    </row>
    <row r="2194" ht="15.75" customHeight="1">
      <c r="A2194" s="2">
        <v>2193.0</v>
      </c>
      <c r="B2194" s="1" t="s">
        <v>5562</v>
      </c>
      <c r="C2194" s="1" t="s">
        <v>5563</v>
      </c>
      <c r="D2194" s="1" t="s">
        <v>5564</v>
      </c>
      <c r="E2194" s="2">
        <v>5.70038001095E11</v>
      </c>
      <c r="F2194" s="1" t="s">
        <v>5565</v>
      </c>
      <c r="G2194" s="1" t="s">
        <v>12</v>
      </c>
      <c r="H2194" s="3" t="s">
        <v>13</v>
      </c>
      <c r="I2194" s="1"/>
      <c r="J2194" s="1"/>
      <c r="K2194" s="1"/>
    </row>
    <row r="2195" ht="15.75" customHeight="1">
      <c r="A2195" s="2">
        <v>2194.0</v>
      </c>
      <c r="B2195" s="1" t="s">
        <v>5566</v>
      </c>
      <c r="C2195" s="1" t="s">
        <v>1787</v>
      </c>
      <c r="D2195" s="1" t="s">
        <v>2993</v>
      </c>
      <c r="E2195" s="2">
        <v>5.700380011E11</v>
      </c>
      <c r="F2195" s="1" t="s">
        <v>5567</v>
      </c>
      <c r="G2195" s="1" t="s">
        <v>12</v>
      </c>
      <c r="H2195" s="3" t="s">
        <v>13</v>
      </c>
      <c r="I2195" s="1"/>
      <c r="J2195" s="1"/>
      <c r="K2195" s="1"/>
    </row>
    <row r="2196" ht="15.75" customHeight="1">
      <c r="A2196" s="2">
        <v>2195.0</v>
      </c>
      <c r="B2196" s="1" t="s">
        <v>4822</v>
      </c>
      <c r="C2196" s="1" t="s">
        <v>5568</v>
      </c>
      <c r="D2196" s="1" t="s">
        <v>5569</v>
      </c>
      <c r="E2196" s="2">
        <v>5.70038001101E11</v>
      </c>
      <c r="F2196" s="1" t="s">
        <v>5570</v>
      </c>
      <c r="G2196" s="1" t="s">
        <v>12</v>
      </c>
      <c r="H2196" s="3" t="s">
        <v>5571</v>
      </c>
      <c r="I2196" s="1"/>
      <c r="J2196" s="1"/>
      <c r="K2196" s="1"/>
    </row>
    <row r="2197" ht="15.75" customHeight="1">
      <c r="A2197" s="2">
        <v>2196.0</v>
      </c>
      <c r="B2197" s="1" t="s">
        <v>2643</v>
      </c>
      <c r="C2197" s="1" t="s">
        <v>5572</v>
      </c>
      <c r="D2197" s="1" t="s">
        <v>5573</v>
      </c>
      <c r="E2197" s="2">
        <v>5.70038001103E11</v>
      </c>
      <c r="F2197" s="1" t="s">
        <v>5574</v>
      </c>
      <c r="G2197" s="1" t="s">
        <v>12</v>
      </c>
      <c r="H2197" s="3" t="s">
        <v>13</v>
      </c>
      <c r="I2197" s="1"/>
      <c r="J2197" s="1"/>
      <c r="K2197" s="1"/>
    </row>
    <row r="2198" ht="15.75" customHeight="1">
      <c r="A2198" s="2">
        <v>2197.0</v>
      </c>
      <c r="B2198" s="1" t="s">
        <v>5575</v>
      </c>
      <c r="C2198" s="1" t="s">
        <v>5576</v>
      </c>
      <c r="D2198" s="1" t="s">
        <v>5577</v>
      </c>
      <c r="E2198" s="2">
        <v>5.70038001104E11</v>
      </c>
      <c r="F2198" s="1" t="s">
        <v>5390</v>
      </c>
      <c r="G2198" s="1" t="s">
        <v>135</v>
      </c>
      <c r="H2198" s="3" t="s">
        <v>13</v>
      </c>
      <c r="I2198" s="1"/>
      <c r="J2198" s="1"/>
      <c r="K2198" s="1"/>
    </row>
    <row r="2199" ht="15.75" customHeight="1">
      <c r="A2199" s="2">
        <v>2198.0</v>
      </c>
      <c r="B2199" s="1" t="s">
        <v>1904</v>
      </c>
      <c r="C2199" s="1" t="s">
        <v>5578</v>
      </c>
      <c r="D2199" s="1" t="s">
        <v>5579</v>
      </c>
      <c r="E2199" s="2">
        <v>5.70038001105E11</v>
      </c>
      <c r="F2199" s="1" t="s">
        <v>5580</v>
      </c>
      <c r="G2199" s="1" t="s">
        <v>12</v>
      </c>
      <c r="H2199" s="3" t="s">
        <v>5581</v>
      </c>
      <c r="I2199" s="1"/>
      <c r="J2199" s="1"/>
      <c r="K2199" s="1"/>
    </row>
    <row r="2200" ht="15.75" customHeight="1">
      <c r="A2200" s="2">
        <v>2199.0</v>
      </c>
      <c r="B2200" s="1" t="s">
        <v>5582</v>
      </c>
      <c r="C2200" s="1" t="s">
        <v>5583</v>
      </c>
      <c r="D2200" s="1" t="s">
        <v>673</v>
      </c>
      <c r="E2200" s="2">
        <v>5.70038001106E11</v>
      </c>
      <c r="F2200" s="1" t="s">
        <v>5584</v>
      </c>
      <c r="G2200" s="1" t="s">
        <v>135</v>
      </c>
      <c r="H2200" s="3" t="s">
        <v>13</v>
      </c>
      <c r="I2200" s="1"/>
      <c r="J2200" s="1"/>
      <c r="K2200" s="1"/>
    </row>
    <row r="2201" ht="15.75" customHeight="1">
      <c r="A2201" s="2">
        <v>2200.0</v>
      </c>
      <c r="B2201" s="1" t="s">
        <v>5585</v>
      </c>
      <c r="C2201" s="1" t="s">
        <v>5586</v>
      </c>
      <c r="D2201" s="1" t="s">
        <v>5587</v>
      </c>
      <c r="E2201" s="2">
        <v>5.70038001108E11</v>
      </c>
      <c r="F2201" s="1" t="s">
        <v>5588</v>
      </c>
      <c r="G2201" s="1" t="s">
        <v>135</v>
      </c>
      <c r="H2201" s="3" t="s">
        <v>13</v>
      </c>
      <c r="I2201" s="1"/>
      <c r="J2201" s="1"/>
      <c r="K2201" s="1"/>
    </row>
    <row r="2202" ht="15.75" customHeight="1">
      <c r="A2202" s="2">
        <v>2201.0</v>
      </c>
      <c r="B2202" s="1" t="s">
        <v>5589</v>
      </c>
      <c r="C2202" s="1" t="s">
        <v>5590</v>
      </c>
      <c r="D2202" s="1" t="s">
        <v>903</v>
      </c>
      <c r="E2202" s="2">
        <v>5.70038001109E11</v>
      </c>
      <c r="F2202" s="1" t="s">
        <v>5591</v>
      </c>
      <c r="G2202" s="1" t="s">
        <v>12</v>
      </c>
      <c r="H2202" s="3" t="s">
        <v>13</v>
      </c>
      <c r="I2202" s="1"/>
      <c r="J2202" s="1"/>
      <c r="K2202" s="1"/>
    </row>
    <row r="2203" ht="15.75" customHeight="1">
      <c r="A2203" s="2">
        <v>2202.0</v>
      </c>
      <c r="B2203" s="1" t="s">
        <v>5592</v>
      </c>
      <c r="C2203" s="1" t="s">
        <v>5593</v>
      </c>
      <c r="D2203" s="1" t="s">
        <v>1850</v>
      </c>
      <c r="E2203" s="2">
        <v>5.70038001111E11</v>
      </c>
      <c r="F2203" s="1" t="s">
        <v>5580</v>
      </c>
      <c r="G2203" s="1" t="s">
        <v>135</v>
      </c>
      <c r="H2203" s="3" t="s">
        <v>5521</v>
      </c>
      <c r="I2203" s="1"/>
      <c r="J2203" s="1"/>
      <c r="K2203" s="1"/>
    </row>
    <row r="2204" ht="15.75" customHeight="1">
      <c r="A2204" s="2">
        <v>2203.0</v>
      </c>
      <c r="B2204" s="1" t="s">
        <v>5594</v>
      </c>
      <c r="C2204" s="1" t="s">
        <v>5595</v>
      </c>
      <c r="D2204" s="1" t="s">
        <v>5596</v>
      </c>
      <c r="E2204" s="2">
        <v>5.70038001114E11</v>
      </c>
      <c r="F2204" s="1" t="s">
        <v>5597</v>
      </c>
      <c r="G2204" s="1" t="s">
        <v>135</v>
      </c>
      <c r="H2204" s="3" t="s">
        <v>13</v>
      </c>
      <c r="I2204" s="1"/>
      <c r="J2204" s="1"/>
      <c r="K2204" s="1"/>
    </row>
    <row r="2205" ht="15.75" customHeight="1">
      <c r="A2205" s="2">
        <v>2204.0</v>
      </c>
      <c r="B2205" s="1" t="s">
        <v>738</v>
      </c>
      <c r="C2205" s="1" t="s">
        <v>5598</v>
      </c>
      <c r="D2205" s="1" t="s">
        <v>734</v>
      </c>
      <c r="E2205" s="2">
        <v>5.70038003383E11</v>
      </c>
      <c r="F2205" s="1" t="s">
        <v>2326</v>
      </c>
      <c r="G2205" s="1" t="s">
        <v>135</v>
      </c>
      <c r="H2205" s="3" t="s">
        <v>13</v>
      </c>
      <c r="I2205" s="1"/>
      <c r="J2205" s="1"/>
      <c r="K2205" s="1"/>
    </row>
    <row r="2206" ht="15.75" customHeight="1">
      <c r="A2206" s="2">
        <v>2205.0</v>
      </c>
      <c r="B2206" s="1" t="s">
        <v>571</v>
      </c>
      <c r="C2206" s="1" t="s">
        <v>2001</v>
      </c>
      <c r="D2206" s="1" t="s">
        <v>5599</v>
      </c>
      <c r="E2206" s="2">
        <v>5.70038001024E11</v>
      </c>
      <c r="F2206" s="1" t="s">
        <v>5600</v>
      </c>
      <c r="G2206" s="1" t="s">
        <v>417</v>
      </c>
      <c r="H2206" s="3" t="s">
        <v>13</v>
      </c>
      <c r="I2206" s="1"/>
      <c r="J2206" s="1"/>
      <c r="K2206" s="1"/>
    </row>
    <row r="2207" ht="15.75" customHeight="1">
      <c r="A2207" s="2">
        <v>2206.0</v>
      </c>
      <c r="B2207" s="1" t="s">
        <v>5601</v>
      </c>
      <c r="C2207" s="1" t="s">
        <v>5602</v>
      </c>
      <c r="D2207" s="1" t="s">
        <v>5603</v>
      </c>
      <c r="E2207" s="2">
        <v>5.70038001116E11</v>
      </c>
      <c r="F2207" s="1" t="s">
        <v>2950</v>
      </c>
      <c r="G2207" s="1" t="s">
        <v>12</v>
      </c>
      <c r="H2207" s="3" t="s">
        <v>13</v>
      </c>
      <c r="I2207" s="1"/>
      <c r="J2207" s="1"/>
      <c r="K2207" s="1"/>
    </row>
    <row r="2208" ht="15.75" customHeight="1">
      <c r="A2208" s="2">
        <v>2207.0</v>
      </c>
      <c r="B2208" s="1" t="s">
        <v>1734</v>
      </c>
      <c r="C2208" s="1" t="s">
        <v>2673</v>
      </c>
      <c r="D2208" s="1" t="s">
        <v>5604</v>
      </c>
      <c r="E2208" s="2">
        <v>5.70038001118E11</v>
      </c>
      <c r="F2208" s="1" t="s">
        <v>5605</v>
      </c>
      <c r="G2208" s="1" t="s">
        <v>2758</v>
      </c>
      <c r="H2208" s="3" t="s">
        <v>13</v>
      </c>
      <c r="I2208" s="1"/>
      <c r="J2208" s="1"/>
      <c r="K2208" s="1"/>
    </row>
    <row r="2209" ht="15.75" customHeight="1">
      <c r="A2209" s="2">
        <v>2208.0</v>
      </c>
      <c r="B2209" s="1" t="s">
        <v>1641</v>
      </c>
      <c r="C2209" s="1" t="s">
        <v>5606</v>
      </c>
      <c r="D2209" s="1" t="s">
        <v>230</v>
      </c>
      <c r="E2209" s="2">
        <v>5.70038001119E11</v>
      </c>
      <c r="F2209" s="1" t="s">
        <v>1602</v>
      </c>
      <c r="G2209" s="1" t="s">
        <v>12</v>
      </c>
      <c r="H2209" s="3" t="s">
        <v>13</v>
      </c>
      <c r="I2209" s="1"/>
      <c r="J2209" s="1"/>
      <c r="K2209" s="1"/>
    </row>
    <row r="2210" ht="15.75" customHeight="1">
      <c r="A2210" s="2">
        <v>2209.0</v>
      </c>
      <c r="B2210" s="1" t="s">
        <v>5607</v>
      </c>
      <c r="C2210" s="1" t="s">
        <v>1951</v>
      </c>
      <c r="D2210" s="1" t="s">
        <v>734</v>
      </c>
      <c r="E2210" s="2">
        <v>5.7003800112E11</v>
      </c>
      <c r="F2210" s="1" t="s">
        <v>5608</v>
      </c>
      <c r="G2210" s="1" t="s">
        <v>12</v>
      </c>
      <c r="H2210" s="3" t="s">
        <v>13</v>
      </c>
      <c r="I2210" s="1"/>
      <c r="J2210" s="1"/>
      <c r="K2210" s="1"/>
    </row>
    <row r="2211" ht="15.75" customHeight="1">
      <c r="A2211" s="2">
        <v>2210.0</v>
      </c>
      <c r="B2211" s="1" t="s">
        <v>825</v>
      </c>
      <c r="C2211" s="1" t="s">
        <v>262</v>
      </c>
      <c r="D2211" s="1" t="s">
        <v>775</v>
      </c>
      <c r="E2211" s="2">
        <v>5.70038001121E11</v>
      </c>
      <c r="F2211" s="1" t="s">
        <v>5609</v>
      </c>
      <c r="G2211" s="1" t="s">
        <v>135</v>
      </c>
      <c r="H2211" s="3" t="s">
        <v>5610</v>
      </c>
      <c r="I2211" s="1"/>
      <c r="J2211" s="1"/>
      <c r="K2211" s="1"/>
    </row>
    <row r="2212" ht="15.75" customHeight="1">
      <c r="A2212" s="2">
        <v>2211.0</v>
      </c>
      <c r="B2212" s="1" t="s">
        <v>2545</v>
      </c>
      <c r="C2212" s="1" t="s">
        <v>5611</v>
      </c>
      <c r="D2212" s="1" t="s">
        <v>3630</v>
      </c>
      <c r="E2212" s="2">
        <v>5.70038001122E11</v>
      </c>
      <c r="F2212" s="1" t="s">
        <v>866</v>
      </c>
      <c r="G2212" s="1" t="s">
        <v>3846</v>
      </c>
      <c r="H2212" s="3" t="s">
        <v>5610</v>
      </c>
      <c r="I2212" s="1"/>
      <c r="J2212" s="1"/>
      <c r="K2212" s="1"/>
    </row>
    <row r="2213" ht="15.75" customHeight="1">
      <c r="A2213" s="2">
        <v>2212.0</v>
      </c>
      <c r="B2213" s="1" t="s">
        <v>1581</v>
      </c>
      <c r="C2213" s="1" t="s">
        <v>5612</v>
      </c>
      <c r="D2213" s="1" t="s">
        <v>5613</v>
      </c>
      <c r="E2213" s="2">
        <v>5.70038001125E11</v>
      </c>
      <c r="F2213" s="1" t="s">
        <v>831</v>
      </c>
      <c r="G2213" s="1" t="s">
        <v>3846</v>
      </c>
      <c r="H2213" s="3" t="s">
        <v>5610</v>
      </c>
      <c r="I2213" s="1"/>
      <c r="J2213" s="1"/>
      <c r="K2213" s="1"/>
    </row>
    <row r="2214" ht="15.75" customHeight="1">
      <c r="A2214" s="2">
        <v>2213.0</v>
      </c>
      <c r="B2214" s="1" t="s">
        <v>228</v>
      </c>
      <c r="C2214" s="1" t="s">
        <v>5614</v>
      </c>
      <c r="D2214" s="1" t="s">
        <v>1477</v>
      </c>
      <c r="E2214" s="2">
        <v>5.70038001127E11</v>
      </c>
      <c r="F2214" s="1" t="s">
        <v>5615</v>
      </c>
      <c r="G2214" s="1" t="s">
        <v>3846</v>
      </c>
      <c r="H2214" s="3" t="s">
        <v>5610</v>
      </c>
      <c r="I2214" s="1"/>
      <c r="J2214" s="1"/>
      <c r="K2214" s="1"/>
    </row>
    <row r="2215" ht="15.75" customHeight="1">
      <c r="A2215" s="2">
        <v>2214.0</v>
      </c>
      <c r="B2215" s="1" t="s">
        <v>5616</v>
      </c>
      <c r="C2215" s="1" t="s">
        <v>2356</v>
      </c>
      <c r="D2215" s="1" t="s">
        <v>5617</v>
      </c>
      <c r="E2215" s="2">
        <v>5.70038001131E11</v>
      </c>
      <c r="F2215" s="1" t="s">
        <v>5618</v>
      </c>
      <c r="G2215" s="1" t="s">
        <v>3846</v>
      </c>
      <c r="H2215" s="3" t="s">
        <v>5610</v>
      </c>
      <c r="I2215" s="1"/>
      <c r="J2215" s="1"/>
      <c r="K2215" s="1"/>
    </row>
    <row r="2216" ht="15.75" customHeight="1">
      <c r="A2216" s="2">
        <v>2215.0</v>
      </c>
      <c r="B2216" s="1" t="s">
        <v>4835</v>
      </c>
      <c r="C2216" s="1" t="s">
        <v>5619</v>
      </c>
      <c r="D2216" s="1" t="s">
        <v>1407</v>
      </c>
      <c r="E2216" s="2">
        <v>5.70038001133E11</v>
      </c>
      <c r="F2216" s="1" t="s">
        <v>5620</v>
      </c>
      <c r="G2216" s="1" t="s">
        <v>3846</v>
      </c>
      <c r="H2216" s="3" t="s">
        <v>5610</v>
      </c>
      <c r="I2216" s="1"/>
      <c r="J2216" s="1"/>
      <c r="K2216" s="1"/>
    </row>
    <row r="2217" ht="15.75" customHeight="1">
      <c r="A2217" s="2">
        <v>2216.0</v>
      </c>
      <c r="B2217" s="1" t="s">
        <v>5621</v>
      </c>
      <c r="C2217" s="1" t="s">
        <v>5622</v>
      </c>
      <c r="D2217" s="1" t="s">
        <v>267</v>
      </c>
      <c r="E2217" s="2">
        <v>5.70038001135E11</v>
      </c>
      <c r="F2217" s="1" t="s">
        <v>5459</v>
      </c>
      <c r="G2217" s="1" t="s">
        <v>3846</v>
      </c>
      <c r="H2217" s="3" t="s">
        <v>5610</v>
      </c>
      <c r="I2217" s="1"/>
      <c r="J2217" s="1"/>
      <c r="K2217" s="1"/>
    </row>
    <row r="2218" ht="15.75" customHeight="1">
      <c r="A2218" s="2">
        <v>2217.0</v>
      </c>
      <c r="B2218" s="1" t="s">
        <v>1581</v>
      </c>
      <c r="C2218" s="1" t="s">
        <v>1415</v>
      </c>
      <c r="D2218" s="1" t="s">
        <v>1199</v>
      </c>
      <c r="E2218" s="2">
        <v>5.70038001139E11</v>
      </c>
      <c r="F2218" s="1" t="s">
        <v>5623</v>
      </c>
      <c r="G2218" s="1" t="s">
        <v>3846</v>
      </c>
      <c r="H2218" s="3" t="s">
        <v>5610</v>
      </c>
      <c r="I2218" s="1"/>
      <c r="J2218" s="1"/>
      <c r="K2218" s="1"/>
    </row>
    <row r="2219" ht="15.75" customHeight="1">
      <c r="A2219" s="2">
        <v>2218.0</v>
      </c>
      <c r="B2219" s="1" t="s">
        <v>5114</v>
      </c>
      <c r="C2219" s="1" t="s">
        <v>446</v>
      </c>
      <c r="D2219" s="1" t="s">
        <v>3486</v>
      </c>
      <c r="E2219" s="2">
        <v>5.70038001145E11</v>
      </c>
      <c r="F2219" s="1" t="s">
        <v>5624</v>
      </c>
      <c r="G2219" s="1" t="s">
        <v>3846</v>
      </c>
      <c r="H2219" s="3" t="s">
        <v>5610</v>
      </c>
      <c r="I2219" s="1"/>
      <c r="J2219" s="1"/>
      <c r="K2219" s="1"/>
    </row>
    <row r="2220" ht="15.75" customHeight="1">
      <c r="A2220" s="2">
        <v>2219.0</v>
      </c>
      <c r="B2220" s="1" t="s">
        <v>4484</v>
      </c>
      <c r="C2220" s="1" t="s">
        <v>642</v>
      </c>
      <c r="D2220" s="1" t="s">
        <v>60</v>
      </c>
      <c r="E2220" s="2">
        <v>5.70038001148E11</v>
      </c>
      <c r="F2220" s="1" t="s">
        <v>5625</v>
      </c>
      <c r="G2220" s="1" t="s">
        <v>3846</v>
      </c>
      <c r="H2220" s="3" t="s">
        <v>5610</v>
      </c>
      <c r="I2220" s="1"/>
      <c r="J2220" s="1"/>
      <c r="K2220" s="1"/>
    </row>
    <row r="2221" ht="15.75" customHeight="1">
      <c r="A2221" s="2">
        <v>2220.0</v>
      </c>
      <c r="B2221" s="1" t="s">
        <v>5006</v>
      </c>
      <c r="C2221" s="1" t="s">
        <v>5626</v>
      </c>
      <c r="D2221" s="1" t="s">
        <v>594</v>
      </c>
      <c r="E2221" s="2">
        <v>5.70038001149E11</v>
      </c>
      <c r="F2221" s="1" t="s">
        <v>5627</v>
      </c>
      <c r="G2221" s="1" t="s">
        <v>3846</v>
      </c>
      <c r="H2221" s="3" t="s">
        <v>5610</v>
      </c>
      <c r="I2221" s="1"/>
      <c r="J2221" s="1"/>
      <c r="K2221" s="1"/>
    </row>
    <row r="2222" ht="15.75" customHeight="1">
      <c r="A2222" s="2">
        <v>2221.0</v>
      </c>
      <c r="B2222" s="1" t="s">
        <v>2005</v>
      </c>
      <c r="C2222" s="1" t="s">
        <v>5628</v>
      </c>
      <c r="D2222" s="1" t="s">
        <v>543</v>
      </c>
      <c r="E2222" s="2">
        <v>5.70038001153E11</v>
      </c>
      <c r="F2222" s="1" t="s">
        <v>5629</v>
      </c>
      <c r="G2222" s="1" t="s">
        <v>3846</v>
      </c>
      <c r="H2222" s="3" t="s">
        <v>5610</v>
      </c>
      <c r="I2222" s="1"/>
      <c r="J2222" s="1"/>
      <c r="K2222" s="1"/>
    </row>
    <row r="2223" ht="15.75" customHeight="1">
      <c r="A2223" s="2">
        <v>2222.0</v>
      </c>
      <c r="B2223" s="1" t="s">
        <v>571</v>
      </c>
      <c r="C2223" s="1" t="s">
        <v>5630</v>
      </c>
      <c r="D2223" s="1" t="s">
        <v>5631</v>
      </c>
      <c r="E2223" s="2">
        <v>5.70038001155E11</v>
      </c>
      <c r="F2223" s="1" t="s">
        <v>5632</v>
      </c>
      <c r="G2223" s="1" t="s">
        <v>3846</v>
      </c>
      <c r="H2223" s="3" t="s">
        <v>5610</v>
      </c>
      <c r="I2223" s="1"/>
      <c r="J2223" s="1"/>
      <c r="K2223" s="1"/>
    </row>
    <row r="2224" ht="15.75" customHeight="1">
      <c r="A2224" s="2">
        <v>2223.0</v>
      </c>
      <c r="B2224" s="1" t="s">
        <v>2643</v>
      </c>
      <c r="C2224" s="1" t="s">
        <v>1253</v>
      </c>
      <c r="D2224" s="1" t="s">
        <v>781</v>
      </c>
      <c r="E2224" s="2">
        <v>5.70038001159E11</v>
      </c>
      <c r="F2224" s="1" t="s">
        <v>5633</v>
      </c>
      <c r="G2224" s="1" t="s">
        <v>135</v>
      </c>
      <c r="H2224" s="3" t="s">
        <v>5610</v>
      </c>
      <c r="I2224" s="1"/>
      <c r="J2224" s="1"/>
      <c r="K2224" s="1"/>
    </row>
    <row r="2225" ht="15.75" customHeight="1">
      <c r="A2225" s="2">
        <v>2224.0</v>
      </c>
      <c r="B2225" s="1" t="s">
        <v>5634</v>
      </c>
      <c r="C2225" s="1" t="s">
        <v>954</v>
      </c>
      <c r="D2225" s="1" t="s">
        <v>2230</v>
      </c>
      <c r="E2225" s="2">
        <v>5.7003800116E11</v>
      </c>
      <c r="F2225" s="1" t="s">
        <v>5635</v>
      </c>
      <c r="G2225" s="1" t="s">
        <v>135</v>
      </c>
      <c r="H2225" s="3" t="s">
        <v>5610</v>
      </c>
      <c r="I2225" s="1"/>
      <c r="J2225" s="1"/>
      <c r="K2225" s="1"/>
    </row>
    <row r="2226" ht="15.75" customHeight="1">
      <c r="A2226" s="2">
        <v>2225.0</v>
      </c>
      <c r="B2226" s="1" t="s">
        <v>5636</v>
      </c>
      <c r="C2226" s="1" t="s">
        <v>5637</v>
      </c>
      <c r="D2226" s="1" t="s">
        <v>172</v>
      </c>
      <c r="E2226" s="2">
        <v>5.70038001161E11</v>
      </c>
      <c r="F2226" s="1" t="s">
        <v>5638</v>
      </c>
      <c r="G2226" s="1" t="s">
        <v>135</v>
      </c>
      <c r="H2226" s="3" t="s">
        <v>5610</v>
      </c>
      <c r="I2226" s="1"/>
      <c r="J2226" s="1"/>
      <c r="K2226" s="1"/>
    </row>
    <row r="2227" ht="15.75" customHeight="1">
      <c r="A2227" s="2">
        <v>2226.0</v>
      </c>
      <c r="B2227" s="1" t="s">
        <v>550</v>
      </c>
      <c r="C2227" s="1" t="s">
        <v>1578</v>
      </c>
      <c r="D2227" s="1" t="s">
        <v>1603</v>
      </c>
      <c r="E2227" s="2">
        <v>5.70038001162E11</v>
      </c>
      <c r="F2227" s="1" t="s">
        <v>5639</v>
      </c>
      <c r="G2227" s="1" t="s">
        <v>135</v>
      </c>
      <c r="H2227" s="3" t="s">
        <v>5610</v>
      </c>
      <c r="I2227" s="1"/>
      <c r="J2227" s="1"/>
      <c r="K2227" s="1"/>
    </row>
    <row r="2228" ht="15.75" customHeight="1">
      <c r="A2228" s="2">
        <v>2227.0</v>
      </c>
      <c r="B2228" s="1" t="s">
        <v>1824</v>
      </c>
      <c r="C2228" s="1" t="s">
        <v>4415</v>
      </c>
      <c r="D2228" s="1" t="s">
        <v>1548</v>
      </c>
      <c r="E2228" s="2">
        <v>5.70038001163E11</v>
      </c>
      <c r="F2228" s="1" t="s">
        <v>5640</v>
      </c>
      <c r="G2228" s="1" t="s">
        <v>3846</v>
      </c>
      <c r="H2228" s="3" t="s">
        <v>5610</v>
      </c>
      <c r="I2228" s="1"/>
      <c r="J2228" s="1"/>
      <c r="K2228" s="1"/>
    </row>
    <row r="2229" ht="15.75" customHeight="1">
      <c r="A2229" s="2">
        <v>2228.0</v>
      </c>
      <c r="B2229" s="1" t="s">
        <v>10</v>
      </c>
      <c r="C2229" s="1" t="s">
        <v>5641</v>
      </c>
      <c r="D2229" s="1" t="s">
        <v>1386</v>
      </c>
      <c r="E2229" s="2">
        <v>5.70038001164E11</v>
      </c>
      <c r="F2229" s="1" t="s">
        <v>5642</v>
      </c>
      <c r="G2229" s="1" t="s">
        <v>3846</v>
      </c>
      <c r="H2229" s="3" t="s">
        <v>5610</v>
      </c>
      <c r="I2229" s="1"/>
      <c r="J2229" s="1"/>
      <c r="K2229" s="1"/>
    </row>
    <row r="2230" ht="15.75" customHeight="1">
      <c r="A2230" s="2">
        <v>2229.0</v>
      </c>
      <c r="B2230" s="1" t="s">
        <v>3944</v>
      </c>
      <c r="C2230" s="1" t="s">
        <v>3901</v>
      </c>
      <c r="D2230" s="1" t="s">
        <v>1209</v>
      </c>
      <c r="E2230" s="2">
        <v>5.70038001165E11</v>
      </c>
      <c r="F2230" s="1" t="s">
        <v>5643</v>
      </c>
      <c r="G2230" s="1" t="s">
        <v>135</v>
      </c>
      <c r="H2230" s="3" t="s">
        <v>5610</v>
      </c>
      <c r="I2230" s="1"/>
      <c r="J2230" s="1"/>
      <c r="K2230" s="1"/>
    </row>
    <row r="2231" ht="15.75" customHeight="1">
      <c r="A2231" s="2">
        <v>2230.0</v>
      </c>
      <c r="B2231" s="1" t="s">
        <v>4920</v>
      </c>
      <c r="C2231" s="1" t="s">
        <v>5644</v>
      </c>
      <c r="D2231" s="1" t="s">
        <v>2643</v>
      </c>
      <c r="E2231" s="2">
        <v>5.70038001166E11</v>
      </c>
      <c r="F2231" s="1" t="s">
        <v>5645</v>
      </c>
      <c r="G2231" s="1" t="s">
        <v>135</v>
      </c>
      <c r="H2231" s="3" t="s">
        <v>5610</v>
      </c>
      <c r="I2231" s="1"/>
      <c r="J2231" s="1"/>
      <c r="K2231" s="1"/>
    </row>
    <row r="2232" ht="15.75" customHeight="1">
      <c r="A2232" s="2">
        <v>2231.0</v>
      </c>
      <c r="B2232" s="1" t="s">
        <v>462</v>
      </c>
      <c r="C2232" s="1" t="s">
        <v>5628</v>
      </c>
      <c r="D2232" s="1" t="s">
        <v>2423</v>
      </c>
      <c r="E2232" s="2">
        <v>5.70038001167E11</v>
      </c>
      <c r="F2232" s="1" t="s">
        <v>5646</v>
      </c>
      <c r="G2232" s="1" t="s">
        <v>3846</v>
      </c>
      <c r="H2232" s="3" t="s">
        <v>5610</v>
      </c>
      <c r="I2232" s="1"/>
      <c r="J2232" s="1"/>
      <c r="K2232" s="1"/>
    </row>
    <row r="2233" ht="15.75" customHeight="1">
      <c r="A2233" s="2">
        <v>2232.0</v>
      </c>
      <c r="B2233" s="1" t="s">
        <v>5647</v>
      </c>
      <c r="C2233" s="1" t="s">
        <v>4820</v>
      </c>
      <c r="D2233" s="1" t="s">
        <v>3439</v>
      </c>
      <c r="E2233" s="2">
        <v>5.70038001168E11</v>
      </c>
      <c r="F2233" s="1" t="s">
        <v>5648</v>
      </c>
      <c r="G2233" s="1" t="s">
        <v>135</v>
      </c>
      <c r="H2233" s="3" t="s">
        <v>5610</v>
      </c>
      <c r="I2233" s="1"/>
      <c r="J2233" s="1"/>
      <c r="K2233" s="1"/>
    </row>
    <row r="2234" ht="15.75" customHeight="1">
      <c r="A2234" s="2">
        <v>2233.0</v>
      </c>
      <c r="B2234" s="1" t="s">
        <v>4687</v>
      </c>
      <c r="C2234" s="1" t="s">
        <v>5649</v>
      </c>
      <c r="D2234" s="1" t="s">
        <v>60</v>
      </c>
      <c r="E2234" s="2">
        <v>5.70038001169E11</v>
      </c>
      <c r="F2234" s="1" t="s">
        <v>5650</v>
      </c>
      <c r="G2234" s="1" t="s">
        <v>135</v>
      </c>
      <c r="H2234" s="3" t="s">
        <v>5610</v>
      </c>
      <c r="I2234" s="1"/>
      <c r="J2234" s="1"/>
      <c r="K2234" s="1"/>
    </row>
    <row r="2235" ht="15.75" customHeight="1">
      <c r="A2235" s="2">
        <v>2234.0</v>
      </c>
      <c r="B2235" s="1" t="s">
        <v>5651</v>
      </c>
      <c r="C2235" s="1" t="s">
        <v>1415</v>
      </c>
      <c r="D2235" s="1" t="s">
        <v>1674</v>
      </c>
      <c r="E2235" s="2">
        <v>5.70038001171E11</v>
      </c>
      <c r="F2235" s="1" t="s">
        <v>5652</v>
      </c>
      <c r="G2235" s="1" t="s">
        <v>135</v>
      </c>
      <c r="H2235" s="3" t="s">
        <v>5610</v>
      </c>
      <c r="I2235" s="1"/>
      <c r="J2235" s="1"/>
      <c r="K2235" s="1"/>
    </row>
    <row r="2236" ht="15.75" customHeight="1">
      <c r="A2236" s="2">
        <v>2235.0</v>
      </c>
      <c r="B2236" s="1" t="s">
        <v>333</v>
      </c>
      <c r="C2236" s="1" t="s">
        <v>1415</v>
      </c>
      <c r="D2236" s="1" t="s">
        <v>1649</v>
      </c>
      <c r="E2236" s="2">
        <v>5.70038001174E11</v>
      </c>
      <c r="F2236" s="1" t="s">
        <v>5653</v>
      </c>
      <c r="G2236" s="1" t="s">
        <v>135</v>
      </c>
      <c r="H2236" s="3" t="s">
        <v>5610</v>
      </c>
      <c r="I2236" s="1"/>
      <c r="J2236" s="1"/>
      <c r="K2236" s="1"/>
    </row>
    <row r="2237" ht="15.75" customHeight="1">
      <c r="A2237" s="2">
        <v>2236.0</v>
      </c>
      <c r="B2237" s="1" t="s">
        <v>471</v>
      </c>
      <c r="C2237" s="1" t="s">
        <v>5654</v>
      </c>
      <c r="D2237" s="1" t="s">
        <v>157</v>
      </c>
      <c r="E2237" s="2">
        <v>5.70038001178E11</v>
      </c>
      <c r="F2237" s="1" t="s">
        <v>5655</v>
      </c>
      <c r="G2237" s="1" t="s">
        <v>3846</v>
      </c>
      <c r="H2237" s="3" t="s">
        <v>5610</v>
      </c>
      <c r="I2237" s="1"/>
      <c r="J2237" s="1"/>
      <c r="K2237" s="1"/>
    </row>
    <row r="2238" ht="15.75" customHeight="1">
      <c r="A2238" s="2">
        <v>2237.0</v>
      </c>
      <c r="B2238" s="1" t="s">
        <v>335</v>
      </c>
      <c r="C2238" s="1" t="s">
        <v>5656</v>
      </c>
      <c r="D2238" s="1" t="s">
        <v>2265</v>
      </c>
      <c r="E2238" s="2">
        <v>5.70038001181E11</v>
      </c>
      <c r="F2238" s="1" t="s">
        <v>5657</v>
      </c>
      <c r="G2238" s="1" t="s">
        <v>3846</v>
      </c>
      <c r="H2238" s="3" t="s">
        <v>5610</v>
      </c>
      <c r="I2238" s="1"/>
      <c r="J2238" s="1"/>
      <c r="K2238" s="1"/>
    </row>
    <row r="2239" ht="15.75" customHeight="1">
      <c r="A2239" s="2">
        <v>2238.0</v>
      </c>
      <c r="B2239" s="1" t="s">
        <v>5658</v>
      </c>
      <c r="C2239" s="1" t="s">
        <v>1242</v>
      </c>
      <c r="D2239" s="1" t="s">
        <v>431</v>
      </c>
      <c r="E2239" s="2">
        <v>5.70038001182E11</v>
      </c>
      <c r="F2239" s="1" t="s">
        <v>5659</v>
      </c>
      <c r="G2239" s="1" t="s">
        <v>3846</v>
      </c>
      <c r="H2239" s="3" t="s">
        <v>5610</v>
      </c>
      <c r="I2239" s="1"/>
      <c r="J2239" s="1"/>
      <c r="K2239" s="1"/>
    </row>
    <row r="2240" ht="15.75" customHeight="1">
      <c r="A2240" s="2">
        <v>2239.0</v>
      </c>
      <c r="B2240" s="1" t="s">
        <v>1052</v>
      </c>
      <c r="C2240" s="1" t="s">
        <v>5660</v>
      </c>
      <c r="D2240" s="1" t="s">
        <v>5569</v>
      </c>
      <c r="E2240" s="2">
        <v>5.70038001183E11</v>
      </c>
      <c r="F2240" s="1" t="s">
        <v>5661</v>
      </c>
      <c r="G2240" s="1" t="s">
        <v>135</v>
      </c>
      <c r="H2240" s="3" t="s">
        <v>5610</v>
      </c>
      <c r="I2240" s="1"/>
      <c r="J2240" s="1"/>
      <c r="K2240" s="1"/>
    </row>
    <row r="2241" ht="15.75" customHeight="1">
      <c r="A2241" s="2">
        <v>2240.0</v>
      </c>
      <c r="B2241" s="1" t="s">
        <v>5662</v>
      </c>
      <c r="C2241" s="1" t="s">
        <v>5663</v>
      </c>
      <c r="D2241" s="1" t="s">
        <v>928</v>
      </c>
      <c r="E2241" s="2">
        <v>5.70038001184E11</v>
      </c>
      <c r="F2241" s="1" t="s">
        <v>5664</v>
      </c>
      <c r="G2241" s="1" t="s">
        <v>135</v>
      </c>
      <c r="H2241" s="3" t="s">
        <v>5610</v>
      </c>
      <c r="I2241" s="1"/>
      <c r="J2241" s="1"/>
      <c r="K2241" s="1"/>
    </row>
    <row r="2242" ht="15.75" customHeight="1">
      <c r="A2242" s="2">
        <v>2241.0</v>
      </c>
      <c r="B2242" s="1" t="s">
        <v>5665</v>
      </c>
      <c r="C2242" s="1" t="s">
        <v>5666</v>
      </c>
      <c r="D2242" s="1" t="s">
        <v>183</v>
      </c>
      <c r="E2242" s="2">
        <v>5.70038001185E11</v>
      </c>
      <c r="F2242" s="1" t="s">
        <v>5667</v>
      </c>
      <c r="G2242" s="1" t="s">
        <v>135</v>
      </c>
      <c r="H2242" s="3" t="s">
        <v>5610</v>
      </c>
      <c r="I2242" s="1"/>
      <c r="J2242" s="1"/>
      <c r="K2242" s="1"/>
    </row>
    <row r="2243" ht="15.75" customHeight="1">
      <c r="A2243" s="2">
        <v>2242.0</v>
      </c>
      <c r="B2243" s="1" t="s">
        <v>5668</v>
      </c>
      <c r="C2243" s="1" t="s">
        <v>5669</v>
      </c>
      <c r="D2243" s="1" t="s">
        <v>5670</v>
      </c>
      <c r="E2243" s="2">
        <v>5.70038001188E11</v>
      </c>
      <c r="F2243" s="1" t="s">
        <v>5671</v>
      </c>
      <c r="G2243" s="1" t="s">
        <v>3846</v>
      </c>
      <c r="H2243" s="3" t="s">
        <v>5610</v>
      </c>
      <c r="I2243" s="1"/>
      <c r="J2243" s="1"/>
      <c r="K2243" s="1"/>
    </row>
    <row r="2244" ht="15.75" customHeight="1">
      <c r="A2244" s="2">
        <v>2243.0</v>
      </c>
      <c r="B2244" s="1" t="s">
        <v>928</v>
      </c>
      <c r="C2244" s="1" t="s">
        <v>1313</v>
      </c>
      <c r="D2244" s="1" t="s">
        <v>161</v>
      </c>
      <c r="E2244" s="2">
        <v>5.70038001189E11</v>
      </c>
      <c r="F2244" s="1" t="s">
        <v>5339</v>
      </c>
      <c r="G2244" s="1" t="s">
        <v>3846</v>
      </c>
      <c r="H2244" s="3" t="s">
        <v>5610</v>
      </c>
      <c r="I2244" s="1"/>
      <c r="J2244" s="1"/>
      <c r="K2244" s="1"/>
    </row>
    <row r="2245" ht="15.75" customHeight="1">
      <c r="A2245" s="2">
        <v>2244.0</v>
      </c>
      <c r="B2245" s="1" t="s">
        <v>1287</v>
      </c>
      <c r="C2245" s="1" t="s">
        <v>5672</v>
      </c>
      <c r="D2245" s="1" t="s">
        <v>2247</v>
      </c>
      <c r="E2245" s="2">
        <v>5.7003800119E11</v>
      </c>
      <c r="F2245" s="1" t="s">
        <v>5673</v>
      </c>
      <c r="G2245" s="1" t="s">
        <v>3846</v>
      </c>
      <c r="H2245" s="3" t="s">
        <v>5610</v>
      </c>
      <c r="I2245" s="1"/>
      <c r="J2245" s="1"/>
      <c r="K2245" s="1"/>
    </row>
    <row r="2246" ht="15.75" customHeight="1">
      <c r="A2246" s="2">
        <v>2245.0</v>
      </c>
      <c r="B2246" s="1" t="s">
        <v>5674</v>
      </c>
      <c r="C2246" s="1" t="s">
        <v>5675</v>
      </c>
      <c r="D2246" s="1" t="s">
        <v>203</v>
      </c>
      <c r="E2246" s="2">
        <v>5.70038001193E11</v>
      </c>
      <c r="F2246" s="1" t="s">
        <v>5676</v>
      </c>
      <c r="G2246" s="1" t="s">
        <v>135</v>
      </c>
      <c r="H2246" s="3" t="s">
        <v>5610</v>
      </c>
      <c r="I2246" s="1"/>
      <c r="J2246" s="1"/>
      <c r="K2246" s="1"/>
    </row>
    <row r="2247" ht="15.75" customHeight="1">
      <c r="A2247" s="2">
        <v>2246.0</v>
      </c>
      <c r="B2247" s="1" t="s">
        <v>397</v>
      </c>
      <c r="C2247" s="1" t="s">
        <v>55</v>
      </c>
      <c r="D2247" s="1" t="s">
        <v>5340</v>
      </c>
      <c r="E2247" s="2">
        <v>5.70038001195E11</v>
      </c>
      <c r="F2247" s="1" t="s">
        <v>5677</v>
      </c>
      <c r="G2247" s="1" t="s">
        <v>3846</v>
      </c>
      <c r="H2247" s="3" t="s">
        <v>5610</v>
      </c>
      <c r="I2247" s="1"/>
      <c r="J2247" s="1"/>
      <c r="K2247" s="1"/>
    </row>
    <row r="2248" ht="15.75" customHeight="1">
      <c r="A2248" s="2">
        <v>2247.0</v>
      </c>
      <c r="B2248" s="1" t="s">
        <v>5678</v>
      </c>
      <c r="C2248" s="1" t="s">
        <v>491</v>
      </c>
      <c r="D2248" s="1" t="s">
        <v>5679</v>
      </c>
      <c r="E2248" s="2">
        <v>5.70038001197E11</v>
      </c>
      <c r="F2248" s="1" t="s">
        <v>5680</v>
      </c>
      <c r="G2248" s="1" t="s">
        <v>135</v>
      </c>
      <c r="H2248" s="3" t="s">
        <v>5610</v>
      </c>
      <c r="I2248" s="1"/>
      <c r="J2248" s="1"/>
      <c r="K2248" s="1"/>
    </row>
    <row r="2249" ht="15.75" customHeight="1">
      <c r="A2249" s="2">
        <v>2248.0</v>
      </c>
      <c r="B2249" s="1" t="s">
        <v>5681</v>
      </c>
      <c r="C2249" s="1" t="s">
        <v>3749</v>
      </c>
      <c r="D2249" s="1" t="s">
        <v>295</v>
      </c>
      <c r="E2249" s="2">
        <v>5.70038001199E11</v>
      </c>
      <c r="F2249" s="1" t="s">
        <v>5682</v>
      </c>
      <c r="G2249" s="1" t="s">
        <v>135</v>
      </c>
      <c r="H2249" s="3" t="s">
        <v>5610</v>
      </c>
      <c r="I2249" s="1"/>
      <c r="J2249" s="1"/>
      <c r="K2249" s="1"/>
    </row>
    <row r="2250" ht="15.75" customHeight="1">
      <c r="A2250" s="2">
        <v>2249.0</v>
      </c>
      <c r="B2250" s="1" t="s">
        <v>453</v>
      </c>
      <c r="C2250" s="1" t="s">
        <v>2693</v>
      </c>
      <c r="D2250" s="1" t="s">
        <v>5683</v>
      </c>
      <c r="E2250" s="2">
        <v>5.700380012E11</v>
      </c>
      <c r="F2250" s="1" t="s">
        <v>5684</v>
      </c>
      <c r="G2250" s="1" t="s">
        <v>3846</v>
      </c>
      <c r="H2250" s="3" t="s">
        <v>5610</v>
      </c>
      <c r="I2250" s="1"/>
      <c r="J2250" s="1"/>
      <c r="K2250" s="1"/>
    </row>
    <row r="2251" ht="15.75" customHeight="1">
      <c r="A2251" s="2">
        <v>2250.0</v>
      </c>
      <c r="B2251" s="1" t="s">
        <v>5685</v>
      </c>
      <c r="C2251" s="1" t="s">
        <v>5317</v>
      </c>
      <c r="D2251" s="1" t="s">
        <v>333</v>
      </c>
      <c r="E2251" s="2">
        <v>5.70038001202E11</v>
      </c>
      <c r="F2251" s="1" t="s">
        <v>5686</v>
      </c>
      <c r="G2251" s="1" t="s">
        <v>135</v>
      </c>
      <c r="H2251" s="3" t="s">
        <v>5610</v>
      </c>
      <c r="I2251" s="1"/>
      <c r="J2251" s="1"/>
      <c r="K2251" s="1"/>
    </row>
    <row r="2252" ht="15.75" customHeight="1">
      <c r="A2252" s="2">
        <v>2251.0</v>
      </c>
      <c r="B2252" s="1" t="s">
        <v>5687</v>
      </c>
      <c r="C2252" s="1" t="s">
        <v>5688</v>
      </c>
      <c r="D2252" s="1" t="s">
        <v>477</v>
      </c>
      <c r="E2252" s="2">
        <v>5.70038001203E11</v>
      </c>
      <c r="F2252" s="1" t="s">
        <v>5689</v>
      </c>
      <c r="G2252" s="1" t="s">
        <v>3846</v>
      </c>
      <c r="H2252" s="3" t="s">
        <v>5610</v>
      </c>
      <c r="I2252" s="1"/>
      <c r="J2252" s="1"/>
      <c r="K2252" s="1"/>
    </row>
    <row r="2253" ht="15.75" customHeight="1">
      <c r="A2253" s="2">
        <v>2252.0</v>
      </c>
      <c r="B2253" s="1" t="s">
        <v>4163</v>
      </c>
      <c r="C2253" s="1" t="s">
        <v>398</v>
      </c>
      <c r="D2253" s="1" t="s">
        <v>5690</v>
      </c>
      <c r="E2253" s="2">
        <v>5.70038001206E11</v>
      </c>
      <c r="F2253" s="1" t="s">
        <v>5691</v>
      </c>
      <c r="G2253" s="1" t="s">
        <v>3846</v>
      </c>
      <c r="H2253" s="3" t="s">
        <v>5610</v>
      </c>
      <c r="I2253" s="1"/>
      <c r="J2253" s="1"/>
      <c r="K2253" s="1"/>
    </row>
    <row r="2254" ht="15.75" customHeight="1">
      <c r="A2254" s="2">
        <v>2253.0</v>
      </c>
      <c r="B2254" s="1" t="s">
        <v>5692</v>
      </c>
      <c r="C2254" s="1" t="s">
        <v>5693</v>
      </c>
      <c r="D2254" s="1" t="s">
        <v>462</v>
      </c>
      <c r="E2254" s="2">
        <v>5.70038001207E11</v>
      </c>
      <c r="F2254" s="1" t="s">
        <v>5632</v>
      </c>
      <c r="G2254" s="1" t="s">
        <v>135</v>
      </c>
      <c r="H2254" s="3" t="s">
        <v>5610</v>
      </c>
      <c r="I2254" s="1"/>
      <c r="J2254" s="1"/>
      <c r="K2254" s="1"/>
    </row>
    <row r="2255" ht="15.75" customHeight="1">
      <c r="A2255" s="2">
        <v>2254.0</v>
      </c>
      <c r="B2255" s="1" t="s">
        <v>2714</v>
      </c>
      <c r="C2255" s="1" t="s">
        <v>4843</v>
      </c>
      <c r="D2255" s="1" t="s">
        <v>335</v>
      </c>
      <c r="E2255" s="2">
        <v>5.70038001209E11</v>
      </c>
      <c r="F2255" s="1" t="s">
        <v>5694</v>
      </c>
      <c r="G2255" s="1" t="s">
        <v>3846</v>
      </c>
      <c r="H2255" s="3" t="s">
        <v>5610</v>
      </c>
      <c r="I2255" s="1"/>
      <c r="J2255" s="1"/>
      <c r="K2255" s="1"/>
    </row>
    <row r="2256" ht="15.75" customHeight="1">
      <c r="A2256" s="2">
        <v>2255.0</v>
      </c>
      <c r="B2256" s="1" t="s">
        <v>5695</v>
      </c>
      <c r="C2256" s="1" t="s">
        <v>204</v>
      </c>
      <c r="D2256" s="1" t="s">
        <v>5696</v>
      </c>
      <c r="E2256" s="2">
        <v>5.70038001211E11</v>
      </c>
      <c r="F2256" s="1" t="s">
        <v>5697</v>
      </c>
      <c r="G2256" s="1" t="s">
        <v>135</v>
      </c>
      <c r="H2256" s="3" t="s">
        <v>5610</v>
      </c>
      <c r="I2256" s="1"/>
      <c r="J2256" s="1"/>
      <c r="K2256" s="1"/>
    </row>
    <row r="2257" ht="15.75" customHeight="1">
      <c r="A2257" s="2">
        <v>2256.0</v>
      </c>
      <c r="B2257" s="1" t="s">
        <v>5698</v>
      </c>
      <c r="C2257" s="1" t="s">
        <v>5247</v>
      </c>
      <c r="D2257" s="1" t="s">
        <v>5699</v>
      </c>
      <c r="E2257" s="2">
        <v>5.70038001214E11</v>
      </c>
      <c r="F2257" s="1" t="s">
        <v>5550</v>
      </c>
      <c r="G2257" s="1" t="s">
        <v>3846</v>
      </c>
      <c r="H2257" s="3" t="s">
        <v>5610</v>
      </c>
      <c r="I2257" s="1"/>
      <c r="J2257" s="1"/>
      <c r="K2257" s="1"/>
    </row>
    <row r="2258" ht="15.75" customHeight="1">
      <c r="A2258" s="2">
        <v>2257.0</v>
      </c>
      <c r="B2258" s="1" t="s">
        <v>5700</v>
      </c>
      <c r="C2258" s="1" t="s">
        <v>755</v>
      </c>
      <c r="D2258" s="1" t="s">
        <v>258</v>
      </c>
      <c r="E2258" s="2">
        <v>5.70038001218E11</v>
      </c>
      <c r="F2258" s="1" t="s">
        <v>5701</v>
      </c>
      <c r="G2258" s="1" t="s">
        <v>135</v>
      </c>
      <c r="H2258" s="3" t="s">
        <v>5610</v>
      </c>
      <c r="I2258" s="1"/>
      <c r="J2258" s="1"/>
      <c r="K2258" s="1"/>
    </row>
    <row r="2259" ht="15.75" customHeight="1">
      <c r="A2259" s="2">
        <v>2258.0</v>
      </c>
      <c r="B2259" s="1" t="s">
        <v>5702</v>
      </c>
      <c r="C2259" s="1" t="s">
        <v>4972</v>
      </c>
      <c r="D2259" s="1" t="s">
        <v>3751</v>
      </c>
      <c r="E2259" s="2">
        <v>5.70038001223E11</v>
      </c>
      <c r="F2259" s="1" t="s">
        <v>5703</v>
      </c>
      <c r="G2259" s="1" t="s">
        <v>135</v>
      </c>
      <c r="H2259" s="3" t="s">
        <v>5610</v>
      </c>
      <c r="I2259" s="1"/>
      <c r="J2259" s="1"/>
      <c r="K2259" s="1"/>
    </row>
    <row r="2260" ht="15.75" customHeight="1">
      <c r="A2260" s="2">
        <v>2259.0</v>
      </c>
      <c r="B2260" s="1" t="s">
        <v>40</v>
      </c>
      <c r="C2260" s="1" t="s">
        <v>5704</v>
      </c>
      <c r="D2260" s="1" t="s">
        <v>552</v>
      </c>
      <c r="E2260" s="2">
        <v>5.70038001229E11</v>
      </c>
      <c r="F2260" s="1" t="s">
        <v>5705</v>
      </c>
      <c r="G2260" s="1" t="s">
        <v>135</v>
      </c>
      <c r="H2260" s="3" t="s">
        <v>5610</v>
      </c>
      <c r="I2260" s="1"/>
      <c r="J2260" s="1"/>
      <c r="K2260" s="1"/>
    </row>
    <row r="2261" ht="15.75" customHeight="1">
      <c r="A2261" s="2">
        <v>2260.0</v>
      </c>
      <c r="B2261" s="1" t="s">
        <v>2005</v>
      </c>
      <c r="C2261" s="1" t="s">
        <v>5706</v>
      </c>
      <c r="D2261" s="1" t="s">
        <v>5707</v>
      </c>
      <c r="E2261" s="2">
        <v>5.7003800123E11</v>
      </c>
      <c r="F2261" s="1" t="s">
        <v>5466</v>
      </c>
      <c r="G2261" s="1" t="s">
        <v>3846</v>
      </c>
      <c r="H2261" s="3" t="s">
        <v>5610</v>
      </c>
      <c r="I2261" s="1"/>
      <c r="J2261" s="1"/>
      <c r="K2261" s="1"/>
    </row>
    <row r="2262" ht="15.75" customHeight="1">
      <c r="A2262" s="2">
        <v>2261.0</v>
      </c>
      <c r="B2262" s="1" t="s">
        <v>4328</v>
      </c>
      <c r="C2262" s="1" t="s">
        <v>5708</v>
      </c>
      <c r="D2262" s="1" t="s">
        <v>5709</v>
      </c>
      <c r="E2262" s="2">
        <v>5.70038001231E11</v>
      </c>
      <c r="F2262" s="1" t="s">
        <v>5710</v>
      </c>
      <c r="G2262" s="1" t="s">
        <v>3846</v>
      </c>
      <c r="H2262" s="3" t="s">
        <v>5610</v>
      </c>
      <c r="I2262" s="1"/>
      <c r="J2262" s="1"/>
      <c r="K2262" s="1"/>
    </row>
    <row r="2263" ht="15.75" customHeight="1">
      <c r="A2263" s="2">
        <v>2262.0</v>
      </c>
      <c r="B2263" s="1" t="s">
        <v>5711</v>
      </c>
      <c r="C2263" s="1" t="s">
        <v>5712</v>
      </c>
      <c r="D2263" s="1" t="s">
        <v>5713</v>
      </c>
      <c r="E2263" s="2">
        <v>5.70038001232E11</v>
      </c>
      <c r="F2263" s="1" t="s">
        <v>5714</v>
      </c>
      <c r="G2263" s="1" t="s">
        <v>135</v>
      </c>
      <c r="H2263" s="3" t="s">
        <v>5610</v>
      </c>
      <c r="I2263" s="1"/>
      <c r="J2263" s="1"/>
      <c r="K2263" s="1"/>
    </row>
    <row r="2264" ht="15.75" customHeight="1">
      <c r="A2264" s="2">
        <v>2263.0</v>
      </c>
      <c r="B2264" s="1" t="s">
        <v>2300</v>
      </c>
      <c r="C2264" s="1" t="s">
        <v>4641</v>
      </c>
      <c r="D2264" s="1" t="s">
        <v>451</v>
      </c>
      <c r="E2264" s="2">
        <v>5.70038001233E11</v>
      </c>
      <c r="F2264" s="1" t="s">
        <v>5715</v>
      </c>
      <c r="G2264" s="1" t="s">
        <v>135</v>
      </c>
      <c r="H2264" s="3" t="s">
        <v>5610</v>
      </c>
      <c r="I2264" s="1"/>
      <c r="J2264" s="1"/>
      <c r="K2264" s="1"/>
    </row>
    <row r="2265" ht="15.75" customHeight="1">
      <c r="A2265" s="2">
        <v>2264.0</v>
      </c>
      <c r="B2265" s="1" t="s">
        <v>5716</v>
      </c>
      <c r="C2265" s="1" t="s">
        <v>435</v>
      </c>
      <c r="D2265" s="1" t="s">
        <v>1694</v>
      </c>
      <c r="E2265" s="2">
        <v>5.70038001235E11</v>
      </c>
      <c r="F2265" s="1" t="s">
        <v>5717</v>
      </c>
      <c r="G2265" s="1" t="s">
        <v>3846</v>
      </c>
      <c r="H2265" s="3" t="s">
        <v>5610</v>
      </c>
      <c r="I2265" s="1"/>
      <c r="J2265" s="1"/>
      <c r="K2265" s="1"/>
    </row>
    <row r="2266" ht="15.75" customHeight="1">
      <c r="A2266" s="2">
        <v>2265.0</v>
      </c>
      <c r="B2266" s="1" t="s">
        <v>48</v>
      </c>
      <c r="C2266" s="1" t="s">
        <v>911</v>
      </c>
      <c r="D2266" s="1" t="s">
        <v>5718</v>
      </c>
      <c r="E2266" s="2">
        <v>5.70038001236E11</v>
      </c>
      <c r="F2266" s="1" t="s">
        <v>5719</v>
      </c>
      <c r="G2266" s="1" t="s">
        <v>3846</v>
      </c>
      <c r="H2266" s="3" t="s">
        <v>5610</v>
      </c>
      <c r="I2266" s="1"/>
      <c r="J2266" s="1"/>
      <c r="K2266" s="1"/>
    </row>
    <row r="2267" ht="15.75" customHeight="1">
      <c r="A2267" s="2">
        <v>2266.0</v>
      </c>
      <c r="B2267" s="1" t="s">
        <v>1080</v>
      </c>
      <c r="C2267" s="1" t="s">
        <v>5720</v>
      </c>
      <c r="D2267" s="1" t="s">
        <v>77</v>
      </c>
      <c r="E2267" s="2">
        <v>5.70038001237E11</v>
      </c>
      <c r="F2267" s="1" t="s">
        <v>5721</v>
      </c>
      <c r="G2267" s="1" t="s">
        <v>3846</v>
      </c>
      <c r="H2267" s="3" t="s">
        <v>5610</v>
      </c>
      <c r="I2267" s="1"/>
      <c r="J2267" s="1"/>
      <c r="K2267" s="1"/>
    </row>
    <row r="2268" ht="15.75" customHeight="1">
      <c r="A2268" s="2">
        <v>2267.0</v>
      </c>
      <c r="B2268" s="1" t="s">
        <v>2570</v>
      </c>
      <c r="C2268" s="1" t="s">
        <v>5722</v>
      </c>
      <c r="D2268" s="1" t="s">
        <v>5723</v>
      </c>
      <c r="E2268" s="2">
        <v>5.70038001238E11</v>
      </c>
      <c r="F2268" s="1" t="s">
        <v>5724</v>
      </c>
      <c r="G2268" s="1" t="s">
        <v>3846</v>
      </c>
      <c r="H2268" s="3" t="s">
        <v>5610</v>
      </c>
      <c r="I2268" s="1"/>
      <c r="J2268" s="1"/>
      <c r="K2268" s="1"/>
    </row>
    <row r="2269" ht="15.75" customHeight="1">
      <c r="A2269" s="2">
        <v>2268.0</v>
      </c>
      <c r="B2269" s="1" t="s">
        <v>5348</v>
      </c>
      <c r="C2269" s="1" t="s">
        <v>1415</v>
      </c>
      <c r="D2269" s="1" t="s">
        <v>1627</v>
      </c>
      <c r="E2269" s="2">
        <v>5.70038001242E11</v>
      </c>
      <c r="F2269" s="1" t="s">
        <v>5570</v>
      </c>
      <c r="G2269" s="1" t="s">
        <v>3846</v>
      </c>
      <c r="H2269" s="3" t="s">
        <v>5610</v>
      </c>
      <c r="I2269" s="1"/>
      <c r="J2269" s="1"/>
      <c r="K2269" s="1"/>
    </row>
    <row r="2270" ht="15.75" customHeight="1">
      <c r="A2270" s="2">
        <v>2269.0</v>
      </c>
      <c r="B2270" s="1" t="s">
        <v>5725</v>
      </c>
      <c r="C2270" s="1" t="s">
        <v>5726</v>
      </c>
      <c r="D2270" s="1" t="s">
        <v>5727</v>
      </c>
      <c r="E2270" s="2">
        <v>5.70038001245E11</v>
      </c>
      <c r="F2270" s="1" t="s">
        <v>5728</v>
      </c>
      <c r="G2270" s="1" t="s">
        <v>135</v>
      </c>
      <c r="H2270" s="3" t="s">
        <v>5610</v>
      </c>
      <c r="I2270" s="1"/>
      <c r="J2270" s="1"/>
      <c r="K2270" s="1"/>
    </row>
    <row r="2271" ht="15.75" customHeight="1">
      <c r="A2271" s="2">
        <v>2270.0</v>
      </c>
      <c r="B2271" s="1" t="s">
        <v>5729</v>
      </c>
      <c r="C2271" s="1" t="s">
        <v>4422</v>
      </c>
      <c r="D2271" s="1" t="s">
        <v>290</v>
      </c>
      <c r="E2271" s="2">
        <v>5.70038001249E11</v>
      </c>
      <c r="F2271" s="1" t="s">
        <v>5730</v>
      </c>
      <c r="G2271" s="1" t="s">
        <v>3846</v>
      </c>
      <c r="H2271" s="3" t="s">
        <v>5610</v>
      </c>
      <c r="I2271" s="1"/>
      <c r="J2271" s="1"/>
      <c r="K2271" s="1"/>
    </row>
    <row r="2272" ht="15.75" customHeight="1">
      <c r="A2272" s="2">
        <v>2271.0</v>
      </c>
      <c r="B2272" s="1" t="s">
        <v>4586</v>
      </c>
      <c r="C2272" s="1" t="s">
        <v>5731</v>
      </c>
      <c r="D2272" s="1" t="s">
        <v>5732</v>
      </c>
      <c r="E2272" s="2">
        <v>5.70038001253E11</v>
      </c>
      <c r="F2272" s="1" t="s">
        <v>5733</v>
      </c>
      <c r="G2272" s="1" t="s">
        <v>3846</v>
      </c>
      <c r="H2272" s="3" t="s">
        <v>5610</v>
      </c>
      <c r="I2272" s="1"/>
      <c r="J2272" s="1"/>
      <c r="K2272" s="1"/>
    </row>
    <row r="2273" ht="15.75" customHeight="1">
      <c r="A2273" s="2">
        <v>2272.0</v>
      </c>
      <c r="B2273" s="1" t="s">
        <v>5734</v>
      </c>
      <c r="C2273" s="1" t="s">
        <v>5735</v>
      </c>
      <c r="D2273" s="1" t="s">
        <v>5736</v>
      </c>
      <c r="E2273" s="2">
        <v>5.70038001256E11</v>
      </c>
      <c r="F2273" s="1" t="s">
        <v>5737</v>
      </c>
      <c r="G2273" s="1" t="s">
        <v>3846</v>
      </c>
      <c r="H2273" s="3" t="s">
        <v>5610</v>
      </c>
      <c r="I2273" s="1"/>
      <c r="J2273" s="1"/>
      <c r="K2273" s="1"/>
    </row>
    <row r="2274" ht="15.75" customHeight="1">
      <c r="A2274" s="2">
        <v>2273.0</v>
      </c>
      <c r="B2274" s="1" t="s">
        <v>4758</v>
      </c>
      <c r="C2274" s="1" t="s">
        <v>5738</v>
      </c>
      <c r="D2274" s="1" t="s">
        <v>5739</v>
      </c>
      <c r="E2274" s="2">
        <v>5.70038001257E11</v>
      </c>
      <c r="F2274" s="1" t="s">
        <v>5740</v>
      </c>
      <c r="G2274" s="1" t="s">
        <v>3846</v>
      </c>
      <c r="H2274" s="3" t="s">
        <v>5610</v>
      </c>
      <c r="I2274" s="1"/>
      <c r="J2274" s="1"/>
      <c r="K2274" s="1"/>
    </row>
    <row r="2275" ht="15.75" customHeight="1">
      <c r="A2275" s="2">
        <v>2274.0</v>
      </c>
      <c r="B2275" s="1" t="s">
        <v>5741</v>
      </c>
      <c r="C2275" s="1" t="s">
        <v>369</v>
      </c>
      <c r="D2275" s="1" t="s">
        <v>48</v>
      </c>
      <c r="E2275" s="2">
        <v>5.70038001258E11</v>
      </c>
      <c r="F2275" s="1" t="s">
        <v>5742</v>
      </c>
      <c r="G2275" s="1" t="s">
        <v>3846</v>
      </c>
      <c r="H2275" s="3" t="s">
        <v>5610</v>
      </c>
      <c r="I2275" s="1"/>
      <c r="J2275" s="1"/>
      <c r="K2275" s="1"/>
    </row>
    <row r="2276" ht="15.75" customHeight="1">
      <c r="A2276" s="2">
        <v>2275.0</v>
      </c>
      <c r="B2276" s="1" t="s">
        <v>5743</v>
      </c>
      <c r="C2276" s="1" t="s">
        <v>176</v>
      </c>
      <c r="D2276" s="1" t="s">
        <v>161</v>
      </c>
      <c r="E2276" s="2">
        <v>5.70038001261E11</v>
      </c>
      <c r="F2276" s="1" t="s">
        <v>5744</v>
      </c>
      <c r="G2276" s="1" t="s">
        <v>3846</v>
      </c>
      <c r="H2276" s="3" t="s">
        <v>5610</v>
      </c>
      <c r="I2276" s="1"/>
      <c r="J2276" s="1"/>
      <c r="K2276" s="1"/>
    </row>
    <row r="2277" ht="15.75" customHeight="1">
      <c r="A2277" s="2">
        <v>2276.0</v>
      </c>
      <c r="B2277" s="1" t="s">
        <v>5745</v>
      </c>
      <c r="C2277" s="1" t="s">
        <v>5746</v>
      </c>
      <c r="D2277" s="1" t="s">
        <v>710</v>
      </c>
      <c r="E2277" s="2">
        <v>5.70038001263E11</v>
      </c>
      <c r="F2277" s="1" t="s">
        <v>5747</v>
      </c>
      <c r="G2277" s="1" t="s">
        <v>135</v>
      </c>
      <c r="H2277" s="3" t="s">
        <v>5610</v>
      </c>
      <c r="I2277" s="1"/>
      <c r="J2277" s="1"/>
      <c r="K2277" s="1"/>
    </row>
    <row r="2278" ht="15.75" customHeight="1">
      <c r="A2278" s="2">
        <v>2277.0</v>
      </c>
      <c r="B2278" s="1" t="s">
        <v>5748</v>
      </c>
      <c r="C2278" s="1" t="s">
        <v>3541</v>
      </c>
      <c r="D2278" s="1" t="s">
        <v>4073</v>
      </c>
      <c r="E2278" s="2">
        <v>5.70038001265E11</v>
      </c>
      <c r="F2278" s="1" t="s">
        <v>5749</v>
      </c>
      <c r="G2278" s="1" t="s">
        <v>135</v>
      </c>
      <c r="H2278" s="3" t="s">
        <v>5610</v>
      </c>
      <c r="I2278" s="1"/>
      <c r="J2278" s="1"/>
      <c r="K2278" s="1"/>
    </row>
    <row r="2279" ht="15.75" customHeight="1">
      <c r="A2279" s="2">
        <v>2278.0</v>
      </c>
      <c r="B2279" s="1" t="s">
        <v>5750</v>
      </c>
      <c r="C2279" s="1" t="s">
        <v>5751</v>
      </c>
      <c r="D2279" s="1" t="s">
        <v>566</v>
      </c>
      <c r="E2279" s="2">
        <v>5.70038001266E11</v>
      </c>
      <c r="F2279" s="1" t="s">
        <v>5752</v>
      </c>
      <c r="G2279" s="1" t="s">
        <v>3846</v>
      </c>
      <c r="H2279" s="3" t="s">
        <v>5610</v>
      </c>
      <c r="I2279" s="1"/>
      <c r="J2279" s="1"/>
      <c r="K2279" s="1"/>
    </row>
    <row r="2280" ht="15.75" customHeight="1">
      <c r="A2280" s="2">
        <v>2279.0</v>
      </c>
      <c r="B2280" s="1" t="s">
        <v>5753</v>
      </c>
      <c r="C2280" s="1" t="s">
        <v>4603</v>
      </c>
      <c r="D2280" s="1" t="s">
        <v>5303</v>
      </c>
      <c r="E2280" s="2">
        <v>5.70038001267E11</v>
      </c>
      <c r="F2280" s="1" t="s">
        <v>5754</v>
      </c>
      <c r="G2280" s="1" t="s">
        <v>135</v>
      </c>
      <c r="H2280" s="3" t="s">
        <v>5610</v>
      </c>
      <c r="I2280" s="1"/>
      <c r="J2280" s="1"/>
      <c r="K2280" s="1"/>
    </row>
    <row r="2281" ht="15.75" customHeight="1">
      <c r="A2281" s="2">
        <v>2280.0</v>
      </c>
      <c r="B2281" s="1" t="s">
        <v>230</v>
      </c>
      <c r="C2281" s="1" t="s">
        <v>647</v>
      </c>
      <c r="D2281" s="1" t="s">
        <v>263</v>
      </c>
      <c r="E2281" s="2">
        <v>5.7003800127E11</v>
      </c>
      <c r="F2281" s="1" t="s">
        <v>4838</v>
      </c>
      <c r="G2281" s="1" t="s">
        <v>3846</v>
      </c>
      <c r="H2281" s="3" t="s">
        <v>5610</v>
      </c>
      <c r="I2281" s="1"/>
      <c r="J2281" s="1"/>
      <c r="K2281" s="1"/>
    </row>
    <row r="2282" ht="15.75" customHeight="1">
      <c r="A2282" s="2">
        <v>2281.0</v>
      </c>
      <c r="B2282" s="1" t="s">
        <v>5291</v>
      </c>
      <c r="C2282" s="1" t="s">
        <v>5755</v>
      </c>
      <c r="D2282" s="1" t="s">
        <v>161</v>
      </c>
      <c r="E2282" s="2">
        <v>5.70038001272E11</v>
      </c>
      <c r="F2282" s="1" t="s">
        <v>5756</v>
      </c>
      <c r="G2282" s="1" t="s">
        <v>3846</v>
      </c>
      <c r="H2282" s="3" t="s">
        <v>5610</v>
      </c>
      <c r="I2282" s="1"/>
      <c r="J2282" s="1"/>
      <c r="K2282" s="1"/>
    </row>
    <row r="2283" ht="15.75" customHeight="1">
      <c r="A2283" s="2">
        <v>2282.0</v>
      </c>
      <c r="B2283" s="1" t="s">
        <v>725</v>
      </c>
      <c r="C2283" s="1" t="s">
        <v>369</v>
      </c>
      <c r="D2283" s="1" t="s">
        <v>127</v>
      </c>
      <c r="E2283" s="2">
        <v>5.70038001273E11</v>
      </c>
      <c r="F2283" s="1" t="s">
        <v>5757</v>
      </c>
      <c r="G2283" s="1" t="s">
        <v>3846</v>
      </c>
      <c r="H2283" s="3" t="s">
        <v>5610</v>
      </c>
      <c r="I2283" s="1"/>
      <c r="J2283" s="1"/>
      <c r="K2283" s="1"/>
    </row>
    <row r="2284" ht="15.75" customHeight="1">
      <c r="A2284" s="2">
        <v>2283.0</v>
      </c>
      <c r="B2284" s="1" t="s">
        <v>172</v>
      </c>
      <c r="C2284" s="1" t="s">
        <v>516</v>
      </c>
      <c r="D2284" s="1" t="s">
        <v>362</v>
      </c>
      <c r="E2284" s="2">
        <v>5.70038001274E11</v>
      </c>
      <c r="F2284" s="1" t="s">
        <v>5758</v>
      </c>
      <c r="G2284" s="1" t="s">
        <v>3846</v>
      </c>
      <c r="H2284" s="3" t="s">
        <v>5610</v>
      </c>
      <c r="I2284" s="1"/>
      <c r="J2284" s="1"/>
      <c r="K2284" s="1"/>
    </row>
    <row r="2285" ht="15.75" customHeight="1">
      <c r="A2285" s="2">
        <v>2284.0</v>
      </c>
      <c r="B2285" s="1" t="s">
        <v>5759</v>
      </c>
      <c r="C2285" s="1" t="s">
        <v>5760</v>
      </c>
      <c r="D2285" s="1" t="s">
        <v>1561</v>
      </c>
      <c r="E2285" s="2">
        <v>5.70038001277E11</v>
      </c>
      <c r="F2285" s="1" t="s">
        <v>5761</v>
      </c>
      <c r="G2285" s="1" t="s">
        <v>3846</v>
      </c>
      <c r="H2285" s="3" t="s">
        <v>5610</v>
      </c>
      <c r="I2285" s="1"/>
      <c r="J2285" s="1"/>
      <c r="K2285" s="1"/>
    </row>
    <row r="2286" ht="15.75" customHeight="1">
      <c r="A2286" s="2">
        <v>2285.0</v>
      </c>
      <c r="B2286" s="1" t="s">
        <v>5762</v>
      </c>
      <c r="C2286" s="1" t="s">
        <v>2797</v>
      </c>
      <c r="D2286" s="1" t="s">
        <v>324</v>
      </c>
      <c r="E2286" s="2">
        <v>5.7003800128E11</v>
      </c>
      <c r="F2286" s="1" t="s">
        <v>5763</v>
      </c>
      <c r="G2286" s="1" t="s">
        <v>3846</v>
      </c>
      <c r="H2286" s="3" t="s">
        <v>5610</v>
      </c>
      <c r="I2286" s="1"/>
      <c r="J2286" s="1"/>
      <c r="K2286" s="1"/>
    </row>
    <row r="2287" ht="15.75" customHeight="1">
      <c r="A2287" s="2">
        <v>2286.0</v>
      </c>
      <c r="B2287" s="1" t="s">
        <v>5764</v>
      </c>
      <c r="C2287" s="1" t="s">
        <v>5765</v>
      </c>
      <c r="D2287" s="1" t="s">
        <v>5766</v>
      </c>
      <c r="E2287" s="2">
        <v>5.70038001284E11</v>
      </c>
      <c r="F2287" s="1" t="s">
        <v>5767</v>
      </c>
      <c r="G2287" s="1" t="s">
        <v>3846</v>
      </c>
      <c r="H2287" s="3" t="s">
        <v>5610</v>
      </c>
      <c r="I2287" s="1"/>
      <c r="J2287" s="1"/>
      <c r="K2287" s="1"/>
    </row>
    <row r="2288" ht="15.75" customHeight="1">
      <c r="A2288" s="2">
        <v>2287.0</v>
      </c>
      <c r="B2288" s="1" t="s">
        <v>16</v>
      </c>
      <c r="C2288" s="1" t="s">
        <v>204</v>
      </c>
      <c r="D2288" s="1" t="s">
        <v>97</v>
      </c>
      <c r="E2288" s="2">
        <v>5.70038001285E11</v>
      </c>
      <c r="F2288" s="1" t="s">
        <v>5768</v>
      </c>
      <c r="G2288" s="1" t="s">
        <v>135</v>
      </c>
      <c r="H2288" s="3" t="s">
        <v>5610</v>
      </c>
      <c r="I2288" s="1"/>
      <c r="J2288" s="1"/>
      <c r="K2288" s="1"/>
    </row>
    <row r="2289" ht="15.75" customHeight="1">
      <c r="A2289" s="2">
        <v>2288.0</v>
      </c>
      <c r="B2289" s="1" t="s">
        <v>5769</v>
      </c>
      <c r="C2289" s="1" t="s">
        <v>3963</v>
      </c>
      <c r="D2289" s="1" t="s">
        <v>5770</v>
      </c>
      <c r="E2289" s="2">
        <v>5.70038001286E11</v>
      </c>
      <c r="F2289" s="1" t="s">
        <v>5771</v>
      </c>
      <c r="G2289" s="1" t="s">
        <v>3846</v>
      </c>
      <c r="H2289" s="3" t="s">
        <v>5610</v>
      </c>
      <c r="I2289" s="1"/>
      <c r="J2289" s="1"/>
      <c r="K2289" s="1"/>
    </row>
    <row r="2290" ht="15.75" customHeight="1">
      <c r="A2290" s="2">
        <v>2289.0</v>
      </c>
      <c r="B2290" s="1" t="s">
        <v>2077</v>
      </c>
      <c r="C2290" s="1" t="s">
        <v>1313</v>
      </c>
      <c r="D2290" s="1" t="s">
        <v>97</v>
      </c>
      <c r="E2290" s="2">
        <v>5.70038001291E11</v>
      </c>
      <c r="F2290" s="1" t="s">
        <v>5772</v>
      </c>
      <c r="G2290" s="1" t="s">
        <v>3846</v>
      </c>
      <c r="H2290" s="3" t="s">
        <v>5610</v>
      </c>
      <c r="I2290" s="1"/>
      <c r="J2290" s="1"/>
      <c r="K2290" s="1"/>
    </row>
    <row r="2291" ht="15.75" customHeight="1">
      <c r="A2291" s="2">
        <v>2290.0</v>
      </c>
      <c r="B2291" s="1" t="s">
        <v>5773</v>
      </c>
      <c r="C2291" s="1" t="s">
        <v>5774</v>
      </c>
      <c r="D2291" s="1" t="s">
        <v>775</v>
      </c>
      <c r="E2291" s="2">
        <v>5.70038001294E11</v>
      </c>
      <c r="F2291" s="1" t="s">
        <v>5775</v>
      </c>
      <c r="G2291" s="1" t="s">
        <v>135</v>
      </c>
      <c r="H2291" s="3" t="s">
        <v>5610</v>
      </c>
      <c r="I2291" s="1"/>
      <c r="J2291" s="1"/>
      <c r="K2291" s="1"/>
    </row>
    <row r="2292" ht="15.75" customHeight="1">
      <c r="A2292" s="2">
        <v>2291.0</v>
      </c>
      <c r="B2292" s="1" t="s">
        <v>1609</v>
      </c>
      <c r="C2292" s="1" t="s">
        <v>5776</v>
      </c>
      <c r="D2292" s="1" t="s">
        <v>5777</v>
      </c>
      <c r="E2292" s="2">
        <v>5.70038001302E11</v>
      </c>
      <c r="F2292" s="1" t="s">
        <v>5778</v>
      </c>
      <c r="G2292" s="1" t="s">
        <v>3846</v>
      </c>
      <c r="H2292" s="3" t="s">
        <v>5610</v>
      </c>
      <c r="I2292" s="1"/>
      <c r="J2292" s="1"/>
      <c r="K2292" s="1"/>
    </row>
    <row r="2293" ht="15.75" customHeight="1">
      <c r="A2293" s="2">
        <v>2292.0</v>
      </c>
      <c r="B2293" s="1" t="s">
        <v>543</v>
      </c>
      <c r="C2293" s="1" t="s">
        <v>5779</v>
      </c>
      <c r="D2293" s="1" t="s">
        <v>1047</v>
      </c>
      <c r="E2293" s="2">
        <v>5.70038001303E11</v>
      </c>
      <c r="F2293" s="1" t="s">
        <v>5780</v>
      </c>
      <c r="G2293" s="1" t="s">
        <v>3846</v>
      </c>
      <c r="H2293" s="3" t="s">
        <v>5610</v>
      </c>
      <c r="I2293" s="1"/>
      <c r="J2293" s="1"/>
      <c r="K2293" s="1"/>
    </row>
    <row r="2294" ht="15.75" customHeight="1">
      <c r="A2294" s="2">
        <v>2293.0</v>
      </c>
      <c r="B2294" s="1" t="s">
        <v>5781</v>
      </c>
      <c r="C2294" s="1" t="s">
        <v>4469</v>
      </c>
      <c r="D2294" s="1" t="s">
        <v>3601</v>
      </c>
      <c r="E2294" s="2">
        <v>5.70038001309E11</v>
      </c>
      <c r="F2294" s="1" t="s">
        <v>5782</v>
      </c>
      <c r="G2294" s="1" t="s">
        <v>3846</v>
      </c>
      <c r="H2294" s="3" t="s">
        <v>5610</v>
      </c>
      <c r="I2294" s="1"/>
      <c r="J2294" s="1"/>
      <c r="K2294" s="1"/>
    </row>
    <row r="2295" ht="15.75" customHeight="1">
      <c r="A2295" s="2">
        <v>2294.0</v>
      </c>
      <c r="B2295" s="1" t="s">
        <v>5348</v>
      </c>
      <c r="C2295" s="1" t="s">
        <v>3334</v>
      </c>
      <c r="D2295" s="1" t="s">
        <v>174</v>
      </c>
      <c r="E2295" s="2">
        <v>5.7003800131E11</v>
      </c>
      <c r="F2295" s="1" t="s">
        <v>5783</v>
      </c>
      <c r="G2295" s="1" t="s">
        <v>3846</v>
      </c>
      <c r="H2295" s="3" t="s">
        <v>5610</v>
      </c>
      <c r="I2295" s="1"/>
      <c r="J2295" s="1"/>
      <c r="K2295" s="1"/>
    </row>
    <row r="2296" ht="15.75" customHeight="1">
      <c r="A2296" s="2">
        <v>2295.0</v>
      </c>
      <c r="B2296" s="1" t="s">
        <v>1618</v>
      </c>
      <c r="C2296" s="1" t="s">
        <v>323</v>
      </c>
      <c r="D2296" s="1" t="s">
        <v>5784</v>
      </c>
      <c r="E2296" s="2">
        <v>5.70038001311E11</v>
      </c>
      <c r="F2296" s="1" t="s">
        <v>5785</v>
      </c>
      <c r="G2296" s="1" t="s">
        <v>3846</v>
      </c>
      <c r="H2296" s="3" t="s">
        <v>5610</v>
      </c>
      <c r="I2296" s="1"/>
      <c r="J2296" s="1"/>
      <c r="K2296" s="1"/>
    </row>
    <row r="2297" ht="15.75" customHeight="1">
      <c r="A2297" s="2">
        <v>2296.0</v>
      </c>
      <c r="B2297" s="1" t="s">
        <v>5193</v>
      </c>
      <c r="C2297" s="1" t="s">
        <v>5786</v>
      </c>
      <c r="D2297" s="1" t="s">
        <v>1911</v>
      </c>
      <c r="E2297" s="2">
        <v>5.70038001312E11</v>
      </c>
      <c r="F2297" s="1" t="s">
        <v>4946</v>
      </c>
      <c r="G2297" s="1" t="s">
        <v>3846</v>
      </c>
      <c r="H2297" s="3" t="s">
        <v>5610</v>
      </c>
      <c r="I2297" s="1"/>
      <c r="J2297" s="1"/>
      <c r="K2297" s="1"/>
    </row>
    <row r="2298" ht="15.75" customHeight="1">
      <c r="A2298" s="2">
        <v>2297.0</v>
      </c>
      <c r="B2298" s="1" t="s">
        <v>5787</v>
      </c>
      <c r="C2298" s="1" t="s">
        <v>5788</v>
      </c>
      <c r="D2298" s="1" t="s">
        <v>5789</v>
      </c>
      <c r="E2298" s="2">
        <v>5.70038001314E11</v>
      </c>
      <c r="F2298" s="1" t="s">
        <v>5790</v>
      </c>
      <c r="G2298" s="1" t="s">
        <v>3846</v>
      </c>
      <c r="H2298" s="3" t="s">
        <v>5610</v>
      </c>
      <c r="I2298" s="1"/>
      <c r="J2298" s="1"/>
      <c r="K2298" s="1"/>
    </row>
    <row r="2299" ht="15.75" customHeight="1">
      <c r="A2299" s="2">
        <v>2298.0</v>
      </c>
      <c r="B2299" s="1" t="s">
        <v>1904</v>
      </c>
      <c r="C2299" s="1" t="s">
        <v>5791</v>
      </c>
      <c r="D2299" s="1" t="s">
        <v>5792</v>
      </c>
      <c r="E2299" s="2">
        <v>5.70038001315E11</v>
      </c>
      <c r="F2299" s="1" t="s">
        <v>5793</v>
      </c>
      <c r="G2299" s="1" t="s">
        <v>3846</v>
      </c>
      <c r="H2299" s="3" t="s">
        <v>5610</v>
      </c>
      <c r="I2299" s="1"/>
      <c r="J2299" s="1"/>
      <c r="K2299" s="1"/>
    </row>
    <row r="2300" ht="15.75" customHeight="1">
      <c r="A2300" s="2">
        <v>2299.0</v>
      </c>
      <c r="B2300" s="1" t="s">
        <v>5794</v>
      </c>
      <c r="C2300" s="1" t="s">
        <v>5795</v>
      </c>
      <c r="D2300" s="1" t="s">
        <v>4296</v>
      </c>
      <c r="E2300" s="2">
        <v>5.70038001317E11</v>
      </c>
      <c r="F2300" s="1" t="s">
        <v>5796</v>
      </c>
      <c r="G2300" s="1" t="s">
        <v>135</v>
      </c>
      <c r="H2300" s="3" t="s">
        <v>5610</v>
      </c>
      <c r="I2300" s="1"/>
      <c r="J2300" s="1"/>
      <c r="K2300" s="1"/>
    </row>
    <row r="2301" ht="15.75" customHeight="1">
      <c r="A2301" s="2">
        <v>2300.0</v>
      </c>
      <c r="B2301" s="1" t="s">
        <v>5797</v>
      </c>
      <c r="C2301" s="1" t="s">
        <v>5798</v>
      </c>
      <c r="D2301" s="1" t="s">
        <v>224</v>
      </c>
      <c r="E2301" s="2">
        <v>5.70038001318E11</v>
      </c>
      <c r="F2301" s="1" t="s">
        <v>5799</v>
      </c>
      <c r="G2301" s="1" t="s">
        <v>135</v>
      </c>
      <c r="H2301" s="3" t="s">
        <v>5610</v>
      </c>
      <c r="I2301" s="1"/>
      <c r="J2301" s="1"/>
      <c r="K2301" s="1"/>
    </row>
    <row r="2302" ht="15.75" customHeight="1">
      <c r="A2302" s="2">
        <v>2301.0</v>
      </c>
      <c r="B2302" s="1" t="s">
        <v>5800</v>
      </c>
      <c r="C2302" s="1" t="s">
        <v>5801</v>
      </c>
      <c r="D2302" s="1" t="s">
        <v>1979</v>
      </c>
      <c r="E2302" s="2">
        <v>5.70038001322E11</v>
      </c>
      <c r="F2302" s="1" t="s">
        <v>5802</v>
      </c>
      <c r="G2302" s="1" t="s">
        <v>3846</v>
      </c>
      <c r="H2302" s="3" t="s">
        <v>5610</v>
      </c>
      <c r="I2302" s="1"/>
      <c r="J2302" s="1"/>
      <c r="K2302" s="1"/>
    </row>
    <row r="2303" ht="15.75" customHeight="1">
      <c r="A2303" s="2">
        <v>2302.0</v>
      </c>
      <c r="B2303" s="1" t="s">
        <v>5803</v>
      </c>
      <c r="C2303" s="1" t="s">
        <v>5804</v>
      </c>
      <c r="D2303" s="1" t="s">
        <v>2809</v>
      </c>
      <c r="E2303" s="2">
        <v>5.70038001325E11</v>
      </c>
      <c r="F2303" s="1" t="s">
        <v>5805</v>
      </c>
      <c r="G2303" s="1" t="s">
        <v>3846</v>
      </c>
      <c r="H2303" s="3" t="s">
        <v>5610</v>
      </c>
      <c r="I2303" s="1"/>
      <c r="J2303" s="1"/>
      <c r="K2303" s="1"/>
    </row>
    <row r="2304" ht="15.75" customHeight="1">
      <c r="A2304" s="2">
        <v>2303.0</v>
      </c>
      <c r="B2304" s="1" t="s">
        <v>445</v>
      </c>
      <c r="C2304" s="1" t="s">
        <v>631</v>
      </c>
      <c r="D2304" s="1" t="s">
        <v>1191</v>
      </c>
      <c r="E2304" s="2">
        <v>5.70038001328E11</v>
      </c>
      <c r="F2304" s="1" t="s">
        <v>5806</v>
      </c>
      <c r="G2304" s="1" t="s">
        <v>3846</v>
      </c>
      <c r="H2304" s="3" t="s">
        <v>5610</v>
      </c>
      <c r="I2304" s="1"/>
      <c r="J2304" s="1"/>
      <c r="K2304" s="1"/>
    </row>
    <row r="2305" ht="15.75" customHeight="1">
      <c r="A2305" s="2">
        <v>2304.0</v>
      </c>
      <c r="B2305" s="1" t="s">
        <v>5807</v>
      </c>
      <c r="C2305" s="1" t="s">
        <v>1081</v>
      </c>
      <c r="D2305" s="1" t="s">
        <v>431</v>
      </c>
      <c r="E2305" s="2">
        <v>5.7003800133E11</v>
      </c>
      <c r="F2305" s="1" t="s">
        <v>5808</v>
      </c>
      <c r="G2305" s="1" t="s">
        <v>135</v>
      </c>
      <c r="H2305" s="3" t="s">
        <v>5610</v>
      </c>
      <c r="I2305" s="1"/>
      <c r="J2305" s="1"/>
      <c r="K2305" s="1"/>
    </row>
    <row r="2306" ht="15.75" customHeight="1">
      <c r="A2306" s="2">
        <v>2305.0</v>
      </c>
      <c r="B2306" s="1" t="s">
        <v>5809</v>
      </c>
      <c r="C2306" s="1" t="s">
        <v>2963</v>
      </c>
      <c r="D2306" s="1" t="s">
        <v>5810</v>
      </c>
      <c r="E2306" s="2">
        <v>5.70038001331E11</v>
      </c>
      <c r="F2306" s="1" t="s">
        <v>5811</v>
      </c>
      <c r="G2306" s="1" t="s">
        <v>135</v>
      </c>
      <c r="H2306" s="3" t="s">
        <v>5610</v>
      </c>
      <c r="I2306" s="1"/>
      <c r="J2306" s="1"/>
      <c r="K2306" s="1"/>
    </row>
    <row r="2307" ht="15.75" customHeight="1">
      <c r="A2307" s="2">
        <v>2306.0</v>
      </c>
      <c r="B2307" s="1" t="s">
        <v>5812</v>
      </c>
      <c r="C2307" s="1" t="s">
        <v>5813</v>
      </c>
      <c r="D2307" s="1" t="s">
        <v>534</v>
      </c>
      <c r="E2307" s="2">
        <v>5.70038001332E11</v>
      </c>
      <c r="F2307" s="1" t="s">
        <v>5814</v>
      </c>
      <c r="G2307" s="1" t="s">
        <v>135</v>
      </c>
      <c r="H2307" s="3" t="s">
        <v>5610</v>
      </c>
      <c r="I2307" s="1"/>
      <c r="J2307" s="1"/>
      <c r="K2307" s="1"/>
    </row>
    <row r="2308" ht="15.75" customHeight="1">
      <c r="A2308" s="2">
        <v>2307.0</v>
      </c>
      <c r="B2308" s="1" t="s">
        <v>4513</v>
      </c>
      <c r="C2308" s="1" t="s">
        <v>5815</v>
      </c>
      <c r="D2308" s="1" t="s">
        <v>3559</v>
      </c>
      <c r="E2308" s="2">
        <v>5.70038001333E11</v>
      </c>
      <c r="F2308" s="1" t="s">
        <v>5574</v>
      </c>
      <c r="G2308" s="1" t="s">
        <v>3846</v>
      </c>
      <c r="H2308" s="3" t="s">
        <v>5610</v>
      </c>
      <c r="I2308" s="1"/>
      <c r="J2308" s="1"/>
      <c r="K2308" s="1"/>
    </row>
    <row r="2309" ht="15.75" customHeight="1">
      <c r="A2309" s="2">
        <v>2308.0</v>
      </c>
      <c r="B2309" s="1" t="s">
        <v>1287</v>
      </c>
      <c r="C2309" s="1" t="s">
        <v>5816</v>
      </c>
      <c r="D2309" s="1" t="s">
        <v>146</v>
      </c>
      <c r="E2309" s="2">
        <v>5.70038001334E11</v>
      </c>
      <c r="F2309" s="1" t="s">
        <v>5817</v>
      </c>
      <c r="G2309" s="1" t="s">
        <v>135</v>
      </c>
      <c r="H2309" s="3" t="s">
        <v>5610</v>
      </c>
      <c r="I2309" s="1"/>
      <c r="J2309" s="1"/>
      <c r="K2309" s="1"/>
    </row>
    <row r="2310" ht="15.75" customHeight="1">
      <c r="A2310" s="2">
        <v>2309.0</v>
      </c>
      <c r="B2310" s="1" t="s">
        <v>5818</v>
      </c>
      <c r="C2310" s="1" t="s">
        <v>3749</v>
      </c>
      <c r="D2310" s="1" t="s">
        <v>1036</v>
      </c>
      <c r="E2310" s="2">
        <v>5.70038001335E11</v>
      </c>
      <c r="F2310" s="1" t="s">
        <v>5819</v>
      </c>
      <c r="G2310" s="1" t="s">
        <v>3846</v>
      </c>
      <c r="H2310" s="3" t="s">
        <v>5610</v>
      </c>
      <c r="I2310" s="1"/>
      <c r="J2310" s="1"/>
      <c r="K2310" s="1"/>
    </row>
    <row r="2311" ht="15.75" customHeight="1">
      <c r="A2311" s="2">
        <v>2310.0</v>
      </c>
      <c r="B2311" s="1" t="s">
        <v>5820</v>
      </c>
      <c r="C2311" s="1" t="s">
        <v>67</v>
      </c>
      <c r="D2311" s="1" t="s">
        <v>513</v>
      </c>
      <c r="E2311" s="2">
        <v>5.70038001338E11</v>
      </c>
      <c r="F2311" s="1" t="s">
        <v>5821</v>
      </c>
      <c r="G2311" s="1" t="s">
        <v>135</v>
      </c>
      <c r="H2311" s="3" t="s">
        <v>5610</v>
      </c>
      <c r="I2311" s="1"/>
      <c r="J2311" s="1"/>
      <c r="K2311" s="1"/>
    </row>
    <row r="2312" ht="15.75" customHeight="1">
      <c r="A2312" s="2">
        <v>2311.0</v>
      </c>
      <c r="B2312" s="1" t="s">
        <v>1581</v>
      </c>
      <c r="C2312" s="1" t="s">
        <v>5822</v>
      </c>
      <c r="D2312" s="1" t="s">
        <v>5823</v>
      </c>
      <c r="E2312" s="2">
        <v>5.70038001339E11</v>
      </c>
      <c r="F2312" s="1" t="s">
        <v>5824</v>
      </c>
      <c r="G2312" s="1" t="s">
        <v>135</v>
      </c>
      <c r="H2312" s="3" t="s">
        <v>5610</v>
      </c>
      <c r="I2312" s="1"/>
      <c r="J2312" s="1"/>
      <c r="K2312" s="1"/>
    </row>
    <row r="2313" ht="15.75" customHeight="1">
      <c r="A2313" s="2">
        <v>2312.0</v>
      </c>
      <c r="B2313" s="1" t="s">
        <v>5825</v>
      </c>
      <c r="C2313" s="1" t="s">
        <v>4517</v>
      </c>
      <c r="D2313" s="1" t="s">
        <v>58</v>
      </c>
      <c r="E2313" s="2">
        <v>5.7003800134E11</v>
      </c>
      <c r="F2313" s="1" t="s">
        <v>5826</v>
      </c>
      <c r="G2313" s="1" t="s">
        <v>135</v>
      </c>
      <c r="H2313" s="3" t="s">
        <v>5610</v>
      </c>
      <c r="I2313" s="1"/>
      <c r="J2313" s="1"/>
      <c r="K2313" s="1"/>
    </row>
    <row r="2314" ht="15.75" customHeight="1">
      <c r="A2314" s="2">
        <v>2313.0</v>
      </c>
      <c r="B2314" s="1" t="s">
        <v>2907</v>
      </c>
      <c r="C2314" s="1" t="s">
        <v>5827</v>
      </c>
      <c r="D2314" s="1" t="s">
        <v>1285</v>
      </c>
      <c r="E2314" s="2">
        <v>5.70038001341E11</v>
      </c>
      <c r="F2314" s="1" t="s">
        <v>5828</v>
      </c>
      <c r="G2314" s="1" t="s">
        <v>135</v>
      </c>
      <c r="H2314" s="3" t="s">
        <v>5610</v>
      </c>
      <c r="I2314" s="1"/>
      <c r="J2314" s="1"/>
      <c r="K2314" s="1"/>
    </row>
    <row r="2315" ht="15.75" customHeight="1">
      <c r="A2315" s="2">
        <v>2314.0</v>
      </c>
      <c r="B2315" s="1" t="s">
        <v>5829</v>
      </c>
      <c r="C2315" s="1" t="s">
        <v>5830</v>
      </c>
      <c r="D2315" s="1" t="s">
        <v>3927</v>
      </c>
      <c r="E2315" s="2">
        <v>5.70038001342E11</v>
      </c>
      <c r="F2315" s="1" t="s">
        <v>5831</v>
      </c>
      <c r="G2315" s="1" t="s">
        <v>3846</v>
      </c>
      <c r="H2315" s="3" t="s">
        <v>5610</v>
      </c>
      <c r="I2315" s="1"/>
      <c r="J2315" s="1"/>
      <c r="K2315" s="1"/>
    </row>
    <row r="2316" ht="15.75" customHeight="1">
      <c r="A2316" s="2">
        <v>2315.0</v>
      </c>
      <c r="B2316" s="1" t="s">
        <v>258</v>
      </c>
      <c r="C2316" s="1" t="s">
        <v>5021</v>
      </c>
      <c r="D2316" s="1" t="s">
        <v>944</v>
      </c>
      <c r="E2316" s="2">
        <v>5.70038001345E11</v>
      </c>
      <c r="F2316" s="1" t="s">
        <v>5832</v>
      </c>
      <c r="G2316" s="1" t="s">
        <v>135</v>
      </c>
      <c r="H2316" s="3" t="s">
        <v>5610</v>
      </c>
      <c r="I2316" s="1"/>
      <c r="J2316" s="1"/>
      <c r="K2316" s="1"/>
    </row>
    <row r="2317" ht="15.75" customHeight="1">
      <c r="A2317" s="2">
        <v>2316.0</v>
      </c>
      <c r="B2317" s="1" t="s">
        <v>5833</v>
      </c>
      <c r="C2317" s="1" t="s">
        <v>5660</v>
      </c>
      <c r="D2317" s="1" t="s">
        <v>5834</v>
      </c>
      <c r="E2317" s="2">
        <v>5.70038001351E11</v>
      </c>
      <c r="F2317" s="1" t="s">
        <v>5835</v>
      </c>
      <c r="G2317" s="1" t="s">
        <v>135</v>
      </c>
      <c r="H2317" s="3" t="s">
        <v>5610</v>
      </c>
      <c r="I2317" s="1"/>
      <c r="J2317" s="1"/>
      <c r="K2317" s="1"/>
    </row>
    <row r="2318" ht="15.75" customHeight="1">
      <c r="A2318" s="2">
        <v>2317.0</v>
      </c>
      <c r="B2318" s="1" t="s">
        <v>5836</v>
      </c>
      <c r="C2318" s="1" t="s">
        <v>414</v>
      </c>
      <c r="D2318" s="1" t="s">
        <v>1644</v>
      </c>
      <c r="E2318" s="2">
        <v>5.70038001355E11</v>
      </c>
      <c r="F2318" s="1" t="s">
        <v>5837</v>
      </c>
      <c r="G2318" s="1" t="s">
        <v>3846</v>
      </c>
      <c r="H2318" s="3" t="s">
        <v>5610</v>
      </c>
      <c r="I2318" s="1"/>
      <c r="J2318" s="1"/>
      <c r="K2318" s="1"/>
    </row>
    <row r="2319" ht="15.75" customHeight="1">
      <c r="A2319" s="2">
        <v>2318.0</v>
      </c>
      <c r="B2319" s="1" t="s">
        <v>5838</v>
      </c>
      <c r="C2319" s="1" t="s">
        <v>5839</v>
      </c>
      <c r="D2319" s="1" t="s">
        <v>5569</v>
      </c>
      <c r="E2319" s="2">
        <v>5.70038001356E11</v>
      </c>
      <c r="F2319" s="1" t="s">
        <v>5840</v>
      </c>
      <c r="G2319" s="1" t="s">
        <v>135</v>
      </c>
      <c r="H2319" s="3" t="s">
        <v>5610</v>
      </c>
      <c r="I2319" s="1"/>
      <c r="J2319" s="1"/>
      <c r="K2319" s="1"/>
    </row>
    <row r="2320" ht="15.75" customHeight="1">
      <c r="A2320" s="2">
        <v>2319.0</v>
      </c>
      <c r="B2320" s="1" t="s">
        <v>4662</v>
      </c>
      <c r="C2320" s="1" t="s">
        <v>5841</v>
      </c>
      <c r="D2320" s="1" t="s">
        <v>2350</v>
      </c>
      <c r="E2320" s="2">
        <v>5.70038001357E11</v>
      </c>
      <c r="F2320" s="1" t="s">
        <v>5842</v>
      </c>
      <c r="G2320" s="1" t="s">
        <v>3846</v>
      </c>
      <c r="H2320" s="3" t="s">
        <v>5610</v>
      </c>
      <c r="I2320" s="1"/>
      <c r="J2320" s="1"/>
      <c r="K2320" s="1"/>
    </row>
    <row r="2321" ht="15.75" customHeight="1">
      <c r="A2321" s="2">
        <v>2320.0</v>
      </c>
      <c r="B2321" s="1" t="s">
        <v>5748</v>
      </c>
      <c r="C2321" s="1" t="s">
        <v>1081</v>
      </c>
      <c r="D2321" s="1" t="s">
        <v>515</v>
      </c>
      <c r="E2321" s="2">
        <v>5.70038001364E11</v>
      </c>
      <c r="F2321" s="1" t="s">
        <v>5843</v>
      </c>
      <c r="G2321" s="1" t="s">
        <v>135</v>
      </c>
      <c r="H2321" s="3" t="s">
        <v>5610</v>
      </c>
      <c r="I2321" s="1"/>
      <c r="J2321" s="1"/>
      <c r="K2321" s="1"/>
    </row>
    <row r="2322" ht="15.75" customHeight="1">
      <c r="A2322" s="2">
        <v>2321.0</v>
      </c>
      <c r="B2322" s="1" t="s">
        <v>5844</v>
      </c>
      <c r="C2322" s="1" t="s">
        <v>2678</v>
      </c>
      <c r="D2322" s="1" t="s">
        <v>333</v>
      </c>
      <c r="E2322" s="2">
        <v>5.70038001365E11</v>
      </c>
      <c r="F2322" s="1" t="s">
        <v>5845</v>
      </c>
      <c r="G2322" s="1" t="s">
        <v>3846</v>
      </c>
      <c r="H2322" s="3" t="s">
        <v>5610</v>
      </c>
      <c r="I2322" s="1"/>
      <c r="J2322" s="1"/>
      <c r="K2322" s="1"/>
    </row>
    <row r="2323" ht="15.75" customHeight="1">
      <c r="A2323" s="2">
        <v>2322.0</v>
      </c>
      <c r="B2323" s="1" t="s">
        <v>5846</v>
      </c>
      <c r="C2323" s="1" t="s">
        <v>5847</v>
      </c>
      <c r="D2323" s="1" t="s">
        <v>462</v>
      </c>
      <c r="E2323" s="2">
        <v>5.70038001366E11</v>
      </c>
      <c r="F2323" s="1" t="s">
        <v>5848</v>
      </c>
      <c r="G2323" s="1" t="s">
        <v>3846</v>
      </c>
      <c r="H2323" s="3" t="s">
        <v>5610</v>
      </c>
      <c r="I2323" s="1"/>
      <c r="J2323" s="1"/>
      <c r="K2323" s="1"/>
    </row>
    <row r="2324" ht="15.75" customHeight="1">
      <c r="A2324" s="2">
        <v>2323.0</v>
      </c>
      <c r="B2324" s="1" t="s">
        <v>1506</v>
      </c>
      <c r="C2324" s="1" t="s">
        <v>5849</v>
      </c>
      <c r="D2324" s="1" t="s">
        <v>161</v>
      </c>
      <c r="E2324" s="2">
        <v>5.70038001367E11</v>
      </c>
      <c r="F2324" s="1" t="s">
        <v>4372</v>
      </c>
      <c r="G2324" s="1" t="s">
        <v>3846</v>
      </c>
      <c r="H2324" s="3" t="s">
        <v>5610</v>
      </c>
      <c r="I2324" s="1"/>
      <c r="J2324" s="1"/>
      <c r="K2324" s="1"/>
    </row>
    <row r="2325" ht="15.75" customHeight="1">
      <c r="A2325" s="2">
        <v>2324.0</v>
      </c>
      <c r="B2325" s="1" t="s">
        <v>5193</v>
      </c>
      <c r="C2325" s="1" t="s">
        <v>5850</v>
      </c>
      <c r="D2325" s="1" t="s">
        <v>177</v>
      </c>
      <c r="E2325" s="2">
        <v>5.70038001368E11</v>
      </c>
      <c r="F2325" s="1" t="s">
        <v>5851</v>
      </c>
      <c r="G2325" s="1" t="s">
        <v>3846</v>
      </c>
      <c r="H2325" s="3" t="s">
        <v>5610</v>
      </c>
      <c r="I2325" s="1"/>
      <c r="J2325" s="1"/>
      <c r="K2325" s="1"/>
    </row>
    <row r="2326" ht="15.75" customHeight="1">
      <c r="A2326" s="2">
        <v>2325.0</v>
      </c>
      <c r="B2326" s="1" t="s">
        <v>5852</v>
      </c>
      <c r="C2326" s="1" t="s">
        <v>5853</v>
      </c>
      <c r="D2326" s="1" t="s">
        <v>133</v>
      </c>
      <c r="E2326" s="2">
        <v>5.7003800137E11</v>
      </c>
      <c r="F2326" s="1" t="s">
        <v>5854</v>
      </c>
      <c r="G2326" s="1" t="s">
        <v>3846</v>
      </c>
      <c r="H2326" s="3" t="s">
        <v>5610</v>
      </c>
      <c r="I2326" s="1"/>
      <c r="J2326" s="1"/>
      <c r="K2326" s="1"/>
    </row>
    <row r="2327" ht="15.75" customHeight="1">
      <c r="A2327" s="2">
        <v>2326.0</v>
      </c>
      <c r="B2327" s="1" t="s">
        <v>5855</v>
      </c>
      <c r="C2327" s="1" t="s">
        <v>5856</v>
      </c>
      <c r="D2327" s="1" t="s">
        <v>1197</v>
      </c>
      <c r="E2327" s="2">
        <v>5.70038001371E11</v>
      </c>
      <c r="F2327" s="1" t="s">
        <v>5635</v>
      </c>
      <c r="G2327" s="1" t="s">
        <v>135</v>
      </c>
      <c r="H2327" s="3" t="s">
        <v>5610</v>
      </c>
      <c r="I2327" s="1"/>
      <c r="J2327" s="1"/>
      <c r="K2327" s="1"/>
    </row>
    <row r="2328" ht="15.75" customHeight="1">
      <c r="A2328" s="2">
        <v>2327.0</v>
      </c>
      <c r="B2328" s="1" t="s">
        <v>199</v>
      </c>
      <c r="C2328" s="1" t="s">
        <v>2844</v>
      </c>
      <c r="D2328" s="1" t="s">
        <v>5857</v>
      </c>
      <c r="E2328" s="2">
        <v>5.70038001372E11</v>
      </c>
      <c r="F2328" s="1" t="s">
        <v>5858</v>
      </c>
      <c r="G2328" s="1" t="s">
        <v>3846</v>
      </c>
      <c r="H2328" s="3" t="s">
        <v>5610</v>
      </c>
      <c r="I2328" s="1"/>
      <c r="J2328" s="1"/>
      <c r="K2328" s="1"/>
    </row>
    <row r="2329" ht="15.75" customHeight="1">
      <c r="A2329" s="2">
        <v>2328.0</v>
      </c>
      <c r="B2329" s="1" t="s">
        <v>5859</v>
      </c>
      <c r="C2329" s="1" t="s">
        <v>5860</v>
      </c>
      <c r="D2329" s="1" t="s">
        <v>42</v>
      </c>
      <c r="E2329" s="2">
        <v>5.70038001374E11</v>
      </c>
      <c r="F2329" s="1" t="s">
        <v>5861</v>
      </c>
      <c r="G2329" s="1" t="s">
        <v>135</v>
      </c>
      <c r="H2329" s="3" t="s">
        <v>5610</v>
      </c>
      <c r="I2329" s="1"/>
      <c r="J2329" s="1"/>
      <c r="K2329" s="1"/>
    </row>
    <row r="2330" ht="15.75" customHeight="1">
      <c r="A2330" s="2">
        <v>2329.0</v>
      </c>
      <c r="B2330" s="1" t="s">
        <v>5862</v>
      </c>
      <c r="C2330" s="1" t="s">
        <v>4603</v>
      </c>
      <c r="D2330" s="1" t="s">
        <v>5863</v>
      </c>
      <c r="E2330" s="2">
        <v>5.70038001379E11</v>
      </c>
      <c r="F2330" s="1" t="s">
        <v>5864</v>
      </c>
      <c r="G2330" s="1" t="s">
        <v>3846</v>
      </c>
      <c r="H2330" s="3" t="s">
        <v>5610</v>
      </c>
      <c r="I2330" s="1"/>
      <c r="J2330" s="1"/>
      <c r="K2330" s="1"/>
    </row>
    <row r="2331" ht="15.75" customHeight="1">
      <c r="A2331" s="2">
        <v>2330.0</v>
      </c>
      <c r="B2331" s="1" t="s">
        <v>5748</v>
      </c>
      <c r="C2331" s="1" t="s">
        <v>4965</v>
      </c>
      <c r="D2331" s="1" t="s">
        <v>5865</v>
      </c>
      <c r="E2331" s="2">
        <v>5.70038001391E11</v>
      </c>
      <c r="F2331" s="1" t="s">
        <v>5866</v>
      </c>
      <c r="G2331" s="1" t="s">
        <v>135</v>
      </c>
      <c r="H2331" s="3" t="s">
        <v>5610</v>
      </c>
      <c r="I2331" s="1"/>
      <c r="J2331" s="1"/>
      <c r="K2331" s="1"/>
    </row>
    <row r="2332" ht="15.75" customHeight="1">
      <c r="A2332" s="2">
        <v>2331.0</v>
      </c>
      <c r="B2332" s="1" t="s">
        <v>5662</v>
      </c>
      <c r="C2332" s="1" t="s">
        <v>204</v>
      </c>
      <c r="D2332" s="1" t="s">
        <v>10</v>
      </c>
      <c r="E2332" s="2">
        <v>5.70038001392E11</v>
      </c>
      <c r="F2332" s="1" t="s">
        <v>5867</v>
      </c>
      <c r="G2332" s="1" t="s">
        <v>135</v>
      </c>
      <c r="H2332" s="3" t="s">
        <v>5610</v>
      </c>
      <c r="I2332" s="1"/>
      <c r="J2332" s="1"/>
      <c r="K2332" s="1"/>
    </row>
    <row r="2333" ht="15.75" customHeight="1">
      <c r="A2333" s="2">
        <v>2332.0</v>
      </c>
      <c r="B2333" s="1" t="s">
        <v>1323</v>
      </c>
      <c r="C2333" s="1" t="s">
        <v>5868</v>
      </c>
      <c r="D2333" s="1" t="s">
        <v>18</v>
      </c>
      <c r="E2333" s="2">
        <v>5.70038001396E11</v>
      </c>
      <c r="F2333" s="1" t="s">
        <v>5869</v>
      </c>
      <c r="G2333" s="1" t="s">
        <v>3846</v>
      </c>
      <c r="H2333" s="3" t="s">
        <v>5610</v>
      </c>
      <c r="I2333" s="1"/>
      <c r="J2333" s="1"/>
      <c r="K2333" s="1"/>
    </row>
    <row r="2334" ht="15.75" customHeight="1">
      <c r="A2334" s="2">
        <v>2333.0</v>
      </c>
      <c r="B2334" s="1" t="s">
        <v>10</v>
      </c>
      <c r="C2334" s="1" t="s">
        <v>4923</v>
      </c>
      <c r="D2334" s="1" t="s">
        <v>1577</v>
      </c>
      <c r="E2334" s="2">
        <v>5.70038001402E11</v>
      </c>
      <c r="F2334" s="1" t="s">
        <v>5870</v>
      </c>
      <c r="G2334" s="1" t="s">
        <v>3846</v>
      </c>
      <c r="H2334" s="3" t="s">
        <v>5610</v>
      </c>
      <c r="I2334" s="1"/>
      <c r="J2334" s="1"/>
      <c r="K2334" s="1"/>
    </row>
    <row r="2335" ht="15.75" customHeight="1">
      <c r="A2335" s="2">
        <v>2334.0</v>
      </c>
      <c r="B2335" s="1" t="s">
        <v>4822</v>
      </c>
      <c r="C2335" s="1" t="s">
        <v>5871</v>
      </c>
      <c r="D2335" s="1" t="s">
        <v>1199</v>
      </c>
      <c r="E2335" s="2">
        <v>5.70038001404E11</v>
      </c>
      <c r="F2335" s="1" t="s">
        <v>5872</v>
      </c>
      <c r="G2335" s="1" t="s">
        <v>3846</v>
      </c>
      <c r="H2335" s="3" t="s">
        <v>5610</v>
      </c>
      <c r="I2335" s="1"/>
      <c r="J2335" s="1"/>
      <c r="K2335" s="1"/>
    </row>
    <row r="2336" ht="15.75" customHeight="1">
      <c r="A2336" s="2">
        <v>2335.0</v>
      </c>
      <c r="B2336" s="1" t="s">
        <v>5873</v>
      </c>
      <c r="C2336" s="1" t="s">
        <v>5874</v>
      </c>
      <c r="D2336" s="1" t="s">
        <v>2946</v>
      </c>
      <c r="E2336" s="2">
        <v>5.70038001406E11</v>
      </c>
      <c r="F2336" s="1" t="s">
        <v>5875</v>
      </c>
      <c r="G2336" s="1" t="s">
        <v>3846</v>
      </c>
      <c r="H2336" s="3" t="s">
        <v>5610</v>
      </c>
      <c r="I2336" s="1"/>
      <c r="J2336" s="1"/>
      <c r="K2336" s="1"/>
    </row>
    <row r="2337" ht="15.75" customHeight="1">
      <c r="A2337" s="2">
        <v>2336.0</v>
      </c>
      <c r="B2337" s="1" t="s">
        <v>5876</v>
      </c>
      <c r="C2337" s="1" t="s">
        <v>5877</v>
      </c>
      <c r="D2337" s="1" t="s">
        <v>679</v>
      </c>
      <c r="E2337" s="2">
        <v>5.70038001407E11</v>
      </c>
      <c r="F2337" s="1" t="s">
        <v>5878</v>
      </c>
      <c r="G2337" s="1" t="s">
        <v>3846</v>
      </c>
      <c r="H2337" s="3" t="s">
        <v>5610</v>
      </c>
      <c r="I2337" s="1"/>
      <c r="J2337" s="1"/>
      <c r="K2337" s="1"/>
    </row>
    <row r="2338" ht="15.75" customHeight="1">
      <c r="A2338" s="2">
        <v>2337.0</v>
      </c>
      <c r="B2338" s="1" t="s">
        <v>5879</v>
      </c>
      <c r="C2338" s="1" t="s">
        <v>5880</v>
      </c>
      <c r="D2338" s="1" t="s">
        <v>77</v>
      </c>
      <c r="E2338" s="2">
        <v>5.70038001408E11</v>
      </c>
      <c r="F2338" s="1" t="s">
        <v>5881</v>
      </c>
      <c r="G2338" s="1" t="s">
        <v>3846</v>
      </c>
      <c r="H2338" s="3" t="s">
        <v>5610</v>
      </c>
      <c r="I2338" s="1"/>
      <c r="J2338" s="1"/>
      <c r="K2338" s="1"/>
    </row>
    <row r="2339" ht="15.75" customHeight="1">
      <c r="A2339" s="2">
        <v>2338.0</v>
      </c>
      <c r="B2339" s="1" t="s">
        <v>3723</v>
      </c>
      <c r="C2339" s="1" t="s">
        <v>4160</v>
      </c>
      <c r="D2339" s="1" t="s">
        <v>431</v>
      </c>
      <c r="E2339" s="2">
        <v>5.70038001411E11</v>
      </c>
      <c r="F2339" s="1" t="s">
        <v>5882</v>
      </c>
      <c r="G2339" s="1" t="s">
        <v>3846</v>
      </c>
      <c r="H2339" s="3" t="s">
        <v>5610</v>
      </c>
      <c r="I2339" s="1"/>
      <c r="J2339" s="1"/>
      <c r="K2339" s="1"/>
    </row>
    <row r="2340" ht="15.75" customHeight="1">
      <c r="A2340" s="2">
        <v>2339.0</v>
      </c>
      <c r="B2340" s="1" t="s">
        <v>5883</v>
      </c>
      <c r="C2340" s="1" t="s">
        <v>5884</v>
      </c>
      <c r="D2340" s="1" t="s">
        <v>5885</v>
      </c>
      <c r="E2340" s="2">
        <v>5.70038001414E11</v>
      </c>
      <c r="F2340" s="1" t="s">
        <v>5886</v>
      </c>
      <c r="G2340" s="1" t="s">
        <v>3846</v>
      </c>
      <c r="H2340" s="3" t="s">
        <v>5610</v>
      </c>
      <c r="I2340" s="1"/>
      <c r="J2340" s="1"/>
      <c r="K2340" s="1"/>
    </row>
    <row r="2341" ht="15.75" customHeight="1">
      <c r="A2341" s="2">
        <v>2340.0</v>
      </c>
      <c r="B2341" s="1" t="s">
        <v>2296</v>
      </c>
      <c r="C2341" s="1" t="s">
        <v>5887</v>
      </c>
      <c r="D2341" s="1" t="s">
        <v>4698</v>
      </c>
      <c r="E2341" s="2">
        <v>5.70038001416E11</v>
      </c>
      <c r="F2341" s="1" t="s">
        <v>5888</v>
      </c>
      <c r="G2341" s="1" t="s">
        <v>3846</v>
      </c>
      <c r="H2341" s="3" t="s">
        <v>5610</v>
      </c>
      <c r="I2341" s="1"/>
      <c r="J2341" s="1"/>
      <c r="K2341" s="1"/>
    </row>
    <row r="2342" ht="15.75" customHeight="1">
      <c r="A2342" s="2">
        <v>2341.0</v>
      </c>
      <c r="B2342" s="1" t="s">
        <v>4947</v>
      </c>
      <c r="C2342" s="1" t="s">
        <v>1545</v>
      </c>
      <c r="D2342" s="1" t="s">
        <v>5889</v>
      </c>
      <c r="E2342" s="2">
        <v>5.70038001417E11</v>
      </c>
      <c r="F2342" s="1" t="s">
        <v>5890</v>
      </c>
      <c r="G2342" s="1" t="s">
        <v>3846</v>
      </c>
      <c r="H2342" s="3" t="s">
        <v>5610</v>
      </c>
      <c r="I2342" s="1"/>
      <c r="J2342" s="1"/>
      <c r="K2342" s="1"/>
    </row>
    <row r="2343" ht="15.75" customHeight="1">
      <c r="A2343" s="2">
        <v>2342.0</v>
      </c>
      <c r="B2343" s="1" t="s">
        <v>5891</v>
      </c>
      <c r="C2343" s="1" t="s">
        <v>877</v>
      </c>
      <c r="D2343" s="1" t="s">
        <v>5892</v>
      </c>
      <c r="E2343" s="2">
        <v>5.70038001419E11</v>
      </c>
      <c r="F2343" s="1" t="s">
        <v>5806</v>
      </c>
      <c r="G2343" s="1" t="s">
        <v>3846</v>
      </c>
      <c r="H2343" s="3" t="s">
        <v>5610</v>
      </c>
      <c r="I2343" s="1"/>
      <c r="J2343" s="1"/>
      <c r="K2343" s="1"/>
    </row>
    <row r="2344" ht="15.75" customHeight="1">
      <c r="A2344" s="2">
        <v>2343.0</v>
      </c>
      <c r="B2344" s="1" t="s">
        <v>1752</v>
      </c>
      <c r="C2344" s="1" t="s">
        <v>1440</v>
      </c>
      <c r="D2344" s="1" t="s">
        <v>5893</v>
      </c>
      <c r="E2344" s="2">
        <v>5.7003800142E11</v>
      </c>
      <c r="F2344" s="1" t="s">
        <v>5894</v>
      </c>
      <c r="G2344" s="1" t="s">
        <v>3846</v>
      </c>
      <c r="H2344" s="3" t="s">
        <v>5610</v>
      </c>
      <c r="I2344" s="1"/>
      <c r="J2344" s="1"/>
      <c r="K2344" s="1"/>
    </row>
    <row r="2345" ht="15.75" customHeight="1">
      <c r="A2345" s="2">
        <v>2344.0</v>
      </c>
      <c r="B2345" s="1" t="s">
        <v>5895</v>
      </c>
      <c r="C2345" s="1" t="s">
        <v>645</v>
      </c>
      <c r="D2345" s="1" t="s">
        <v>5896</v>
      </c>
      <c r="E2345" s="2">
        <v>5.70038001421E11</v>
      </c>
      <c r="F2345" s="1" t="s">
        <v>5897</v>
      </c>
      <c r="G2345" s="1" t="s">
        <v>3846</v>
      </c>
      <c r="H2345" s="3" t="s">
        <v>5610</v>
      </c>
      <c r="I2345" s="1"/>
      <c r="J2345" s="1"/>
      <c r="K2345" s="1"/>
    </row>
    <row r="2346" ht="15.75" customHeight="1">
      <c r="A2346" s="2">
        <v>2345.0</v>
      </c>
      <c r="B2346" s="1" t="s">
        <v>2743</v>
      </c>
      <c r="C2346" s="1" t="s">
        <v>5898</v>
      </c>
      <c r="D2346" s="1" t="s">
        <v>5082</v>
      </c>
      <c r="E2346" s="2">
        <v>5.70038001424E11</v>
      </c>
      <c r="F2346" s="1" t="s">
        <v>5899</v>
      </c>
      <c r="G2346" s="1" t="s">
        <v>3846</v>
      </c>
      <c r="H2346" s="3" t="s">
        <v>5610</v>
      </c>
      <c r="I2346" s="1"/>
      <c r="J2346" s="1"/>
      <c r="K2346" s="1"/>
    </row>
    <row r="2347" ht="15.75" customHeight="1">
      <c r="A2347" s="2">
        <v>2346.0</v>
      </c>
      <c r="B2347" s="1" t="s">
        <v>5900</v>
      </c>
      <c r="C2347" s="1" t="s">
        <v>5317</v>
      </c>
      <c r="D2347" s="1" t="s">
        <v>2230</v>
      </c>
      <c r="E2347" s="2">
        <v>5.70038001425E11</v>
      </c>
      <c r="F2347" s="1" t="s">
        <v>5901</v>
      </c>
      <c r="G2347" s="1" t="s">
        <v>3846</v>
      </c>
      <c r="H2347" s="3" t="s">
        <v>5610</v>
      </c>
      <c r="I2347" s="1"/>
      <c r="J2347" s="1"/>
      <c r="K2347" s="1"/>
    </row>
    <row r="2348" ht="15.75" customHeight="1">
      <c r="A2348" s="2">
        <v>2347.0</v>
      </c>
      <c r="B2348" s="1" t="s">
        <v>5902</v>
      </c>
      <c r="C2348" s="1" t="s">
        <v>1124</v>
      </c>
      <c r="D2348" s="1" t="s">
        <v>2675</v>
      </c>
      <c r="E2348" s="2">
        <v>5.70038001426E11</v>
      </c>
      <c r="F2348" s="1" t="s">
        <v>5903</v>
      </c>
      <c r="G2348" s="1" t="s">
        <v>135</v>
      </c>
      <c r="H2348" s="3" t="s">
        <v>5610</v>
      </c>
      <c r="I2348" s="1"/>
      <c r="J2348" s="1"/>
      <c r="K2348" s="1"/>
    </row>
    <row r="2349" ht="15.75" customHeight="1">
      <c r="A2349" s="2">
        <v>2348.0</v>
      </c>
      <c r="B2349" s="1" t="s">
        <v>3092</v>
      </c>
      <c r="C2349" s="1" t="s">
        <v>1465</v>
      </c>
      <c r="D2349" s="1" t="s">
        <v>2533</v>
      </c>
      <c r="E2349" s="2">
        <v>5.70038001427E11</v>
      </c>
      <c r="F2349" s="1" t="s">
        <v>5904</v>
      </c>
      <c r="G2349" s="1" t="s">
        <v>3846</v>
      </c>
      <c r="H2349" s="3" t="s">
        <v>5610</v>
      </c>
      <c r="I2349" s="1"/>
      <c r="J2349" s="1"/>
      <c r="K2349" s="1"/>
    </row>
    <row r="2350" ht="15.75" customHeight="1">
      <c r="A2350" s="2">
        <v>2349.0</v>
      </c>
      <c r="B2350" s="1" t="s">
        <v>431</v>
      </c>
      <c r="C2350" s="1" t="s">
        <v>5905</v>
      </c>
      <c r="D2350" s="1" t="s">
        <v>5906</v>
      </c>
      <c r="E2350" s="2">
        <v>5.70038001429E11</v>
      </c>
      <c r="F2350" s="1" t="s">
        <v>4450</v>
      </c>
      <c r="G2350" s="1" t="s">
        <v>3846</v>
      </c>
      <c r="H2350" s="3" t="s">
        <v>5907</v>
      </c>
      <c r="I2350" s="1"/>
      <c r="J2350" s="1"/>
      <c r="K2350" s="1"/>
    </row>
    <row r="2351" ht="15.75" customHeight="1">
      <c r="A2351" s="2">
        <v>2350.0</v>
      </c>
      <c r="B2351" s="1" t="s">
        <v>5908</v>
      </c>
      <c r="C2351" s="1" t="s">
        <v>5281</v>
      </c>
      <c r="D2351" s="1" t="s">
        <v>365</v>
      </c>
      <c r="E2351" s="2">
        <v>5.7003800143E11</v>
      </c>
      <c r="F2351" s="1" t="s">
        <v>5909</v>
      </c>
      <c r="G2351" s="1" t="s">
        <v>3846</v>
      </c>
      <c r="H2351" s="3" t="s">
        <v>5610</v>
      </c>
      <c r="I2351" s="1"/>
      <c r="J2351" s="1"/>
      <c r="K2351" s="1"/>
    </row>
    <row r="2352" ht="15.75" customHeight="1">
      <c r="A2352" s="2">
        <v>2351.0</v>
      </c>
      <c r="B2352" s="1" t="s">
        <v>738</v>
      </c>
      <c r="C2352" s="1" t="s">
        <v>5287</v>
      </c>
      <c r="D2352" s="1" t="s">
        <v>179</v>
      </c>
      <c r="E2352" s="2">
        <v>5.70038001433E11</v>
      </c>
      <c r="F2352" s="1" t="s">
        <v>5910</v>
      </c>
      <c r="G2352" s="1" t="s">
        <v>3846</v>
      </c>
      <c r="H2352" s="3" t="s">
        <v>5610</v>
      </c>
      <c r="I2352" s="1"/>
      <c r="J2352" s="1"/>
      <c r="K2352" s="1"/>
    </row>
    <row r="2353" ht="15.75" customHeight="1">
      <c r="A2353" s="2">
        <v>2352.0</v>
      </c>
      <c r="B2353" s="1" t="s">
        <v>1365</v>
      </c>
      <c r="C2353" s="1" t="s">
        <v>1440</v>
      </c>
      <c r="D2353" s="1" t="s">
        <v>5911</v>
      </c>
      <c r="E2353" s="2">
        <v>5.70038001434E11</v>
      </c>
      <c r="F2353" s="1" t="s">
        <v>5912</v>
      </c>
      <c r="G2353" s="1" t="s">
        <v>3846</v>
      </c>
      <c r="H2353" s="3" t="s">
        <v>5610</v>
      </c>
      <c r="I2353" s="1"/>
      <c r="J2353" s="1"/>
      <c r="K2353" s="1"/>
    </row>
    <row r="2354" ht="15.75" customHeight="1">
      <c r="A2354" s="2">
        <v>2353.0</v>
      </c>
      <c r="B2354" s="1" t="s">
        <v>5913</v>
      </c>
      <c r="C2354" s="1" t="s">
        <v>5914</v>
      </c>
      <c r="D2354" s="1" t="s">
        <v>5915</v>
      </c>
      <c r="E2354" s="2">
        <v>5.70038001435E11</v>
      </c>
      <c r="F2354" s="1" t="s">
        <v>5916</v>
      </c>
      <c r="G2354" s="1" t="s">
        <v>135</v>
      </c>
      <c r="H2354" s="3" t="s">
        <v>5610</v>
      </c>
      <c r="I2354" s="1"/>
      <c r="J2354" s="1"/>
      <c r="K2354" s="1"/>
    </row>
    <row r="2355" ht="15.75" customHeight="1">
      <c r="A2355" s="2">
        <v>2354.0</v>
      </c>
      <c r="B2355" s="1" t="s">
        <v>5917</v>
      </c>
      <c r="C2355" s="1" t="s">
        <v>5918</v>
      </c>
      <c r="D2355" s="1" t="s">
        <v>641</v>
      </c>
      <c r="E2355" s="2">
        <v>5.70038001436E11</v>
      </c>
      <c r="F2355" s="1" t="s">
        <v>5919</v>
      </c>
      <c r="G2355" s="1" t="s">
        <v>3846</v>
      </c>
      <c r="H2355" s="3" t="s">
        <v>5610</v>
      </c>
      <c r="I2355" s="1"/>
      <c r="J2355" s="1"/>
      <c r="K2355" s="1"/>
    </row>
    <row r="2356" ht="15.75" customHeight="1">
      <c r="A2356" s="2">
        <v>2355.0</v>
      </c>
      <c r="B2356" s="1" t="s">
        <v>5920</v>
      </c>
      <c r="C2356" s="1" t="s">
        <v>820</v>
      </c>
      <c r="D2356" s="1" t="s">
        <v>335</v>
      </c>
      <c r="E2356" s="2">
        <v>5.70038001437E11</v>
      </c>
      <c r="F2356" s="1" t="s">
        <v>5921</v>
      </c>
      <c r="G2356" s="1" t="s">
        <v>135</v>
      </c>
      <c r="H2356" s="3" t="s">
        <v>5610</v>
      </c>
      <c r="I2356" s="1"/>
      <c r="J2356" s="1"/>
      <c r="K2356" s="1"/>
    </row>
    <row r="2357" ht="15.75" customHeight="1">
      <c r="A2357" s="2">
        <v>2356.0</v>
      </c>
      <c r="B2357" s="1" t="s">
        <v>5922</v>
      </c>
      <c r="C2357" s="1" t="s">
        <v>5923</v>
      </c>
      <c r="D2357" s="1" t="s">
        <v>5924</v>
      </c>
      <c r="E2357" s="2">
        <v>5.7003800144E11</v>
      </c>
      <c r="F2357" s="1" t="s">
        <v>5925</v>
      </c>
      <c r="G2357" s="1" t="s">
        <v>3846</v>
      </c>
      <c r="H2357" s="3" t="s">
        <v>5610</v>
      </c>
      <c r="I2357" s="1"/>
      <c r="J2357" s="1"/>
      <c r="K2357" s="1"/>
    </row>
    <row r="2358" ht="15.75" customHeight="1">
      <c r="A2358" s="2">
        <v>2357.0</v>
      </c>
      <c r="B2358" s="1" t="s">
        <v>5926</v>
      </c>
      <c r="C2358" s="1" t="s">
        <v>5927</v>
      </c>
      <c r="D2358" s="1" t="s">
        <v>4954</v>
      </c>
      <c r="E2358" s="2">
        <v>5.70038001442E11</v>
      </c>
      <c r="F2358" s="1" t="s">
        <v>5928</v>
      </c>
      <c r="G2358" s="1" t="s">
        <v>135</v>
      </c>
      <c r="H2358" s="3" t="s">
        <v>5610</v>
      </c>
      <c r="I2358" s="1"/>
      <c r="J2358" s="1"/>
      <c r="K2358" s="1"/>
    </row>
    <row r="2359" ht="15.75" customHeight="1">
      <c r="A2359" s="2">
        <v>2358.0</v>
      </c>
      <c r="B2359" s="1" t="s">
        <v>1674</v>
      </c>
      <c r="C2359" s="1" t="s">
        <v>516</v>
      </c>
      <c r="D2359" s="1" t="s">
        <v>3249</v>
      </c>
      <c r="E2359" s="2">
        <v>5.70038001445E11</v>
      </c>
      <c r="F2359" s="1" t="s">
        <v>5929</v>
      </c>
      <c r="G2359" s="1" t="s">
        <v>3846</v>
      </c>
      <c r="H2359" s="3" t="s">
        <v>5610</v>
      </c>
      <c r="I2359" s="1"/>
      <c r="J2359" s="1"/>
      <c r="K2359" s="1"/>
    </row>
    <row r="2360" ht="15.75" customHeight="1">
      <c r="A2360" s="2">
        <v>2359.0</v>
      </c>
      <c r="B2360" s="1" t="s">
        <v>1503</v>
      </c>
      <c r="C2360" s="1" t="s">
        <v>1575</v>
      </c>
      <c r="D2360" s="1" t="s">
        <v>5930</v>
      </c>
      <c r="E2360" s="2">
        <v>5.70038001447E11</v>
      </c>
      <c r="F2360" s="1" t="s">
        <v>5931</v>
      </c>
      <c r="G2360" s="1" t="s">
        <v>3846</v>
      </c>
      <c r="H2360" s="3" t="s">
        <v>5610</v>
      </c>
      <c r="I2360" s="1"/>
      <c r="J2360" s="1"/>
      <c r="K2360" s="1"/>
    </row>
    <row r="2361" ht="15.75" customHeight="1">
      <c r="A2361" s="2">
        <v>2360.0</v>
      </c>
      <c r="B2361" s="1" t="s">
        <v>5932</v>
      </c>
      <c r="C2361" s="1" t="s">
        <v>5933</v>
      </c>
      <c r="D2361" s="1" t="s">
        <v>5934</v>
      </c>
      <c r="E2361" s="2">
        <v>5.70038001448E11</v>
      </c>
      <c r="F2361" s="1" t="s">
        <v>5935</v>
      </c>
      <c r="G2361" s="1" t="s">
        <v>3846</v>
      </c>
      <c r="H2361" s="3" t="s">
        <v>5610</v>
      </c>
      <c r="I2361" s="1"/>
      <c r="J2361" s="1"/>
      <c r="K2361" s="1"/>
    </row>
    <row r="2362" ht="15.75" customHeight="1">
      <c r="A2362" s="2">
        <v>2361.0</v>
      </c>
      <c r="B2362" s="1" t="s">
        <v>5936</v>
      </c>
      <c r="C2362" s="1" t="s">
        <v>5937</v>
      </c>
      <c r="D2362" s="1" t="s">
        <v>875</v>
      </c>
      <c r="E2362" s="2">
        <v>5.7003800145E11</v>
      </c>
      <c r="F2362" s="1" t="s">
        <v>5938</v>
      </c>
      <c r="G2362" s="1" t="s">
        <v>3846</v>
      </c>
      <c r="H2362" s="3" t="s">
        <v>5610</v>
      </c>
      <c r="I2362" s="1"/>
      <c r="J2362" s="1"/>
      <c r="K2362" s="1"/>
    </row>
    <row r="2363" ht="15.75" customHeight="1">
      <c r="A2363" s="2">
        <v>2362.0</v>
      </c>
      <c r="B2363" s="1" t="s">
        <v>5939</v>
      </c>
      <c r="C2363" s="1" t="s">
        <v>5940</v>
      </c>
      <c r="D2363" s="1" t="s">
        <v>2151</v>
      </c>
      <c r="E2363" s="2">
        <v>5.70038001453E11</v>
      </c>
      <c r="F2363" s="1" t="s">
        <v>5941</v>
      </c>
      <c r="G2363" s="1" t="s">
        <v>3846</v>
      </c>
      <c r="H2363" s="3" t="s">
        <v>5942</v>
      </c>
      <c r="I2363" s="1"/>
      <c r="J2363" s="1"/>
      <c r="K2363" s="1"/>
    </row>
    <row r="2364" ht="15.75" customHeight="1">
      <c r="A2364" s="2">
        <v>2363.0</v>
      </c>
      <c r="B2364" s="1" t="s">
        <v>1052</v>
      </c>
      <c r="C2364" s="1" t="s">
        <v>5943</v>
      </c>
      <c r="D2364" s="1" t="s">
        <v>2520</v>
      </c>
      <c r="E2364" s="2">
        <v>5.70038001454E11</v>
      </c>
      <c r="F2364" s="1" t="s">
        <v>5580</v>
      </c>
      <c r="G2364" s="1" t="s">
        <v>135</v>
      </c>
      <c r="H2364" s="3" t="s">
        <v>5610</v>
      </c>
      <c r="I2364" s="1"/>
      <c r="J2364" s="1"/>
      <c r="K2364" s="1"/>
    </row>
    <row r="2365" ht="15.75" customHeight="1">
      <c r="A2365" s="2">
        <v>2364.0</v>
      </c>
      <c r="B2365" s="1" t="s">
        <v>2632</v>
      </c>
      <c r="C2365" s="1" t="s">
        <v>516</v>
      </c>
      <c r="D2365" s="1" t="s">
        <v>62</v>
      </c>
      <c r="E2365" s="2">
        <v>5.70038001458E11</v>
      </c>
      <c r="F2365" s="1" t="s">
        <v>5806</v>
      </c>
      <c r="G2365" s="1" t="s">
        <v>3846</v>
      </c>
      <c r="H2365" s="3" t="s">
        <v>5610</v>
      </c>
      <c r="I2365" s="1"/>
      <c r="J2365" s="1"/>
      <c r="K2365" s="1"/>
    </row>
    <row r="2366" ht="15.75" customHeight="1">
      <c r="A2366" s="2">
        <v>2365.0</v>
      </c>
      <c r="B2366" s="1" t="s">
        <v>3159</v>
      </c>
      <c r="C2366" s="1" t="s">
        <v>3844</v>
      </c>
      <c r="D2366" s="1" t="s">
        <v>97</v>
      </c>
      <c r="E2366" s="2">
        <v>5.70038001464E11</v>
      </c>
      <c r="F2366" s="1" t="s">
        <v>5944</v>
      </c>
      <c r="G2366" s="1" t="s">
        <v>135</v>
      </c>
      <c r="H2366" s="3" t="s">
        <v>5610</v>
      </c>
      <c r="I2366" s="1"/>
      <c r="J2366" s="1"/>
      <c r="K2366" s="1"/>
    </row>
    <row r="2367" ht="15.75" customHeight="1">
      <c r="A2367" s="2">
        <v>2366.0</v>
      </c>
      <c r="B2367" s="1" t="s">
        <v>3219</v>
      </c>
      <c r="C2367" s="1" t="s">
        <v>5945</v>
      </c>
      <c r="D2367" s="1" t="s">
        <v>897</v>
      </c>
      <c r="E2367" s="2">
        <v>5.70038001465E11</v>
      </c>
      <c r="F2367" s="1" t="s">
        <v>5946</v>
      </c>
      <c r="G2367" s="1" t="s">
        <v>135</v>
      </c>
      <c r="H2367" s="3" t="s">
        <v>5610</v>
      </c>
      <c r="I2367" s="1"/>
      <c r="J2367" s="1"/>
      <c r="K2367" s="1"/>
    </row>
    <row r="2368" ht="15.75" customHeight="1">
      <c r="A2368" s="2">
        <v>2367.0</v>
      </c>
      <c r="B2368" s="1" t="s">
        <v>5006</v>
      </c>
      <c r="C2368" s="1" t="s">
        <v>5947</v>
      </c>
      <c r="D2368" s="1" t="s">
        <v>177</v>
      </c>
      <c r="E2368" s="2">
        <v>5.70038001466E11</v>
      </c>
      <c r="F2368" s="1" t="s">
        <v>5948</v>
      </c>
      <c r="G2368" s="1" t="s">
        <v>3846</v>
      </c>
      <c r="H2368" s="3" t="s">
        <v>5610</v>
      </c>
      <c r="I2368" s="1"/>
      <c r="J2368" s="1"/>
      <c r="K2368" s="1"/>
    </row>
    <row r="2369" ht="15.75" customHeight="1">
      <c r="A2369" s="2">
        <v>2368.0</v>
      </c>
      <c r="B2369" s="1" t="s">
        <v>5949</v>
      </c>
      <c r="C2369" s="1" t="s">
        <v>5950</v>
      </c>
      <c r="D2369" s="1" t="s">
        <v>5951</v>
      </c>
      <c r="E2369" s="2">
        <v>5.70038001467E11</v>
      </c>
      <c r="F2369" s="1" t="s">
        <v>5168</v>
      </c>
      <c r="G2369" s="1" t="s">
        <v>3846</v>
      </c>
      <c r="H2369" s="3" t="s">
        <v>5610</v>
      </c>
      <c r="I2369" s="1"/>
      <c r="J2369" s="1"/>
      <c r="K2369" s="1"/>
    </row>
    <row r="2370" ht="15.75" customHeight="1">
      <c r="A2370" s="2">
        <v>2369.0</v>
      </c>
      <c r="B2370" s="1" t="s">
        <v>5952</v>
      </c>
      <c r="C2370" s="1" t="s">
        <v>4893</v>
      </c>
      <c r="D2370" s="1" t="s">
        <v>2801</v>
      </c>
      <c r="E2370" s="2">
        <v>5.70038001471E11</v>
      </c>
      <c r="F2370" s="1" t="s">
        <v>5772</v>
      </c>
      <c r="G2370" s="1" t="s">
        <v>3846</v>
      </c>
      <c r="H2370" s="3" t="s">
        <v>5610</v>
      </c>
      <c r="I2370" s="1"/>
      <c r="J2370" s="1"/>
      <c r="K2370" s="1"/>
    </row>
    <row r="2371" ht="15.75" customHeight="1">
      <c r="A2371" s="2">
        <v>2370.0</v>
      </c>
      <c r="B2371" s="1" t="s">
        <v>5953</v>
      </c>
      <c r="C2371" s="1" t="s">
        <v>5138</v>
      </c>
      <c r="D2371" s="1" t="s">
        <v>4199</v>
      </c>
      <c r="E2371" s="2">
        <v>5.70038001472E11</v>
      </c>
      <c r="F2371" s="1" t="s">
        <v>5954</v>
      </c>
      <c r="G2371" s="1" t="s">
        <v>135</v>
      </c>
      <c r="H2371" s="3" t="s">
        <v>5610</v>
      </c>
      <c r="I2371" s="1"/>
      <c r="J2371" s="1"/>
      <c r="K2371" s="1"/>
    </row>
    <row r="2372" ht="15.75" customHeight="1">
      <c r="A2372" s="2">
        <v>2371.0</v>
      </c>
      <c r="B2372" s="1" t="s">
        <v>5955</v>
      </c>
      <c r="C2372" s="1" t="s">
        <v>1570</v>
      </c>
      <c r="D2372" s="1" t="s">
        <v>5956</v>
      </c>
      <c r="E2372" s="2">
        <v>5.70038001473E11</v>
      </c>
      <c r="F2372" s="1" t="s">
        <v>5957</v>
      </c>
      <c r="G2372" s="1" t="s">
        <v>135</v>
      </c>
      <c r="H2372" s="3" t="s">
        <v>5610</v>
      </c>
      <c r="I2372" s="1"/>
      <c r="J2372" s="1"/>
      <c r="K2372" s="1"/>
    </row>
    <row r="2373" ht="15.75" customHeight="1">
      <c r="A2373" s="2">
        <v>2372.0</v>
      </c>
      <c r="B2373" s="1" t="s">
        <v>5335</v>
      </c>
      <c r="C2373" s="1" t="s">
        <v>5958</v>
      </c>
      <c r="D2373" s="1" t="s">
        <v>269</v>
      </c>
      <c r="E2373" s="2">
        <v>5.70038001474E11</v>
      </c>
      <c r="F2373" s="1" t="s">
        <v>5959</v>
      </c>
      <c r="G2373" s="1" t="s">
        <v>135</v>
      </c>
      <c r="H2373" s="3" t="s">
        <v>5610</v>
      </c>
      <c r="I2373" s="1"/>
      <c r="J2373" s="1"/>
      <c r="K2373" s="1"/>
    </row>
    <row r="2374" ht="15.75" customHeight="1">
      <c r="A2374" s="2">
        <v>2373.0</v>
      </c>
      <c r="B2374" s="1" t="s">
        <v>2265</v>
      </c>
      <c r="C2374" s="1" t="s">
        <v>5960</v>
      </c>
      <c r="D2374" s="1" t="s">
        <v>50</v>
      </c>
      <c r="E2374" s="2">
        <v>5.70038001475E11</v>
      </c>
      <c r="F2374" s="1" t="s">
        <v>5961</v>
      </c>
      <c r="G2374" s="1" t="s">
        <v>3846</v>
      </c>
      <c r="H2374" s="3" t="s">
        <v>5610</v>
      </c>
      <c r="I2374" s="1"/>
      <c r="J2374" s="1"/>
      <c r="K2374" s="1"/>
    </row>
    <row r="2375" ht="15.75" customHeight="1">
      <c r="A2375" s="1">
        <v>2374.0</v>
      </c>
      <c r="B2375" s="1" t="s">
        <v>5962</v>
      </c>
      <c r="C2375" s="1" t="s">
        <v>911</v>
      </c>
      <c r="D2375" s="1" t="s">
        <v>1548</v>
      </c>
      <c r="E2375" s="1">
        <v>5.70038001478E11</v>
      </c>
      <c r="F2375" s="1" t="s">
        <v>5580</v>
      </c>
      <c r="G2375" s="1" t="s">
        <v>135</v>
      </c>
      <c r="H2375" s="1" t="s">
        <v>867</v>
      </c>
      <c r="I2375" s="1" t="s">
        <v>3038</v>
      </c>
      <c r="J2375" s="1" t="s">
        <v>3848</v>
      </c>
      <c r="K2375" s="1"/>
    </row>
    <row r="2376" ht="15.75" customHeight="1">
      <c r="A2376" s="1">
        <v>2375.0</v>
      </c>
      <c r="B2376" s="1" t="s">
        <v>5963</v>
      </c>
      <c r="C2376" s="1" t="s">
        <v>5964</v>
      </c>
      <c r="D2376" s="1" t="s">
        <v>5965</v>
      </c>
      <c r="E2376" s="1">
        <v>5.7003800148E11</v>
      </c>
      <c r="F2376" s="1" t="s">
        <v>5768</v>
      </c>
      <c r="G2376" s="1" t="s">
        <v>3846</v>
      </c>
      <c r="H2376" s="1" t="s">
        <v>867</v>
      </c>
      <c r="I2376" s="1" t="s">
        <v>3038</v>
      </c>
      <c r="J2376" s="1" t="s">
        <v>3848</v>
      </c>
      <c r="K2376" s="1"/>
    </row>
    <row r="2377" ht="15.75" customHeight="1">
      <c r="A2377" s="1">
        <v>2376.0</v>
      </c>
      <c r="B2377" s="1" t="s">
        <v>5305</v>
      </c>
      <c r="C2377" s="1" t="s">
        <v>5966</v>
      </c>
      <c r="D2377" s="1" t="s">
        <v>5967</v>
      </c>
      <c r="E2377" s="1">
        <v>5.70038001482E11</v>
      </c>
      <c r="F2377" s="1" t="s">
        <v>5968</v>
      </c>
      <c r="G2377" s="1" t="s">
        <v>3846</v>
      </c>
      <c r="H2377" s="1" t="s">
        <v>867</v>
      </c>
      <c r="I2377" s="1" t="s">
        <v>3038</v>
      </c>
      <c r="J2377" s="1" t="s">
        <v>3848</v>
      </c>
      <c r="K2377" s="1"/>
    </row>
    <row r="2378" ht="15.75" customHeight="1">
      <c r="A2378" s="1">
        <v>2377.0</v>
      </c>
      <c r="B2378" s="1" t="s">
        <v>18</v>
      </c>
      <c r="C2378" s="1" t="s">
        <v>5969</v>
      </c>
      <c r="D2378" s="1" t="s">
        <v>97</v>
      </c>
      <c r="E2378" s="1">
        <v>5.70038001483E11</v>
      </c>
      <c r="F2378" s="1" t="s">
        <v>17</v>
      </c>
      <c r="G2378" s="1" t="s">
        <v>3846</v>
      </c>
      <c r="H2378" s="1" t="s">
        <v>867</v>
      </c>
      <c r="I2378" s="1" t="s">
        <v>3038</v>
      </c>
      <c r="J2378" s="1" t="s">
        <v>3848</v>
      </c>
      <c r="K2378" s="1"/>
    </row>
    <row r="2379" ht="15.75" customHeight="1">
      <c r="A2379" s="1">
        <v>2378.0</v>
      </c>
      <c r="B2379" s="1" t="s">
        <v>5970</v>
      </c>
      <c r="C2379" s="1" t="s">
        <v>5971</v>
      </c>
      <c r="D2379" s="1" t="s">
        <v>5972</v>
      </c>
      <c r="E2379" s="1">
        <v>5.70038001489E11</v>
      </c>
      <c r="F2379" s="1" t="s">
        <v>5973</v>
      </c>
      <c r="G2379" s="1" t="s">
        <v>3846</v>
      </c>
      <c r="H2379" s="1" t="s">
        <v>867</v>
      </c>
      <c r="I2379" s="1" t="s">
        <v>3038</v>
      </c>
      <c r="J2379" s="1" t="s">
        <v>3848</v>
      </c>
      <c r="K2379" s="1"/>
    </row>
    <row r="2380" ht="15.75" customHeight="1">
      <c r="A2380" s="1">
        <v>2379.0</v>
      </c>
      <c r="B2380" s="1" t="s">
        <v>3699</v>
      </c>
      <c r="C2380" s="1" t="s">
        <v>5974</v>
      </c>
      <c r="D2380" s="1" t="s">
        <v>161</v>
      </c>
      <c r="E2380" s="1">
        <v>5.7003800149E11</v>
      </c>
      <c r="F2380" s="1" t="s">
        <v>5975</v>
      </c>
      <c r="G2380" s="1" t="s">
        <v>135</v>
      </c>
      <c r="H2380" s="1" t="s">
        <v>867</v>
      </c>
      <c r="I2380" s="1" t="s">
        <v>3038</v>
      </c>
      <c r="J2380" s="1" t="s">
        <v>3848</v>
      </c>
      <c r="K2380" s="1"/>
    </row>
    <row r="2381" ht="15.75" customHeight="1">
      <c r="A2381" s="1">
        <v>2380.0</v>
      </c>
      <c r="B2381" s="1" t="s">
        <v>3486</v>
      </c>
      <c r="C2381" s="1" t="s">
        <v>5976</v>
      </c>
      <c r="D2381" s="1" t="s">
        <v>1754</v>
      </c>
      <c r="E2381" s="1">
        <v>5.70038001492E11</v>
      </c>
      <c r="F2381" s="1" t="s">
        <v>5977</v>
      </c>
      <c r="G2381" s="1" t="s">
        <v>3846</v>
      </c>
      <c r="H2381" s="1" t="s">
        <v>867</v>
      </c>
      <c r="I2381" s="1" t="s">
        <v>3038</v>
      </c>
      <c r="J2381" s="1" t="s">
        <v>3848</v>
      </c>
      <c r="K2381" s="1"/>
    </row>
    <row r="2382" ht="15.75" customHeight="1">
      <c r="A2382" s="1">
        <v>2381.0</v>
      </c>
      <c r="B2382" s="1" t="s">
        <v>5978</v>
      </c>
      <c r="C2382" s="1" t="s">
        <v>5979</v>
      </c>
      <c r="D2382" s="1" t="s">
        <v>5980</v>
      </c>
      <c r="E2382" s="1">
        <v>5.70038001495E11</v>
      </c>
      <c r="F2382" s="1" t="s">
        <v>5981</v>
      </c>
      <c r="G2382" s="1" t="s">
        <v>3846</v>
      </c>
      <c r="H2382" s="1" t="s">
        <v>867</v>
      </c>
      <c r="I2382" s="1" t="s">
        <v>3038</v>
      </c>
      <c r="J2382" s="1" t="s">
        <v>3848</v>
      </c>
      <c r="K2382" s="1"/>
    </row>
    <row r="2383" ht="15.75" customHeight="1">
      <c r="A2383" s="1">
        <v>2382.0</v>
      </c>
      <c r="B2383" s="1" t="s">
        <v>4619</v>
      </c>
      <c r="C2383" s="1" t="s">
        <v>5982</v>
      </c>
      <c r="D2383" s="1" t="s">
        <v>290</v>
      </c>
      <c r="E2383" s="1">
        <v>5.70038001496E11</v>
      </c>
      <c r="F2383" s="1" t="s">
        <v>5983</v>
      </c>
      <c r="G2383" s="1" t="s">
        <v>3846</v>
      </c>
      <c r="H2383" s="1" t="s">
        <v>867</v>
      </c>
      <c r="I2383" s="1" t="s">
        <v>3038</v>
      </c>
      <c r="J2383" s="1" t="s">
        <v>3848</v>
      </c>
      <c r="K2383" s="1"/>
    </row>
    <row r="2384" ht="15.75" customHeight="1">
      <c r="A2384" s="1">
        <v>2383.0</v>
      </c>
      <c r="B2384" s="1" t="s">
        <v>5220</v>
      </c>
      <c r="C2384" s="1" t="s">
        <v>5164</v>
      </c>
      <c r="D2384" s="1" t="s">
        <v>1240</v>
      </c>
      <c r="E2384" s="1">
        <v>5.70038001502E11</v>
      </c>
      <c r="F2384" s="1" t="s">
        <v>5984</v>
      </c>
      <c r="G2384" s="1" t="s">
        <v>3846</v>
      </c>
      <c r="H2384" s="1" t="s">
        <v>867</v>
      </c>
      <c r="I2384" s="1" t="s">
        <v>3038</v>
      </c>
      <c r="J2384" s="1" t="s">
        <v>3848</v>
      </c>
      <c r="K2384" s="1"/>
    </row>
    <row r="2385" ht="15.75" customHeight="1">
      <c r="A2385" s="1">
        <v>2384.0</v>
      </c>
      <c r="B2385" s="1" t="s">
        <v>5985</v>
      </c>
      <c r="C2385" s="1" t="s">
        <v>5986</v>
      </c>
      <c r="D2385" s="1" t="s">
        <v>5987</v>
      </c>
      <c r="E2385" s="1">
        <v>5.70038001503E11</v>
      </c>
      <c r="F2385" s="1" t="s">
        <v>5988</v>
      </c>
      <c r="G2385" s="1" t="s">
        <v>3846</v>
      </c>
      <c r="H2385" s="1" t="s">
        <v>867</v>
      </c>
      <c r="I2385" s="1" t="s">
        <v>3038</v>
      </c>
      <c r="J2385" s="1" t="s">
        <v>3848</v>
      </c>
      <c r="K2385" s="1"/>
    </row>
    <row r="2386" ht="15.75" customHeight="1">
      <c r="A2386" s="1">
        <v>2385.0</v>
      </c>
      <c r="B2386" s="1" t="s">
        <v>4955</v>
      </c>
      <c r="C2386" s="1" t="s">
        <v>5989</v>
      </c>
      <c r="D2386" s="1" t="s">
        <v>2237</v>
      </c>
      <c r="E2386" s="1">
        <v>5.70038001504E11</v>
      </c>
      <c r="F2386" s="1" t="s">
        <v>5990</v>
      </c>
      <c r="G2386" s="1" t="s">
        <v>3846</v>
      </c>
      <c r="H2386" s="1" t="s">
        <v>867</v>
      </c>
      <c r="I2386" s="1" t="s">
        <v>3038</v>
      </c>
      <c r="J2386" s="1" t="s">
        <v>3848</v>
      </c>
      <c r="K2386" s="1"/>
    </row>
    <row r="2387" ht="15.75" customHeight="1">
      <c r="A2387" s="1">
        <v>2386.0</v>
      </c>
      <c r="B2387" s="1" t="s">
        <v>5991</v>
      </c>
      <c r="C2387" s="1" t="s">
        <v>5992</v>
      </c>
      <c r="D2387" s="1" t="s">
        <v>2826</v>
      </c>
      <c r="E2387" s="1">
        <v>5.70038001505E11</v>
      </c>
      <c r="F2387" s="1" t="s">
        <v>5993</v>
      </c>
      <c r="G2387" s="1" t="s">
        <v>135</v>
      </c>
      <c r="H2387" s="1" t="s">
        <v>867</v>
      </c>
      <c r="I2387" s="1" t="s">
        <v>3038</v>
      </c>
      <c r="J2387" s="1" t="s">
        <v>3848</v>
      </c>
      <c r="K2387" s="1"/>
    </row>
    <row r="2388" ht="15.75" customHeight="1">
      <c r="A2388" s="1">
        <v>2387.0</v>
      </c>
      <c r="B2388" s="1" t="s">
        <v>5668</v>
      </c>
      <c r="C2388" s="1" t="s">
        <v>3844</v>
      </c>
      <c r="D2388" s="1" t="s">
        <v>5994</v>
      </c>
      <c r="E2388" s="1">
        <v>5.70038001507E11</v>
      </c>
      <c r="F2388" s="1" t="s">
        <v>5995</v>
      </c>
      <c r="G2388" s="1" t="s">
        <v>135</v>
      </c>
      <c r="H2388" s="1" t="s">
        <v>867</v>
      </c>
      <c r="I2388" s="1" t="s">
        <v>3038</v>
      </c>
      <c r="J2388" s="1" t="s">
        <v>3848</v>
      </c>
      <c r="K2388" s="1"/>
    </row>
    <row r="2389" ht="15.75" customHeight="1">
      <c r="A2389" s="1">
        <v>2388.0</v>
      </c>
      <c r="B2389" s="1" t="s">
        <v>5996</v>
      </c>
      <c r="C2389" s="1" t="s">
        <v>4823</v>
      </c>
      <c r="D2389" s="1" t="s">
        <v>1720</v>
      </c>
      <c r="E2389" s="1">
        <v>5.70038001508E11</v>
      </c>
      <c r="F2389" s="1" t="s">
        <v>5377</v>
      </c>
      <c r="G2389" s="1" t="s">
        <v>3846</v>
      </c>
      <c r="H2389" s="1" t="s">
        <v>867</v>
      </c>
      <c r="I2389" s="1" t="s">
        <v>3038</v>
      </c>
      <c r="J2389" s="1" t="s">
        <v>3848</v>
      </c>
      <c r="K2389" s="1"/>
    </row>
    <row r="2390" ht="15.75" customHeight="1">
      <c r="A2390" s="1">
        <v>2389.0</v>
      </c>
      <c r="B2390" s="1" t="s">
        <v>2683</v>
      </c>
      <c r="C2390" s="1" t="s">
        <v>4517</v>
      </c>
      <c r="D2390" s="1" t="s">
        <v>10</v>
      </c>
      <c r="E2390" s="1">
        <v>5.70038001515E11</v>
      </c>
      <c r="F2390" s="1" t="s">
        <v>5997</v>
      </c>
      <c r="G2390" s="1" t="s">
        <v>3846</v>
      </c>
      <c r="H2390" s="1" t="s">
        <v>867</v>
      </c>
      <c r="I2390" s="1" t="s">
        <v>3038</v>
      </c>
      <c r="J2390" s="1" t="s">
        <v>3848</v>
      </c>
      <c r="K2390" s="1"/>
    </row>
    <row r="2391" ht="15.75" customHeight="1">
      <c r="A2391" s="1">
        <v>2390.0</v>
      </c>
      <c r="B2391" s="1" t="s">
        <v>462</v>
      </c>
      <c r="C2391" s="1" t="s">
        <v>5998</v>
      </c>
      <c r="D2391" s="1" t="s">
        <v>258</v>
      </c>
      <c r="E2391" s="1">
        <v>5.70038001517E11</v>
      </c>
      <c r="F2391" s="1" t="s">
        <v>5999</v>
      </c>
      <c r="G2391" s="1" t="s">
        <v>3846</v>
      </c>
      <c r="H2391" s="1" t="s">
        <v>867</v>
      </c>
      <c r="I2391" s="1" t="s">
        <v>3038</v>
      </c>
      <c r="J2391" s="1" t="s">
        <v>3848</v>
      </c>
      <c r="K2391" s="1"/>
    </row>
    <row r="2392" ht="15.75" customHeight="1">
      <c r="A2392" s="1">
        <v>2391.0</v>
      </c>
      <c r="B2392" s="1" t="s">
        <v>6000</v>
      </c>
      <c r="C2392" s="1" t="s">
        <v>6001</v>
      </c>
      <c r="D2392" s="1" t="s">
        <v>1765</v>
      </c>
      <c r="E2392" s="1">
        <v>5.7003800152E11</v>
      </c>
      <c r="F2392" s="1" t="s">
        <v>6002</v>
      </c>
      <c r="G2392" s="1" t="s">
        <v>135</v>
      </c>
      <c r="H2392" s="1" t="s">
        <v>867</v>
      </c>
      <c r="I2392" s="1" t="s">
        <v>3038</v>
      </c>
      <c r="J2392" s="1" t="s">
        <v>3848</v>
      </c>
      <c r="K2392" s="1"/>
    </row>
    <row r="2393" ht="15.75" customHeight="1">
      <c r="A2393" s="1">
        <v>2392.0</v>
      </c>
      <c r="B2393" s="1" t="s">
        <v>6003</v>
      </c>
      <c r="C2393" s="1" t="s">
        <v>6004</v>
      </c>
      <c r="D2393" s="1" t="s">
        <v>324</v>
      </c>
      <c r="E2393" s="1">
        <v>5.70038001531E11</v>
      </c>
      <c r="F2393" s="1" t="s">
        <v>6005</v>
      </c>
      <c r="G2393" s="1" t="s">
        <v>135</v>
      </c>
      <c r="H2393" s="1" t="s">
        <v>867</v>
      </c>
      <c r="I2393" s="1" t="s">
        <v>3038</v>
      </c>
      <c r="J2393" s="1" t="s">
        <v>3848</v>
      </c>
      <c r="K2393" s="1"/>
    </row>
    <row r="2394" ht="15.75" customHeight="1">
      <c r="A2394" s="1">
        <v>2393.0</v>
      </c>
      <c r="B2394" s="1" t="s">
        <v>5533</v>
      </c>
      <c r="C2394" s="1" t="s">
        <v>5751</v>
      </c>
      <c r="D2394" s="1" t="s">
        <v>290</v>
      </c>
      <c r="E2394" s="1">
        <v>5.70038001532E11</v>
      </c>
      <c r="F2394" s="1" t="s">
        <v>6006</v>
      </c>
      <c r="G2394" s="1" t="s">
        <v>135</v>
      </c>
      <c r="H2394" s="1" t="s">
        <v>867</v>
      </c>
      <c r="I2394" s="1" t="s">
        <v>3038</v>
      </c>
      <c r="J2394" s="1" t="s">
        <v>3848</v>
      </c>
      <c r="K2394" s="1"/>
    </row>
    <row r="2395" ht="15.75" customHeight="1">
      <c r="A2395" s="1">
        <v>2394.0</v>
      </c>
      <c r="B2395" s="1" t="s">
        <v>6007</v>
      </c>
      <c r="C2395" s="1" t="s">
        <v>5317</v>
      </c>
      <c r="D2395" s="1" t="s">
        <v>3486</v>
      </c>
      <c r="E2395" s="1">
        <v>5.70038001536E11</v>
      </c>
      <c r="F2395" s="1" t="s">
        <v>6008</v>
      </c>
      <c r="G2395" s="1" t="s">
        <v>3846</v>
      </c>
      <c r="H2395" s="1" t="s">
        <v>867</v>
      </c>
      <c r="I2395" s="1" t="s">
        <v>3038</v>
      </c>
      <c r="J2395" s="1" t="s">
        <v>3848</v>
      </c>
      <c r="K2395" s="1"/>
    </row>
    <row r="2396" ht="15.75" customHeight="1">
      <c r="A2396" s="1">
        <v>2395.0</v>
      </c>
      <c r="B2396" s="1" t="s">
        <v>3486</v>
      </c>
      <c r="C2396" s="1" t="s">
        <v>6009</v>
      </c>
      <c r="D2396" s="1" t="s">
        <v>6010</v>
      </c>
      <c r="E2396" s="1">
        <v>5.70038001537E11</v>
      </c>
      <c r="F2396" s="1" t="s">
        <v>6011</v>
      </c>
      <c r="G2396" s="1" t="s">
        <v>3846</v>
      </c>
      <c r="H2396" s="1" t="s">
        <v>867</v>
      </c>
      <c r="I2396" s="1" t="s">
        <v>3038</v>
      </c>
      <c r="J2396" s="1" t="s">
        <v>3848</v>
      </c>
      <c r="K2396" s="1"/>
    </row>
    <row r="2397" ht="15.75" customHeight="1">
      <c r="A2397" s="1">
        <v>2396.0</v>
      </c>
      <c r="B2397" s="1" t="s">
        <v>6012</v>
      </c>
      <c r="C2397" s="1" t="s">
        <v>6013</v>
      </c>
      <c r="D2397" s="1" t="s">
        <v>6014</v>
      </c>
      <c r="E2397" s="1">
        <v>5.70038001538E11</v>
      </c>
      <c r="F2397" s="1" t="s">
        <v>6015</v>
      </c>
      <c r="G2397" s="1" t="s">
        <v>3846</v>
      </c>
      <c r="H2397" s="1" t="s">
        <v>867</v>
      </c>
      <c r="I2397" s="1" t="s">
        <v>3038</v>
      </c>
      <c r="J2397" s="1" t="s">
        <v>3848</v>
      </c>
      <c r="K2397" s="1"/>
    </row>
    <row r="2398" ht="15.75" customHeight="1">
      <c r="A2398" s="1">
        <v>2397.0</v>
      </c>
      <c r="B2398" s="1" t="s">
        <v>6016</v>
      </c>
      <c r="C2398" s="1" t="s">
        <v>6017</v>
      </c>
      <c r="D2398" s="1" t="s">
        <v>1219</v>
      </c>
      <c r="E2398" s="1">
        <v>5.70038001539E11</v>
      </c>
      <c r="F2398" s="1" t="s">
        <v>6018</v>
      </c>
      <c r="G2398" s="1" t="s">
        <v>3846</v>
      </c>
      <c r="H2398" s="1" t="s">
        <v>867</v>
      </c>
      <c r="I2398" s="1" t="s">
        <v>3038</v>
      </c>
      <c r="J2398" s="1" t="s">
        <v>3848</v>
      </c>
      <c r="K2398" s="1"/>
    </row>
    <row r="2399" ht="15.75" customHeight="1">
      <c r="A2399" s="1">
        <v>2398.0</v>
      </c>
      <c r="B2399" s="1" t="s">
        <v>2500</v>
      </c>
      <c r="C2399" s="1" t="s">
        <v>2686</v>
      </c>
      <c r="D2399" s="1" t="s">
        <v>445</v>
      </c>
      <c r="E2399" s="1">
        <v>5.7003800154E11</v>
      </c>
      <c r="F2399" s="1" t="s">
        <v>6019</v>
      </c>
      <c r="G2399" s="1" t="s">
        <v>3846</v>
      </c>
      <c r="H2399" s="1" t="s">
        <v>867</v>
      </c>
      <c r="I2399" s="1" t="s">
        <v>3038</v>
      </c>
      <c r="J2399" s="1" t="s">
        <v>3848</v>
      </c>
      <c r="K2399" s="1"/>
    </row>
    <row r="2400" ht="15.75" customHeight="1">
      <c r="A2400" s="1">
        <v>2399.0</v>
      </c>
      <c r="B2400" s="1" t="s">
        <v>1869</v>
      </c>
      <c r="C2400" s="1" t="s">
        <v>6020</v>
      </c>
      <c r="D2400" s="1" t="s">
        <v>1956</v>
      </c>
      <c r="E2400" s="1">
        <v>5.70038001544E11</v>
      </c>
      <c r="F2400" s="1" t="s">
        <v>6021</v>
      </c>
      <c r="G2400" s="1" t="s">
        <v>135</v>
      </c>
      <c r="H2400" s="1" t="s">
        <v>867</v>
      </c>
      <c r="I2400" s="1" t="s">
        <v>3038</v>
      </c>
      <c r="J2400" s="1" t="s">
        <v>3848</v>
      </c>
      <c r="K2400" s="1"/>
    </row>
    <row r="2401" ht="15.75" customHeight="1">
      <c r="A2401" s="1">
        <v>2400.0</v>
      </c>
      <c r="B2401" s="1" t="s">
        <v>331</v>
      </c>
      <c r="C2401" s="1" t="s">
        <v>4660</v>
      </c>
      <c r="D2401" s="1" t="s">
        <v>324</v>
      </c>
      <c r="E2401" s="1">
        <v>5.70038001546E11</v>
      </c>
      <c r="F2401" s="1" t="s">
        <v>6022</v>
      </c>
      <c r="G2401" s="1" t="s">
        <v>3846</v>
      </c>
      <c r="H2401" s="1" t="s">
        <v>867</v>
      </c>
      <c r="I2401" s="1" t="s">
        <v>3038</v>
      </c>
      <c r="J2401" s="1" t="s">
        <v>3848</v>
      </c>
      <c r="K2401" s="1"/>
    </row>
    <row r="2402" ht="15.75" customHeight="1">
      <c r="A2402" s="1">
        <v>2401.0</v>
      </c>
      <c r="B2402" s="1" t="s">
        <v>6023</v>
      </c>
      <c r="C2402" s="1" t="s">
        <v>6024</v>
      </c>
      <c r="D2402" s="1" t="s">
        <v>6025</v>
      </c>
      <c r="E2402" s="1">
        <v>5.70038001547E11</v>
      </c>
      <c r="F2402" s="1" t="s">
        <v>6026</v>
      </c>
      <c r="G2402" s="1" t="s">
        <v>3846</v>
      </c>
      <c r="H2402" s="1" t="s">
        <v>867</v>
      </c>
      <c r="I2402" s="1" t="s">
        <v>3038</v>
      </c>
      <c r="J2402" s="1" t="s">
        <v>3848</v>
      </c>
      <c r="K2402" s="1"/>
    </row>
    <row r="2403" ht="15.75" customHeight="1">
      <c r="A2403" s="1">
        <v>2402.0</v>
      </c>
      <c r="B2403" s="1" t="s">
        <v>6027</v>
      </c>
      <c r="C2403" s="1" t="s">
        <v>6028</v>
      </c>
      <c r="D2403" s="1" t="s">
        <v>6029</v>
      </c>
      <c r="E2403" s="1">
        <v>5.70038001548E11</v>
      </c>
      <c r="F2403" s="1" t="s">
        <v>6030</v>
      </c>
      <c r="G2403" s="1" t="s">
        <v>3846</v>
      </c>
      <c r="H2403" s="1" t="s">
        <v>867</v>
      </c>
      <c r="I2403" s="1" t="s">
        <v>3038</v>
      </c>
      <c r="J2403" s="1" t="s">
        <v>3848</v>
      </c>
      <c r="K2403" s="1"/>
    </row>
    <row r="2404" ht="15.75" customHeight="1">
      <c r="A2404" s="1">
        <v>2403.0</v>
      </c>
      <c r="B2404" s="1" t="s">
        <v>6031</v>
      </c>
      <c r="C2404" s="1" t="s">
        <v>6032</v>
      </c>
      <c r="D2404" s="1" t="s">
        <v>6033</v>
      </c>
      <c r="E2404" s="1">
        <v>5.70038001549E11</v>
      </c>
      <c r="F2404" s="1" t="s">
        <v>6034</v>
      </c>
      <c r="G2404" s="1" t="s">
        <v>135</v>
      </c>
      <c r="H2404" s="1" t="s">
        <v>867</v>
      </c>
      <c r="I2404" s="1" t="s">
        <v>3038</v>
      </c>
      <c r="J2404" s="1" t="s">
        <v>3848</v>
      </c>
      <c r="K2404" s="1"/>
    </row>
    <row r="2405" ht="15.75" customHeight="1">
      <c r="A2405" s="1">
        <v>2404.0</v>
      </c>
      <c r="B2405" s="1" t="s">
        <v>6035</v>
      </c>
      <c r="C2405" s="1" t="s">
        <v>911</v>
      </c>
      <c r="D2405" s="1" t="s">
        <v>725</v>
      </c>
      <c r="E2405" s="1">
        <v>5.70038001552E11</v>
      </c>
      <c r="F2405" s="1" t="s">
        <v>6036</v>
      </c>
      <c r="G2405" s="1" t="s">
        <v>135</v>
      </c>
      <c r="H2405" s="1" t="s">
        <v>867</v>
      </c>
      <c r="I2405" s="1" t="s">
        <v>3038</v>
      </c>
      <c r="J2405" s="1" t="s">
        <v>3848</v>
      </c>
      <c r="K2405" s="1"/>
    </row>
    <row r="2406" ht="15.75" customHeight="1">
      <c r="A2406" s="1">
        <v>2405.0</v>
      </c>
      <c r="B2406" s="1" t="s">
        <v>6037</v>
      </c>
      <c r="C2406" s="1" t="s">
        <v>6038</v>
      </c>
      <c r="D2406" s="1" t="s">
        <v>6039</v>
      </c>
      <c r="E2406" s="1">
        <v>5.70038001554E11</v>
      </c>
      <c r="F2406" s="1" t="s">
        <v>6040</v>
      </c>
      <c r="G2406" s="1" t="s">
        <v>3846</v>
      </c>
      <c r="H2406" s="1" t="s">
        <v>867</v>
      </c>
      <c r="I2406" s="1" t="s">
        <v>3038</v>
      </c>
      <c r="J2406" s="1" t="s">
        <v>3848</v>
      </c>
      <c r="K2406" s="1"/>
    </row>
    <row r="2407" ht="15.75" customHeight="1">
      <c r="A2407" s="1">
        <v>2406.0</v>
      </c>
      <c r="B2407" s="1" t="s">
        <v>6041</v>
      </c>
      <c r="C2407" s="1" t="s">
        <v>6042</v>
      </c>
      <c r="D2407" s="1" t="s">
        <v>1197</v>
      </c>
      <c r="E2407" s="1">
        <v>5.70038001556E11</v>
      </c>
      <c r="F2407" s="1" t="s">
        <v>5366</v>
      </c>
      <c r="G2407" s="1" t="s">
        <v>3846</v>
      </c>
      <c r="H2407" s="1" t="s">
        <v>867</v>
      </c>
      <c r="I2407" s="1" t="s">
        <v>3038</v>
      </c>
      <c r="J2407" s="1" t="s">
        <v>3848</v>
      </c>
      <c r="K2407" s="1"/>
    </row>
    <row r="2408" ht="15.75" customHeight="1">
      <c r="A2408" s="1">
        <v>2407.0</v>
      </c>
      <c r="B2408" s="1" t="s">
        <v>6043</v>
      </c>
      <c r="C2408" s="1" t="s">
        <v>369</v>
      </c>
      <c r="D2408" s="1" t="s">
        <v>6044</v>
      </c>
      <c r="E2408" s="1">
        <v>5.70038001557E11</v>
      </c>
      <c r="F2408" s="1" t="s">
        <v>5861</v>
      </c>
      <c r="G2408" s="1" t="s">
        <v>135</v>
      </c>
      <c r="H2408" s="1" t="s">
        <v>867</v>
      </c>
      <c r="I2408" s="1" t="s">
        <v>3038</v>
      </c>
      <c r="J2408" s="1" t="s">
        <v>3848</v>
      </c>
      <c r="K2408" s="1"/>
    </row>
    <row r="2409" ht="15.75" customHeight="1">
      <c r="A2409" s="1">
        <v>2408.0</v>
      </c>
      <c r="B2409" s="1" t="s">
        <v>4243</v>
      </c>
      <c r="C2409" s="1" t="s">
        <v>3497</v>
      </c>
      <c r="D2409" s="1" t="s">
        <v>60</v>
      </c>
      <c r="E2409" s="1">
        <v>5.70038001558E11</v>
      </c>
      <c r="F2409" s="1" t="s">
        <v>6045</v>
      </c>
      <c r="G2409" s="1" t="s">
        <v>3846</v>
      </c>
      <c r="H2409" s="1" t="s">
        <v>867</v>
      </c>
      <c r="I2409" s="1" t="s">
        <v>3038</v>
      </c>
      <c r="J2409" s="1" t="s">
        <v>3848</v>
      </c>
      <c r="K2409" s="1"/>
    </row>
    <row r="2410" ht="15.75" customHeight="1">
      <c r="A2410" s="1">
        <v>2409.0</v>
      </c>
      <c r="B2410" s="1" t="s">
        <v>2657</v>
      </c>
      <c r="C2410" s="1" t="s">
        <v>4603</v>
      </c>
      <c r="D2410" s="1" t="s">
        <v>534</v>
      </c>
      <c r="E2410" s="1">
        <v>5.70038001559E11</v>
      </c>
      <c r="F2410" s="1" t="s">
        <v>6046</v>
      </c>
      <c r="G2410" s="1" t="s">
        <v>3846</v>
      </c>
      <c r="H2410" s="1" t="s">
        <v>867</v>
      </c>
      <c r="I2410" s="1" t="s">
        <v>3038</v>
      </c>
      <c r="J2410" s="1" t="s">
        <v>3848</v>
      </c>
      <c r="K2410" s="1"/>
    </row>
    <row r="2411" ht="15.75" customHeight="1">
      <c r="A2411" s="1">
        <v>2410.0</v>
      </c>
      <c r="B2411" s="1" t="s">
        <v>6047</v>
      </c>
      <c r="C2411" s="1" t="s">
        <v>2844</v>
      </c>
      <c r="D2411" s="1" t="s">
        <v>228</v>
      </c>
      <c r="E2411" s="1">
        <v>5.7003800156E11</v>
      </c>
      <c r="F2411" s="1" t="s">
        <v>6048</v>
      </c>
      <c r="G2411" s="1" t="s">
        <v>135</v>
      </c>
      <c r="H2411" s="1" t="s">
        <v>867</v>
      </c>
      <c r="I2411" s="1" t="s">
        <v>3038</v>
      </c>
      <c r="J2411" s="1" t="s">
        <v>3848</v>
      </c>
      <c r="K2411" s="1"/>
    </row>
    <row r="2412" ht="15.75" customHeight="1">
      <c r="A2412" s="1">
        <v>2411.0</v>
      </c>
      <c r="B2412" s="1" t="s">
        <v>6049</v>
      </c>
      <c r="C2412" s="1" t="s">
        <v>4805</v>
      </c>
      <c r="D2412" s="1" t="s">
        <v>1893</v>
      </c>
      <c r="E2412" s="1">
        <v>5.70038001562E11</v>
      </c>
      <c r="F2412" s="1" t="s">
        <v>6050</v>
      </c>
      <c r="G2412" s="1" t="s">
        <v>3846</v>
      </c>
      <c r="H2412" s="1" t="s">
        <v>867</v>
      </c>
      <c r="I2412" s="1" t="s">
        <v>3038</v>
      </c>
      <c r="J2412" s="1" t="s">
        <v>3848</v>
      </c>
      <c r="K2412" s="1"/>
    </row>
    <row r="2413" ht="15.75" customHeight="1">
      <c r="A2413" s="1">
        <v>2412.0</v>
      </c>
      <c r="B2413" s="1" t="s">
        <v>6051</v>
      </c>
      <c r="C2413" s="1" t="s">
        <v>1242</v>
      </c>
      <c r="D2413" s="1" t="s">
        <v>2782</v>
      </c>
      <c r="E2413" s="1">
        <v>5.70038001563E11</v>
      </c>
      <c r="F2413" s="1" t="s">
        <v>5580</v>
      </c>
      <c r="G2413" s="1" t="s">
        <v>3846</v>
      </c>
      <c r="H2413" s="1" t="s">
        <v>6052</v>
      </c>
      <c r="I2413" s="1" t="s">
        <v>6053</v>
      </c>
      <c r="J2413" s="1" t="s">
        <v>3038</v>
      </c>
      <c r="K2413" s="1" t="s">
        <v>3848</v>
      </c>
    </row>
    <row r="2414" ht="15.75" customHeight="1">
      <c r="A2414" s="1">
        <v>2413.0</v>
      </c>
      <c r="B2414" s="1" t="s">
        <v>6054</v>
      </c>
      <c r="C2414" s="1" t="s">
        <v>6055</v>
      </c>
      <c r="D2414" s="1" t="s">
        <v>77</v>
      </c>
      <c r="E2414" s="1">
        <v>5.70038001564E11</v>
      </c>
      <c r="F2414" s="1" t="s">
        <v>5643</v>
      </c>
      <c r="G2414" s="1" t="s">
        <v>135</v>
      </c>
      <c r="H2414" s="1" t="s">
        <v>867</v>
      </c>
      <c r="I2414" s="1" t="s">
        <v>3038</v>
      </c>
      <c r="J2414" s="1" t="s">
        <v>3848</v>
      </c>
      <c r="K2414" s="1"/>
    </row>
    <row r="2415" ht="15.75" customHeight="1">
      <c r="A2415" s="1">
        <v>2414.0</v>
      </c>
      <c r="B2415" s="1" t="s">
        <v>4662</v>
      </c>
      <c r="C2415" s="1" t="s">
        <v>6056</v>
      </c>
      <c r="D2415" s="1" t="s">
        <v>6057</v>
      </c>
      <c r="E2415" s="1">
        <v>5.70038001569E11</v>
      </c>
      <c r="F2415" s="1" t="s">
        <v>6058</v>
      </c>
      <c r="G2415" s="1" t="s">
        <v>3846</v>
      </c>
      <c r="H2415" s="1" t="s">
        <v>867</v>
      </c>
      <c r="I2415" s="1" t="s">
        <v>3038</v>
      </c>
      <c r="J2415" s="1" t="s">
        <v>3848</v>
      </c>
      <c r="K2415" s="1"/>
    </row>
    <row r="2416" ht="15.75" customHeight="1">
      <c r="A2416" s="1">
        <v>2415.0</v>
      </c>
      <c r="B2416" s="1" t="s">
        <v>4687</v>
      </c>
      <c r="C2416" s="1" t="s">
        <v>6059</v>
      </c>
      <c r="D2416" s="1" t="s">
        <v>3699</v>
      </c>
      <c r="E2416" s="1">
        <v>5.7003800157E11</v>
      </c>
      <c r="F2416" s="1" t="s">
        <v>6060</v>
      </c>
      <c r="G2416" s="1" t="s">
        <v>135</v>
      </c>
      <c r="H2416" s="1" t="s">
        <v>867</v>
      </c>
      <c r="I2416" s="1" t="s">
        <v>3038</v>
      </c>
      <c r="J2416" s="1" t="s">
        <v>3848</v>
      </c>
      <c r="K2416" s="1"/>
    </row>
    <row r="2417" ht="15.75" customHeight="1">
      <c r="A2417" s="1">
        <v>2416.0</v>
      </c>
      <c r="B2417" s="1" t="s">
        <v>5193</v>
      </c>
      <c r="C2417" s="1" t="s">
        <v>6061</v>
      </c>
      <c r="D2417" s="1" t="s">
        <v>6062</v>
      </c>
      <c r="E2417" s="1">
        <v>5.70038001572E11</v>
      </c>
      <c r="F2417" s="1" t="s">
        <v>6063</v>
      </c>
      <c r="G2417" s="1" t="s">
        <v>3846</v>
      </c>
      <c r="H2417" s="1" t="s">
        <v>867</v>
      </c>
      <c r="I2417" s="1" t="s">
        <v>3038</v>
      </c>
      <c r="J2417" s="1" t="s">
        <v>3848</v>
      </c>
      <c r="K2417" s="1"/>
    </row>
    <row r="2418" ht="15.75" customHeight="1">
      <c r="A2418" s="1">
        <v>2417.0</v>
      </c>
      <c r="B2418" s="1" t="s">
        <v>5762</v>
      </c>
      <c r="C2418" s="1" t="s">
        <v>6064</v>
      </c>
      <c r="D2418" s="1" t="s">
        <v>6065</v>
      </c>
      <c r="E2418" s="1">
        <v>5.70038001573E11</v>
      </c>
      <c r="F2418" s="1" t="s">
        <v>6066</v>
      </c>
      <c r="G2418" s="1" t="s">
        <v>3846</v>
      </c>
      <c r="H2418" s="1" t="s">
        <v>867</v>
      </c>
      <c r="I2418" s="1" t="s">
        <v>3038</v>
      </c>
      <c r="J2418" s="1" t="s">
        <v>3848</v>
      </c>
      <c r="K2418" s="1"/>
    </row>
    <row r="2419" ht="15.75" customHeight="1">
      <c r="A2419" s="1">
        <v>2418.0</v>
      </c>
      <c r="B2419" s="1" t="s">
        <v>974</v>
      </c>
      <c r="C2419" s="1" t="s">
        <v>6067</v>
      </c>
      <c r="D2419" s="1" t="s">
        <v>2570</v>
      </c>
      <c r="E2419" s="1">
        <v>5.70038001574E11</v>
      </c>
      <c r="F2419" s="1" t="s">
        <v>6068</v>
      </c>
      <c r="G2419" s="1" t="s">
        <v>135</v>
      </c>
      <c r="H2419" s="1" t="s">
        <v>6069</v>
      </c>
      <c r="I2419" s="1" t="s">
        <v>6053</v>
      </c>
      <c r="J2419" s="1" t="s">
        <v>3038</v>
      </c>
      <c r="K2419" s="1" t="s">
        <v>3848</v>
      </c>
    </row>
    <row r="2420" ht="15.75" customHeight="1">
      <c r="A2420" s="1">
        <v>2419.0</v>
      </c>
      <c r="B2420" s="1" t="s">
        <v>6070</v>
      </c>
      <c r="C2420" s="1" t="s">
        <v>6071</v>
      </c>
      <c r="D2420" s="1" t="s">
        <v>451</v>
      </c>
      <c r="E2420" s="1">
        <v>5.70038001577E11</v>
      </c>
      <c r="F2420" s="1" t="s">
        <v>6072</v>
      </c>
      <c r="G2420" s="1" t="s">
        <v>135</v>
      </c>
      <c r="H2420" s="1" t="s">
        <v>867</v>
      </c>
      <c r="I2420" s="1" t="s">
        <v>3038</v>
      </c>
      <c r="J2420" s="1" t="s">
        <v>3848</v>
      </c>
      <c r="K2420" s="1"/>
    </row>
    <row r="2421" ht="15.75" customHeight="1">
      <c r="A2421" s="1">
        <v>2420.0</v>
      </c>
      <c r="B2421" s="1" t="s">
        <v>6073</v>
      </c>
      <c r="C2421" s="1" t="s">
        <v>6074</v>
      </c>
      <c r="D2421" s="1" t="s">
        <v>3787</v>
      </c>
      <c r="E2421" s="1">
        <v>5.7003800158E11</v>
      </c>
      <c r="F2421" s="1" t="s">
        <v>6075</v>
      </c>
      <c r="G2421" s="1" t="s">
        <v>135</v>
      </c>
      <c r="H2421" s="1" t="s">
        <v>867</v>
      </c>
      <c r="I2421" s="1" t="s">
        <v>3038</v>
      </c>
      <c r="J2421" s="1" t="s">
        <v>3848</v>
      </c>
      <c r="K2421" s="1"/>
    </row>
    <row r="2422" ht="15.75" customHeight="1">
      <c r="A2422" s="1">
        <v>2421.0</v>
      </c>
      <c r="B2422" s="1" t="s">
        <v>6076</v>
      </c>
      <c r="C2422" s="1" t="s">
        <v>480</v>
      </c>
      <c r="D2422" s="1" t="s">
        <v>1185</v>
      </c>
      <c r="E2422" s="1">
        <v>5.70038001584E11</v>
      </c>
      <c r="F2422" s="1" t="s">
        <v>6077</v>
      </c>
      <c r="G2422" s="1" t="s">
        <v>135</v>
      </c>
      <c r="H2422" s="1" t="s">
        <v>867</v>
      </c>
      <c r="I2422" s="1" t="s">
        <v>3038</v>
      </c>
      <c r="J2422" s="1" t="s">
        <v>3848</v>
      </c>
      <c r="K2422" s="1"/>
    </row>
    <row r="2423" ht="15.75" customHeight="1">
      <c r="A2423" s="1">
        <v>2422.0</v>
      </c>
      <c r="B2423" s="1" t="s">
        <v>201</v>
      </c>
      <c r="C2423" s="1" t="s">
        <v>6078</v>
      </c>
      <c r="D2423" s="1" t="s">
        <v>6079</v>
      </c>
      <c r="E2423" s="1">
        <v>5.70038001586E11</v>
      </c>
      <c r="F2423" s="1" t="s">
        <v>6080</v>
      </c>
      <c r="G2423" s="1" t="s">
        <v>135</v>
      </c>
      <c r="H2423" s="1" t="s">
        <v>867</v>
      </c>
      <c r="I2423" s="1" t="s">
        <v>3038</v>
      </c>
      <c r="J2423" s="1" t="s">
        <v>3848</v>
      </c>
      <c r="K2423" s="1"/>
    </row>
    <row r="2424" ht="15.75" customHeight="1">
      <c r="A2424" s="1">
        <v>2423.0</v>
      </c>
      <c r="B2424" s="1" t="s">
        <v>149</v>
      </c>
      <c r="C2424" s="1" t="s">
        <v>6081</v>
      </c>
      <c r="D2424" s="1" t="s">
        <v>399</v>
      </c>
      <c r="E2424" s="1">
        <v>5.70038001587E11</v>
      </c>
      <c r="F2424" s="1" t="s">
        <v>6082</v>
      </c>
      <c r="G2424" s="1" t="s">
        <v>3846</v>
      </c>
      <c r="H2424" s="1" t="s">
        <v>867</v>
      </c>
      <c r="I2424" s="1" t="s">
        <v>3038</v>
      </c>
      <c r="J2424" s="1" t="s">
        <v>3848</v>
      </c>
      <c r="K2424" s="1"/>
    </row>
    <row r="2425" ht="15.75" customHeight="1">
      <c r="A2425" s="1">
        <v>2424.0</v>
      </c>
      <c r="B2425" s="1" t="s">
        <v>5065</v>
      </c>
      <c r="C2425" s="1" t="s">
        <v>6083</v>
      </c>
      <c r="D2425" s="1" t="s">
        <v>230</v>
      </c>
      <c r="E2425" s="1">
        <v>5.70038001588E11</v>
      </c>
      <c r="F2425" s="1" t="s">
        <v>6084</v>
      </c>
      <c r="G2425" s="1" t="s">
        <v>3846</v>
      </c>
      <c r="H2425" s="1" t="s">
        <v>867</v>
      </c>
      <c r="I2425" s="1" t="s">
        <v>3038</v>
      </c>
      <c r="J2425" s="1" t="s">
        <v>3848</v>
      </c>
      <c r="K2425" s="1"/>
    </row>
    <row r="2426" ht="15.75" customHeight="1">
      <c r="A2426" s="1">
        <v>2425.0</v>
      </c>
      <c r="B2426" s="1" t="s">
        <v>6085</v>
      </c>
      <c r="C2426" s="1" t="s">
        <v>5950</v>
      </c>
      <c r="D2426" s="1" t="s">
        <v>6086</v>
      </c>
      <c r="E2426" s="1">
        <v>5.7003800159E11</v>
      </c>
      <c r="F2426" s="1" t="s">
        <v>5848</v>
      </c>
      <c r="G2426" s="1" t="s">
        <v>135</v>
      </c>
      <c r="H2426" s="1" t="s">
        <v>867</v>
      </c>
      <c r="I2426" s="1" t="s">
        <v>3038</v>
      </c>
      <c r="J2426" s="1" t="s">
        <v>3848</v>
      </c>
      <c r="K2426" s="1"/>
    </row>
    <row r="2427" ht="15.75" customHeight="1">
      <c r="A2427" s="1">
        <v>2426.0</v>
      </c>
      <c r="B2427" s="1" t="s">
        <v>297</v>
      </c>
      <c r="C2427" s="1" t="s">
        <v>509</v>
      </c>
      <c r="D2427" s="1" t="s">
        <v>258</v>
      </c>
      <c r="E2427" s="1">
        <v>5.70038001596E11</v>
      </c>
      <c r="F2427" s="1" t="s">
        <v>4857</v>
      </c>
      <c r="G2427" s="1" t="s">
        <v>3846</v>
      </c>
      <c r="H2427" s="1" t="s">
        <v>867</v>
      </c>
      <c r="I2427" s="1" t="s">
        <v>3038</v>
      </c>
      <c r="J2427" s="1" t="s">
        <v>3848</v>
      </c>
      <c r="K2427" s="1"/>
    </row>
    <row r="2428" ht="15.75" customHeight="1">
      <c r="A2428" s="1">
        <v>2427.0</v>
      </c>
      <c r="B2428" s="1" t="s">
        <v>6087</v>
      </c>
      <c r="C2428" s="1" t="s">
        <v>647</v>
      </c>
      <c r="D2428" s="1" t="s">
        <v>2793</v>
      </c>
      <c r="E2428" s="1">
        <v>5.70038001602E11</v>
      </c>
      <c r="F2428" s="1" t="s">
        <v>6088</v>
      </c>
      <c r="G2428" s="1" t="s">
        <v>135</v>
      </c>
      <c r="H2428" s="1" t="s">
        <v>867</v>
      </c>
      <c r="I2428" s="1" t="s">
        <v>3038</v>
      </c>
      <c r="J2428" s="1" t="s">
        <v>3848</v>
      </c>
      <c r="K2428" s="1"/>
    </row>
    <row r="2429" ht="15.75" customHeight="1">
      <c r="A2429" s="1">
        <v>2428.0</v>
      </c>
      <c r="B2429" s="1" t="s">
        <v>6089</v>
      </c>
      <c r="C2429" s="1" t="s">
        <v>4108</v>
      </c>
      <c r="D2429" s="1" t="s">
        <v>966</v>
      </c>
      <c r="E2429" s="1">
        <v>5.70038001603E11</v>
      </c>
      <c r="F2429" s="1" t="s">
        <v>5824</v>
      </c>
      <c r="G2429" s="1" t="s">
        <v>3846</v>
      </c>
      <c r="H2429" s="1" t="s">
        <v>867</v>
      </c>
      <c r="I2429" s="1" t="s">
        <v>3038</v>
      </c>
      <c r="J2429" s="1" t="s">
        <v>3848</v>
      </c>
      <c r="K2429" s="1"/>
    </row>
    <row r="2430" ht="15.75" customHeight="1">
      <c r="A2430" s="1">
        <v>2429.0</v>
      </c>
      <c r="B2430" s="1" t="s">
        <v>2388</v>
      </c>
      <c r="C2430" s="1" t="s">
        <v>6090</v>
      </c>
      <c r="D2430" s="1" t="s">
        <v>6091</v>
      </c>
      <c r="E2430" s="1">
        <v>5.70038001604E11</v>
      </c>
      <c r="F2430" s="1" t="s">
        <v>6092</v>
      </c>
      <c r="G2430" s="1" t="s">
        <v>3846</v>
      </c>
      <c r="H2430" s="1" t="s">
        <v>867</v>
      </c>
      <c r="I2430" s="1" t="s">
        <v>3038</v>
      </c>
      <c r="J2430" s="1" t="s">
        <v>3848</v>
      </c>
      <c r="K2430" s="1"/>
    </row>
    <row r="2431" ht="15.75" customHeight="1">
      <c r="A2431" s="1">
        <v>2430.0</v>
      </c>
      <c r="B2431" s="1" t="s">
        <v>5335</v>
      </c>
      <c r="C2431" s="1" t="s">
        <v>6093</v>
      </c>
      <c r="D2431" s="1" t="s">
        <v>6094</v>
      </c>
      <c r="E2431" s="1">
        <v>5.70038001606E11</v>
      </c>
      <c r="F2431" s="1" t="s">
        <v>5861</v>
      </c>
      <c r="G2431" s="1" t="s">
        <v>135</v>
      </c>
      <c r="H2431" s="1" t="s">
        <v>867</v>
      </c>
      <c r="I2431" s="1" t="s">
        <v>3038</v>
      </c>
      <c r="J2431" s="1" t="s">
        <v>3848</v>
      </c>
      <c r="K2431" s="1"/>
    </row>
    <row r="2432" ht="15.75" customHeight="1">
      <c r="A2432" s="1">
        <v>2431.0</v>
      </c>
      <c r="B2432" s="1" t="s">
        <v>6095</v>
      </c>
      <c r="C2432" s="1" t="s">
        <v>6096</v>
      </c>
      <c r="D2432" s="1" t="s">
        <v>2836</v>
      </c>
      <c r="E2432" s="1">
        <v>5.70038001608E11</v>
      </c>
      <c r="F2432" s="1" t="s">
        <v>6097</v>
      </c>
      <c r="G2432" s="1" t="s">
        <v>135</v>
      </c>
      <c r="H2432" s="1" t="s">
        <v>867</v>
      </c>
      <c r="I2432" s="1" t="s">
        <v>3038</v>
      </c>
      <c r="J2432" s="1" t="s">
        <v>3848</v>
      </c>
      <c r="K2432" s="1"/>
    </row>
    <row r="2433" ht="15.75" customHeight="1">
      <c r="A2433" s="1">
        <v>2432.0</v>
      </c>
      <c r="B2433" s="1" t="s">
        <v>16</v>
      </c>
      <c r="C2433" s="1" t="s">
        <v>6098</v>
      </c>
      <c r="D2433" s="1" t="s">
        <v>5198</v>
      </c>
      <c r="E2433" s="1">
        <v>5.70038001609E11</v>
      </c>
      <c r="F2433" s="1" t="s">
        <v>6099</v>
      </c>
      <c r="G2433" s="1" t="s">
        <v>3846</v>
      </c>
      <c r="H2433" s="1" t="s">
        <v>867</v>
      </c>
      <c r="I2433" s="1" t="s">
        <v>3038</v>
      </c>
      <c r="J2433" s="1" t="s">
        <v>3848</v>
      </c>
      <c r="K2433" s="1"/>
    </row>
    <row r="2434" ht="15.75" customHeight="1">
      <c r="A2434" s="1">
        <v>2433.0</v>
      </c>
      <c r="B2434" s="1" t="s">
        <v>6100</v>
      </c>
      <c r="C2434" s="1" t="s">
        <v>6101</v>
      </c>
      <c r="D2434" s="1" t="s">
        <v>1187</v>
      </c>
      <c r="E2434" s="1">
        <v>5.7003800161E11</v>
      </c>
      <c r="F2434" s="1" t="s">
        <v>6102</v>
      </c>
      <c r="G2434" s="1" t="s">
        <v>3846</v>
      </c>
      <c r="H2434" s="1" t="s">
        <v>867</v>
      </c>
      <c r="I2434" s="1" t="s">
        <v>3038</v>
      </c>
      <c r="J2434" s="1" t="s">
        <v>3848</v>
      </c>
      <c r="K2434" s="1"/>
    </row>
    <row r="2435" ht="15.75" customHeight="1">
      <c r="A2435" s="1">
        <v>2434.0</v>
      </c>
      <c r="B2435" s="1" t="s">
        <v>6103</v>
      </c>
      <c r="C2435" s="1" t="s">
        <v>4108</v>
      </c>
      <c r="D2435" s="1" t="s">
        <v>5784</v>
      </c>
      <c r="E2435" s="1">
        <v>5.70038001611E11</v>
      </c>
      <c r="F2435" s="1" t="s">
        <v>5664</v>
      </c>
      <c r="G2435" s="1" t="s">
        <v>3846</v>
      </c>
      <c r="H2435" s="1" t="s">
        <v>867</v>
      </c>
      <c r="I2435" s="1" t="s">
        <v>3038</v>
      </c>
      <c r="J2435" s="1" t="s">
        <v>3848</v>
      </c>
      <c r="K2435" s="1"/>
    </row>
    <row r="2436" ht="15.75" customHeight="1">
      <c r="A2436" s="1">
        <v>2435.0</v>
      </c>
      <c r="B2436" s="1" t="s">
        <v>5662</v>
      </c>
      <c r="C2436" s="1" t="s">
        <v>6104</v>
      </c>
      <c r="D2436" s="1" t="s">
        <v>1521</v>
      </c>
      <c r="E2436" s="1">
        <v>5.70038001612E11</v>
      </c>
      <c r="F2436" s="1" t="s">
        <v>6105</v>
      </c>
      <c r="G2436" s="1" t="s">
        <v>3846</v>
      </c>
      <c r="H2436" s="1" t="s">
        <v>867</v>
      </c>
      <c r="I2436" s="1" t="s">
        <v>3038</v>
      </c>
      <c r="J2436" s="1" t="s">
        <v>3848</v>
      </c>
      <c r="K2436" s="1"/>
    </row>
    <row r="2437" ht="15.75" customHeight="1">
      <c r="A2437" s="1">
        <v>2436.0</v>
      </c>
      <c r="B2437" s="1" t="s">
        <v>427</v>
      </c>
      <c r="C2437" s="1" t="s">
        <v>200</v>
      </c>
      <c r="D2437" s="1" t="s">
        <v>1308</v>
      </c>
      <c r="E2437" s="1">
        <v>5.70038001613E11</v>
      </c>
      <c r="F2437" s="1" t="s">
        <v>6106</v>
      </c>
      <c r="G2437" s="1" t="s">
        <v>3846</v>
      </c>
      <c r="H2437" s="1" t="s">
        <v>867</v>
      </c>
      <c r="I2437" s="1" t="s">
        <v>3038</v>
      </c>
      <c r="J2437" s="1" t="s">
        <v>3848</v>
      </c>
      <c r="K2437" s="1"/>
    </row>
    <row r="2438" ht="15.75" customHeight="1">
      <c r="A2438" s="1">
        <v>2437.0</v>
      </c>
      <c r="B2438" s="1" t="s">
        <v>269</v>
      </c>
      <c r="C2438" s="1" t="s">
        <v>6107</v>
      </c>
      <c r="D2438" s="1" t="s">
        <v>6108</v>
      </c>
      <c r="E2438" s="1">
        <v>5.70038001614E11</v>
      </c>
      <c r="F2438" s="1" t="s">
        <v>6109</v>
      </c>
      <c r="G2438" s="1" t="s">
        <v>3846</v>
      </c>
      <c r="H2438" s="1" t="s">
        <v>867</v>
      </c>
      <c r="I2438" s="1" t="s">
        <v>3038</v>
      </c>
      <c r="J2438" s="1" t="s">
        <v>3848</v>
      </c>
      <c r="K2438" s="1"/>
    </row>
    <row r="2439" ht="15.75" customHeight="1">
      <c r="A2439" s="1">
        <v>2438.0</v>
      </c>
      <c r="B2439" s="1" t="s">
        <v>5345</v>
      </c>
      <c r="C2439" s="1" t="s">
        <v>3337</v>
      </c>
      <c r="D2439" s="1" t="s">
        <v>6110</v>
      </c>
      <c r="E2439" s="1">
        <v>5.70038001615E11</v>
      </c>
      <c r="F2439" s="1" t="s">
        <v>6111</v>
      </c>
      <c r="G2439" s="1" t="s">
        <v>135</v>
      </c>
      <c r="H2439" s="1" t="s">
        <v>867</v>
      </c>
      <c r="I2439" s="1" t="s">
        <v>3038</v>
      </c>
      <c r="J2439" s="1" t="s">
        <v>3848</v>
      </c>
      <c r="K2439" s="1"/>
    </row>
    <row r="2440" ht="15.75" customHeight="1">
      <c r="A2440" s="1">
        <v>2439.0</v>
      </c>
      <c r="B2440" s="1" t="s">
        <v>6112</v>
      </c>
      <c r="C2440" s="1" t="s">
        <v>6113</v>
      </c>
      <c r="D2440" s="1" t="s">
        <v>6114</v>
      </c>
      <c r="E2440" s="1">
        <v>5.70038001616E11</v>
      </c>
      <c r="F2440" s="1" t="s">
        <v>5721</v>
      </c>
      <c r="G2440" s="1" t="s">
        <v>3846</v>
      </c>
      <c r="H2440" s="1" t="s">
        <v>867</v>
      </c>
      <c r="I2440" s="1" t="s">
        <v>3038</v>
      </c>
      <c r="J2440" s="1" t="s">
        <v>3848</v>
      </c>
      <c r="K2440" s="1"/>
    </row>
    <row r="2441" ht="15.75" customHeight="1">
      <c r="A2441" s="1">
        <v>2440.0</v>
      </c>
      <c r="B2441" s="1" t="s">
        <v>4350</v>
      </c>
      <c r="C2441" s="1" t="s">
        <v>6115</v>
      </c>
      <c r="D2441" s="1" t="s">
        <v>6116</v>
      </c>
      <c r="E2441" s="1">
        <v>5.7003800162E11</v>
      </c>
      <c r="F2441" s="1" t="s">
        <v>6117</v>
      </c>
      <c r="G2441" s="1" t="s">
        <v>3846</v>
      </c>
      <c r="H2441" s="1" t="s">
        <v>867</v>
      </c>
      <c r="I2441" s="1" t="s">
        <v>3038</v>
      </c>
      <c r="J2441" s="1" t="s">
        <v>3848</v>
      </c>
      <c r="K2441" s="1"/>
    </row>
    <row r="2442" ht="15.75" customHeight="1">
      <c r="A2442" s="1">
        <v>2441.0</v>
      </c>
      <c r="B2442" s="1" t="s">
        <v>6118</v>
      </c>
      <c r="C2442" s="1" t="s">
        <v>2867</v>
      </c>
      <c r="D2442" s="1" t="s">
        <v>263</v>
      </c>
      <c r="E2442" s="1">
        <v>5.70038001621E11</v>
      </c>
      <c r="F2442" s="1" t="s">
        <v>6119</v>
      </c>
      <c r="G2442" s="1" t="s">
        <v>135</v>
      </c>
      <c r="H2442" s="1" t="s">
        <v>867</v>
      </c>
      <c r="I2442" s="1" t="s">
        <v>3038</v>
      </c>
      <c r="J2442" s="1" t="s">
        <v>3848</v>
      </c>
      <c r="K2442" s="1"/>
    </row>
    <row r="2443" ht="15.75" customHeight="1">
      <c r="A2443" s="1">
        <v>2442.0</v>
      </c>
      <c r="B2443" s="1" t="s">
        <v>6120</v>
      </c>
      <c r="C2443" s="1" t="s">
        <v>6121</v>
      </c>
      <c r="D2443" s="1" t="s">
        <v>687</v>
      </c>
      <c r="E2443" s="1">
        <v>5.70038001622E11</v>
      </c>
      <c r="F2443" s="1" t="s">
        <v>6122</v>
      </c>
      <c r="G2443" s="1" t="s">
        <v>135</v>
      </c>
      <c r="H2443" s="1" t="s">
        <v>867</v>
      </c>
      <c r="I2443" s="1" t="s">
        <v>3038</v>
      </c>
      <c r="J2443" s="1" t="s">
        <v>3848</v>
      </c>
      <c r="K2443" s="1"/>
    </row>
    <row r="2444" ht="15.75" customHeight="1">
      <c r="A2444" s="1">
        <v>2443.0</v>
      </c>
      <c r="B2444" s="1" t="s">
        <v>335</v>
      </c>
      <c r="C2444" s="1" t="s">
        <v>6123</v>
      </c>
      <c r="D2444" s="1" t="s">
        <v>1052</v>
      </c>
      <c r="E2444" s="1">
        <v>5.70038001623E11</v>
      </c>
      <c r="F2444" s="1" t="s">
        <v>6124</v>
      </c>
      <c r="G2444" s="1" t="s">
        <v>3846</v>
      </c>
      <c r="H2444" s="1" t="s">
        <v>867</v>
      </c>
      <c r="I2444" s="1" t="s">
        <v>3038</v>
      </c>
      <c r="J2444" s="1" t="s">
        <v>3848</v>
      </c>
      <c r="K2444" s="1"/>
    </row>
    <row r="2445" ht="15.75" customHeight="1">
      <c r="A2445" s="1">
        <v>2444.0</v>
      </c>
      <c r="B2445" s="1" t="s">
        <v>6125</v>
      </c>
      <c r="C2445" s="1" t="s">
        <v>6126</v>
      </c>
      <c r="D2445" s="1" t="s">
        <v>6127</v>
      </c>
      <c r="E2445" s="1">
        <v>5.70038001625E11</v>
      </c>
      <c r="F2445" s="1" t="s">
        <v>6128</v>
      </c>
      <c r="G2445" s="1" t="s">
        <v>3846</v>
      </c>
      <c r="H2445" s="1" t="s">
        <v>867</v>
      </c>
      <c r="I2445" s="1" t="s">
        <v>3038</v>
      </c>
      <c r="J2445" s="1" t="s">
        <v>3848</v>
      </c>
      <c r="K2445" s="1"/>
    </row>
    <row r="2446" ht="15.75" customHeight="1">
      <c r="A2446" s="1">
        <v>2445.0</v>
      </c>
      <c r="B2446" s="1" t="s">
        <v>127</v>
      </c>
      <c r="C2446" s="1" t="s">
        <v>4663</v>
      </c>
      <c r="D2446" s="1" t="s">
        <v>228</v>
      </c>
      <c r="E2446" s="1">
        <v>5.70038001626E11</v>
      </c>
      <c r="F2446" s="1" t="s">
        <v>6129</v>
      </c>
      <c r="G2446" s="1" t="s">
        <v>135</v>
      </c>
      <c r="H2446" s="1" t="s">
        <v>867</v>
      </c>
      <c r="I2446" s="1" t="s">
        <v>3038</v>
      </c>
      <c r="J2446" s="1" t="s">
        <v>3848</v>
      </c>
      <c r="K2446" s="1"/>
    </row>
    <row r="2447" ht="15.75" customHeight="1">
      <c r="A2447" s="1">
        <v>2446.0</v>
      </c>
      <c r="B2447" s="1" t="s">
        <v>6130</v>
      </c>
      <c r="C2447" s="1" t="s">
        <v>1081</v>
      </c>
      <c r="D2447" s="1" t="s">
        <v>6131</v>
      </c>
      <c r="E2447" s="1">
        <v>5.70038001629E11</v>
      </c>
      <c r="F2447" s="1" t="s">
        <v>6132</v>
      </c>
      <c r="G2447" s="1" t="s">
        <v>135</v>
      </c>
      <c r="H2447" s="1" t="s">
        <v>867</v>
      </c>
      <c r="I2447" s="1" t="s">
        <v>3038</v>
      </c>
      <c r="J2447" s="1" t="s">
        <v>3848</v>
      </c>
      <c r="K2447" s="1"/>
    </row>
    <row r="2448" ht="15.75" customHeight="1">
      <c r="A2448" s="1">
        <v>2447.0</v>
      </c>
      <c r="B2448" s="1" t="s">
        <v>1193</v>
      </c>
      <c r="C2448" s="1" t="s">
        <v>5320</v>
      </c>
      <c r="D2448" s="1" t="s">
        <v>1458</v>
      </c>
      <c r="E2448" s="1">
        <v>5.7003800163E11</v>
      </c>
      <c r="F2448" s="1" t="s">
        <v>6133</v>
      </c>
      <c r="G2448" s="1" t="s">
        <v>3846</v>
      </c>
      <c r="H2448" s="1" t="s">
        <v>867</v>
      </c>
      <c r="I2448" s="1" t="s">
        <v>3038</v>
      </c>
      <c r="J2448" s="1" t="s">
        <v>3848</v>
      </c>
      <c r="K2448" s="1"/>
    </row>
    <row r="2449" ht="15.75" customHeight="1">
      <c r="A2449" s="1">
        <v>2448.0</v>
      </c>
      <c r="B2449" s="1" t="s">
        <v>6134</v>
      </c>
      <c r="C2449" s="1" t="s">
        <v>6135</v>
      </c>
      <c r="D2449" s="1" t="s">
        <v>6136</v>
      </c>
      <c r="E2449" s="1">
        <v>5.70038001631E11</v>
      </c>
      <c r="F2449" s="1" t="s">
        <v>6137</v>
      </c>
      <c r="G2449" s="1" t="s">
        <v>135</v>
      </c>
      <c r="H2449" s="1" t="s">
        <v>867</v>
      </c>
      <c r="I2449" s="1" t="s">
        <v>3038</v>
      </c>
      <c r="J2449" s="1" t="s">
        <v>3848</v>
      </c>
      <c r="K2449" s="1"/>
    </row>
    <row r="2450" ht="15.75" customHeight="1">
      <c r="A2450" s="1">
        <v>2449.0</v>
      </c>
      <c r="B2450" s="1" t="s">
        <v>6138</v>
      </c>
      <c r="C2450" s="1" t="s">
        <v>6139</v>
      </c>
      <c r="D2450" s="1" t="s">
        <v>6140</v>
      </c>
      <c r="E2450" s="1">
        <v>5.70038001632E11</v>
      </c>
      <c r="F2450" s="1" t="s">
        <v>6141</v>
      </c>
      <c r="G2450" s="1" t="s">
        <v>135</v>
      </c>
      <c r="H2450" s="1" t="s">
        <v>867</v>
      </c>
      <c r="I2450" s="1" t="s">
        <v>3038</v>
      </c>
      <c r="J2450" s="1" t="s">
        <v>3848</v>
      </c>
      <c r="K2450" s="1"/>
    </row>
    <row r="2451" ht="15.75" customHeight="1">
      <c r="A2451" s="1">
        <v>2450.0</v>
      </c>
      <c r="B2451" s="1" t="s">
        <v>2786</v>
      </c>
      <c r="C2451" s="1" t="s">
        <v>3434</v>
      </c>
      <c r="D2451" s="1" t="s">
        <v>147</v>
      </c>
      <c r="E2451" s="1">
        <v>5.70038001633E11</v>
      </c>
      <c r="F2451" s="1" t="s">
        <v>6142</v>
      </c>
      <c r="G2451" s="1" t="s">
        <v>3846</v>
      </c>
      <c r="H2451" s="1" t="s">
        <v>867</v>
      </c>
      <c r="I2451" s="1" t="s">
        <v>3038</v>
      </c>
      <c r="J2451" s="1" t="s">
        <v>3848</v>
      </c>
      <c r="K2451" s="1"/>
    </row>
    <row r="2452" ht="15.75" customHeight="1">
      <c r="A2452" s="1">
        <v>2451.0</v>
      </c>
      <c r="B2452" s="1" t="s">
        <v>6143</v>
      </c>
      <c r="C2452" s="1" t="s">
        <v>6144</v>
      </c>
      <c r="D2452" s="1" t="s">
        <v>2743</v>
      </c>
      <c r="E2452" s="1">
        <v>5.70038001637E11</v>
      </c>
      <c r="F2452" s="1" t="s">
        <v>6145</v>
      </c>
      <c r="G2452" s="1" t="s">
        <v>135</v>
      </c>
      <c r="H2452" s="1" t="s">
        <v>867</v>
      </c>
      <c r="I2452" s="1" t="s">
        <v>3038</v>
      </c>
      <c r="J2452" s="1" t="s">
        <v>3848</v>
      </c>
      <c r="K2452" s="1"/>
    </row>
    <row r="2453" ht="15.75" customHeight="1">
      <c r="A2453" s="1">
        <v>2452.0</v>
      </c>
      <c r="B2453" s="1" t="s">
        <v>6146</v>
      </c>
      <c r="C2453" s="1" t="s">
        <v>6147</v>
      </c>
      <c r="D2453" s="1" t="s">
        <v>2570</v>
      </c>
      <c r="E2453" s="1">
        <v>5.70038001638E11</v>
      </c>
      <c r="F2453" s="1" t="s">
        <v>6148</v>
      </c>
      <c r="G2453" s="1" t="s">
        <v>3846</v>
      </c>
      <c r="H2453" s="1" t="s">
        <v>867</v>
      </c>
      <c r="I2453" s="1" t="s">
        <v>3038</v>
      </c>
      <c r="J2453" s="1" t="s">
        <v>3848</v>
      </c>
      <c r="K2453" s="1"/>
    </row>
    <row r="2454" ht="15.75" customHeight="1">
      <c r="A2454" s="1">
        <v>2453.0</v>
      </c>
      <c r="B2454" s="1" t="s">
        <v>6149</v>
      </c>
      <c r="C2454" s="1" t="s">
        <v>5342</v>
      </c>
      <c r="D2454" s="1" t="s">
        <v>161</v>
      </c>
      <c r="E2454" s="1">
        <v>5.7003800164E11</v>
      </c>
      <c r="F2454" s="1" t="s">
        <v>6150</v>
      </c>
      <c r="G2454" s="1" t="s">
        <v>135</v>
      </c>
      <c r="H2454" s="1" t="s">
        <v>867</v>
      </c>
      <c r="I2454" s="1" t="s">
        <v>3038</v>
      </c>
      <c r="J2454" s="1" t="s">
        <v>3848</v>
      </c>
      <c r="K2454" s="1"/>
    </row>
    <row r="2455" ht="15.75" customHeight="1">
      <c r="A2455" s="1">
        <v>2454.0</v>
      </c>
      <c r="B2455" s="1" t="s">
        <v>6151</v>
      </c>
      <c r="C2455" s="1" t="s">
        <v>6152</v>
      </c>
      <c r="D2455" s="1" t="s">
        <v>6153</v>
      </c>
      <c r="E2455" s="1">
        <v>5.70038001642E11</v>
      </c>
      <c r="F2455" s="1" t="s">
        <v>6154</v>
      </c>
      <c r="G2455" s="1" t="s">
        <v>3846</v>
      </c>
      <c r="H2455" s="1" t="s">
        <v>867</v>
      </c>
      <c r="I2455" s="1" t="s">
        <v>3038</v>
      </c>
      <c r="J2455" s="1" t="s">
        <v>3848</v>
      </c>
      <c r="K2455" s="1"/>
    </row>
    <row r="2456" ht="15.75" customHeight="1">
      <c r="A2456" s="1">
        <v>2455.0</v>
      </c>
      <c r="B2456" s="1" t="s">
        <v>5668</v>
      </c>
      <c r="C2456" s="1" t="s">
        <v>1504</v>
      </c>
      <c r="D2456" s="1" t="s">
        <v>6155</v>
      </c>
      <c r="E2456" s="1">
        <v>5.70038001643E11</v>
      </c>
      <c r="F2456" s="1" t="s">
        <v>6156</v>
      </c>
      <c r="G2456" s="1" t="s">
        <v>3846</v>
      </c>
      <c r="H2456" s="1" t="s">
        <v>867</v>
      </c>
      <c r="I2456" s="1" t="s">
        <v>3038</v>
      </c>
      <c r="J2456" s="1" t="s">
        <v>3848</v>
      </c>
      <c r="K2456" s="1"/>
    </row>
    <row r="2457" ht="15.75" customHeight="1">
      <c r="A2457" s="1">
        <v>2456.0</v>
      </c>
      <c r="B2457" s="1" t="s">
        <v>6157</v>
      </c>
      <c r="C2457" s="1" t="s">
        <v>1570</v>
      </c>
      <c r="D2457" s="1" t="s">
        <v>6158</v>
      </c>
      <c r="E2457" s="1">
        <v>5.70038001648E11</v>
      </c>
      <c r="F2457" s="1" t="s">
        <v>6159</v>
      </c>
      <c r="G2457" s="1" t="s">
        <v>3846</v>
      </c>
      <c r="H2457" s="1" t="s">
        <v>867</v>
      </c>
      <c r="I2457" s="1" t="s">
        <v>3038</v>
      </c>
      <c r="J2457" s="1" t="s">
        <v>3848</v>
      </c>
      <c r="K2457" s="1"/>
    </row>
    <row r="2458" ht="15.75" customHeight="1">
      <c r="A2458" s="1">
        <v>2457.0</v>
      </c>
      <c r="B2458" s="1" t="s">
        <v>4093</v>
      </c>
      <c r="C2458" s="1" t="s">
        <v>6160</v>
      </c>
      <c r="D2458" s="1" t="s">
        <v>515</v>
      </c>
      <c r="E2458" s="1">
        <v>5.70038001649E11</v>
      </c>
      <c r="F2458" s="1" t="s">
        <v>6161</v>
      </c>
      <c r="G2458" s="1" t="s">
        <v>135</v>
      </c>
      <c r="H2458" s="1" t="s">
        <v>867</v>
      </c>
      <c r="I2458" s="1" t="s">
        <v>3038</v>
      </c>
      <c r="J2458" s="1" t="s">
        <v>3848</v>
      </c>
      <c r="K2458" s="1"/>
    </row>
    <row r="2459" ht="15.75" customHeight="1">
      <c r="A2459" s="1">
        <v>2458.0</v>
      </c>
      <c r="B2459" s="1" t="s">
        <v>4508</v>
      </c>
      <c r="C2459" s="1" t="s">
        <v>6162</v>
      </c>
      <c r="D2459" s="1" t="s">
        <v>6163</v>
      </c>
      <c r="E2459" s="1">
        <v>5.70038001651E11</v>
      </c>
      <c r="F2459" s="1" t="s">
        <v>6164</v>
      </c>
      <c r="G2459" s="1" t="s">
        <v>3846</v>
      </c>
      <c r="H2459" s="1" t="s">
        <v>867</v>
      </c>
      <c r="I2459" s="1" t="s">
        <v>3038</v>
      </c>
      <c r="J2459" s="1" t="s">
        <v>3848</v>
      </c>
      <c r="K2459" s="1"/>
    </row>
    <row r="2460" ht="15.75" customHeight="1">
      <c r="A2460" s="1">
        <v>2459.0</v>
      </c>
      <c r="B2460" s="1" t="s">
        <v>4861</v>
      </c>
      <c r="C2460" s="1" t="s">
        <v>911</v>
      </c>
      <c r="D2460" s="1" t="s">
        <v>781</v>
      </c>
      <c r="E2460" s="1">
        <v>5.70038001653E11</v>
      </c>
      <c r="F2460" s="1" t="s">
        <v>6165</v>
      </c>
      <c r="G2460" s="1" t="s">
        <v>135</v>
      </c>
      <c r="H2460" s="1" t="s">
        <v>867</v>
      </c>
      <c r="I2460" s="1" t="s">
        <v>3038</v>
      </c>
      <c r="J2460" s="1" t="s">
        <v>3848</v>
      </c>
      <c r="K2460" s="1"/>
    </row>
    <row r="2461" ht="15.75" customHeight="1">
      <c r="A2461" s="1">
        <v>2460.0</v>
      </c>
      <c r="B2461" s="1" t="s">
        <v>600</v>
      </c>
      <c r="C2461" s="1" t="s">
        <v>5267</v>
      </c>
      <c r="D2461" s="1" t="s">
        <v>557</v>
      </c>
      <c r="E2461" s="1">
        <v>5.70038001655E11</v>
      </c>
      <c r="F2461" s="1" t="s">
        <v>6166</v>
      </c>
      <c r="G2461" s="1" t="s">
        <v>3846</v>
      </c>
      <c r="H2461" s="1" t="s">
        <v>867</v>
      </c>
      <c r="I2461" s="1" t="s">
        <v>3038</v>
      </c>
      <c r="J2461" s="1" t="s">
        <v>3848</v>
      </c>
      <c r="K2461" s="1"/>
    </row>
    <row r="2462" ht="15.75" customHeight="1">
      <c r="A2462" s="1">
        <v>2461.0</v>
      </c>
      <c r="B2462" s="1" t="s">
        <v>335</v>
      </c>
      <c r="C2462" s="1" t="s">
        <v>820</v>
      </c>
      <c r="D2462" s="1" t="s">
        <v>482</v>
      </c>
      <c r="E2462" s="1">
        <v>5.70038001658E11</v>
      </c>
      <c r="F2462" s="1" t="s">
        <v>6167</v>
      </c>
      <c r="G2462" s="1" t="s">
        <v>135</v>
      </c>
      <c r="H2462" s="1" t="s">
        <v>867</v>
      </c>
      <c r="I2462" s="1" t="s">
        <v>3038</v>
      </c>
      <c r="J2462" s="1" t="s">
        <v>3848</v>
      </c>
      <c r="K2462" s="1"/>
    </row>
    <row r="2463" ht="15.75" customHeight="1">
      <c r="A2463" s="1">
        <v>2462.0</v>
      </c>
      <c r="B2463" s="1" t="s">
        <v>6168</v>
      </c>
      <c r="C2463" s="1" t="s">
        <v>6169</v>
      </c>
      <c r="D2463" s="1" t="s">
        <v>6170</v>
      </c>
      <c r="E2463" s="1">
        <v>5.70038001659E11</v>
      </c>
      <c r="F2463" s="1" t="s">
        <v>6171</v>
      </c>
      <c r="G2463" s="1" t="s">
        <v>3846</v>
      </c>
      <c r="H2463" s="1" t="s">
        <v>867</v>
      </c>
      <c r="I2463" s="1" t="s">
        <v>3038</v>
      </c>
      <c r="J2463" s="1" t="s">
        <v>3848</v>
      </c>
      <c r="K2463" s="1"/>
    </row>
    <row r="2464" ht="15.75" customHeight="1">
      <c r="A2464" s="1">
        <v>2463.0</v>
      </c>
      <c r="B2464" s="1" t="s">
        <v>5036</v>
      </c>
      <c r="C2464" s="1" t="s">
        <v>491</v>
      </c>
      <c r="D2464" s="1" t="s">
        <v>3056</v>
      </c>
      <c r="E2464" s="1">
        <v>5.7003800166E11</v>
      </c>
      <c r="F2464" s="1" t="s">
        <v>6172</v>
      </c>
      <c r="G2464" s="1" t="s">
        <v>3846</v>
      </c>
      <c r="H2464" s="1" t="s">
        <v>867</v>
      </c>
      <c r="I2464" s="1" t="s">
        <v>3038</v>
      </c>
      <c r="J2464" s="1" t="s">
        <v>3848</v>
      </c>
      <c r="K2464" s="1"/>
    </row>
    <row r="2465" ht="15.75" customHeight="1">
      <c r="A2465" s="1">
        <v>2464.0</v>
      </c>
      <c r="B2465" s="1" t="s">
        <v>54</v>
      </c>
      <c r="C2465" s="1" t="s">
        <v>262</v>
      </c>
      <c r="D2465" s="1" t="s">
        <v>2151</v>
      </c>
      <c r="E2465" s="1">
        <v>5.700380000464E12</v>
      </c>
      <c r="F2465" s="1" t="s">
        <v>6173</v>
      </c>
      <c r="G2465" s="1" t="s">
        <v>135</v>
      </c>
      <c r="H2465" s="1" t="s">
        <v>867</v>
      </c>
      <c r="I2465" s="1" t="s">
        <v>3038</v>
      </c>
      <c r="J2465" s="1" t="s">
        <v>3848</v>
      </c>
      <c r="K2465" s="1"/>
    </row>
    <row r="2466" ht="15.75" customHeight="1">
      <c r="A2466" s="1">
        <v>2465.0</v>
      </c>
      <c r="B2466" s="1" t="s">
        <v>6174</v>
      </c>
      <c r="C2466" s="1" t="s">
        <v>432</v>
      </c>
      <c r="D2466" s="1" t="s">
        <v>6175</v>
      </c>
      <c r="E2466" s="1">
        <v>5.70038001136E11</v>
      </c>
      <c r="F2466" s="1" t="s">
        <v>6176</v>
      </c>
      <c r="G2466" s="1" t="s">
        <v>135</v>
      </c>
      <c r="H2466" s="1" t="s">
        <v>867</v>
      </c>
      <c r="I2466" s="1" t="s">
        <v>3038</v>
      </c>
      <c r="J2466" s="1" t="s">
        <v>3848</v>
      </c>
      <c r="K2466" s="1"/>
    </row>
    <row r="2467" ht="15.75" customHeight="1">
      <c r="A2467" s="1">
        <v>2466.0</v>
      </c>
      <c r="B2467" s="1" t="s">
        <v>6177</v>
      </c>
      <c r="C2467" s="1" t="s">
        <v>6178</v>
      </c>
      <c r="D2467" s="1" t="s">
        <v>6179</v>
      </c>
      <c r="E2467" s="1">
        <v>5.70038001524E11</v>
      </c>
      <c r="F2467" s="1" t="s">
        <v>6180</v>
      </c>
      <c r="G2467" s="1" t="s">
        <v>135</v>
      </c>
      <c r="H2467" s="1" t="s">
        <v>867</v>
      </c>
      <c r="I2467" s="1" t="s">
        <v>3038</v>
      </c>
      <c r="J2467" s="1" t="s">
        <v>3848</v>
      </c>
      <c r="K2467" s="1"/>
    </row>
    <row r="2468" ht="15.75" customHeight="1">
      <c r="A2468" s="1">
        <v>2467.0</v>
      </c>
      <c r="B2468" s="1" t="s">
        <v>3486</v>
      </c>
      <c r="C2468" s="1" t="s">
        <v>6181</v>
      </c>
      <c r="D2468" s="1" t="s">
        <v>6182</v>
      </c>
      <c r="E2468" s="1">
        <v>5.70038001525E11</v>
      </c>
      <c r="F2468" s="1" t="s">
        <v>289</v>
      </c>
      <c r="G2468" s="1" t="s">
        <v>3846</v>
      </c>
      <c r="H2468" s="1" t="s">
        <v>867</v>
      </c>
      <c r="I2468" s="1" t="s">
        <v>3038</v>
      </c>
      <c r="J2468" s="1" t="s">
        <v>3848</v>
      </c>
      <c r="K2468" s="1"/>
    </row>
    <row r="2469" ht="15.75" customHeight="1">
      <c r="A2469" s="1">
        <v>2468.0</v>
      </c>
      <c r="B2469" s="1" t="s">
        <v>3639</v>
      </c>
      <c r="C2469" s="1" t="s">
        <v>5032</v>
      </c>
      <c r="D2469" s="1" t="s">
        <v>58</v>
      </c>
      <c r="E2469" s="1">
        <v>5.70038001528E11</v>
      </c>
      <c r="F2469" s="1" t="s">
        <v>6183</v>
      </c>
      <c r="G2469" s="1" t="s">
        <v>3846</v>
      </c>
      <c r="H2469" s="1" t="s">
        <v>867</v>
      </c>
      <c r="I2469" s="1" t="s">
        <v>3038</v>
      </c>
      <c r="J2469" s="1" t="s">
        <v>3848</v>
      </c>
      <c r="K2469" s="1"/>
    </row>
    <row r="2470" ht="15.75" customHeight="1">
      <c r="A2470" s="1">
        <v>2469.0</v>
      </c>
      <c r="B2470" s="1" t="s">
        <v>4922</v>
      </c>
      <c r="C2470" s="1" t="s">
        <v>820</v>
      </c>
      <c r="D2470" s="1" t="s">
        <v>146</v>
      </c>
      <c r="E2470" s="1">
        <v>5.70038001661E11</v>
      </c>
      <c r="F2470" s="1" t="s">
        <v>6184</v>
      </c>
      <c r="G2470" s="1" t="s">
        <v>3846</v>
      </c>
      <c r="H2470" s="1" t="s">
        <v>867</v>
      </c>
      <c r="I2470" s="1" t="s">
        <v>3038</v>
      </c>
      <c r="J2470" s="1" t="s">
        <v>3848</v>
      </c>
      <c r="K2470" s="1"/>
    </row>
    <row r="2471" ht="15.75" customHeight="1">
      <c r="A2471" s="1">
        <v>2470.0</v>
      </c>
      <c r="B2471" s="1" t="s">
        <v>6185</v>
      </c>
      <c r="C2471" s="1" t="s">
        <v>6186</v>
      </c>
      <c r="D2471" s="1" t="s">
        <v>6187</v>
      </c>
      <c r="E2471" s="1">
        <v>5.70038001662E11</v>
      </c>
      <c r="F2471" s="1" t="s">
        <v>1058</v>
      </c>
      <c r="G2471" s="1" t="s">
        <v>3846</v>
      </c>
      <c r="H2471" s="1" t="s">
        <v>6188</v>
      </c>
      <c r="I2471" s="1" t="s">
        <v>6053</v>
      </c>
      <c r="J2471" s="1" t="s">
        <v>3038</v>
      </c>
      <c r="K2471" s="1" t="s">
        <v>3848</v>
      </c>
    </row>
    <row r="2472" ht="15.75" customHeight="1">
      <c r="A2472" s="1">
        <v>2471.0</v>
      </c>
      <c r="B2472" s="1" t="s">
        <v>1197</v>
      </c>
      <c r="C2472" s="1" t="s">
        <v>6189</v>
      </c>
      <c r="D2472" s="1" t="s">
        <v>40</v>
      </c>
      <c r="E2472" s="1">
        <v>5.70038001663E11</v>
      </c>
      <c r="F2472" s="1" t="s">
        <v>1058</v>
      </c>
      <c r="G2472" s="1" t="s">
        <v>3846</v>
      </c>
      <c r="H2472" s="1" t="s">
        <v>6188</v>
      </c>
      <c r="I2472" s="1" t="s">
        <v>6053</v>
      </c>
      <c r="J2472" s="1" t="s">
        <v>3038</v>
      </c>
      <c r="K2472" s="1" t="s">
        <v>3848</v>
      </c>
    </row>
    <row r="2473" ht="15.75" customHeight="1">
      <c r="A2473" s="1">
        <v>2472.0</v>
      </c>
      <c r="B2473" s="1" t="s">
        <v>6190</v>
      </c>
      <c r="C2473" s="1" t="s">
        <v>6191</v>
      </c>
      <c r="D2473" s="1" t="s">
        <v>6192</v>
      </c>
      <c r="E2473" s="1">
        <v>5.70038544923E11</v>
      </c>
      <c r="F2473" s="1" t="s">
        <v>6193</v>
      </c>
      <c r="G2473" s="1" t="s">
        <v>135</v>
      </c>
      <c r="H2473" s="1">
        <v>455.0</v>
      </c>
      <c r="I2473" s="1" t="s">
        <v>6053</v>
      </c>
      <c r="J2473" s="1" t="s">
        <v>3038</v>
      </c>
      <c r="K2473" s="1" t="s">
        <v>3848</v>
      </c>
    </row>
    <row r="2474" ht="15.75" customHeight="1">
      <c r="A2474" s="1">
        <v>2473.0</v>
      </c>
      <c r="B2474" s="1" t="s">
        <v>5335</v>
      </c>
      <c r="C2474" s="1" t="s">
        <v>6194</v>
      </c>
      <c r="D2474" s="1" t="s">
        <v>230</v>
      </c>
      <c r="E2474" s="1">
        <v>5.70038544927E11</v>
      </c>
      <c r="F2474" s="1" t="s">
        <v>6026</v>
      </c>
      <c r="G2474" s="1" t="s">
        <v>3846</v>
      </c>
      <c r="H2474" s="1" t="s">
        <v>867</v>
      </c>
      <c r="I2474" s="1" t="s">
        <v>3038</v>
      </c>
      <c r="J2474" s="1" t="s">
        <v>3848</v>
      </c>
      <c r="K2474" s="1"/>
    </row>
    <row r="2475" ht="15.75" customHeight="1">
      <c r="A2475" s="1">
        <v>2474.0</v>
      </c>
      <c r="B2475" s="1" t="s">
        <v>841</v>
      </c>
      <c r="C2475" s="1" t="s">
        <v>1440</v>
      </c>
      <c r="D2475" s="1" t="s">
        <v>453</v>
      </c>
      <c r="E2475" s="1">
        <v>5.70038544928E11</v>
      </c>
      <c r="F2475" s="1" t="s">
        <v>6195</v>
      </c>
      <c r="G2475" s="1" t="s">
        <v>3846</v>
      </c>
      <c r="H2475" s="1" t="s">
        <v>867</v>
      </c>
      <c r="I2475" s="1" t="s">
        <v>3038</v>
      </c>
      <c r="J2475" s="1" t="s">
        <v>3848</v>
      </c>
      <c r="K2475" s="1"/>
    </row>
    <row r="2476" ht="15.75" customHeight="1">
      <c r="A2476" s="1">
        <v>2475.0</v>
      </c>
      <c r="B2476" s="1" t="s">
        <v>1958</v>
      </c>
      <c r="C2476" s="1" t="s">
        <v>1242</v>
      </c>
      <c r="D2476" s="1" t="s">
        <v>6196</v>
      </c>
      <c r="E2476" s="1">
        <v>5.70038544929E11</v>
      </c>
      <c r="F2476" s="1" t="s">
        <v>6197</v>
      </c>
      <c r="G2476" s="1" t="s">
        <v>3846</v>
      </c>
      <c r="H2476" s="1">
        <v>845.0</v>
      </c>
      <c r="I2476" s="1" t="s">
        <v>6053</v>
      </c>
      <c r="J2476" s="1" t="s">
        <v>3038</v>
      </c>
      <c r="K2476" s="1" t="s">
        <v>3848</v>
      </c>
    </row>
    <row r="2477" ht="15.75" customHeight="1">
      <c r="A2477" s="1">
        <v>2476.0</v>
      </c>
      <c r="B2477" s="1" t="s">
        <v>397</v>
      </c>
      <c r="C2477" s="1" t="s">
        <v>4901</v>
      </c>
      <c r="D2477" s="1" t="s">
        <v>403</v>
      </c>
      <c r="E2477" s="1">
        <v>5.7003854493E11</v>
      </c>
      <c r="F2477" s="1" t="s">
        <v>6198</v>
      </c>
      <c r="G2477" s="1" t="s">
        <v>3846</v>
      </c>
      <c r="H2477" s="1" t="s">
        <v>6199</v>
      </c>
      <c r="I2477" s="1" t="s">
        <v>6053</v>
      </c>
      <c r="J2477" s="1" t="s">
        <v>3038</v>
      </c>
      <c r="K2477" s="1" t="s">
        <v>3848</v>
      </c>
    </row>
    <row r="2478" ht="15.75" customHeight="1">
      <c r="A2478" s="1">
        <v>2477.0</v>
      </c>
      <c r="B2478" s="1" t="s">
        <v>3219</v>
      </c>
      <c r="C2478" s="1" t="s">
        <v>6200</v>
      </c>
      <c r="D2478" s="1" t="s">
        <v>1754</v>
      </c>
      <c r="E2478" s="1">
        <v>5.70038544933E11</v>
      </c>
      <c r="F2478" s="1" t="s">
        <v>5580</v>
      </c>
      <c r="G2478" s="1" t="s">
        <v>3846</v>
      </c>
      <c r="H2478" s="1" t="s">
        <v>867</v>
      </c>
      <c r="I2478" s="1" t="s">
        <v>3038</v>
      </c>
      <c r="J2478" s="1" t="s">
        <v>3848</v>
      </c>
      <c r="K2478" s="1"/>
    </row>
    <row r="2479" ht="15.75" customHeight="1">
      <c r="A2479" s="1">
        <v>2478.0</v>
      </c>
      <c r="B2479" s="1" t="s">
        <v>1152</v>
      </c>
      <c r="C2479" s="1" t="s">
        <v>6201</v>
      </c>
      <c r="D2479" s="1" t="s">
        <v>6202</v>
      </c>
      <c r="E2479" s="1">
        <v>5.70038544934E11</v>
      </c>
      <c r="F2479" s="1" t="s">
        <v>6203</v>
      </c>
      <c r="G2479" s="1" t="s">
        <v>3846</v>
      </c>
      <c r="H2479" s="1" t="s">
        <v>867</v>
      </c>
      <c r="I2479" s="1" t="s">
        <v>6053</v>
      </c>
      <c r="J2479" s="1" t="s">
        <v>3038</v>
      </c>
      <c r="K2479" s="1" t="s">
        <v>3848</v>
      </c>
    </row>
    <row r="2480" ht="15.75" customHeight="1">
      <c r="A2480" s="1">
        <v>2479.0</v>
      </c>
      <c r="B2480" s="1" t="s">
        <v>5668</v>
      </c>
      <c r="C2480" s="1" t="s">
        <v>6204</v>
      </c>
      <c r="D2480" s="1" t="s">
        <v>966</v>
      </c>
      <c r="E2480" s="1">
        <v>5.70038544937E11</v>
      </c>
      <c r="F2480" s="1" t="s">
        <v>6205</v>
      </c>
      <c r="G2480" s="1" t="s">
        <v>3846</v>
      </c>
      <c r="H2480" s="1">
        <v>345.0</v>
      </c>
      <c r="I2480" s="1" t="s">
        <v>6053</v>
      </c>
      <c r="J2480" s="1" t="s">
        <v>3038</v>
      </c>
      <c r="K2480" s="1" t="s">
        <v>3848</v>
      </c>
    </row>
    <row r="2481" ht="15.75" customHeight="1">
      <c r="A2481" s="1">
        <v>2480.0</v>
      </c>
      <c r="B2481" s="1" t="s">
        <v>5305</v>
      </c>
      <c r="C2481" s="1" t="s">
        <v>6206</v>
      </c>
      <c r="D2481" s="1" t="s">
        <v>1477</v>
      </c>
      <c r="E2481" s="1">
        <v>5.70038544938E11</v>
      </c>
      <c r="F2481" s="1" t="s">
        <v>6207</v>
      </c>
      <c r="G2481" s="1" t="s">
        <v>3846</v>
      </c>
      <c r="H2481" s="1">
        <v>445.0</v>
      </c>
      <c r="I2481" s="1" t="s">
        <v>6053</v>
      </c>
      <c r="J2481" s="1" t="s">
        <v>3038</v>
      </c>
      <c r="K2481" s="1" t="s">
        <v>3848</v>
      </c>
    </row>
    <row r="2482" ht="15.75" customHeight="1">
      <c r="A2482" s="1">
        <v>2481.0</v>
      </c>
      <c r="B2482" s="1" t="s">
        <v>5205</v>
      </c>
      <c r="C2482" s="1" t="s">
        <v>958</v>
      </c>
      <c r="D2482" s="1" t="s">
        <v>228</v>
      </c>
      <c r="E2482" s="1">
        <v>5.70038544937E11</v>
      </c>
      <c r="F2482" s="1" t="s">
        <v>6208</v>
      </c>
      <c r="G2482" s="1" t="s">
        <v>3846</v>
      </c>
      <c r="H2482" s="1" t="s">
        <v>867</v>
      </c>
      <c r="I2482" s="1" t="s">
        <v>3038</v>
      </c>
      <c r="J2482" s="1" t="s">
        <v>3848</v>
      </c>
      <c r="K2482" s="1"/>
    </row>
    <row r="2483" ht="15.75" customHeight="1">
      <c r="A2483" s="1">
        <v>2482.0</v>
      </c>
      <c r="B2483" s="1" t="s">
        <v>307</v>
      </c>
      <c r="C2483" s="1" t="s">
        <v>1983</v>
      </c>
      <c r="D2483" s="1" t="s">
        <v>4232</v>
      </c>
      <c r="E2483" s="1">
        <v>5.70038000431E11</v>
      </c>
      <c r="F2483" s="1" t="s">
        <v>6209</v>
      </c>
      <c r="G2483" s="1" t="s">
        <v>3846</v>
      </c>
      <c r="H2483" s="1">
        <v>1236.0</v>
      </c>
      <c r="I2483" s="1" t="s">
        <v>6053</v>
      </c>
      <c r="J2483" s="1" t="s">
        <v>3038</v>
      </c>
      <c r="K2483" s="1" t="s">
        <v>3848</v>
      </c>
    </row>
    <row r="2484" ht="15.75" customHeight="1">
      <c r="A2484" s="1">
        <v>2483.0</v>
      </c>
      <c r="B2484" s="1" t="s">
        <v>230</v>
      </c>
      <c r="C2484" s="1" t="s">
        <v>6210</v>
      </c>
      <c r="D2484" s="1" t="s">
        <v>3962</v>
      </c>
      <c r="E2484" s="1">
        <v>5.70038544936E11</v>
      </c>
      <c r="F2484" s="1" t="s">
        <v>6211</v>
      </c>
      <c r="G2484" s="1" t="s">
        <v>3846</v>
      </c>
      <c r="H2484" s="1" t="s">
        <v>867</v>
      </c>
      <c r="I2484" s="1" t="s">
        <v>3038</v>
      </c>
      <c r="J2484" s="1" t="s">
        <v>3848</v>
      </c>
      <c r="K2484" s="1"/>
    </row>
    <row r="2485" ht="15.75" customHeight="1">
      <c r="A2485" s="1">
        <v>2484.0</v>
      </c>
      <c r="B2485" s="1" t="s">
        <v>5518</v>
      </c>
      <c r="C2485" s="1" t="s">
        <v>5688</v>
      </c>
      <c r="D2485" s="1" t="s">
        <v>6212</v>
      </c>
      <c r="E2485" s="1">
        <v>5.7003854494E11</v>
      </c>
      <c r="F2485" s="1" t="s">
        <v>6213</v>
      </c>
      <c r="G2485" s="1" t="s">
        <v>3846</v>
      </c>
      <c r="H2485" s="1" t="s">
        <v>867</v>
      </c>
      <c r="I2485" s="1" t="s">
        <v>3038</v>
      </c>
      <c r="J2485" s="1" t="s">
        <v>3848</v>
      </c>
      <c r="K2485" s="1"/>
    </row>
    <row r="2486" ht="15.75" customHeight="1">
      <c r="A2486" s="1">
        <v>2485.0</v>
      </c>
      <c r="B2486" s="1" t="s">
        <v>6214</v>
      </c>
      <c r="C2486" s="1" t="s">
        <v>6215</v>
      </c>
      <c r="D2486" s="1" t="s">
        <v>6216</v>
      </c>
      <c r="E2486" s="1">
        <v>5.70038544944E11</v>
      </c>
      <c r="F2486" s="1" t="s">
        <v>6217</v>
      </c>
      <c r="G2486" s="1" t="s">
        <v>3846</v>
      </c>
      <c r="H2486" s="1" t="s">
        <v>867</v>
      </c>
      <c r="I2486" s="1" t="s">
        <v>3038</v>
      </c>
      <c r="J2486" s="1" t="s">
        <v>3848</v>
      </c>
      <c r="K2486" s="1"/>
    </row>
    <row r="2487" ht="15.75" customHeight="1">
      <c r="A2487" s="1">
        <v>2486.0</v>
      </c>
      <c r="B2487" s="1" t="s">
        <v>6218</v>
      </c>
      <c r="C2487" s="1" t="s">
        <v>3844</v>
      </c>
      <c r="D2487" s="1" t="s">
        <v>588</v>
      </c>
      <c r="E2487" s="1">
        <v>5.70038544952E11</v>
      </c>
      <c r="F2487" s="1" t="s">
        <v>6219</v>
      </c>
      <c r="G2487" s="1" t="s">
        <v>3846</v>
      </c>
      <c r="H2487" s="1">
        <v>144.0</v>
      </c>
      <c r="I2487" s="1" t="s">
        <v>6053</v>
      </c>
      <c r="J2487" s="1" t="s">
        <v>3038</v>
      </c>
      <c r="K2487" s="1" t="s">
        <v>3848</v>
      </c>
    </row>
    <row r="2488" ht="15.75" customHeight="1">
      <c r="A2488" s="1">
        <v>2487.0</v>
      </c>
      <c r="B2488" s="1" t="s">
        <v>2074</v>
      </c>
      <c r="C2488" s="1" t="s">
        <v>6064</v>
      </c>
      <c r="D2488" s="1" t="s">
        <v>6220</v>
      </c>
      <c r="E2488" s="1">
        <v>5.70038544958E11</v>
      </c>
      <c r="F2488" s="1" t="s">
        <v>6221</v>
      </c>
      <c r="G2488" s="1" t="s">
        <v>3846</v>
      </c>
      <c r="H2488" s="1">
        <v>1423.0</v>
      </c>
      <c r="I2488" s="1" t="s">
        <v>6053</v>
      </c>
      <c r="J2488" s="1" t="s">
        <v>3038</v>
      </c>
      <c r="K2488" s="1" t="s">
        <v>3848</v>
      </c>
    </row>
    <row r="2489" ht="15.75" customHeight="1">
      <c r="A2489" s="1">
        <v>2488.0</v>
      </c>
      <c r="B2489" s="1" t="s">
        <v>6222</v>
      </c>
      <c r="C2489" s="1" t="s">
        <v>4522</v>
      </c>
      <c r="D2489" s="1" t="s">
        <v>879</v>
      </c>
      <c r="E2489" s="1">
        <v>5.7003854496E11</v>
      </c>
      <c r="F2489" s="1" t="s">
        <v>6223</v>
      </c>
      <c r="G2489" s="1" t="s">
        <v>3846</v>
      </c>
      <c r="H2489" s="1" t="s">
        <v>867</v>
      </c>
      <c r="I2489" s="1" t="s">
        <v>6053</v>
      </c>
      <c r="J2489" s="1" t="s">
        <v>3038</v>
      </c>
      <c r="K2489" s="1" t="s">
        <v>3848</v>
      </c>
    </row>
    <row r="2490" ht="15.75" customHeight="1">
      <c r="A2490" s="1">
        <v>2489.0</v>
      </c>
      <c r="B2490" s="1" t="s">
        <v>4822</v>
      </c>
      <c r="C2490" s="1" t="s">
        <v>6224</v>
      </c>
      <c r="D2490" s="1" t="s">
        <v>6225</v>
      </c>
      <c r="E2490" s="1">
        <v>5.70038544962E11</v>
      </c>
      <c r="F2490" s="1" t="s">
        <v>5981</v>
      </c>
      <c r="G2490" s="1" t="s">
        <v>3846</v>
      </c>
      <c r="H2490" s="1" t="s">
        <v>867</v>
      </c>
      <c r="I2490" s="1" t="s">
        <v>3038</v>
      </c>
      <c r="J2490" s="1" t="s">
        <v>3848</v>
      </c>
      <c r="K2490" s="1"/>
    </row>
    <row r="2491" ht="15.75" customHeight="1">
      <c r="A2491" s="1">
        <v>2490.0</v>
      </c>
      <c r="B2491" s="1" t="s">
        <v>4569</v>
      </c>
      <c r="C2491" s="1" t="s">
        <v>6226</v>
      </c>
      <c r="D2491" s="1" t="s">
        <v>6227</v>
      </c>
      <c r="E2491" s="1">
        <v>5.70038544964E11</v>
      </c>
      <c r="F2491" s="1" t="s">
        <v>6228</v>
      </c>
      <c r="G2491" s="1" t="s">
        <v>3846</v>
      </c>
      <c r="H2491" s="1">
        <v>203.0</v>
      </c>
      <c r="I2491" s="1" t="s">
        <v>6053</v>
      </c>
      <c r="J2491" s="1" t="s">
        <v>3038</v>
      </c>
      <c r="K2491" s="1" t="s">
        <v>3848</v>
      </c>
    </row>
    <row r="2492" ht="15.75" customHeight="1">
      <c r="A2492" s="1">
        <v>2491.0</v>
      </c>
      <c r="B2492" s="1" t="s">
        <v>6229</v>
      </c>
      <c r="C2492" s="1" t="s">
        <v>6230</v>
      </c>
      <c r="D2492" s="1" t="s">
        <v>3601</v>
      </c>
      <c r="E2492" s="1">
        <v>5.70038544965E11</v>
      </c>
      <c r="F2492" s="1" t="s">
        <v>6231</v>
      </c>
      <c r="G2492" s="1" t="s">
        <v>135</v>
      </c>
      <c r="H2492" s="1">
        <v>964.0</v>
      </c>
      <c r="I2492" s="1" t="s">
        <v>6053</v>
      </c>
      <c r="J2492" s="1" t="s">
        <v>3038</v>
      </c>
      <c r="K2492" s="1" t="s">
        <v>3848</v>
      </c>
    </row>
    <row r="2493" ht="15.75" customHeight="1">
      <c r="A2493" s="1">
        <v>2492.0</v>
      </c>
      <c r="B2493" s="1" t="s">
        <v>6232</v>
      </c>
      <c r="C2493" s="1" t="s">
        <v>3104</v>
      </c>
      <c r="D2493" s="1" t="s">
        <v>360</v>
      </c>
      <c r="E2493" s="1">
        <v>5.70038544966E11</v>
      </c>
      <c r="F2493" s="1" t="s">
        <v>6233</v>
      </c>
      <c r="G2493" s="1" t="s">
        <v>135</v>
      </c>
      <c r="H2493" s="1" t="s">
        <v>867</v>
      </c>
      <c r="I2493" s="1" t="s">
        <v>3038</v>
      </c>
      <c r="J2493" s="1" t="s">
        <v>3848</v>
      </c>
      <c r="K2493" s="1"/>
    </row>
    <row r="2494" ht="15.75" customHeight="1">
      <c r="A2494" s="1">
        <v>2493.0</v>
      </c>
      <c r="B2494" s="1" t="s">
        <v>2657</v>
      </c>
      <c r="C2494" s="1" t="s">
        <v>5038</v>
      </c>
      <c r="D2494" s="1" t="s">
        <v>600</v>
      </c>
      <c r="E2494" s="1">
        <v>5.70038544967E11</v>
      </c>
      <c r="F2494" s="1" t="s">
        <v>5039</v>
      </c>
      <c r="G2494" s="1" t="s">
        <v>3846</v>
      </c>
      <c r="H2494" s="1">
        <v>149.0</v>
      </c>
      <c r="I2494" s="1" t="s">
        <v>6053</v>
      </c>
      <c r="J2494" s="1" t="s">
        <v>3038</v>
      </c>
      <c r="K2494" s="1" t="s">
        <v>3848</v>
      </c>
    </row>
    <row r="2495" ht="15.75" customHeight="1">
      <c r="A2495" s="1">
        <v>2494.0</v>
      </c>
      <c r="B2495" s="1" t="s">
        <v>6234</v>
      </c>
      <c r="C2495" s="1" t="s">
        <v>6235</v>
      </c>
      <c r="D2495" s="1" t="s">
        <v>1652</v>
      </c>
      <c r="E2495" s="1">
        <v>5.70038544968E11</v>
      </c>
      <c r="F2495" s="1" t="s">
        <v>4932</v>
      </c>
      <c r="G2495" s="1" t="s">
        <v>3846</v>
      </c>
      <c r="H2495" s="1" t="s">
        <v>6236</v>
      </c>
      <c r="I2495" s="1" t="s">
        <v>6053</v>
      </c>
      <c r="J2495" s="1" t="s">
        <v>3038</v>
      </c>
      <c r="K2495" s="1" t="s">
        <v>3848</v>
      </c>
    </row>
    <row r="2496" ht="15.75" customHeight="1">
      <c r="A2496" s="1">
        <v>2495.0</v>
      </c>
      <c r="B2496" s="1" t="s">
        <v>6237</v>
      </c>
      <c r="C2496" s="1" t="s">
        <v>4923</v>
      </c>
      <c r="D2496" s="1" t="s">
        <v>6238</v>
      </c>
      <c r="E2496" s="1">
        <v>5.70038544969E11</v>
      </c>
      <c r="F2496" s="1" t="s">
        <v>6239</v>
      </c>
      <c r="G2496" s="1" t="s">
        <v>135</v>
      </c>
      <c r="H2496" s="1">
        <v>219.0</v>
      </c>
      <c r="I2496" s="1" t="s">
        <v>6053</v>
      </c>
      <c r="J2496" s="1" t="s">
        <v>3038</v>
      </c>
      <c r="K2496" s="1" t="s">
        <v>3848</v>
      </c>
    </row>
    <row r="2497" ht="15.75" customHeight="1">
      <c r="A2497" s="1">
        <v>2496.0</v>
      </c>
      <c r="B2497" s="1" t="s">
        <v>6240</v>
      </c>
      <c r="C2497" s="1" t="s">
        <v>6241</v>
      </c>
      <c r="D2497" s="1" t="s">
        <v>6242</v>
      </c>
      <c r="E2497" s="1">
        <v>5.7003854498E10</v>
      </c>
      <c r="F2497" s="1" t="s">
        <v>6243</v>
      </c>
      <c r="G2497" s="1" t="s">
        <v>3846</v>
      </c>
      <c r="H2497" s="1" t="s">
        <v>867</v>
      </c>
      <c r="I2497" s="1" t="s">
        <v>3038</v>
      </c>
      <c r="J2497" s="1" t="s">
        <v>3848</v>
      </c>
      <c r="K2497" s="1"/>
    </row>
    <row r="2498" ht="15.75" customHeight="1">
      <c r="A2498" s="1">
        <v>2497.0</v>
      </c>
      <c r="B2498" s="1" t="s">
        <v>6244</v>
      </c>
      <c r="C2498" s="1" t="s">
        <v>6245</v>
      </c>
      <c r="D2498" s="1" t="s">
        <v>651</v>
      </c>
      <c r="E2498" s="1">
        <v>5.7003854495E11</v>
      </c>
      <c r="F2498" s="1" t="s">
        <v>6246</v>
      </c>
      <c r="G2498" s="1" t="s">
        <v>3846</v>
      </c>
      <c r="H2498" s="1" t="s">
        <v>6236</v>
      </c>
      <c r="I2498" s="1" t="s">
        <v>6053</v>
      </c>
      <c r="J2498" s="1" t="s">
        <v>3038</v>
      </c>
      <c r="K2498" s="1" t="s">
        <v>3848</v>
      </c>
    </row>
    <row r="2499" ht="15.75" customHeight="1">
      <c r="A2499" s="1">
        <v>2498.0</v>
      </c>
      <c r="B2499" s="1" t="s">
        <v>127</v>
      </c>
      <c r="C2499" s="1" t="s">
        <v>6247</v>
      </c>
      <c r="D2499" s="1" t="s">
        <v>6248</v>
      </c>
      <c r="E2499" s="1">
        <v>5.70038544953E11</v>
      </c>
      <c r="F2499" s="1" t="s">
        <v>6249</v>
      </c>
      <c r="G2499" s="1" t="s">
        <v>3846</v>
      </c>
      <c r="H2499" s="1" t="s">
        <v>867</v>
      </c>
      <c r="I2499" s="1" t="s">
        <v>3038</v>
      </c>
      <c r="J2499" s="1" t="s">
        <v>3848</v>
      </c>
      <c r="K2499" s="1"/>
    </row>
    <row r="2500" ht="15.75" customHeight="1">
      <c r="A2500" s="1">
        <v>2499.0</v>
      </c>
      <c r="B2500" s="1" t="s">
        <v>1464</v>
      </c>
      <c r="C2500" s="1" t="s">
        <v>6250</v>
      </c>
      <c r="D2500" s="1" t="s">
        <v>6251</v>
      </c>
      <c r="E2500" s="1">
        <v>5.70038544955E11</v>
      </c>
      <c r="F2500" s="1" t="s">
        <v>661</v>
      </c>
      <c r="G2500" s="1" t="s">
        <v>3846</v>
      </c>
      <c r="H2500" s="1" t="s">
        <v>867</v>
      </c>
      <c r="I2500" s="1" t="s">
        <v>3038</v>
      </c>
      <c r="J2500" s="1" t="s">
        <v>3848</v>
      </c>
      <c r="K2500" s="1"/>
    </row>
    <row r="2501" ht="15.75" customHeight="1">
      <c r="A2501" s="1">
        <v>2500.0</v>
      </c>
      <c r="B2501" s="1" t="s">
        <v>5086</v>
      </c>
      <c r="C2501" s="1" t="s">
        <v>446</v>
      </c>
      <c r="D2501" s="1" t="s">
        <v>230</v>
      </c>
      <c r="E2501" s="1">
        <v>5.70038544959E11</v>
      </c>
      <c r="F2501" s="1" t="s">
        <v>2492</v>
      </c>
      <c r="G2501" s="1" t="s">
        <v>3846</v>
      </c>
      <c r="H2501" s="1" t="s">
        <v>867</v>
      </c>
      <c r="I2501" s="1" t="s">
        <v>3038</v>
      </c>
      <c r="J2501" s="1" t="s">
        <v>3848</v>
      </c>
      <c r="K2501" s="1"/>
    </row>
    <row r="2502" ht="15.75" customHeight="1">
      <c r="A2502" s="1">
        <v>2501.0</v>
      </c>
      <c r="B2502" s="1" t="s">
        <v>427</v>
      </c>
      <c r="C2502" s="1" t="s">
        <v>6252</v>
      </c>
      <c r="D2502" s="1" t="s">
        <v>208</v>
      </c>
      <c r="E2502" s="1">
        <v>5.70038544961E11</v>
      </c>
      <c r="F2502" s="1" t="s">
        <v>6253</v>
      </c>
      <c r="G2502" s="1" t="s">
        <v>3846</v>
      </c>
      <c r="H2502" s="1" t="s">
        <v>867</v>
      </c>
      <c r="I2502" s="1" t="s">
        <v>3038</v>
      </c>
      <c r="J2502" s="1" t="s">
        <v>3848</v>
      </c>
      <c r="K2502" s="1"/>
    </row>
    <row r="2503" ht="15.75" customHeight="1">
      <c r="A2503" s="1">
        <v>2502.0</v>
      </c>
      <c r="B2503" s="1" t="s">
        <v>6254</v>
      </c>
      <c r="C2503" s="1" t="s">
        <v>176</v>
      </c>
      <c r="D2503" s="1" t="s">
        <v>1581</v>
      </c>
      <c r="E2503" s="1">
        <v>5.70038000437E11</v>
      </c>
      <c r="F2503" s="1" t="s">
        <v>6255</v>
      </c>
      <c r="G2503" s="1" t="s">
        <v>135</v>
      </c>
      <c r="H2503" s="1" t="s">
        <v>867</v>
      </c>
      <c r="I2503" s="1" t="s">
        <v>3038</v>
      </c>
      <c r="J2503" s="1" t="s">
        <v>3848</v>
      </c>
      <c r="K2503" s="1"/>
    </row>
    <row r="2504" ht="15.75" customHeight="1">
      <c r="A2504" s="1">
        <v>2503.0</v>
      </c>
      <c r="B2504" s="1" t="s">
        <v>5748</v>
      </c>
      <c r="C2504" s="1" t="s">
        <v>6256</v>
      </c>
      <c r="D2504" s="1" t="s">
        <v>2533</v>
      </c>
      <c r="E2504" s="1">
        <v>5.700380009E11</v>
      </c>
      <c r="F2504" s="1" t="s">
        <v>6257</v>
      </c>
      <c r="G2504" s="1" t="s">
        <v>135</v>
      </c>
      <c r="H2504" s="1" t="s">
        <v>867</v>
      </c>
      <c r="I2504" s="1" t="s">
        <v>3038</v>
      </c>
      <c r="J2504" s="1" t="s">
        <v>3848</v>
      </c>
      <c r="K2504" s="1"/>
    </row>
    <row r="2505" ht="15.75" customHeight="1">
      <c r="A2505" s="1">
        <v>2504.0</v>
      </c>
      <c r="B2505" s="1" t="s">
        <v>6258</v>
      </c>
      <c r="C2505" s="1" t="s">
        <v>6259</v>
      </c>
      <c r="D2505" s="1" t="s">
        <v>1052</v>
      </c>
      <c r="E2505" s="1">
        <v>5.70038001401E11</v>
      </c>
      <c r="F2505" s="1" t="s">
        <v>6260</v>
      </c>
      <c r="G2505" s="1" t="s">
        <v>135</v>
      </c>
      <c r="H2505" s="1" t="s">
        <v>867</v>
      </c>
      <c r="I2505" s="1" t="s">
        <v>3038</v>
      </c>
      <c r="J2505" s="1" t="s">
        <v>3848</v>
      </c>
      <c r="K2505" s="1"/>
    </row>
    <row r="2506" ht="15.75" customHeight="1">
      <c r="A2506" s="1">
        <v>2505.0</v>
      </c>
      <c r="B2506" s="1" t="s">
        <v>3984</v>
      </c>
      <c r="C2506" s="1" t="s">
        <v>3316</v>
      </c>
      <c r="D2506" s="1" t="s">
        <v>10</v>
      </c>
      <c r="E2506" s="1">
        <v>5.70038001624E11</v>
      </c>
      <c r="F2506" s="1" t="s">
        <v>6261</v>
      </c>
      <c r="G2506" s="1" t="s">
        <v>135</v>
      </c>
      <c r="H2506" s="1" t="s">
        <v>867</v>
      </c>
      <c r="I2506" s="1" t="s">
        <v>3038</v>
      </c>
      <c r="J2506" s="1" t="s">
        <v>3848</v>
      </c>
      <c r="K2506" s="1"/>
    </row>
    <row r="2507" ht="15.75" customHeight="1">
      <c r="A2507" s="1">
        <v>2506.0</v>
      </c>
      <c r="B2507" s="1" t="s">
        <v>829</v>
      </c>
      <c r="C2507" s="1" t="s">
        <v>5746</v>
      </c>
      <c r="D2507" s="1" t="s">
        <v>1285</v>
      </c>
      <c r="E2507" s="1">
        <v>5.70038001669E11</v>
      </c>
      <c r="F2507" s="1" t="s">
        <v>6262</v>
      </c>
      <c r="G2507" s="1" t="s">
        <v>135</v>
      </c>
      <c r="H2507" s="1" t="s">
        <v>6263</v>
      </c>
      <c r="I2507" s="1" t="s">
        <v>6053</v>
      </c>
      <c r="J2507" s="1" t="s">
        <v>3038</v>
      </c>
      <c r="K2507" s="1" t="s">
        <v>3848</v>
      </c>
    </row>
    <row r="2508" ht="15.75" customHeight="1">
      <c r="A2508" s="1">
        <v>2507.0</v>
      </c>
      <c r="B2508" s="1" t="s">
        <v>6264</v>
      </c>
      <c r="C2508" s="1" t="s">
        <v>6265</v>
      </c>
      <c r="D2508" s="1" t="s">
        <v>60</v>
      </c>
      <c r="E2508" s="1">
        <v>5.70038001684E11</v>
      </c>
      <c r="F2508" s="1" t="s">
        <v>6266</v>
      </c>
      <c r="G2508" s="1" t="s">
        <v>3846</v>
      </c>
      <c r="H2508" s="1" t="s">
        <v>867</v>
      </c>
      <c r="I2508" s="1" t="s">
        <v>3038</v>
      </c>
      <c r="J2508" s="1" t="s">
        <v>3848</v>
      </c>
      <c r="K2508" s="1"/>
    </row>
    <row r="2509" ht="15.75" customHeight="1">
      <c r="A2509" s="1">
        <v>2508.0</v>
      </c>
      <c r="B2509" s="1" t="s">
        <v>6267</v>
      </c>
      <c r="C2509" s="1" t="s">
        <v>6268</v>
      </c>
      <c r="D2509" s="1" t="s">
        <v>297</v>
      </c>
      <c r="E2509" s="1">
        <v>5.70038001685E11</v>
      </c>
      <c r="F2509" s="1" t="s">
        <v>6269</v>
      </c>
      <c r="G2509" s="1" t="s">
        <v>3846</v>
      </c>
      <c r="H2509" s="1" t="s">
        <v>867</v>
      </c>
      <c r="I2509" s="1" t="s">
        <v>3038</v>
      </c>
      <c r="J2509" s="1" t="s">
        <v>3848</v>
      </c>
      <c r="K2509" s="1"/>
    </row>
    <row r="2510" ht="15.75" customHeight="1">
      <c r="A2510" s="1">
        <v>2509.0</v>
      </c>
      <c r="B2510" s="1" t="s">
        <v>6270</v>
      </c>
      <c r="C2510" s="1" t="s">
        <v>6271</v>
      </c>
      <c r="D2510" s="1" t="s">
        <v>1904</v>
      </c>
      <c r="E2510" s="1">
        <v>5.70038001686E11</v>
      </c>
      <c r="F2510" s="1" t="s">
        <v>6272</v>
      </c>
      <c r="G2510" s="1" t="s">
        <v>3846</v>
      </c>
      <c r="H2510" s="1" t="s">
        <v>867</v>
      </c>
      <c r="I2510" s="1" t="s">
        <v>3038</v>
      </c>
      <c r="J2510" s="1" t="s">
        <v>3848</v>
      </c>
      <c r="K2510" s="1"/>
    </row>
    <row r="2511" ht="15.75" customHeight="1">
      <c r="A2511" s="1">
        <v>2510.0</v>
      </c>
      <c r="B2511" s="1" t="s">
        <v>6273</v>
      </c>
      <c r="C2511" s="1" t="s">
        <v>67</v>
      </c>
      <c r="D2511" s="1" t="s">
        <v>1458</v>
      </c>
      <c r="E2511" s="1">
        <v>5.70038001687E11</v>
      </c>
      <c r="F2511" s="1" t="s">
        <v>6274</v>
      </c>
      <c r="G2511" s="1" t="s">
        <v>3846</v>
      </c>
      <c r="H2511" s="1">
        <v>6.0</v>
      </c>
      <c r="I2511" s="1" t="s">
        <v>6053</v>
      </c>
      <c r="J2511" s="1" t="s">
        <v>3038</v>
      </c>
      <c r="K2511" s="1" t="s">
        <v>3848</v>
      </c>
    </row>
    <row r="2512" ht="15.75" customHeight="1">
      <c r="A2512" s="1">
        <v>2511.0</v>
      </c>
      <c r="B2512" s="1" t="s">
        <v>5662</v>
      </c>
      <c r="C2512" s="1" t="s">
        <v>6275</v>
      </c>
      <c r="D2512" s="1" t="s">
        <v>6276</v>
      </c>
      <c r="E2512" s="1">
        <v>5.70038001689E11</v>
      </c>
      <c r="F2512" s="1" t="s">
        <v>6277</v>
      </c>
      <c r="G2512" s="1" t="s">
        <v>135</v>
      </c>
      <c r="H2512" s="1" t="s">
        <v>867</v>
      </c>
      <c r="I2512" s="1" t="s">
        <v>3038</v>
      </c>
      <c r="J2512" s="1" t="s">
        <v>3848</v>
      </c>
      <c r="K2512" s="1"/>
    </row>
    <row r="2513" ht="15.75" customHeight="1">
      <c r="A2513" s="1">
        <v>2512.0</v>
      </c>
      <c r="B2513" s="1" t="s">
        <v>4442</v>
      </c>
      <c r="C2513" s="1" t="s">
        <v>6278</v>
      </c>
      <c r="D2513" s="1" t="s">
        <v>3062</v>
      </c>
      <c r="E2513" s="1">
        <v>5.70038001692E11</v>
      </c>
      <c r="F2513" s="1" t="s">
        <v>6279</v>
      </c>
      <c r="G2513" s="1" t="s">
        <v>3846</v>
      </c>
      <c r="H2513" s="1" t="s">
        <v>867</v>
      </c>
      <c r="I2513" s="1" t="s">
        <v>3038</v>
      </c>
      <c r="J2513" s="1" t="s">
        <v>3848</v>
      </c>
      <c r="K2513" s="1"/>
    </row>
    <row r="2514" ht="15.75" customHeight="1">
      <c r="A2514" s="1">
        <v>2513.0</v>
      </c>
      <c r="B2514" s="1" t="s">
        <v>6280</v>
      </c>
      <c r="C2514" s="1" t="s">
        <v>6281</v>
      </c>
      <c r="D2514" s="1" t="s">
        <v>6282</v>
      </c>
      <c r="E2514" s="1">
        <v>5.70038001696E11</v>
      </c>
      <c r="F2514" s="1" t="s">
        <v>6283</v>
      </c>
      <c r="G2514" s="1" t="s">
        <v>3846</v>
      </c>
      <c r="H2514" s="1" t="s">
        <v>867</v>
      </c>
      <c r="I2514" s="1" t="s">
        <v>3038</v>
      </c>
      <c r="J2514" s="1" t="s">
        <v>3848</v>
      </c>
      <c r="K2514" s="1"/>
    </row>
    <row r="2515" ht="15.75" customHeight="1">
      <c r="A2515" s="1">
        <v>2514.0</v>
      </c>
      <c r="B2515" s="1" t="s">
        <v>6284</v>
      </c>
      <c r="C2515" s="1" t="s">
        <v>6285</v>
      </c>
      <c r="D2515" s="1" t="s">
        <v>2786</v>
      </c>
      <c r="E2515" s="1">
        <v>5.70038001699E11</v>
      </c>
      <c r="F2515" s="1" t="s">
        <v>6286</v>
      </c>
      <c r="G2515" s="1" t="s">
        <v>3846</v>
      </c>
      <c r="H2515" s="1" t="s">
        <v>867</v>
      </c>
      <c r="I2515" s="1" t="s">
        <v>3038</v>
      </c>
      <c r="J2515" s="1" t="s">
        <v>3848</v>
      </c>
      <c r="K2515" s="1"/>
    </row>
    <row r="2516" ht="15.75" customHeight="1">
      <c r="A2516" s="1">
        <v>2515.0</v>
      </c>
      <c r="B2516" s="1" t="s">
        <v>6287</v>
      </c>
      <c r="C2516" s="1" t="s">
        <v>3803</v>
      </c>
      <c r="D2516" s="1" t="s">
        <v>6288</v>
      </c>
      <c r="E2516" s="1">
        <v>5.70038001701E11</v>
      </c>
      <c r="F2516" s="1" t="s">
        <v>6289</v>
      </c>
      <c r="G2516" s="1" t="s">
        <v>135</v>
      </c>
      <c r="H2516" s="1" t="s">
        <v>867</v>
      </c>
      <c r="I2516" s="1" t="s">
        <v>3038</v>
      </c>
      <c r="J2516" s="1" t="s">
        <v>3848</v>
      </c>
      <c r="K2516" s="1"/>
    </row>
    <row r="2517" ht="15.75" customHeight="1">
      <c r="A2517" s="1">
        <v>2516.0</v>
      </c>
      <c r="B2517" s="1" t="s">
        <v>6290</v>
      </c>
      <c r="C2517" s="1" t="s">
        <v>6291</v>
      </c>
      <c r="D2517" s="1" t="s">
        <v>6292</v>
      </c>
      <c r="E2517" s="1">
        <v>5.70038001705E11</v>
      </c>
      <c r="F2517" s="1" t="s">
        <v>6293</v>
      </c>
      <c r="G2517" s="1" t="s">
        <v>3846</v>
      </c>
      <c r="H2517" s="1" t="s">
        <v>867</v>
      </c>
      <c r="I2517" s="1" t="s">
        <v>3038</v>
      </c>
      <c r="J2517" s="1" t="s">
        <v>3848</v>
      </c>
      <c r="K2517" s="1"/>
    </row>
    <row r="2518" ht="15.75" customHeight="1">
      <c r="A2518" s="1">
        <v>2517.0</v>
      </c>
      <c r="B2518" s="1" t="s">
        <v>3219</v>
      </c>
      <c r="C2518" s="1" t="s">
        <v>1440</v>
      </c>
      <c r="D2518" s="1" t="s">
        <v>1659</v>
      </c>
      <c r="E2518" s="1">
        <v>5.70038001708E11</v>
      </c>
      <c r="F2518" s="1" t="s">
        <v>6294</v>
      </c>
      <c r="G2518" s="1" t="s">
        <v>3846</v>
      </c>
      <c r="H2518" s="1" t="s">
        <v>867</v>
      </c>
      <c r="I2518" s="1" t="s">
        <v>3038</v>
      </c>
      <c r="J2518" s="1" t="s">
        <v>3848</v>
      </c>
      <c r="K2518" s="1"/>
    </row>
    <row r="2519" ht="15.75" customHeight="1">
      <c r="A2519" s="2">
        <v>2518.0</v>
      </c>
      <c r="B2519" s="1" t="s">
        <v>6295</v>
      </c>
      <c r="C2519" s="1" t="s">
        <v>4522</v>
      </c>
      <c r="D2519" s="1" t="s">
        <v>295</v>
      </c>
      <c r="E2519" s="2">
        <v>5.70038001711E11</v>
      </c>
      <c r="F2519" s="1" t="s">
        <v>6296</v>
      </c>
      <c r="G2519" s="1" t="s">
        <v>135</v>
      </c>
      <c r="H2519" s="3" t="s">
        <v>13</v>
      </c>
      <c r="I2519" s="1"/>
      <c r="J2519" s="1"/>
      <c r="K2519" s="1"/>
    </row>
    <row r="2520" ht="15.75" customHeight="1">
      <c r="A2520" s="2">
        <v>2519.0</v>
      </c>
      <c r="B2520" s="1" t="s">
        <v>6297</v>
      </c>
      <c r="C2520" s="1" t="s">
        <v>6298</v>
      </c>
      <c r="D2520" s="1" t="s">
        <v>3613</v>
      </c>
      <c r="E2520" s="2">
        <v>5.70038001713E11</v>
      </c>
      <c r="F2520" s="1" t="s">
        <v>6299</v>
      </c>
      <c r="G2520" s="1" t="s">
        <v>135</v>
      </c>
      <c r="H2520" s="3" t="s">
        <v>13</v>
      </c>
      <c r="I2520" s="1"/>
      <c r="J2520" s="1"/>
      <c r="K2520" s="1"/>
    </row>
    <row r="2521" ht="15.75" customHeight="1">
      <c r="A2521" s="2">
        <v>2520.0</v>
      </c>
      <c r="B2521" s="1" t="s">
        <v>6300</v>
      </c>
      <c r="C2521" s="1" t="s">
        <v>5918</v>
      </c>
      <c r="D2521" s="1" t="s">
        <v>5569</v>
      </c>
      <c r="E2521" s="2">
        <v>5.70038001719E11</v>
      </c>
      <c r="F2521" s="1" t="s">
        <v>6301</v>
      </c>
      <c r="G2521" s="1" t="s">
        <v>135</v>
      </c>
      <c r="H2521" s="3" t="s">
        <v>13</v>
      </c>
      <c r="I2521" s="1"/>
      <c r="J2521" s="1"/>
      <c r="K2521" s="1"/>
    </row>
    <row r="2522" ht="15.75" customHeight="1">
      <c r="A2522" s="2">
        <v>2521.0</v>
      </c>
      <c r="B2522" s="1" t="s">
        <v>6302</v>
      </c>
      <c r="C2522" s="1" t="s">
        <v>6303</v>
      </c>
      <c r="D2522" s="1" t="s">
        <v>6304</v>
      </c>
      <c r="E2522" s="2">
        <v>5.70038001722E11</v>
      </c>
      <c r="F2522" s="1" t="s">
        <v>6305</v>
      </c>
      <c r="G2522" s="1" t="s">
        <v>135</v>
      </c>
      <c r="H2522" s="3" t="s">
        <v>6306</v>
      </c>
      <c r="I2522" s="1"/>
      <c r="J2522" s="1"/>
      <c r="K2522" s="1"/>
    </row>
    <row r="2523" ht="15.75" customHeight="1">
      <c r="A2523" s="2">
        <v>2522.0</v>
      </c>
      <c r="B2523" s="1" t="s">
        <v>4947</v>
      </c>
      <c r="C2523" s="1" t="s">
        <v>6307</v>
      </c>
      <c r="D2523" s="1" t="s">
        <v>2144</v>
      </c>
      <c r="E2523" s="2">
        <v>5.70038001724E11</v>
      </c>
      <c r="F2523" s="1" t="s">
        <v>6308</v>
      </c>
      <c r="G2523" s="1" t="s">
        <v>12</v>
      </c>
      <c r="H2523" s="3" t="s">
        <v>13</v>
      </c>
      <c r="I2523" s="1"/>
      <c r="J2523" s="1"/>
      <c r="K2523" s="1"/>
    </row>
    <row r="2524" ht="15.75" customHeight="1">
      <c r="A2524" s="2">
        <v>2523.0</v>
      </c>
      <c r="B2524" s="1" t="s">
        <v>5753</v>
      </c>
      <c r="C2524" s="1" t="s">
        <v>6309</v>
      </c>
      <c r="D2524" s="1" t="s">
        <v>1641</v>
      </c>
      <c r="E2524" s="2">
        <v>5.70038001725E11</v>
      </c>
      <c r="F2524" s="1" t="s">
        <v>6310</v>
      </c>
      <c r="G2524" s="1" t="s">
        <v>135</v>
      </c>
      <c r="H2524" s="3" t="s">
        <v>13</v>
      </c>
      <c r="I2524" s="1"/>
      <c r="J2524" s="1"/>
      <c r="K2524" s="1"/>
    </row>
    <row r="2525" ht="15.75" customHeight="1">
      <c r="A2525" s="2">
        <v>2524.0</v>
      </c>
      <c r="B2525" s="1" t="s">
        <v>6311</v>
      </c>
      <c r="C2525" s="1" t="s">
        <v>1405</v>
      </c>
      <c r="D2525" s="1" t="s">
        <v>513</v>
      </c>
      <c r="E2525" s="2">
        <v>5.70038001727E11</v>
      </c>
      <c r="F2525" s="1" t="s">
        <v>6312</v>
      </c>
      <c r="G2525" s="1" t="s">
        <v>135</v>
      </c>
      <c r="H2525" s="3" t="s">
        <v>6313</v>
      </c>
      <c r="I2525" s="1"/>
      <c r="J2525" s="1"/>
      <c r="K2525" s="1"/>
    </row>
    <row r="2526" ht="15.75" customHeight="1">
      <c r="A2526" s="2">
        <v>2525.0</v>
      </c>
      <c r="B2526" s="1" t="s">
        <v>5305</v>
      </c>
      <c r="C2526" s="1" t="s">
        <v>3497</v>
      </c>
      <c r="D2526" s="1" t="s">
        <v>4312</v>
      </c>
      <c r="E2526" s="2">
        <v>5.70038001729E11</v>
      </c>
      <c r="F2526" s="1" t="s">
        <v>6314</v>
      </c>
      <c r="G2526" s="1" t="s">
        <v>12</v>
      </c>
      <c r="H2526" s="3" t="s">
        <v>13</v>
      </c>
      <c r="I2526" s="1"/>
      <c r="J2526" s="1"/>
      <c r="K2526" s="1"/>
    </row>
    <row r="2527" ht="15.75" customHeight="1">
      <c r="A2527" s="2">
        <v>2526.0</v>
      </c>
      <c r="B2527" s="1" t="s">
        <v>5662</v>
      </c>
      <c r="C2527" s="1" t="s">
        <v>491</v>
      </c>
      <c r="D2527" s="1" t="s">
        <v>903</v>
      </c>
      <c r="E2527" s="2">
        <v>5.70038001733E11</v>
      </c>
      <c r="F2527" s="1" t="s">
        <v>6315</v>
      </c>
      <c r="G2527" s="1" t="s">
        <v>135</v>
      </c>
      <c r="H2527" s="3" t="s">
        <v>13</v>
      </c>
      <c r="I2527" s="1"/>
      <c r="J2527" s="1"/>
      <c r="K2527" s="1"/>
    </row>
    <row r="2528" ht="15.75" customHeight="1">
      <c r="A2528" s="2">
        <v>2527.0</v>
      </c>
      <c r="B2528" s="1" t="s">
        <v>3619</v>
      </c>
      <c r="C2528" s="1" t="s">
        <v>398</v>
      </c>
      <c r="D2528" s="1" t="s">
        <v>979</v>
      </c>
      <c r="E2528" s="2">
        <v>5.70038001737E11</v>
      </c>
      <c r="F2528" s="1" t="s">
        <v>6316</v>
      </c>
      <c r="G2528" s="1" t="s">
        <v>135</v>
      </c>
      <c r="H2528" s="3" t="s">
        <v>13</v>
      </c>
      <c r="I2528" s="1"/>
      <c r="J2528" s="1"/>
      <c r="K2528" s="1"/>
    </row>
    <row r="2529" ht="15.75" customHeight="1">
      <c r="A2529" s="2">
        <v>2528.0</v>
      </c>
      <c r="B2529" s="1" t="s">
        <v>6317</v>
      </c>
      <c r="C2529" s="1" t="s">
        <v>4603</v>
      </c>
      <c r="D2529" s="1" t="s">
        <v>6318</v>
      </c>
      <c r="E2529" s="2">
        <v>5.70038001745E11</v>
      </c>
      <c r="F2529" s="1" t="s">
        <v>6319</v>
      </c>
      <c r="G2529" s="1" t="s">
        <v>135</v>
      </c>
      <c r="H2529" s="3" t="s">
        <v>13</v>
      </c>
      <c r="I2529" s="1"/>
      <c r="J2529" s="1"/>
      <c r="K2529" s="1"/>
    </row>
    <row r="2530" ht="15.75" customHeight="1">
      <c r="A2530" s="2">
        <v>2529.0</v>
      </c>
      <c r="B2530" s="1" t="s">
        <v>297</v>
      </c>
      <c r="C2530" s="1" t="s">
        <v>3614</v>
      </c>
      <c r="D2530" s="1" t="s">
        <v>641</v>
      </c>
      <c r="E2530" s="2">
        <v>5.70038001746E11</v>
      </c>
      <c r="F2530" s="1" t="s">
        <v>6320</v>
      </c>
      <c r="G2530" s="1" t="s">
        <v>135</v>
      </c>
      <c r="H2530" s="3" t="s">
        <v>6321</v>
      </c>
      <c r="I2530" s="1"/>
      <c r="J2530" s="1"/>
      <c r="K2530" s="1"/>
    </row>
    <row r="2531" ht="15.75" customHeight="1">
      <c r="A2531" s="2">
        <v>2530.0</v>
      </c>
      <c r="B2531" s="1" t="s">
        <v>6322</v>
      </c>
      <c r="C2531" s="1" t="s">
        <v>1613</v>
      </c>
      <c r="D2531" s="1" t="s">
        <v>773</v>
      </c>
      <c r="E2531" s="2">
        <v>5.70038001747E11</v>
      </c>
      <c r="F2531" s="1" t="s">
        <v>6323</v>
      </c>
      <c r="G2531" s="1" t="s">
        <v>135</v>
      </c>
      <c r="H2531" s="3" t="s">
        <v>13</v>
      </c>
      <c r="I2531" s="1"/>
      <c r="J2531" s="1"/>
      <c r="K2531" s="1"/>
    </row>
    <row r="2532" ht="15.75" customHeight="1">
      <c r="A2532" s="2">
        <v>2531.0</v>
      </c>
      <c r="B2532" s="1" t="s">
        <v>592</v>
      </c>
      <c r="C2532" s="1" t="s">
        <v>446</v>
      </c>
      <c r="D2532" s="1" t="s">
        <v>427</v>
      </c>
      <c r="E2532" s="2">
        <v>5.70038001749E11</v>
      </c>
      <c r="F2532" s="1" t="s">
        <v>6324</v>
      </c>
      <c r="G2532" s="1" t="s">
        <v>135</v>
      </c>
      <c r="H2532" s="3" t="s">
        <v>13</v>
      </c>
      <c r="I2532" s="1"/>
      <c r="J2532" s="1"/>
      <c r="K2532" s="1"/>
    </row>
    <row r="2533" ht="15.75" customHeight="1">
      <c r="A2533" s="2">
        <v>2532.0</v>
      </c>
      <c r="B2533" s="1" t="s">
        <v>5601</v>
      </c>
      <c r="C2533" s="1" t="s">
        <v>6325</v>
      </c>
      <c r="D2533" s="1" t="s">
        <v>6326</v>
      </c>
      <c r="E2533" s="2">
        <v>5.70038001754E11</v>
      </c>
      <c r="F2533" s="1" t="s">
        <v>6327</v>
      </c>
      <c r="G2533" s="1" t="s">
        <v>12</v>
      </c>
      <c r="H2533" s="3" t="s">
        <v>13</v>
      </c>
      <c r="I2533" s="1"/>
      <c r="J2533" s="1"/>
      <c r="K2533" s="1"/>
    </row>
    <row r="2534" ht="15.75" customHeight="1">
      <c r="A2534" s="2">
        <v>2533.0</v>
      </c>
      <c r="B2534" s="1" t="s">
        <v>6328</v>
      </c>
      <c r="C2534" s="1" t="s">
        <v>6329</v>
      </c>
      <c r="D2534" s="1" t="s">
        <v>415</v>
      </c>
      <c r="E2534" s="2">
        <v>5.70038001755E11</v>
      </c>
      <c r="F2534" s="1" t="s">
        <v>6330</v>
      </c>
      <c r="G2534" s="1" t="s">
        <v>135</v>
      </c>
      <c r="H2534" s="3" t="s">
        <v>6331</v>
      </c>
      <c r="I2534" s="1"/>
      <c r="J2534" s="1"/>
      <c r="K2534" s="1"/>
    </row>
    <row r="2535" ht="15.75" customHeight="1">
      <c r="A2535" s="2">
        <v>2534.0</v>
      </c>
      <c r="B2535" s="1" t="s">
        <v>205</v>
      </c>
      <c r="C2535" s="1" t="s">
        <v>2775</v>
      </c>
      <c r="D2535" s="1" t="s">
        <v>1844</v>
      </c>
      <c r="E2535" s="2">
        <v>5.70038001757E11</v>
      </c>
      <c r="F2535" s="1" t="s">
        <v>6332</v>
      </c>
      <c r="G2535" s="1" t="s">
        <v>135</v>
      </c>
      <c r="H2535" s="3" t="s">
        <v>13</v>
      </c>
      <c r="I2535" s="1"/>
      <c r="J2535" s="1"/>
      <c r="K2535" s="1"/>
    </row>
    <row r="2536" ht="15.75" customHeight="1">
      <c r="A2536" s="2">
        <v>2535.0</v>
      </c>
      <c r="B2536" s="1" t="s">
        <v>6333</v>
      </c>
      <c r="C2536" s="1" t="s">
        <v>6334</v>
      </c>
      <c r="D2536" s="1" t="s">
        <v>6335</v>
      </c>
      <c r="E2536" s="2">
        <v>5.70038001758E11</v>
      </c>
      <c r="F2536" s="1" t="s">
        <v>6336</v>
      </c>
      <c r="G2536" s="1" t="s">
        <v>12</v>
      </c>
      <c r="H2536" s="3" t="s">
        <v>13</v>
      </c>
      <c r="I2536" s="1"/>
      <c r="J2536" s="1"/>
      <c r="K2536" s="1"/>
    </row>
    <row r="2537" ht="15.75" customHeight="1">
      <c r="A2537" s="1">
        <v>2536.0</v>
      </c>
      <c r="B2537" s="1" t="s">
        <v>4947</v>
      </c>
      <c r="C2537" s="1" t="s">
        <v>4660</v>
      </c>
      <c r="D2537" s="1" t="s">
        <v>6337</v>
      </c>
      <c r="E2537" s="1">
        <v>5.70038001763E11</v>
      </c>
      <c r="F2537" s="1" t="s">
        <v>6308</v>
      </c>
      <c r="G2537" s="1" t="s">
        <v>3846</v>
      </c>
      <c r="H2537" s="1" t="s">
        <v>867</v>
      </c>
      <c r="I2537" s="1" t="s">
        <v>3038</v>
      </c>
      <c r="J2537" s="1" t="s">
        <v>3848</v>
      </c>
      <c r="K2537" s="1"/>
    </row>
    <row r="2538" ht="15.75" customHeight="1">
      <c r="A2538" s="1">
        <v>2537.0</v>
      </c>
      <c r="B2538" s="1" t="s">
        <v>6338</v>
      </c>
      <c r="C2538" s="1" t="s">
        <v>4893</v>
      </c>
      <c r="D2538" s="1" t="s">
        <v>6339</v>
      </c>
      <c r="E2538" s="1">
        <v>5.70038001765E11</v>
      </c>
      <c r="F2538" s="1" t="s">
        <v>6340</v>
      </c>
      <c r="G2538" s="1" t="s">
        <v>135</v>
      </c>
      <c r="H2538" s="1" t="s">
        <v>867</v>
      </c>
      <c r="I2538" s="1" t="s">
        <v>3038</v>
      </c>
      <c r="J2538" s="1" t="s">
        <v>3848</v>
      </c>
      <c r="K2538" s="1"/>
    </row>
    <row r="2539" ht="15.75" customHeight="1">
      <c r="A2539" s="1">
        <v>2538.0</v>
      </c>
      <c r="B2539" s="1" t="s">
        <v>3496</v>
      </c>
      <c r="C2539" s="1" t="s">
        <v>1236</v>
      </c>
      <c r="D2539" s="1" t="s">
        <v>269</v>
      </c>
      <c r="E2539" s="1">
        <v>5.7003800177E11</v>
      </c>
      <c r="F2539" s="1" t="s">
        <v>6327</v>
      </c>
      <c r="G2539" s="1" t="s">
        <v>135</v>
      </c>
      <c r="H2539" s="1" t="s">
        <v>867</v>
      </c>
      <c r="I2539" s="1" t="s">
        <v>3038</v>
      </c>
      <c r="J2539" s="1" t="s">
        <v>3848</v>
      </c>
      <c r="K2539" s="1"/>
    </row>
    <row r="2540" ht="15.75" customHeight="1">
      <c r="A2540" s="1">
        <v>2539.0</v>
      </c>
      <c r="B2540" s="1" t="s">
        <v>6341</v>
      </c>
      <c r="C2540" s="1" t="s">
        <v>6342</v>
      </c>
      <c r="D2540" s="1" t="s">
        <v>3486</v>
      </c>
      <c r="E2540" s="1">
        <v>5.70038001772E11</v>
      </c>
      <c r="F2540" s="1" t="s">
        <v>6343</v>
      </c>
      <c r="G2540" s="1" t="s">
        <v>3846</v>
      </c>
      <c r="H2540" s="1" t="s">
        <v>867</v>
      </c>
      <c r="I2540" s="1" t="s">
        <v>3038</v>
      </c>
      <c r="J2540" s="1" t="s">
        <v>3848</v>
      </c>
      <c r="K2540" s="1"/>
    </row>
    <row r="2541" ht="15.75" customHeight="1">
      <c r="A2541" s="1">
        <v>2540.0</v>
      </c>
      <c r="B2541" s="1" t="s">
        <v>5305</v>
      </c>
      <c r="C2541" s="1" t="s">
        <v>5923</v>
      </c>
      <c r="D2541" s="1" t="s">
        <v>3486</v>
      </c>
      <c r="E2541" s="1">
        <v>5.70038001773E11</v>
      </c>
      <c r="F2541" s="1" t="s">
        <v>6344</v>
      </c>
      <c r="G2541" s="1" t="s">
        <v>3846</v>
      </c>
      <c r="H2541" s="1" t="s">
        <v>867</v>
      </c>
      <c r="I2541" s="1" t="s">
        <v>3038</v>
      </c>
      <c r="J2541" s="1" t="s">
        <v>3848</v>
      </c>
      <c r="K2541" s="1"/>
    </row>
    <row r="2542" ht="15.75" customHeight="1">
      <c r="A2542" s="1">
        <v>2541.0</v>
      </c>
      <c r="B2542" s="1" t="s">
        <v>1312</v>
      </c>
      <c r="C2542" s="1" t="s">
        <v>5128</v>
      </c>
      <c r="D2542" s="1" t="s">
        <v>838</v>
      </c>
      <c r="E2542" s="1">
        <v>5.70038001774E11</v>
      </c>
      <c r="F2542" s="1" t="s">
        <v>6345</v>
      </c>
      <c r="G2542" s="1" t="s">
        <v>135</v>
      </c>
      <c r="H2542" s="1" t="s">
        <v>867</v>
      </c>
      <c r="I2542" s="1" t="s">
        <v>3038</v>
      </c>
      <c r="J2542" s="1" t="s">
        <v>3848</v>
      </c>
      <c r="K2542" s="1"/>
    </row>
    <row r="2543" ht="15.75" customHeight="1">
      <c r="A2543" s="1">
        <v>2542.0</v>
      </c>
      <c r="B2543" s="1" t="s">
        <v>6346</v>
      </c>
      <c r="C2543" s="1" t="s">
        <v>4108</v>
      </c>
      <c r="D2543" s="1" t="s">
        <v>40</v>
      </c>
      <c r="E2543" s="1">
        <v>5.70038001775E11</v>
      </c>
      <c r="F2543" s="1" t="s">
        <v>6347</v>
      </c>
      <c r="G2543" s="1" t="s">
        <v>135</v>
      </c>
      <c r="H2543" s="1" t="s">
        <v>867</v>
      </c>
      <c r="I2543" s="1" t="s">
        <v>3038</v>
      </c>
      <c r="J2543" s="1" t="s">
        <v>3848</v>
      </c>
      <c r="K2543" s="1"/>
    </row>
    <row r="2544" ht="15.75" customHeight="1">
      <c r="A2544" s="1">
        <v>2543.0</v>
      </c>
      <c r="B2544" s="1" t="s">
        <v>4947</v>
      </c>
      <c r="C2544" s="1" t="s">
        <v>369</v>
      </c>
      <c r="D2544" s="1" t="s">
        <v>477</v>
      </c>
      <c r="E2544" s="1">
        <v>5.70038001776E11</v>
      </c>
      <c r="F2544" s="1" t="s">
        <v>6348</v>
      </c>
      <c r="G2544" s="1" t="s">
        <v>3846</v>
      </c>
      <c r="H2544" s="1" t="s">
        <v>867</v>
      </c>
      <c r="I2544" s="1" t="s">
        <v>3038</v>
      </c>
      <c r="J2544" s="1" t="s">
        <v>3848</v>
      </c>
      <c r="K2544" s="1"/>
    </row>
    <row r="2545" ht="15.75" customHeight="1">
      <c r="A2545" s="1">
        <v>2544.0</v>
      </c>
      <c r="B2545" s="1" t="s">
        <v>6349</v>
      </c>
      <c r="C2545" s="1" t="s">
        <v>3316</v>
      </c>
      <c r="D2545" s="1" t="s">
        <v>4026</v>
      </c>
      <c r="E2545" s="1">
        <v>5.70038001778E11</v>
      </c>
      <c r="F2545" s="1" t="s">
        <v>6350</v>
      </c>
      <c r="G2545" s="1" t="s">
        <v>135</v>
      </c>
      <c r="H2545" s="1" t="s">
        <v>867</v>
      </c>
      <c r="I2545" s="1" t="s">
        <v>3038</v>
      </c>
      <c r="J2545" s="1" t="s">
        <v>3848</v>
      </c>
      <c r="K2545" s="1"/>
    </row>
    <row r="2546" ht="15.75" customHeight="1">
      <c r="A2546" s="1">
        <v>2545.0</v>
      </c>
      <c r="B2546" s="1" t="s">
        <v>534</v>
      </c>
      <c r="C2546" s="1" t="s">
        <v>3963</v>
      </c>
      <c r="D2546" s="1" t="s">
        <v>258</v>
      </c>
      <c r="E2546" s="1">
        <v>5.70038001781E11</v>
      </c>
      <c r="F2546" s="1" t="s">
        <v>6351</v>
      </c>
      <c r="G2546" s="1" t="s">
        <v>135</v>
      </c>
      <c r="H2546" s="1" t="s">
        <v>867</v>
      </c>
      <c r="I2546" s="1" t="s">
        <v>3038</v>
      </c>
      <c r="J2546" s="1" t="s">
        <v>3848</v>
      </c>
      <c r="K2546" s="1"/>
    </row>
    <row r="2547" ht="15.75" customHeight="1">
      <c r="A2547" s="1">
        <v>2546.0</v>
      </c>
      <c r="B2547" s="1" t="s">
        <v>6352</v>
      </c>
      <c r="C2547" s="1" t="s">
        <v>5746</v>
      </c>
      <c r="D2547" s="1" t="s">
        <v>710</v>
      </c>
      <c r="E2547" s="1">
        <v>5.70038001785E11</v>
      </c>
      <c r="F2547" s="1" t="s">
        <v>6353</v>
      </c>
      <c r="G2547" s="1" t="s">
        <v>135</v>
      </c>
      <c r="H2547" s="1" t="s">
        <v>867</v>
      </c>
      <c r="I2547" s="1" t="s">
        <v>3038</v>
      </c>
      <c r="J2547" s="1" t="s">
        <v>3848</v>
      </c>
      <c r="K2547" s="1"/>
    </row>
    <row r="2548" ht="15.75" customHeight="1">
      <c r="A2548" s="1">
        <v>2547.0</v>
      </c>
      <c r="B2548" s="1" t="s">
        <v>6354</v>
      </c>
      <c r="C2548" s="1" t="s">
        <v>6355</v>
      </c>
      <c r="D2548" s="1" t="s">
        <v>54</v>
      </c>
      <c r="E2548" s="1">
        <v>5.70038001787E11</v>
      </c>
      <c r="F2548" s="1" t="s">
        <v>6356</v>
      </c>
      <c r="G2548" s="1" t="s">
        <v>135</v>
      </c>
      <c r="H2548" s="1" t="s">
        <v>867</v>
      </c>
      <c r="I2548" s="1" t="s">
        <v>3038</v>
      </c>
      <c r="J2548" s="1" t="s">
        <v>3848</v>
      </c>
      <c r="K2548" s="1"/>
    </row>
    <row r="2549" ht="15.75" customHeight="1">
      <c r="A2549" s="1">
        <v>2548.0</v>
      </c>
      <c r="B2549" s="1" t="s">
        <v>6357</v>
      </c>
      <c r="C2549" s="1" t="s">
        <v>6358</v>
      </c>
      <c r="D2549" s="1" t="s">
        <v>42</v>
      </c>
      <c r="E2549" s="1">
        <v>5.7003800179E11</v>
      </c>
      <c r="F2549" s="1" t="s">
        <v>6359</v>
      </c>
      <c r="G2549" s="1" t="s">
        <v>135</v>
      </c>
      <c r="H2549" s="1" t="s">
        <v>867</v>
      </c>
      <c r="I2549" s="1" t="s">
        <v>3038</v>
      </c>
      <c r="J2549" s="1" t="s">
        <v>3848</v>
      </c>
      <c r="K2549" s="1"/>
    </row>
    <row r="2550" ht="15.75" customHeight="1">
      <c r="A2550" s="1">
        <v>2549.0</v>
      </c>
      <c r="B2550" s="1" t="s">
        <v>10</v>
      </c>
      <c r="C2550" s="1" t="s">
        <v>6360</v>
      </c>
      <c r="D2550" s="1" t="s">
        <v>636</v>
      </c>
      <c r="E2550" s="1">
        <v>5.70038001791E11</v>
      </c>
      <c r="F2550" s="1" t="s">
        <v>6361</v>
      </c>
      <c r="G2550" s="1" t="s">
        <v>135</v>
      </c>
      <c r="H2550" s="1" t="s">
        <v>867</v>
      </c>
      <c r="I2550" s="1" t="s">
        <v>3038</v>
      </c>
      <c r="J2550" s="1" t="s">
        <v>3848</v>
      </c>
      <c r="K2550" s="1"/>
    </row>
    <row r="2551" ht="15.75" customHeight="1">
      <c r="A2551" s="1">
        <v>2550.0</v>
      </c>
      <c r="B2551" s="1" t="s">
        <v>4619</v>
      </c>
      <c r="C2551" s="1" t="s">
        <v>5958</v>
      </c>
      <c r="D2551" s="1" t="s">
        <v>1515</v>
      </c>
      <c r="E2551" s="1">
        <v>5.70038001792E11</v>
      </c>
      <c r="F2551" s="1" t="s">
        <v>6362</v>
      </c>
      <c r="G2551" s="1" t="s">
        <v>135</v>
      </c>
      <c r="H2551" s="1" t="s">
        <v>867</v>
      </c>
      <c r="I2551" s="1" t="s">
        <v>3038</v>
      </c>
      <c r="J2551" s="1" t="s">
        <v>3848</v>
      </c>
      <c r="K2551" s="1"/>
    </row>
    <row r="2552" ht="15.75" customHeight="1">
      <c r="A2552" s="1">
        <v>2551.0</v>
      </c>
      <c r="B2552" s="1" t="s">
        <v>6363</v>
      </c>
      <c r="C2552" s="1" t="s">
        <v>6364</v>
      </c>
      <c r="D2552" s="1" t="s">
        <v>4434</v>
      </c>
      <c r="E2552" s="1">
        <v>5.70038001795E11</v>
      </c>
      <c r="F2552" s="1" t="s">
        <v>6365</v>
      </c>
      <c r="G2552" s="1" t="s">
        <v>3846</v>
      </c>
      <c r="H2552" s="1" t="s">
        <v>867</v>
      </c>
      <c r="I2552" s="1" t="s">
        <v>3038</v>
      </c>
      <c r="J2552" s="1" t="s">
        <v>3848</v>
      </c>
      <c r="K2552" s="1"/>
    </row>
    <row r="2553" ht="15.75" customHeight="1">
      <c r="A2553" s="1">
        <v>2552.0</v>
      </c>
      <c r="B2553" s="1" t="s">
        <v>6366</v>
      </c>
      <c r="C2553" s="1" t="s">
        <v>4108</v>
      </c>
      <c r="D2553" s="1" t="s">
        <v>243</v>
      </c>
      <c r="E2553" s="1">
        <v>5.70038001798E11</v>
      </c>
      <c r="F2553" s="1" t="s">
        <v>6367</v>
      </c>
      <c r="G2553" s="1" t="s">
        <v>135</v>
      </c>
      <c r="H2553" s="1" t="s">
        <v>867</v>
      </c>
      <c r="I2553" s="1" t="s">
        <v>3038</v>
      </c>
      <c r="J2553" s="1" t="s">
        <v>3848</v>
      </c>
      <c r="K2553" s="1"/>
    </row>
    <row r="2554" ht="15.75" customHeight="1">
      <c r="A2554" s="1">
        <v>2553.0</v>
      </c>
      <c r="B2554" s="1" t="s">
        <v>6368</v>
      </c>
      <c r="C2554" s="1" t="s">
        <v>5898</v>
      </c>
      <c r="D2554" s="1" t="s">
        <v>453</v>
      </c>
      <c r="E2554" s="1">
        <v>5.700380018E11</v>
      </c>
      <c r="F2554" s="1" t="s">
        <v>6369</v>
      </c>
      <c r="G2554" s="1" t="s">
        <v>135</v>
      </c>
      <c r="H2554" s="1" t="s">
        <v>867</v>
      </c>
      <c r="I2554" s="1" t="s">
        <v>3038</v>
      </c>
      <c r="J2554" s="1" t="s">
        <v>3848</v>
      </c>
      <c r="K2554" s="1"/>
    </row>
    <row r="2555" ht="15.75" customHeight="1">
      <c r="A2555" s="1">
        <v>2554.0</v>
      </c>
      <c r="B2555" s="1" t="s">
        <v>6370</v>
      </c>
      <c r="C2555" s="1" t="s">
        <v>6371</v>
      </c>
      <c r="D2555" s="1" t="s">
        <v>2077</v>
      </c>
      <c r="E2555" s="1">
        <v>5.70038001805E11</v>
      </c>
      <c r="F2555" s="1" t="s">
        <v>6372</v>
      </c>
      <c r="G2555" s="1" t="s">
        <v>3846</v>
      </c>
      <c r="H2555" s="1" t="s">
        <v>867</v>
      </c>
      <c r="I2555" s="1" t="s">
        <v>3038</v>
      </c>
      <c r="J2555" s="1" t="s">
        <v>3848</v>
      </c>
      <c r="K2555" s="1"/>
    </row>
    <row r="2556" ht="15.75" customHeight="1">
      <c r="A2556" s="1">
        <v>2555.0</v>
      </c>
      <c r="B2556" s="1" t="s">
        <v>6352</v>
      </c>
      <c r="C2556" s="1" t="s">
        <v>948</v>
      </c>
      <c r="D2556" s="1" t="s">
        <v>641</v>
      </c>
      <c r="E2556" s="1">
        <v>5.70038001806E11</v>
      </c>
      <c r="F2556" s="1" t="s">
        <v>6373</v>
      </c>
      <c r="G2556" s="1" t="s">
        <v>3846</v>
      </c>
      <c r="H2556" s="1" t="s">
        <v>867</v>
      </c>
      <c r="I2556" s="1" t="s">
        <v>3038</v>
      </c>
      <c r="J2556" s="1" t="s">
        <v>3848</v>
      </c>
      <c r="K2556" s="1"/>
    </row>
    <row r="2557" ht="15.75" customHeight="1">
      <c r="A2557" s="1">
        <v>2556.0</v>
      </c>
      <c r="B2557" s="1" t="s">
        <v>10</v>
      </c>
      <c r="C2557" s="1" t="s">
        <v>6374</v>
      </c>
      <c r="D2557" s="1" t="s">
        <v>6375</v>
      </c>
      <c r="E2557" s="1">
        <v>5.70038001807E11</v>
      </c>
      <c r="F2557" s="1" t="s">
        <v>6362</v>
      </c>
      <c r="G2557" s="1" t="s">
        <v>135</v>
      </c>
      <c r="H2557" s="1" t="s">
        <v>867</v>
      </c>
      <c r="I2557" s="1" t="s">
        <v>3038</v>
      </c>
      <c r="J2557" s="1" t="s">
        <v>3848</v>
      </c>
      <c r="K2557" s="1"/>
    </row>
    <row r="2558" ht="15.75" customHeight="1">
      <c r="A2558" s="1">
        <v>2557.0</v>
      </c>
      <c r="B2558" s="1" t="s">
        <v>397</v>
      </c>
      <c r="C2558" s="1" t="s">
        <v>6376</v>
      </c>
      <c r="D2558" s="1" t="s">
        <v>230</v>
      </c>
      <c r="E2558" s="1">
        <v>5.70038001811E11</v>
      </c>
      <c r="F2558" s="1" t="s">
        <v>6377</v>
      </c>
      <c r="G2558" s="1" t="s">
        <v>3846</v>
      </c>
      <c r="H2558" s="1" t="s">
        <v>867</v>
      </c>
      <c r="I2558" s="1" t="s">
        <v>3038</v>
      </c>
      <c r="J2558" s="1" t="s">
        <v>3848</v>
      </c>
      <c r="K2558" s="1"/>
    </row>
    <row r="2559" ht="15.75" customHeight="1">
      <c r="A2559" s="1">
        <v>2558.0</v>
      </c>
      <c r="B2559" s="1" t="s">
        <v>6378</v>
      </c>
      <c r="C2559" s="1" t="s">
        <v>2693</v>
      </c>
      <c r="D2559" s="1" t="s">
        <v>1365</v>
      </c>
      <c r="E2559" s="1">
        <v>5.70038001819E11</v>
      </c>
      <c r="F2559" s="1" t="s">
        <v>6379</v>
      </c>
      <c r="G2559" s="1" t="s">
        <v>135</v>
      </c>
      <c r="H2559" s="1" t="s">
        <v>867</v>
      </c>
      <c r="I2559" s="1" t="s">
        <v>3038</v>
      </c>
      <c r="J2559" s="1" t="s">
        <v>3848</v>
      </c>
      <c r="K2559" s="1"/>
    </row>
    <row r="2560" ht="15.75" customHeight="1">
      <c r="A2560" s="1">
        <v>2559.0</v>
      </c>
      <c r="B2560" s="1" t="s">
        <v>6380</v>
      </c>
      <c r="C2560" s="1" t="s">
        <v>5320</v>
      </c>
      <c r="D2560" s="1" t="s">
        <v>455</v>
      </c>
      <c r="E2560" s="1">
        <v>5.7003800182E11</v>
      </c>
      <c r="F2560" s="1" t="s">
        <v>6381</v>
      </c>
      <c r="G2560" s="1" t="s">
        <v>135</v>
      </c>
      <c r="H2560" s="1" t="s">
        <v>867</v>
      </c>
      <c r="I2560" s="1" t="s">
        <v>3038</v>
      </c>
      <c r="J2560" s="1" t="s">
        <v>3848</v>
      </c>
      <c r="K2560" s="1"/>
    </row>
    <row r="2561" ht="15.75" customHeight="1">
      <c r="A2561" s="1">
        <v>2560.0</v>
      </c>
      <c r="B2561" s="1" t="s">
        <v>5335</v>
      </c>
      <c r="C2561" s="1" t="s">
        <v>4849</v>
      </c>
      <c r="D2561" s="1" t="s">
        <v>543</v>
      </c>
      <c r="E2561" s="1">
        <v>5.70038001823E11</v>
      </c>
      <c r="F2561" s="1" t="s">
        <v>6382</v>
      </c>
      <c r="G2561" s="1" t="s">
        <v>135</v>
      </c>
      <c r="H2561" s="1" t="s">
        <v>867</v>
      </c>
      <c r="I2561" s="1" t="s">
        <v>3038</v>
      </c>
      <c r="J2561" s="1" t="s">
        <v>3848</v>
      </c>
      <c r="K2561" s="1"/>
    </row>
    <row r="2562" ht="15.75" customHeight="1">
      <c r="A2562" s="1">
        <v>2561.0</v>
      </c>
      <c r="B2562" s="1" t="s">
        <v>1287</v>
      </c>
      <c r="C2562" s="1" t="s">
        <v>6383</v>
      </c>
      <c r="D2562" s="1" t="s">
        <v>347</v>
      </c>
      <c r="E2562" s="1">
        <v>5.70038001825E11</v>
      </c>
      <c r="F2562" s="1" t="s">
        <v>6384</v>
      </c>
      <c r="G2562" s="1" t="s">
        <v>135</v>
      </c>
      <c r="H2562" s="1" t="s">
        <v>867</v>
      </c>
      <c r="I2562" s="1" t="s">
        <v>3038</v>
      </c>
      <c r="J2562" s="1" t="s">
        <v>3848</v>
      </c>
      <c r="K2562" s="1"/>
    </row>
    <row r="2563" ht="15.75" customHeight="1">
      <c r="A2563" s="1">
        <v>2562.0</v>
      </c>
      <c r="B2563" s="1" t="s">
        <v>6385</v>
      </c>
      <c r="C2563" s="1" t="s">
        <v>4893</v>
      </c>
      <c r="D2563" s="1" t="s">
        <v>1774</v>
      </c>
      <c r="E2563" s="1">
        <v>5.70038544973E11</v>
      </c>
      <c r="F2563" s="1" t="s">
        <v>6386</v>
      </c>
      <c r="G2563" s="1" t="s">
        <v>3846</v>
      </c>
      <c r="H2563" s="1">
        <v>1326.0</v>
      </c>
      <c r="I2563" s="1" t="s">
        <v>6053</v>
      </c>
      <c r="J2563" s="1" t="s">
        <v>3038</v>
      </c>
      <c r="K2563" s="1" t="s">
        <v>3848</v>
      </c>
    </row>
    <row r="2564" ht="15.75" customHeight="1">
      <c r="A2564" s="1">
        <v>2563.0</v>
      </c>
      <c r="B2564" s="1" t="s">
        <v>6387</v>
      </c>
      <c r="C2564" s="1" t="s">
        <v>6388</v>
      </c>
      <c r="D2564" s="1" t="s">
        <v>6389</v>
      </c>
      <c r="E2564" s="1">
        <v>5.70038544983E11</v>
      </c>
      <c r="F2564" s="1" t="s">
        <v>6390</v>
      </c>
      <c r="G2564" s="1" t="s">
        <v>135</v>
      </c>
      <c r="H2564" s="1">
        <v>742.0</v>
      </c>
      <c r="I2564" s="1" t="s">
        <v>6053</v>
      </c>
      <c r="J2564" s="1" t="s">
        <v>3038</v>
      </c>
      <c r="K2564" s="1" t="s">
        <v>3848</v>
      </c>
    </row>
    <row r="2565" ht="15.75" customHeight="1">
      <c r="A2565" s="1">
        <v>2564.0</v>
      </c>
      <c r="B2565" s="1" t="s">
        <v>3721</v>
      </c>
      <c r="C2565" s="1" t="s">
        <v>4120</v>
      </c>
      <c r="D2565" s="1" t="s">
        <v>579</v>
      </c>
      <c r="E2565" s="1">
        <v>5.70038544986E11</v>
      </c>
      <c r="F2565" s="1" t="s">
        <v>5550</v>
      </c>
      <c r="G2565" s="1" t="s">
        <v>135</v>
      </c>
      <c r="H2565" s="1">
        <v>1298.0</v>
      </c>
      <c r="I2565" s="1" t="s">
        <v>6053</v>
      </c>
      <c r="J2565" s="1" t="s">
        <v>3038</v>
      </c>
      <c r="K2565" s="1" t="s">
        <v>3848</v>
      </c>
    </row>
    <row r="2566" ht="15.75" customHeight="1">
      <c r="A2566" s="1">
        <v>2565.0</v>
      </c>
      <c r="B2566" s="1" t="s">
        <v>6391</v>
      </c>
      <c r="C2566" s="1" t="s">
        <v>6392</v>
      </c>
      <c r="D2566" s="1" t="s">
        <v>841</v>
      </c>
      <c r="E2566" s="1">
        <v>5.70038544992E11</v>
      </c>
      <c r="F2566" s="1" t="s">
        <v>6393</v>
      </c>
      <c r="G2566" s="1" t="s">
        <v>3846</v>
      </c>
      <c r="H2566" s="1" t="s">
        <v>867</v>
      </c>
      <c r="I2566" s="1" t="s">
        <v>3038</v>
      </c>
      <c r="J2566" s="1" t="s">
        <v>3848</v>
      </c>
      <c r="K2566" s="1"/>
    </row>
    <row r="2567" ht="15.75" customHeight="1">
      <c r="A2567" s="1">
        <v>2566.0</v>
      </c>
      <c r="B2567" s="1" t="s">
        <v>6394</v>
      </c>
      <c r="C2567" s="1" t="s">
        <v>6395</v>
      </c>
      <c r="D2567" s="1" t="s">
        <v>6396</v>
      </c>
      <c r="E2567" s="1">
        <v>5.70038544993E11</v>
      </c>
      <c r="F2567" s="1" t="s">
        <v>6397</v>
      </c>
      <c r="G2567" s="1" t="s">
        <v>3846</v>
      </c>
      <c r="H2567" s="1" t="s">
        <v>867</v>
      </c>
      <c r="I2567" s="1" t="s">
        <v>3038</v>
      </c>
      <c r="J2567" s="1" t="s">
        <v>3848</v>
      </c>
      <c r="K2567" s="1"/>
    </row>
    <row r="2568" ht="15.75" customHeight="1">
      <c r="A2568" s="1">
        <v>2567.0</v>
      </c>
      <c r="B2568" s="1" t="s">
        <v>6398</v>
      </c>
      <c r="C2568" s="1" t="s">
        <v>3375</v>
      </c>
      <c r="D2568" s="1" t="s">
        <v>60</v>
      </c>
      <c r="E2568" s="1">
        <v>5.70038544994E11</v>
      </c>
      <c r="F2568" s="1" t="s">
        <v>6399</v>
      </c>
      <c r="G2568" s="1" t="s">
        <v>3846</v>
      </c>
      <c r="H2568" s="1" t="s">
        <v>6400</v>
      </c>
      <c r="I2568" s="1" t="s">
        <v>3038</v>
      </c>
      <c r="J2568" s="1" t="s">
        <v>3848</v>
      </c>
      <c r="K2568" s="1"/>
    </row>
    <row r="2569" ht="15.75" customHeight="1">
      <c r="A2569" s="1">
        <v>2568.0</v>
      </c>
      <c r="B2569" s="1" t="s">
        <v>534</v>
      </c>
      <c r="C2569" s="1" t="s">
        <v>6401</v>
      </c>
      <c r="D2569" s="1" t="s">
        <v>3672</v>
      </c>
      <c r="E2569" s="1">
        <v>5.70038544995E11</v>
      </c>
      <c r="F2569" s="1" t="s">
        <v>6402</v>
      </c>
      <c r="G2569" s="1" t="s">
        <v>3846</v>
      </c>
      <c r="H2569" s="1" t="s">
        <v>867</v>
      </c>
      <c r="I2569" s="1" t="s">
        <v>3038</v>
      </c>
      <c r="J2569" s="1" t="s">
        <v>3848</v>
      </c>
      <c r="K2569" s="1"/>
    </row>
    <row r="2570" ht="15.75" customHeight="1">
      <c r="A2570" s="1">
        <v>2569.0</v>
      </c>
      <c r="B2570" s="1" t="s">
        <v>6403</v>
      </c>
      <c r="C2570" s="1" t="s">
        <v>2678</v>
      </c>
      <c r="D2570" s="1" t="s">
        <v>6404</v>
      </c>
      <c r="E2570" s="1">
        <v>5.70038544996E11</v>
      </c>
      <c r="F2570" s="1" t="s">
        <v>6405</v>
      </c>
      <c r="G2570" s="1" t="s">
        <v>135</v>
      </c>
      <c r="H2570" s="1" t="s">
        <v>867</v>
      </c>
      <c r="I2570" s="1" t="s">
        <v>3038</v>
      </c>
      <c r="J2570" s="1" t="s">
        <v>3848</v>
      </c>
      <c r="K2570" s="1"/>
    </row>
    <row r="2571" ht="15.75" customHeight="1">
      <c r="A2571" s="1">
        <v>2570.0</v>
      </c>
      <c r="B2571" s="1" t="s">
        <v>5006</v>
      </c>
      <c r="C2571" s="1" t="s">
        <v>4823</v>
      </c>
      <c r="D2571" s="1" t="s">
        <v>6406</v>
      </c>
      <c r="E2571" s="1">
        <v>5.70038544997E11</v>
      </c>
      <c r="F2571" s="1" t="s">
        <v>6407</v>
      </c>
      <c r="G2571" s="1" t="s">
        <v>3846</v>
      </c>
      <c r="H2571" s="1" t="s">
        <v>867</v>
      </c>
      <c r="I2571" s="1" t="s">
        <v>3038</v>
      </c>
      <c r="J2571" s="1" t="s">
        <v>3848</v>
      </c>
      <c r="K2571" s="1"/>
    </row>
    <row r="2572" ht="15.75" customHeight="1">
      <c r="A2572" s="1">
        <v>2571.0</v>
      </c>
      <c r="B2572" s="1" t="s">
        <v>3849</v>
      </c>
      <c r="C2572" s="1" t="s">
        <v>5227</v>
      </c>
      <c r="D2572" s="1" t="s">
        <v>6408</v>
      </c>
      <c r="E2572" s="1">
        <v>5.70038544998E11</v>
      </c>
      <c r="F2572" s="1" t="s">
        <v>5204</v>
      </c>
      <c r="G2572" s="1" t="s">
        <v>3846</v>
      </c>
      <c r="H2572" s="1" t="s">
        <v>867</v>
      </c>
      <c r="I2572" s="1" t="s">
        <v>3038</v>
      </c>
      <c r="J2572" s="1" t="s">
        <v>3848</v>
      </c>
      <c r="K2572" s="1"/>
    </row>
    <row r="2573" ht="15.75" customHeight="1">
      <c r="A2573" s="1">
        <v>2572.0</v>
      </c>
      <c r="B2573" s="1" t="s">
        <v>427</v>
      </c>
      <c r="C2573" s="1" t="s">
        <v>6409</v>
      </c>
      <c r="D2573" s="1" t="s">
        <v>230</v>
      </c>
      <c r="E2573" s="1">
        <v>5.70038544999E11</v>
      </c>
      <c r="F2573" s="1" t="s">
        <v>6410</v>
      </c>
      <c r="G2573" s="1" t="s">
        <v>3846</v>
      </c>
      <c r="H2573" s="1" t="s">
        <v>867</v>
      </c>
      <c r="I2573" s="1" t="s">
        <v>3038</v>
      </c>
      <c r="J2573" s="1" t="s">
        <v>3848</v>
      </c>
      <c r="K2573" s="1"/>
    </row>
    <row r="2574" ht="15.75" customHeight="1">
      <c r="A2574" s="1">
        <v>2573.0</v>
      </c>
      <c r="B2574" s="1" t="s">
        <v>6411</v>
      </c>
      <c r="C2574" s="1" t="s">
        <v>323</v>
      </c>
      <c r="D2574" s="1" t="s">
        <v>433</v>
      </c>
      <c r="E2574" s="1">
        <v>5.70038545E11</v>
      </c>
      <c r="F2574" s="1" t="s">
        <v>6412</v>
      </c>
      <c r="G2574" s="1" t="s">
        <v>3846</v>
      </c>
      <c r="H2574" s="1" t="s">
        <v>867</v>
      </c>
      <c r="I2574" s="1" t="s">
        <v>3038</v>
      </c>
      <c r="J2574" s="1" t="s">
        <v>3848</v>
      </c>
      <c r="K2574" s="1"/>
    </row>
    <row r="2575" ht="15.75" customHeight="1">
      <c r="A2575" s="1">
        <v>2574.0</v>
      </c>
      <c r="B2575" s="1" t="s">
        <v>6413</v>
      </c>
      <c r="C2575" s="1" t="s">
        <v>6414</v>
      </c>
      <c r="D2575" s="1" t="s">
        <v>1548</v>
      </c>
      <c r="E2575" s="1">
        <v>5.70038545001E11</v>
      </c>
      <c r="F2575" s="1" t="s">
        <v>6415</v>
      </c>
      <c r="G2575" s="1" t="s">
        <v>3846</v>
      </c>
      <c r="H2575" s="1" t="s">
        <v>6416</v>
      </c>
      <c r="I2575" s="1" t="s">
        <v>6053</v>
      </c>
      <c r="J2575" s="1" t="s">
        <v>3038</v>
      </c>
      <c r="K2575" s="1" t="s">
        <v>3848</v>
      </c>
    </row>
    <row r="2576" ht="15.75" customHeight="1">
      <c r="A2576" s="1">
        <v>2575.0</v>
      </c>
      <c r="B2576" s="1" t="s">
        <v>3944</v>
      </c>
      <c r="C2576" s="1" t="s">
        <v>1144</v>
      </c>
      <c r="D2576" s="1" t="s">
        <v>1147</v>
      </c>
      <c r="E2576" s="1">
        <v>5.70038545004E11</v>
      </c>
      <c r="F2576" s="1" t="s">
        <v>6417</v>
      </c>
      <c r="G2576" s="1" t="s">
        <v>3846</v>
      </c>
      <c r="H2576" s="1" t="s">
        <v>867</v>
      </c>
      <c r="I2576" s="1" t="s">
        <v>3038</v>
      </c>
      <c r="J2576" s="1" t="s">
        <v>3848</v>
      </c>
      <c r="K2576" s="1"/>
    </row>
    <row r="2577" ht="15.75" customHeight="1">
      <c r="A2577" s="1">
        <v>2576.0</v>
      </c>
      <c r="B2577" s="1" t="s">
        <v>6418</v>
      </c>
      <c r="C2577" s="1" t="s">
        <v>6419</v>
      </c>
      <c r="D2577" s="1" t="s">
        <v>6420</v>
      </c>
      <c r="E2577" s="1">
        <v>5.70038545006E11</v>
      </c>
      <c r="F2577" s="1" t="s">
        <v>6421</v>
      </c>
      <c r="G2577" s="1" t="s">
        <v>3846</v>
      </c>
      <c r="H2577" s="1" t="s">
        <v>867</v>
      </c>
      <c r="I2577" s="1" t="s">
        <v>3038</v>
      </c>
      <c r="J2577" s="1" t="s">
        <v>3848</v>
      </c>
      <c r="K2577" s="1"/>
    </row>
    <row r="2578" ht="15.75" customHeight="1">
      <c r="A2578" s="1">
        <v>2577.0</v>
      </c>
      <c r="B2578" s="1" t="s">
        <v>2570</v>
      </c>
      <c r="C2578" s="1" t="s">
        <v>6422</v>
      </c>
      <c r="D2578" s="1" t="s">
        <v>3092</v>
      </c>
      <c r="E2578" s="1">
        <v>5.70038545008E11</v>
      </c>
      <c r="F2578" s="1" t="s">
        <v>6423</v>
      </c>
      <c r="G2578" s="1" t="s">
        <v>3846</v>
      </c>
      <c r="H2578" s="1" t="s">
        <v>867</v>
      </c>
      <c r="I2578" s="1" t="s">
        <v>3038</v>
      </c>
      <c r="J2578" s="1" t="s">
        <v>3848</v>
      </c>
      <c r="K2578" s="1"/>
    </row>
    <row r="2579" ht="15.75" customHeight="1">
      <c r="A2579" s="1">
        <v>2578.0</v>
      </c>
      <c r="B2579" s="1" t="s">
        <v>6264</v>
      </c>
      <c r="C2579" s="1" t="s">
        <v>3497</v>
      </c>
      <c r="D2579" s="1" t="s">
        <v>552</v>
      </c>
      <c r="E2579" s="1">
        <v>5.7003854501E11</v>
      </c>
      <c r="F2579" s="1" t="s">
        <v>6424</v>
      </c>
      <c r="G2579" s="1" t="s">
        <v>135</v>
      </c>
      <c r="H2579" s="1" t="s">
        <v>867</v>
      </c>
      <c r="I2579" s="1" t="s">
        <v>3038</v>
      </c>
      <c r="J2579" s="1" t="s">
        <v>3848</v>
      </c>
      <c r="K2579" s="1"/>
    </row>
    <row r="2580" ht="15.75" customHeight="1">
      <c r="A2580" s="1">
        <v>2579.0</v>
      </c>
      <c r="B2580" s="1" t="s">
        <v>1178</v>
      </c>
      <c r="C2580" s="1" t="s">
        <v>871</v>
      </c>
      <c r="D2580" s="1" t="s">
        <v>2500</v>
      </c>
      <c r="E2580" s="1">
        <v>5.70038545011E11</v>
      </c>
      <c r="F2580" s="1" t="s">
        <v>5279</v>
      </c>
      <c r="G2580" s="1" t="s">
        <v>3846</v>
      </c>
      <c r="H2580" s="1" t="s">
        <v>867</v>
      </c>
      <c r="I2580" s="1" t="s">
        <v>3038</v>
      </c>
      <c r="J2580" s="1" t="s">
        <v>3848</v>
      </c>
      <c r="K2580" s="1"/>
    </row>
    <row r="2581" ht="15.75" customHeight="1">
      <c r="A2581" s="1">
        <v>2580.0</v>
      </c>
      <c r="B2581" s="1" t="s">
        <v>1080</v>
      </c>
      <c r="C2581" s="1" t="s">
        <v>2686</v>
      </c>
      <c r="D2581" s="1" t="s">
        <v>183</v>
      </c>
      <c r="E2581" s="1">
        <v>5.70038545012E11</v>
      </c>
      <c r="F2581" s="1" t="s">
        <v>6425</v>
      </c>
      <c r="G2581" s="1" t="s">
        <v>3846</v>
      </c>
      <c r="H2581" s="1" t="s">
        <v>867</v>
      </c>
      <c r="I2581" s="1" t="s">
        <v>3038</v>
      </c>
      <c r="J2581" s="1" t="s">
        <v>3848</v>
      </c>
      <c r="K2581" s="1"/>
    </row>
    <row r="2582" ht="15.75" customHeight="1">
      <c r="A2582" s="1">
        <v>2581.0</v>
      </c>
      <c r="B2582" s="1" t="s">
        <v>2714</v>
      </c>
      <c r="C2582" s="1" t="s">
        <v>3968</v>
      </c>
      <c r="D2582" s="1" t="s">
        <v>6426</v>
      </c>
      <c r="E2582" s="1">
        <v>5.70038545013E11</v>
      </c>
      <c r="F2582" s="1" t="s">
        <v>6427</v>
      </c>
      <c r="G2582" s="1" t="s">
        <v>3846</v>
      </c>
      <c r="H2582" s="1">
        <v>571.0</v>
      </c>
      <c r="I2582" s="1" t="s">
        <v>6053</v>
      </c>
      <c r="J2582" s="1" t="s">
        <v>3038</v>
      </c>
      <c r="K2582" s="1" t="s">
        <v>3848</v>
      </c>
    </row>
    <row r="2583" ht="15.75" customHeight="1">
      <c r="A2583" s="1">
        <v>2582.0</v>
      </c>
      <c r="B2583" s="1" t="s">
        <v>1584</v>
      </c>
      <c r="C2583" s="1" t="s">
        <v>6428</v>
      </c>
      <c r="D2583" s="1" t="s">
        <v>3062</v>
      </c>
      <c r="E2583" s="1">
        <v>5.70038545014E11</v>
      </c>
      <c r="F2583" s="1" t="s">
        <v>6019</v>
      </c>
      <c r="G2583" s="1" t="s">
        <v>3846</v>
      </c>
      <c r="H2583" s="1" t="s">
        <v>6429</v>
      </c>
      <c r="I2583" s="1" t="s">
        <v>3038</v>
      </c>
      <c r="J2583" s="1" t="s">
        <v>3848</v>
      </c>
      <c r="K2583" s="1"/>
    </row>
    <row r="2584" ht="15.75" customHeight="1">
      <c r="A2584" s="1">
        <v>2583.0</v>
      </c>
      <c r="B2584" s="1" t="s">
        <v>2683</v>
      </c>
      <c r="C2584" s="1" t="s">
        <v>6430</v>
      </c>
      <c r="D2584" s="1" t="s">
        <v>4112</v>
      </c>
      <c r="E2584" s="1">
        <v>5.70038545016E11</v>
      </c>
      <c r="F2584" s="1" t="s">
        <v>6431</v>
      </c>
      <c r="G2584" s="1" t="s">
        <v>3846</v>
      </c>
      <c r="H2584" s="1" t="s">
        <v>867</v>
      </c>
      <c r="I2584" s="1" t="s">
        <v>3038</v>
      </c>
      <c r="J2584" s="1" t="s">
        <v>3848</v>
      </c>
      <c r="K2584" s="1"/>
    </row>
    <row r="2585" ht="15.75" customHeight="1">
      <c r="A2585" s="1">
        <v>2584.0</v>
      </c>
      <c r="B2585" s="1" t="s">
        <v>6432</v>
      </c>
      <c r="C2585" s="1" t="s">
        <v>6433</v>
      </c>
      <c r="D2585" s="1" t="s">
        <v>3639</v>
      </c>
      <c r="E2585" s="1">
        <v>5.70038545018E11</v>
      </c>
      <c r="F2585" s="1" t="s">
        <v>5645</v>
      </c>
      <c r="G2585" s="1" t="s">
        <v>135</v>
      </c>
      <c r="H2585" s="1" t="s">
        <v>867</v>
      </c>
      <c r="I2585" s="1" t="s">
        <v>3038</v>
      </c>
      <c r="J2585" s="1" t="s">
        <v>3848</v>
      </c>
      <c r="K2585" s="1"/>
    </row>
    <row r="2586" ht="15.75" customHeight="1">
      <c r="A2586" s="1">
        <v>2585.0</v>
      </c>
      <c r="B2586" s="1" t="s">
        <v>16</v>
      </c>
      <c r="C2586" s="1" t="s">
        <v>4415</v>
      </c>
      <c r="D2586" s="1" t="s">
        <v>2181</v>
      </c>
      <c r="E2586" s="1">
        <v>5.70038545021E11</v>
      </c>
      <c r="F2586" s="1" t="s">
        <v>6434</v>
      </c>
      <c r="G2586" s="1" t="s">
        <v>3846</v>
      </c>
      <c r="H2586" s="1" t="s">
        <v>867</v>
      </c>
      <c r="I2586" s="1" t="s">
        <v>3038</v>
      </c>
      <c r="J2586" s="1" t="s">
        <v>3848</v>
      </c>
      <c r="K2586" s="1"/>
    </row>
    <row r="2587" ht="15.75" customHeight="1">
      <c r="A2587" s="1">
        <v>2586.0</v>
      </c>
      <c r="B2587" s="1" t="s">
        <v>6435</v>
      </c>
      <c r="C2587" s="1" t="s">
        <v>6436</v>
      </c>
      <c r="D2587" s="1" t="s">
        <v>6437</v>
      </c>
      <c r="E2587" s="1">
        <v>5.70038545022E11</v>
      </c>
      <c r="F2587" s="1" t="s">
        <v>5866</v>
      </c>
      <c r="G2587" s="1" t="s">
        <v>3846</v>
      </c>
      <c r="H2587" s="1" t="s">
        <v>867</v>
      </c>
      <c r="I2587" s="1" t="s">
        <v>3038</v>
      </c>
      <c r="J2587" s="1" t="s">
        <v>3848</v>
      </c>
      <c r="K2587" s="1"/>
    </row>
    <row r="2588" ht="15.75" customHeight="1">
      <c r="A2588" s="1">
        <v>2587.0</v>
      </c>
      <c r="B2588" s="1" t="s">
        <v>6438</v>
      </c>
      <c r="C2588" s="1" t="s">
        <v>6439</v>
      </c>
      <c r="D2588" s="1" t="s">
        <v>445</v>
      </c>
      <c r="E2588" s="1">
        <v>5.70038545023E11</v>
      </c>
      <c r="F2588" s="1" t="s">
        <v>6440</v>
      </c>
      <c r="G2588" s="1" t="s">
        <v>3846</v>
      </c>
      <c r="H2588" s="1" t="s">
        <v>867</v>
      </c>
      <c r="I2588" s="1" t="s">
        <v>3038</v>
      </c>
      <c r="J2588" s="1" t="s">
        <v>3848</v>
      </c>
      <c r="K2588" s="1"/>
    </row>
    <row r="2589" ht="15.75" customHeight="1">
      <c r="A2589" s="1">
        <v>2588.0</v>
      </c>
      <c r="B2589" s="1" t="s">
        <v>6441</v>
      </c>
      <c r="C2589" s="1" t="s">
        <v>6442</v>
      </c>
      <c r="D2589" s="1" t="s">
        <v>6202</v>
      </c>
      <c r="E2589" s="1">
        <v>5.70038545025E11</v>
      </c>
      <c r="F2589" s="1" t="s">
        <v>6443</v>
      </c>
      <c r="G2589" s="1" t="s">
        <v>135</v>
      </c>
      <c r="H2589" s="1" t="s">
        <v>6429</v>
      </c>
      <c r="I2589" s="1" t="s">
        <v>3038</v>
      </c>
      <c r="J2589" s="1" t="s">
        <v>3848</v>
      </c>
      <c r="K2589" s="1"/>
    </row>
    <row r="2590" ht="15.75" customHeight="1">
      <c r="A2590" s="1">
        <v>2589.0</v>
      </c>
      <c r="B2590" s="1" t="s">
        <v>4350</v>
      </c>
      <c r="C2590" s="1" t="s">
        <v>5786</v>
      </c>
      <c r="D2590" s="1" t="s">
        <v>2151</v>
      </c>
      <c r="E2590" s="1">
        <v>5.70038545026E11</v>
      </c>
      <c r="F2590" s="1" t="s">
        <v>4984</v>
      </c>
      <c r="G2590" s="1" t="s">
        <v>3846</v>
      </c>
      <c r="H2590" s="1" t="s">
        <v>867</v>
      </c>
      <c r="I2590" s="1" t="s">
        <v>3038</v>
      </c>
      <c r="J2590" s="1" t="s">
        <v>3848</v>
      </c>
      <c r="K2590" s="1"/>
    </row>
    <row r="2591" ht="15.75" customHeight="1">
      <c r="A2591" s="1">
        <v>2590.0</v>
      </c>
      <c r="B2591" s="1" t="s">
        <v>5335</v>
      </c>
      <c r="C2591" s="1" t="s">
        <v>4641</v>
      </c>
      <c r="D2591" s="1" t="s">
        <v>427</v>
      </c>
      <c r="E2591" s="1">
        <v>5.70038545028E11</v>
      </c>
      <c r="F2591" s="1" t="s">
        <v>6444</v>
      </c>
      <c r="G2591" s="1" t="s">
        <v>3846</v>
      </c>
      <c r="H2591" s="1" t="s">
        <v>867</v>
      </c>
      <c r="I2591" s="1" t="s">
        <v>3038</v>
      </c>
      <c r="J2591" s="1" t="s">
        <v>3848</v>
      </c>
      <c r="K2591" s="1"/>
    </row>
    <row r="2592" ht="15.75" customHeight="1">
      <c r="A2592" s="1">
        <v>2591.0</v>
      </c>
      <c r="B2592" s="1" t="s">
        <v>6445</v>
      </c>
      <c r="C2592" s="1" t="s">
        <v>6446</v>
      </c>
      <c r="D2592" s="1" t="s">
        <v>6447</v>
      </c>
      <c r="E2592" s="1">
        <v>5.70038545029E11</v>
      </c>
      <c r="F2592" s="1" t="s">
        <v>6448</v>
      </c>
      <c r="G2592" s="1" t="s">
        <v>135</v>
      </c>
      <c r="H2592" s="1" t="s">
        <v>867</v>
      </c>
      <c r="I2592" s="1" t="s">
        <v>3038</v>
      </c>
      <c r="J2592" s="1" t="s">
        <v>3848</v>
      </c>
      <c r="K2592" s="1"/>
    </row>
    <row r="2593" ht="15.75" customHeight="1">
      <c r="A2593" s="1">
        <v>2592.0</v>
      </c>
      <c r="B2593" s="1" t="s">
        <v>6449</v>
      </c>
      <c r="C2593" s="1" t="s">
        <v>6450</v>
      </c>
      <c r="D2593" s="1" t="s">
        <v>107</v>
      </c>
      <c r="E2593" s="1">
        <v>5.7003854503E11</v>
      </c>
      <c r="F2593" s="1" t="s">
        <v>6451</v>
      </c>
      <c r="G2593" s="1" t="s">
        <v>3846</v>
      </c>
      <c r="H2593" s="1" t="s">
        <v>867</v>
      </c>
      <c r="I2593" s="1" t="s">
        <v>3038</v>
      </c>
      <c r="J2593" s="1" t="s">
        <v>3848</v>
      </c>
      <c r="K2593" s="1"/>
    </row>
    <row r="2594" ht="15.75" customHeight="1">
      <c r="A2594" s="1">
        <v>2593.0</v>
      </c>
      <c r="B2594" s="1" t="s">
        <v>6452</v>
      </c>
      <c r="C2594" s="1" t="s">
        <v>6392</v>
      </c>
      <c r="D2594" s="1" t="s">
        <v>841</v>
      </c>
      <c r="E2594" s="1">
        <v>5.70038545031E11</v>
      </c>
      <c r="F2594" s="1" t="s">
        <v>6453</v>
      </c>
      <c r="G2594" s="1" t="s">
        <v>3846</v>
      </c>
      <c r="H2594" s="1" t="s">
        <v>867</v>
      </c>
      <c r="I2594" s="1" t="s">
        <v>3038</v>
      </c>
      <c r="J2594" s="1" t="s">
        <v>3848</v>
      </c>
      <c r="K2594" s="1"/>
    </row>
    <row r="2595" ht="15.75" customHeight="1">
      <c r="A2595" s="1">
        <v>2594.0</v>
      </c>
      <c r="B2595" s="1" t="s">
        <v>6454</v>
      </c>
      <c r="C2595" s="1" t="s">
        <v>5190</v>
      </c>
      <c r="D2595" s="1" t="s">
        <v>738</v>
      </c>
      <c r="E2595" s="1">
        <v>5.70038545033E11</v>
      </c>
      <c r="F2595" s="1" t="s">
        <v>6455</v>
      </c>
      <c r="G2595" s="1" t="s">
        <v>3846</v>
      </c>
      <c r="H2595" s="1" t="s">
        <v>867</v>
      </c>
      <c r="I2595" s="1" t="s">
        <v>3038</v>
      </c>
      <c r="J2595" s="1" t="s">
        <v>3848</v>
      </c>
      <c r="K2595" s="1"/>
    </row>
    <row r="2596" ht="15.75" customHeight="1">
      <c r="A2596" s="1">
        <v>2595.0</v>
      </c>
      <c r="B2596" s="1" t="s">
        <v>5820</v>
      </c>
      <c r="C2596" s="1" t="s">
        <v>2715</v>
      </c>
      <c r="D2596" s="1" t="s">
        <v>6456</v>
      </c>
      <c r="E2596" s="1">
        <v>5.70038545036E11</v>
      </c>
      <c r="F2596" s="1" t="s">
        <v>6457</v>
      </c>
      <c r="G2596" s="1" t="s">
        <v>3846</v>
      </c>
      <c r="H2596" s="1" t="s">
        <v>867</v>
      </c>
      <c r="I2596" s="1" t="s">
        <v>3038</v>
      </c>
      <c r="J2596" s="1" t="s">
        <v>3848</v>
      </c>
      <c r="K2596" s="1"/>
    </row>
    <row r="2597" ht="15.75" customHeight="1">
      <c r="A2597" s="1">
        <v>2596.0</v>
      </c>
      <c r="B2597" s="1" t="s">
        <v>793</v>
      </c>
      <c r="C2597" s="1" t="s">
        <v>2581</v>
      </c>
      <c r="D2597" s="1" t="s">
        <v>295</v>
      </c>
      <c r="E2597" s="1">
        <v>5.70038545037E11</v>
      </c>
      <c r="F2597" s="1" t="s">
        <v>5785</v>
      </c>
      <c r="G2597" s="1" t="s">
        <v>3846</v>
      </c>
      <c r="H2597" s="1" t="s">
        <v>867</v>
      </c>
      <c r="I2597" s="1" t="s">
        <v>3038</v>
      </c>
      <c r="J2597" s="1" t="s">
        <v>3848</v>
      </c>
      <c r="K2597" s="1"/>
    </row>
    <row r="2598" ht="15.75" customHeight="1">
      <c r="A2598" s="1">
        <v>2597.0</v>
      </c>
      <c r="B2598" s="1" t="s">
        <v>6458</v>
      </c>
      <c r="C2598" s="1" t="s">
        <v>6459</v>
      </c>
      <c r="D2598" s="1" t="s">
        <v>6460</v>
      </c>
      <c r="E2598" s="1">
        <v>5.70038545039E11</v>
      </c>
      <c r="F2598" s="1" t="s">
        <v>5925</v>
      </c>
      <c r="G2598" s="1" t="s">
        <v>3846</v>
      </c>
      <c r="H2598" s="1" t="s">
        <v>867</v>
      </c>
      <c r="I2598" s="1" t="s">
        <v>3038</v>
      </c>
      <c r="J2598" s="1" t="s">
        <v>3848</v>
      </c>
      <c r="K2598" s="1"/>
    </row>
    <row r="2599" ht="15.75" customHeight="1">
      <c r="A2599" s="1">
        <v>2598.0</v>
      </c>
      <c r="B2599" s="1" t="s">
        <v>5820</v>
      </c>
      <c r="C2599" s="1" t="s">
        <v>2867</v>
      </c>
      <c r="D2599" s="1" t="s">
        <v>532</v>
      </c>
      <c r="E2599" s="1">
        <v>5.70038545041E11</v>
      </c>
      <c r="F2599" s="1" t="s">
        <v>6461</v>
      </c>
      <c r="G2599" s="1" t="s">
        <v>3846</v>
      </c>
      <c r="H2599" s="1" t="s">
        <v>867</v>
      </c>
      <c r="I2599" s="1" t="s">
        <v>3038</v>
      </c>
      <c r="J2599" s="1" t="s">
        <v>3848</v>
      </c>
      <c r="K2599" s="1"/>
    </row>
    <row r="2600" ht="15.75" customHeight="1">
      <c r="A2600" s="1">
        <v>2599.0</v>
      </c>
      <c r="B2600" s="1" t="s">
        <v>6462</v>
      </c>
      <c r="C2600" s="1" t="s">
        <v>6463</v>
      </c>
      <c r="D2600" s="1" t="s">
        <v>1557</v>
      </c>
      <c r="E2600" s="1">
        <v>5.70038545043E11</v>
      </c>
      <c r="F2600" s="1" t="s">
        <v>6156</v>
      </c>
      <c r="G2600" s="1" t="s">
        <v>3846</v>
      </c>
      <c r="H2600" s="1" t="s">
        <v>867</v>
      </c>
      <c r="I2600" s="1" t="s">
        <v>3038</v>
      </c>
      <c r="J2600" s="1" t="s">
        <v>3848</v>
      </c>
      <c r="K2600" s="1"/>
    </row>
    <row r="2601" ht="15.75" customHeight="1">
      <c r="A2601" s="1">
        <v>2600.0</v>
      </c>
      <c r="B2601" s="1" t="s">
        <v>2247</v>
      </c>
      <c r="C2601" s="1" t="s">
        <v>6252</v>
      </c>
      <c r="D2601" s="1" t="s">
        <v>966</v>
      </c>
      <c r="E2601" s="1">
        <v>5.70038545045E11</v>
      </c>
      <c r="F2601" s="1" t="s">
        <v>6142</v>
      </c>
      <c r="G2601" s="1" t="s">
        <v>3846</v>
      </c>
      <c r="H2601" s="1" t="s">
        <v>867</v>
      </c>
      <c r="I2601" s="1" t="s">
        <v>3038</v>
      </c>
      <c r="J2601" s="1" t="s">
        <v>3848</v>
      </c>
      <c r="K2601" s="1"/>
    </row>
    <row r="2602" ht="15.75" customHeight="1">
      <c r="A2602" s="1">
        <v>2601.0</v>
      </c>
      <c r="B2602" s="1" t="s">
        <v>4903</v>
      </c>
      <c r="C2602" s="1" t="s">
        <v>5958</v>
      </c>
      <c r="D2602" s="1" t="s">
        <v>269</v>
      </c>
      <c r="E2602" s="1">
        <v>5.70038545046E11</v>
      </c>
      <c r="F2602" s="1" t="s">
        <v>6464</v>
      </c>
      <c r="G2602" s="1" t="s">
        <v>3846</v>
      </c>
      <c r="H2602" s="1" t="s">
        <v>867</v>
      </c>
      <c r="I2602" s="1" t="s">
        <v>3038</v>
      </c>
      <c r="J2602" s="1" t="s">
        <v>3848</v>
      </c>
      <c r="K2602" s="1"/>
    </row>
    <row r="2603" ht="15.75" customHeight="1">
      <c r="A2603" s="1">
        <v>2602.0</v>
      </c>
      <c r="B2603" s="1" t="s">
        <v>1226</v>
      </c>
      <c r="C2603" s="1" t="s">
        <v>4524</v>
      </c>
      <c r="D2603" s="1" t="s">
        <v>2247</v>
      </c>
      <c r="E2603" s="1">
        <v>5.70038545048E11</v>
      </c>
      <c r="F2603" s="1" t="s">
        <v>6465</v>
      </c>
      <c r="G2603" s="1" t="s">
        <v>3846</v>
      </c>
      <c r="H2603" s="1" t="s">
        <v>867</v>
      </c>
      <c r="I2603" s="1" t="s">
        <v>3038</v>
      </c>
      <c r="J2603" s="1" t="s">
        <v>3848</v>
      </c>
      <c r="K2603" s="1"/>
    </row>
    <row r="2604" ht="15.75" customHeight="1">
      <c r="A2604" s="1">
        <v>2603.0</v>
      </c>
      <c r="B2604" s="1" t="s">
        <v>5006</v>
      </c>
      <c r="C2604" s="1" t="s">
        <v>6466</v>
      </c>
      <c r="D2604" s="1" t="s">
        <v>230</v>
      </c>
      <c r="E2604" s="1">
        <v>5.7003854505E11</v>
      </c>
      <c r="F2604" s="1" t="s">
        <v>6467</v>
      </c>
      <c r="G2604" s="1" t="s">
        <v>3846</v>
      </c>
      <c r="H2604" s="1">
        <v>646.0</v>
      </c>
      <c r="I2604" s="1" t="s">
        <v>6053</v>
      </c>
      <c r="J2604" s="1" t="s">
        <v>3038</v>
      </c>
      <c r="K2604" s="1" t="s">
        <v>3848</v>
      </c>
    </row>
    <row r="2605" ht="15.75" customHeight="1">
      <c r="A2605" s="1">
        <v>2604.0</v>
      </c>
      <c r="B2605" s="1" t="s">
        <v>6452</v>
      </c>
      <c r="C2605" s="1" t="s">
        <v>5317</v>
      </c>
      <c r="D2605" s="1" t="s">
        <v>4792</v>
      </c>
      <c r="E2605" s="1">
        <v>5.70038545051E11</v>
      </c>
      <c r="F2605" s="1" t="s">
        <v>6468</v>
      </c>
      <c r="G2605" s="1" t="s">
        <v>135</v>
      </c>
      <c r="H2605" s="1" t="s">
        <v>867</v>
      </c>
      <c r="I2605" s="1" t="s">
        <v>3038</v>
      </c>
      <c r="J2605" s="1" t="s">
        <v>3848</v>
      </c>
      <c r="K2605" s="1"/>
    </row>
    <row r="2606" ht="15.75" customHeight="1">
      <c r="A2606" s="1">
        <v>2605.0</v>
      </c>
      <c r="B2606" s="1" t="s">
        <v>5305</v>
      </c>
      <c r="C2606" s="1" t="s">
        <v>666</v>
      </c>
      <c r="D2606" s="1" t="s">
        <v>534</v>
      </c>
      <c r="E2606" s="1">
        <v>5.70038545052E11</v>
      </c>
      <c r="F2606" s="1" t="s">
        <v>6469</v>
      </c>
      <c r="G2606" s="1" t="s">
        <v>3846</v>
      </c>
      <c r="H2606" s="1" t="s">
        <v>867</v>
      </c>
      <c r="I2606" s="1" t="s">
        <v>3038</v>
      </c>
      <c r="J2606" s="1" t="s">
        <v>3848</v>
      </c>
      <c r="K2606" s="1"/>
    </row>
    <row r="2607" ht="15.75" customHeight="1">
      <c r="A2607" s="1">
        <v>2606.0</v>
      </c>
      <c r="B2607" s="1" t="s">
        <v>974</v>
      </c>
      <c r="C2607" s="1" t="s">
        <v>2495</v>
      </c>
      <c r="D2607" s="1" t="s">
        <v>6470</v>
      </c>
      <c r="E2607" s="1">
        <v>5.70038545054E11</v>
      </c>
      <c r="F2607" s="1" t="s">
        <v>6471</v>
      </c>
      <c r="G2607" s="1" t="s">
        <v>3846</v>
      </c>
      <c r="H2607" s="1">
        <v>260.0</v>
      </c>
      <c r="I2607" s="1" t="s">
        <v>6053</v>
      </c>
      <c r="J2607" s="1" t="s">
        <v>3038</v>
      </c>
      <c r="K2607" s="1" t="s">
        <v>3848</v>
      </c>
    </row>
    <row r="2608" ht="15.75" customHeight="1">
      <c r="A2608" s="1">
        <v>2607.0</v>
      </c>
      <c r="B2608" s="1" t="s">
        <v>6238</v>
      </c>
      <c r="C2608" s="1" t="s">
        <v>6472</v>
      </c>
      <c r="D2608" s="1" t="s">
        <v>641</v>
      </c>
      <c r="E2608" s="1">
        <v>5.70038545057E11</v>
      </c>
      <c r="F2608" s="1" t="s">
        <v>5785</v>
      </c>
      <c r="G2608" s="1" t="s">
        <v>135</v>
      </c>
      <c r="H2608" s="1" t="s">
        <v>867</v>
      </c>
      <c r="I2608" s="1" t="s">
        <v>3038</v>
      </c>
      <c r="J2608" s="1" t="s">
        <v>3848</v>
      </c>
      <c r="K2608" s="1"/>
    </row>
    <row r="2609" ht="15.75" customHeight="1">
      <c r="A2609" s="2">
        <v>2608.0</v>
      </c>
      <c r="B2609" s="1" t="s">
        <v>6470</v>
      </c>
      <c r="C2609" s="1" t="s">
        <v>404</v>
      </c>
      <c r="D2609" s="1" t="s">
        <v>2801</v>
      </c>
      <c r="E2609" s="2">
        <v>5.70038545059E11</v>
      </c>
      <c r="F2609" s="1" t="s">
        <v>6473</v>
      </c>
      <c r="G2609" s="1" t="s">
        <v>12</v>
      </c>
      <c r="H2609" s="1" t="s">
        <v>867</v>
      </c>
      <c r="I2609" s="1" t="s">
        <v>868</v>
      </c>
      <c r="J2609" s="1" t="s">
        <v>869</v>
      </c>
      <c r="K2609" s="1"/>
    </row>
    <row r="2610" ht="15.75" customHeight="1">
      <c r="A2610" s="2">
        <v>2609.0</v>
      </c>
      <c r="B2610" s="1" t="s">
        <v>6474</v>
      </c>
      <c r="C2610" s="1" t="s">
        <v>6475</v>
      </c>
      <c r="D2610" s="1" t="s">
        <v>161</v>
      </c>
      <c r="E2610" s="2">
        <v>5.7003854506E11</v>
      </c>
      <c r="F2610" s="1" t="s">
        <v>6161</v>
      </c>
      <c r="G2610" s="1" t="s">
        <v>135</v>
      </c>
      <c r="H2610" s="1" t="s">
        <v>867</v>
      </c>
      <c r="I2610" s="1" t="s">
        <v>868</v>
      </c>
      <c r="J2610" s="1" t="s">
        <v>869</v>
      </c>
      <c r="K2610" s="1"/>
    </row>
    <row r="2611" ht="15.75" customHeight="1">
      <c r="A2611" s="2">
        <v>2610.0</v>
      </c>
      <c r="B2611" s="1" t="s">
        <v>513</v>
      </c>
      <c r="C2611" s="1" t="s">
        <v>1156</v>
      </c>
      <c r="D2611" s="1" t="s">
        <v>6476</v>
      </c>
      <c r="E2611" s="2">
        <v>5.70038001151E11</v>
      </c>
      <c r="F2611" s="1" t="s">
        <v>6362</v>
      </c>
      <c r="G2611" s="1" t="s">
        <v>135</v>
      </c>
      <c r="H2611" s="1" t="s">
        <v>867</v>
      </c>
      <c r="I2611" s="1" t="s">
        <v>868</v>
      </c>
      <c r="J2611" s="1" t="s">
        <v>869</v>
      </c>
      <c r="K2611" s="1"/>
    </row>
    <row r="2612" ht="15.75" customHeight="1">
      <c r="A2612" s="2">
        <v>2611.0</v>
      </c>
      <c r="B2612" s="1" t="s">
        <v>6477</v>
      </c>
      <c r="C2612" s="1" t="s">
        <v>1307</v>
      </c>
      <c r="D2612" s="1" t="s">
        <v>120</v>
      </c>
      <c r="E2612" s="2">
        <v>5.70038001667E11</v>
      </c>
      <c r="F2612" s="1" t="s">
        <v>6478</v>
      </c>
      <c r="G2612" s="1" t="s">
        <v>135</v>
      </c>
      <c r="H2612" s="1" t="s">
        <v>867</v>
      </c>
      <c r="I2612" s="1" t="s">
        <v>868</v>
      </c>
      <c r="J2612" s="1" t="s">
        <v>869</v>
      </c>
      <c r="K2612" s="1"/>
    </row>
    <row r="2613" ht="15.75" customHeight="1">
      <c r="A2613" s="2">
        <v>2612.0</v>
      </c>
      <c r="B2613" s="1" t="s">
        <v>6479</v>
      </c>
      <c r="C2613" s="1" t="s">
        <v>6480</v>
      </c>
      <c r="D2613" s="1" t="s">
        <v>127</v>
      </c>
      <c r="E2613" s="2">
        <v>5.70038001683E11</v>
      </c>
      <c r="F2613" s="1" t="s">
        <v>6481</v>
      </c>
      <c r="G2613" s="1" t="s">
        <v>135</v>
      </c>
      <c r="H2613" s="1" t="s">
        <v>867</v>
      </c>
      <c r="I2613" s="1" t="s">
        <v>868</v>
      </c>
      <c r="J2613" s="1" t="s">
        <v>869</v>
      </c>
      <c r="K2613" s="1"/>
    </row>
    <row r="2614" ht="15.75" customHeight="1">
      <c r="A2614" s="2">
        <v>2613.0</v>
      </c>
      <c r="B2614" s="1" t="s">
        <v>5662</v>
      </c>
      <c r="C2614" s="1" t="s">
        <v>911</v>
      </c>
      <c r="D2614" s="1" t="s">
        <v>355</v>
      </c>
      <c r="E2614" s="2">
        <v>5.70038001707E11</v>
      </c>
      <c r="F2614" s="1" t="s">
        <v>6482</v>
      </c>
      <c r="G2614" s="1" t="s">
        <v>135</v>
      </c>
      <c r="H2614" s="1" t="s">
        <v>867</v>
      </c>
      <c r="I2614" s="1" t="s">
        <v>868</v>
      </c>
      <c r="J2614" s="1" t="s">
        <v>869</v>
      </c>
      <c r="K2614" s="1"/>
    </row>
    <row r="2615" ht="15.75" customHeight="1">
      <c r="A2615" s="2">
        <v>2614.0</v>
      </c>
      <c r="B2615" s="1" t="s">
        <v>6483</v>
      </c>
      <c r="C2615" s="1" t="s">
        <v>4120</v>
      </c>
      <c r="D2615" s="1" t="s">
        <v>471</v>
      </c>
      <c r="E2615" s="2">
        <v>5.7003800171E11</v>
      </c>
      <c r="F2615" s="1" t="s">
        <v>6484</v>
      </c>
      <c r="G2615" s="1" t="s">
        <v>12</v>
      </c>
      <c r="H2615" s="1" t="s">
        <v>867</v>
      </c>
      <c r="I2615" s="1" t="s">
        <v>868</v>
      </c>
      <c r="J2615" s="1" t="s">
        <v>869</v>
      </c>
      <c r="K2615" s="1"/>
    </row>
    <row r="2616" ht="15.75" customHeight="1">
      <c r="A2616" s="2">
        <v>2615.0</v>
      </c>
      <c r="B2616" s="1" t="s">
        <v>4662</v>
      </c>
      <c r="C2616" s="1" t="s">
        <v>4976</v>
      </c>
      <c r="D2616" s="1" t="s">
        <v>477</v>
      </c>
      <c r="E2616" s="2">
        <v>5.70038001715E11</v>
      </c>
      <c r="F2616" s="1" t="s">
        <v>6485</v>
      </c>
      <c r="G2616" s="1" t="s">
        <v>135</v>
      </c>
      <c r="H2616" s="1" t="s">
        <v>867</v>
      </c>
      <c r="I2616" s="1" t="s">
        <v>868</v>
      </c>
      <c r="J2616" s="1" t="s">
        <v>869</v>
      </c>
      <c r="K2616" s="1"/>
    </row>
    <row r="2617" ht="15.75" customHeight="1">
      <c r="A2617" s="2">
        <v>2616.0</v>
      </c>
      <c r="B2617" s="1" t="s">
        <v>5335</v>
      </c>
      <c r="C2617" s="1" t="s">
        <v>6486</v>
      </c>
      <c r="D2617" s="1" t="s">
        <v>40</v>
      </c>
      <c r="E2617" s="2">
        <v>5.70038545073E11</v>
      </c>
      <c r="F2617" s="1" t="s">
        <v>5225</v>
      </c>
      <c r="G2617" s="1" t="s">
        <v>12</v>
      </c>
      <c r="H2617" s="1" t="s">
        <v>867</v>
      </c>
      <c r="I2617" s="1" t="s">
        <v>868</v>
      </c>
      <c r="J2617" s="1" t="s">
        <v>869</v>
      </c>
      <c r="K2617" s="1"/>
    </row>
    <row r="2618" ht="15.75" customHeight="1">
      <c r="A2618" s="2">
        <v>2617.0</v>
      </c>
      <c r="B2618" s="1" t="s">
        <v>6487</v>
      </c>
      <c r="C2618" s="1" t="s">
        <v>4120</v>
      </c>
      <c r="D2618" s="1" t="s">
        <v>85</v>
      </c>
      <c r="E2618" s="2">
        <v>5.70038545075E11</v>
      </c>
      <c r="F2618" s="1" t="s">
        <v>6488</v>
      </c>
      <c r="G2618" s="1" t="s">
        <v>12</v>
      </c>
      <c r="H2618" s="1" t="s">
        <v>867</v>
      </c>
      <c r="I2618" s="1" t="s">
        <v>868</v>
      </c>
      <c r="J2618" s="1" t="s">
        <v>869</v>
      </c>
      <c r="K2618" s="1"/>
    </row>
    <row r="2619" ht="15.75" customHeight="1">
      <c r="A2619" s="2">
        <v>2618.0</v>
      </c>
      <c r="B2619" s="1" t="s">
        <v>16</v>
      </c>
      <c r="C2619" s="1" t="s">
        <v>39</v>
      </c>
      <c r="D2619" s="1" t="s">
        <v>384</v>
      </c>
      <c r="E2619" s="2">
        <v>5.70038545078E11</v>
      </c>
      <c r="F2619" s="1" t="s">
        <v>6489</v>
      </c>
      <c r="G2619" s="1" t="s">
        <v>12</v>
      </c>
      <c r="H2619" s="1" t="s">
        <v>867</v>
      </c>
      <c r="I2619" s="1" t="s">
        <v>868</v>
      </c>
      <c r="J2619" s="1" t="s">
        <v>869</v>
      </c>
      <c r="K2619" s="1"/>
    </row>
    <row r="2620" ht="15.75" customHeight="1">
      <c r="A2620" s="2">
        <v>2619.0</v>
      </c>
      <c r="B2620" s="1" t="s">
        <v>6490</v>
      </c>
      <c r="C2620" s="1" t="s">
        <v>4385</v>
      </c>
      <c r="D2620" s="1" t="s">
        <v>1659</v>
      </c>
      <c r="E2620" s="2">
        <v>5.70038545081E11</v>
      </c>
      <c r="F2620" s="1" t="s">
        <v>6491</v>
      </c>
      <c r="G2620" s="1" t="s">
        <v>12</v>
      </c>
      <c r="H2620" s="1" t="s">
        <v>867</v>
      </c>
      <c r="I2620" s="1" t="s">
        <v>868</v>
      </c>
      <c r="J2620" s="1" t="s">
        <v>869</v>
      </c>
      <c r="K2620" s="1"/>
    </row>
    <row r="2621" ht="15.75" customHeight="1">
      <c r="A2621" s="2">
        <v>2620.0</v>
      </c>
      <c r="B2621" s="1" t="s">
        <v>1995</v>
      </c>
      <c r="C2621" s="1" t="s">
        <v>6492</v>
      </c>
      <c r="D2621" s="1" t="s">
        <v>822</v>
      </c>
      <c r="E2621" s="2">
        <v>5.70038545082E11</v>
      </c>
      <c r="F2621" s="1" t="s">
        <v>6493</v>
      </c>
      <c r="G2621" s="1" t="s">
        <v>12</v>
      </c>
      <c r="H2621" s="1" t="s">
        <v>867</v>
      </c>
      <c r="I2621" s="1" t="s">
        <v>868</v>
      </c>
      <c r="J2621" s="1" t="s">
        <v>869</v>
      </c>
      <c r="K2621" s="1"/>
    </row>
    <row r="2622" ht="15.75" customHeight="1">
      <c r="A2622" s="2">
        <v>2621.0</v>
      </c>
      <c r="B2622" s="1" t="s">
        <v>6494</v>
      </c>
      <c r="C2622" s="1" t="s">
        <v>6495</v>
      </c>
      <c r="D2622" s="1" t="s">
        <v>6496</v>
      </c>
      <c r="E2622" s="2">
        <v>5.70038545087E11</v>
      </c>
      <c r="F2622" s="1" t="s">
        <v>6497</v>
      </c>
      <c r="G2622" s="1" t="s">
        <v>135</v>
      </c>
      <c r="H2622" s="1" t="s">
        <v>867</v>
      </c>
      <c r="I2622" s="1" t="s">
        <v>868</v>
      </c>
      <c r="J2622" s="1" t="s">
        <v>869</v>
      </c>
      <c r="K2622" s="1"/>
    </row>
    <row r="2623" ht="15.75" customHeight="1">
      <c r="A2623" s="2">
        <v>2622.0</v>
      </c>
      <c r="B2623" s="1" t="s">
        <v>6498</v>
      </c>
      <c r="C2623" s="1" t="s">
        <v>369</v>
      </c>
      <c r="D2623" s="1" t="s">
        <v>1203</v>
      </c>
      <c r="E2623" s="2">
        <v>5.7003854509E11</v>
      </c>
      <c r="F2623" s="1" t="s">
        <v>6499</v>
      </c>
      <c r="G2623" s="1" t="s">
        <v>12</v>
      </c>
      <c r="H2623" s="1" t="s">
        <v>867</v>
      </c>
      <c r="I2623" s="1" t="s">
        <v>868</v>
      </c>
      <c r="J2623" s="1" t="s">
        <v>869</v>
      </c>
      <c r="K2623" s="1"/>
    </row>
    <row r="2624" ht="15.75" customHeight="1">
      <c r="A2624" s="2">
        <v>2623.0</v>
      </c>
      <c r="B2624" s="1" t="s">
        <v>6500</v>
      </c>
      <c r="C2624" s="1" t="s">
        <v>3844</v>
      </c>
      <c r="D2624" s="1" t="s">
        <v>172</v>
      </c>
      <c r="E2624" s="2">
        <v>5.70038544975E11</v>
      </c>
      <c r="F2624" s="1" t="s">
        <v>6501</v>
      </c>
      <c r="G2624" s="1" t="s">
        <v>12</v>
      </c>
      <c r="H2624" s="1" t="s">
        <v>867</v>
      </c>
      <c r="I2624" s="1" t="s">
        <v>868</v>
      </c>
      <c r="J2624" s="1" t="s">
        <v>869</v>
      </c>
      <c r="K2624" s="1"/>
    </row>
    <row r="2625" ht="15.75" customHeight="1">
      <c r="A2625" s="2">
        <v>2624.0</v>
      </c>
      <c r="B2625" s="1" t="s">
        <v>263</v>
      </c>
      <c r="C2625" s="1" t="s">
        <v>6502</v>
      </c>
      <c r="D2625" s="1" t="s">
        <v>1557</v>
      </c>
      <c r="E2625" s="2">
        <v>5.70038544976E11</v>
      </c>
      <c r="F2625" s="1" t="s">
        <v>6503</v>
      </c>
      <c r="G2625" s="1" t="s">
        <v>12</v>
      </c>
      <c r="H2625" s="1" t="s">
        <v>867</v>
      </c>
      <c r="I2625" s="1" t="s">
        <v>868</v>
      </c>
      <c r="J2625" s="1" t="s">
        <v>869</v>
      </c>
      <c r="K2625" s="1"/>
    </row>
    <row r="2626" ht="15.75" customHeight="1">
      <c r="A2626" s="2">
        <v>2625.0</v>
      </c>
      <c r="B2626" s="1" t="s">
        <v>381</v>
      </c>
      <c r="C2626" s="1" t="s">
        <v>911</v>
      </c>
      <c r="D2626" s="1" t="s">
        <v>60</v>
      </c>
      <c r="E2626" s="2">
        <v>5.70038544979E11</v>
      </c>
      <c r="F2626" s="1" t="s">
        <v>3586</v>
      </c>
      <c r="G2626" s="1" t="s">
        <v>12</v>
      </c>
      <c r="H2626" s="1" t="s">
        <v>867</v>
      </c>
      <c r="I2626" s="1" t="s">
        <v>868</v>
      </c>
      <c r="J2626" s="1" t="s">
        <v>869</v>
      </c>
      <c r="K2626" s="1"/>
    </row>
    <row r="2627" ht="15.75" customHeight="1">
      <c r="A2627" s="2">
        <v>2626.0</v>
      </c>
      <c r="B2627" s="1" t="s">
        <v>6504</v>
      </c>
      <c r="C2627" s="1" t="s">
        <v>1412</v>
      </c>
      <c r="D2627" s="1" t="s">
        <v>6505</v>
      </c>
      <c r="E2627" s="2">
        <v>5.70038544981E11</v>
      </c>
      <c r="F2627" s="1" t="s">
        <v>6506</v>
      </c>
      <c r="G2627" s="1" t="s">
        <v>12</v>
      </c>
      <c r="H2627" s="1" t="s">
        <v>867</v>
      </c>
      <c r="I2627" s="1" t="s">
        <v>868</v>
      </c>
      <c r="J2627" s="1" t="s">
        <v>869</v>
      </c>
      <c r="K2627" s="1"/>
    </row>
    <row r="2628" ht="15.75" customHeight="1">
      <c r="A2628" s="2">
        <v>2627.0</v>
      </c>
      <c r="B2628" s="1" t="s">
        <v>3496</v>
      </c>
      <c r="C2628" s="1" t="s">
        <v>6507</v>
      </c>
      <c r="D2628" s="1" t="s">
        <v>6508</v>
      </c>
      <c r="E2628" s="2">
        <v>5.70038544984E11</v>
      </c>
      <c r="F2628" s="1" t="s">
        <v>4830</v>
      </c>
      <c r="G2628" s="1" t="s">
        <v>12</v>
      </c>
      <c r="H2628" s="1" t="s">
        <v>867</v>
      </c>
      <c r="I2628" s="1" t="s">
        <v>868</v>
      </c>
      <c r="J2628" s="1" t="s">
        <v>869</v>
      </c>
      <c r="K2628" s="1"/>
    </row>
    <row r="2629" ht="15.75" customHeight="1">
      <c r="A2629" s="2">
        <v>2628.0</v>
      </c>
      <c r="B2629" s="1" t="s">
        <v>552</v>
      </c>
      <c r="C2629" s="1" t="s">
        <v>6509</v>
      </c>
      <c r="D2629" s="1" t="s">
        <v>6510</v>
      </c>
      <c r="E2629" s="2">
        <v>5.70038544989E11</v>
      </c>
      <c r="F2629" s="1" t="s">
        <v>4005</v>
      </c>
      <c r="G2629" s="1" t="s">
        <v>12</v>
      </c>
      <c r="H2629" s="1" t="s">
        <v>867</v>
      </c>
      <c r="I2629" s="1" t="s">
        <v>868</v>
      </c>
      <c r="J2629" s="1" t="s">
        <v>869</v>
      </c>
      <c r="K2629" s="1"/>
    </row>
    <row r="2630" ht="15.75" customHeight="1">
      <c r="A2630" s="2">
        <v>2629.0</v>
      </c>
      <c r="B2630" s="1" t="s">
        <v>875</v>
      </c>
      <c r="C2630" s="1" t="s">
        <v>6511</v>
      </c>
      <c r="D2630" s="1" t="s">
        <v>83</v>
      </c>
      <c r="E2630" s="2">
        <v>5.7003854499E11</v>
      </c>
      <c r="F2630" s="1" t="s">
        <v>6512</v>
      </c>
      <c r="G2630" s="1" t="s">
        <v>417</v>
      </c>
      <c r="H2630" s="1" t="s">
        <v>867</v>
      </c>
      <c r="I2630" s="1" t="s">
        <v>868</v>
      </c>
      <c r="J2630" s="1" t="s">
        <v>869</v>
      </c>
      <c r="K2630" s="1"/>
    </row>
    <row r="2631" ht="15.75" customHeight="1">
      <c r="A2631" s="2">
        <v>2630.0</v>
      </c>
      <c r="B2631" s="1" t="s">
        <v>6513</v>
      </c>
      <c r="C2631" s="1" t="s">
        <v>2328</v>
      </c>
      <c r="D2631" s="1" t="s">
        <v>2321</v>
      </c>
      <c r="E2631" s="2">
        <v>5.70038544991E11</v>
      </c>
      <c r="F2631" s="1" t="s">
        <v>6514</v>
      </c>
      <c r="G2631" s="1" t="s">
        <v>12</v>
      </c>
      <c r="H2631" s="1" t="s">
        <v>867</v>
      </c>
      <c r="I2631" s="1" t="s">
        <v>868</v>
      </c>
      <c r="J2631" s="1" t="s">
        <v>869</v>
      </c>
      <c r="K2631" s="1"/>
    </row>
    <row r="2632" ht="15.75" customHeight="1">
      <c r="A2632" s="2">
        <v>2631.0</v>
      </c>
      <c r="B2632" s="1" t="s">
        <v>3356</v>
      </c>
      <c r="C2632" s="1" t="s">
        <v>6515</v>
      </c>
      <c r="D2632" s="1" t="s">
        <v>6516</v>
      </c>
      <c r="E2632" s="2">
        <v>5.70038545063E11</v>
      </c>
      <c r="F2632" s="1" t="s">
        <v>3726</v>
      </c>
      <c r="G2632" s="1" t="s">
        <v>12</v>
      </c>
      <c r="H2632" s="1" t="s">
        <v>867</v>
      </c>
      <c r="I2632" s="1" t="s">
        <v>868</v>
      </c>
      <c r="J2632" s="1" t="s">
        <v>869</v>
      </c>
      <c r="K2632" s="1"/>
    </row>
    <row r="2633" ht="15.75" customHeight="1">
      <c r="A2633" s="2">
        <v>2632.0</v>
      </c>
      <c r="B2633" s="1" t="s">
        <v>6517</v>
      </c>
      <c r="C2633" s="1" t="s">
        <v>6518</v>
      </c>
      <c r="D2633" s="1" t="s">
        <v>4442</v>
      </c>
      <c r="E2633" s="2">
        <v>5.70038545085E11</v>
      </c>
      <c r="F2633" s="1" t="s">
        <v>6050</v>
      </c>
      <c r="G2633" s="1" t="s">
        <v>135</v>
      </c>
      <c r="H2633" s="1" t="s">
        <v>867</v>
      </c>
      <c r="I2633" s="1" t="s">
        <v>868</v>
      </c>
      <c r="J2633" s="1" t="s">
        <v>869</v>
      </c>
      <c r="K2633" s="1"/>
    </row>
    <row r="2634" ht="15.75" customHeight="1">
      <c r="A2634" s="2">
        <v>2633.0</v>
      </c>
      <c r="B2634" s="1" t="s">
        <v>4920</v>
      </c>
      <c r="C2634" s="1" t="s">
        <v>1156</v>
      </c>
      <c r="D2634" s="1" t="s">
        <v>679</v>
      </c>
      <c r="E2634" s="2">
        <v>5.70038001091E11</v>
      </c>
      <c r="F2634" s="1" t="s">
        <v>6519</v>
      </c>
      <c r="G2634" s="1" t="s">
        <v>12</v>
      </c>
      <c r="H2634" s="3" t="s">
        <v>6520</v>
      </c>
      <c r="I2634" s="1"/>
      <c r="J2634" s="1"/>
      <c r="K2634" s="1"/>
    </row>
    <row r="2635" ht="15.75" customHeight="1">
      <c r="A2635" s="2">
        <v>2634.0</v>
      </c>
      <c r="B2635" s="1" t="s">
        <v>5855</v>
      </c>
      <c r="C2635" s="1" t="s">
        <v>6521</v>
      </c>
      <c r="D2635" s="1" t="s">
        <v>1521</v>
      </c>
      <c r="E2635" s="2">
        <v>5.70038001718E11</v>
      </c>
      <c r="F2635" s="1" t="s">
        <v>6522</v>
      </c>
      <c r="G2635" s="1" t="s">
        <v>12</v>
      </c>
      <c r="H2635" s="3" t="s">
        <v>6523</v>
      </c>
      <c r="I2635" s="1"/>
      <c r="J2635" s="1"/>
      <c r="K2635" s="1"/>
    </row>
    <row r="2636" ht="15.75" customHeight="1">
      <c r="A2636" s="2">
        <v>2635.0</v>
      </c>
      <c r="B2636" s="1" t="s">
        <v>5220</v>
      </c>
      <c r="C2636" s="1" t="s">
        <v>6524</v>
      </c>
      <c r="D2636" s="1" t="s">
        <v>477</v>
      </c>
      <c r="E2636" s="2">
        <v>5.70038001735E11</v>
      </c>
      <c r="F2636" s="1" t="s">
        <v>5866</v>
      </c>
      <c r="G2636" s="1" t="s">
        <v>12</v>
      </c>
      <c r="H2636" s="1" t="s">
        <v>867</v>
      </c>
      <c r="I2636" s="1" t="s">
        <v>868</v>
      </c>
      <c r="J2636" s="1" t="s">
        <v>869</v>
      </c>
      <c r="K2636" s="1"/>
    </row>
    <row r="2637" ht="15.75" customHeight="1">
      <c r="A2637" s="2">
        <v>2636.0</v>
      </c>
      <c r="B2637" s="1" t="s">
        <v>6525</v>
      </c>
      <c r="C2637" s="1" t="s">
        <v>3819</v>
      </c>
      <c r="D2637" s="1" t="s">
        <v>77</v>
      </c>
      <c r="E2637" s="2">
        <v>5.70038001739E11</v>
      </c>
      <c r="F2637" s="1" t="s">
        <v>6526</v>
      </c>
      <c r="G2637" s="1" t="s">
        <v>12</v>
      </c>
      <c r="H2637" s="3" t="s">
        <v>6527</v>
      </c>
      <c r="I2637" s="1"/>
      <c r="J2637" s="1"/>
      <c r="K2637" s="1"/>
    </row>
    <row r="2638" ht="15.75" customHeight="1">
      <c r="A2638" s="2">
        <v>2637.0</v>
      </c>
      <c r="B2638" s="1" t="s">
        <v>6528</v>
      </c>
      <c r="C2638" s="1" t="s">
        <v>6529</v>
      </c>
      <c r="D2638" s="1" t="s">
        <v>3230</v>
      </c>
      <c r="E2638" s="2">
        <v>5.70038001753E11</v>
      </c>
      <c r="F2638" s="1" t="s">
        <v>5811</v>
      </c>
      <c r="G2638" s="1" t="s">
        <v>12</v>
      </c>
      <c r="H2638" s="1" t="s">
        <v>867</v>
      </c>
      <c r="I2638" s="1" t="s">
        <v>868</v>
      </c>
      <c r="J2638" s="1" t="s">
        <v>869</v>
      </c>
      <c r="K2638" s="1"/>
    </row>
    <row r="2639" ht="15.75" customHeight="1">
      <c r="A2639" s="2">
        <v>2638.0</v>
      </c>
      <c r="B2639" s="1" t="s">
        <v>1565</v>
      </c>
      <c r="C2639" s="1" t="s">
        <v>6530</v>
      </c>
      <c r="D2639" s="1" t="s">
        <v>445</v>
      </c>
      <c r="E2639" s="2">
        <v>5.70038001756E11</v>
      </c>
      <c r="F2639" s="1" t="s">
        <v>6531</v>
      </c>
      <c r="G2639" s="1" t="s">
        <v>12</v>
      </c>
      <c r="H2639" s="3" t="s">
        <v>6532</v>
      </c>
      <c r="I2639" s="1"/>
      <c r="J2639" s="1"/>
      <c r="K2639" s="1"/>
    </row>
    <row r="2640" ht="15.75" customHeight="1">
      <c r="A2640" s="2">
        <v>2639.0</v>
      </c>
      <c r="B2640" s="1" t="s">
        <v>16</v>
      </c>
      <c r="C2640" s="1" t="s">
        <v>74</v>
      </c>
      <c r="D2640" s="1" t="s">
        <v>3387</v>
      </c>
      <c r="E2640" s="2">
        <v>5.70038001761E11</v>
      </c>
      <c r="F2640" s="1" t="s">
        <v>6533</v>
      </c>
      <c r="G2640" s="1" t="s">
        <v>12</v>
      </c>
      <c r="H2640" s="1" t="s">
        <v>867</v>
      </c>
      <c r="I2640" s="1" t="s">
        <v>868</v>
      </c>
      <c r="J2640" s="1" t="s">
        <v>869</v>
      </c>
      <c r="K2640" s="1"/>
    </row>
    <row r="2641" ht="15.75" customHeight="1">
      <c r="A2641" s="2">
        <v>2640.0</v>
      </c>
      <c r="B2641" s="1" t="s">
        <v>6534</v>
      </c>
      <c r="C2641" s="1" t="s">
        <v>6535</v>
      </c>
      <c r="D2641" s="1" t="s">
        <v>6536</v>
      </c>
      <c r="E2641" s="2">
        <v>5.70038545092E11</v>
      </c>
      <c r="F2641" s="1" t="s">
        <v>6537</v>
      </c>
      <c r="G2641" s="1" t="s">
        <v>12</v>
      </c>
      <c r="H2641" s="1" t="s">
        <v>867</v>
      </c>
      <c r="I2641" s="1" t="s">
        <v>868</v>
      </c>
      <c r="J2641" s="1" t="s">
        <v>869</v>
      </c>
      <c r="K2641" s="1"/>
    </row>
    <row r="2642" ht="15.75" customHeight="1">
      <c r="A2642" s="2">
        <v>2641.0</v>
      </c>
      <c r="B2642" s="1" t="s">
        <v>571</v>
      </c>
      <c r="C2642" s="1" t="s">
        <v>6538</v>
      </c>
      <c r="D2642" s="1" t="s">
        <v>2452</v>
      </c>
      <c r="E2642" s="2">
        <v>5.70038545094E11</v>
      </c>
      <c r="F2642" s="1" t="s">
        <v>6407</v>
      </c>
      <c r="G2642" s="1" t="s">
        <v>12</v>
      </c>
      <c r="H2642" s="3" t="s">
        <v>6539</v>
      </c>
      <c r="I2642" s="1"/>
      <c r="J2642" s="1"/>
      <c r="K2642" s="1"/>
    </row>
    <row r="2643" ht="15.75" customHeight="1">
      <c r="A2643" s="2">
        <v>2642.0</v>
      </c>
      <c r="B2643" s="1" t="s">
        <v>6003</v>
      </c>
      <c r="C2643" s="1" t="s">
        <v>6540</v>
      </c>
      <c r="D2643" s="1" t="s">
        <v>4157</v>
      </c>
      <c r="E2643" s="2">
        <v>5.70038545096E11</v>
      </c>
      <c r="F2643" s="1" t="s">
        <v>6541</v>
      </c>
      <c r="G2643" s="1" t="s">
        <v>12</v>
      </c>
      <c r="H2643" s="1" t="s">
        <v>867</v>
      </c>
      <c r="I2643" s="1" t="s">
        <v>868</v>
      </c>
      <c r="J2643" s="1" t="s">
        <v>869</v>
      </c>
      <c r="K2643" s="1"/>
    </row>
    <row r="2644" ht="15.75" customHeight="1">
      <c r="A2644" s="2">
        <v>2643.0</v>
      </c>
      <c r="B2644" s="1" t="s">
        <v>773</v>
      </c>
      <c r="C2644" s="1" t="s">
        <v>6542</v>
      </c>
      <c r="D2644" s="1" t="s">
        <v>1226</v>
      </c>
      <c r="E2644" s="2">
        <v>5.70038545097E11</v>
      </c>
      <c r="F2644" s="1" t="s">
        <v>6543</v>
      </c>
      <c r="G2644" s="1" t="s">
        <v>12</v>
      </c>
      <c r="H2644" s="3" t="s">
        <v>6544</v>
      </c>
      <c r="I2644" s="1"/>
      <c r="J2644" s="1"/>
      <c r="K2644" s="1"/>
    </row>
    <row r="2645" ht="15.75" customHeight="1">
      <c r="A2645" s="2">
        <v>2644.0</v>
      </c>
      <c r="B2645" s="1" t="s">
        <v>6545</v>
      </c>
      <c r="C2645" s="1" t="s">
        <v>4472</v>
      </c>
      <c r="D2645" s="1" t="s">
        <v>6546</v>
      </c>
      <c r="E2645" s="2">
        <v>5.70038545098E11</v>
      </c>
      <c r="F2645" s="1" t="s">
        <v>6547</v>
      </c>
      <c r="G2645" s="1" t="s">
        <v>12</v>
      </c>
      <c r="H2645" s="3" t="s">
        <v>6548</v>
      </c>
      <c r="I2645" s="1"/>
      <c r="J2645" s="1"/>
      <c r="K2645" s="1"/>
    </row>
    <row r="2646" ht="15.75" customHeight="1">
      <c r="A2646" s="2">
        <v>2645.0</v>
      </c>
      <c r="B2646" s="1" t="s">
        <v>6549</v>
      </c>
      <c r="C2646" s="1" t="s">
        <v>6550</v>
      </c>
      <c r="D2646" s="1" t="s">
        <v>789</v>
      </c>
      <c r="E2646" s="2">
        <v>5.70038545099E11</v>
      </c>
      <c r="F2646" s="1" t="s">
        <v>6551</v>
      </c>
      <c r="G2646" s="1" t="s">
        <v>12</v>
      </c>
      <c r="H2646" s="3" t="s">
        <v>6552</v>
      </c>
      <c r="I2646" s="1"/>
      <c r="J2646" s="1"/>
      <c r="K2646" s="1"/>
    </row>
    <row r="2647" ht="15.75" customHeight="1">
      <c r="A2647" s="2">
        <v>2646.0</v>
      </c>
      <c r="B2647" s="1" t="s">
        <v>6553</v>
      </c>
      <c r="C2647" s="1" t="s">
        <v>6554</v>
      </c>
      <c r="D2647" s="1" t="s">
        <v>2016</v>
      </c>
      <c r="E2647" s="2">
        <v>5.70038545101E11</v>
      </c>
      <c r="F2647" s="1" t="s">
        <v>5122</v>
      </c>
      <c r="G2647" s="1" t="s">
        <v>12</v>
      </c>
      <c r="H2647" s="3" t="s">
        <v>6555</v>
      </c>
      <c r="I2647" s="1"/>
      <c r="J2647" s="1"/>
      <c r="K2647" s="1"/>
    </row>
    <row r="2648" ht="15.75" customHeight="1">
      <c r="A2648" s="2">
        <v>2647.0</v>
      </c>
      <c r="B2648" s="1" t="s">
        <v>6556</v>
      </c>
      <c r="C2648" s="1" t="s">
        <v>6557</v>
      </c>
      <c r="D2648" s="1" t="s">
        <v>498</v>
      </c>
      <c r="E2648" s="2">
        <v>5.70038001128E11</v>
      </c>
      <c r="F2648" s="1" t="s">
        <v>6558</v>
      </c>
      <c r="G2648" s="1" t="s">
        <v>12</v>
      </c>
      <c r="H2648" s="1" t="s">
        <v>867</v>
      </c>
      <c r="I2648" s="1" t="s">
        <v>868</v>
      </c>
      <c r="J2648" s="1" t="s">
        <v>869</v>
      </c>
      <c r="K2648" s="1"/>
    </row>
    <row r="2649" ht="15.75" customHeight="1">
      <c r="A2649" s="2">
        <v>2648.0</v>
      </c>
      <c r="B2649" s="1" t="s">
        <v>6559</v>
      </c>
      <c r="C2649" s="1" t="s">
        <v>4094</v>
      </c>
      <c r="D2649" s="1" t="s">
        <v>1515</v>
      </c>
      <c r="E2649" s="2">
        <v>5.70038545091E11</v>
      </c>
      <c r="F2649" s="1" t="s">
        <v>6560</v>
      </c>
      <c r="G2649" s="1" t="s">
        <v>135</v>
      </c>
      <c r="H2649" s="1" t="s">
        <v>867</v>
      </c>
      <c r="I2649" s="1" t="s">
        <v>868</v>
      </c>
      <c r="J2649" s="1" t="s">
        <v>869</v>
      </c>
      <c r="K2649" s="1"/>
    </row>
    <row r="2650" ht="15.75" customHeight="1">
      <c r="A2650" s="2">
        <v>2649.0</v>
      </c>
      <c r="B2650" s="1" t="s">
        <v>6561</v>
      </c>
      <c r="C2650" s="1" t="s">
        <v>2684</v>
      </c>
      <c r="D2650" s="1" t="s">
        <v>6562</v>
      </c>
      <c r="E2650" s="2">
        <v>5.70038545117E11</v>
      </c>
      <c r="F2650" s="1" t="s">
        <v>6563</v>
      </c>
      <c r="G2650" s="1" t="s">
        <v>12</v>
      </c>
      <c r="H2650" s="1" t="s">
        <v>867</v>
      </c>
      <c r="I2650" s="1" t="s">
        <v>868</v>
      </c>
      <c r="J2650" s="1" t="s">
        <v>869</v>
      </c>
      <c r="K2650" s="1"/>
    </row>
    <row r="2651" ht="15.75" customHeight="1">
      <c r="A2651" s="2">
        <v>2650.0</v>
      </c>
      <c r="B2651" s="1" t="s">
        <v>2242</v>
      </c>
      <c r="C2651" s="1" t="s">
        <v>6564</v>
      </c>
      <c r="D2651" s="1" t="s">
        <v>6565</v>
      </c>
      <c r="E2651" s="2">
        <v>5.70038545118E11</v>
      </c>
      <c r="F2651" s="1" t="s">
        <v>4058</v>
      </c>
      <c r="G2651" s="1" t="s">
        <v>12</v>
      </c>
      <c r="H2651" s="1" t="s">
        <v>867</v>
      </c>
      <c r="I2651" s="1" t="s">
        <v>868</v>
      </c>
      <c r="J2651" s="1" t="s">
        <v>869</v>
      </c>
      <c r="K2651" s="1"/>
    </row>
    <row r="2652" ht="15.75" customHeight="1">
      <c r="A2652" s="2">
        <v>2651.0</v>
      </c>
      <c r="B2652" s="1" t="s">
        <v>6566</v>
      </c>
      <c r="C2652" s="1" t="s">
        <v>4805</v>
      </c>
      <c r="D2652" s="1" t="s">
        <v>2388</v>
      </c>
      <c r="E2652" s="2">
        <v>5.70038001816E11</v>
      </c>
      <c r="F2652" s="1" t="s">
        <v>6567</v>
      </c>
      <c r="G2652" s="1" t="s">
        <v>12</v>
      </c>
      <c r="H2652" s="3" t="s">
        <v>6568</v>
      </c>
      <c r="I2652" s="1"/>
      <c r="J2652" s="1"/>
      <c r="K2652" s="1"/>
    </row>
    <row r="2653" ht="15.75" customHeight="1">
      <c r="A2653" s="2">
        <v>2652.0</v>
      </c>
      <c r="B2653" s="1" t="s">
        <v>901</v>
      </c>
      <c r="C2653" s="1" t="s">
        <v>6569</v>
      </c>
      <c r="D2653" s="1" t="s">
        <v>183</v>
      </c>
      <c r="E2653" s="2">
        <v>5.7003854512E11</v>
      </c>
      <c r="F2653" s="1" t="s">
        <v>6570</v>
      </c>
      <c r="G2653" s="1" t="s">
        <v>12</v>
      </c>
      <c r="H2653" s="3" t="s">
        <v>5561</v>
      </c>
      <c r="I2653" s="1"/>
      <c r="J2653" s="1"/>
      <c r="K2653" s="1"/>
    </row>
    <row r="2654" ht="15.75" customHeight="1">
      <c r="A2654" s="2">
        <v>2653.0</v>
      </c>
      <c r="B2654" s="1" t="s">
        <v>199</v>
      </c>
      <c r="C2654" s="1" t="s">
        <v>3844</v>
      </c>
      <c r="D2654" s="1" t="s">
        <v>2175</v>
      </c>
      <c r="E2654" s="2">
        <v>5.70038545128E11</v>
      </c>
      <c r="F2654" s="1" t="s">
        <v>6571</v>
      </c>
      <c r="G2654" s="1" t="s">
        <v>261</v>
      </c>
      <c r="H2654" s="3" t="s">
        <v>6572</v>
      </c>
      <c r="I2654" s="1"/>
      <c r="J2654" s="1"/>
      <c r="K2654" s="1"/>
    </row>
    <row r="2655" ht="15.75" customHeight="1">
      <c r="A2655" s="2">
        <v>2654.0</v>
      </c>
      <c r="B2655" s="1" t="s">
        <v>6573</v>
      </c>
      <c r="C2655" s="1" t="s">
        <v>5976</v>
      </c>
      <c r="D2655" s="1" t="s">
        <v>6574</v>
      </c>
      <c r="E2655" s="2">
        <v>5.70038545129E11</v>
      </c>
      <c r="F2655" s="1" t="s">
        <v>6575</v>
      </c>
      <c r="G2655" s="1" t="s">
        <v>12</v>
      </c>
      <c r="H2655" s="3" t="s">
        <v>6576</v>
      </c>
      <c r="I2655" s="1"/>
      <c r="J2655" s="1"/>
      <c r="K2655" s="1"/>
    </row>
    <row r="2656" ht="15.75" customHeight="1">
      <c r="A2656" s="2">
        <v>2655.0</v>
      </c>
      <c r="B2656" s="1" t="s">
        <v>5863</v>
      </c>
      <c r="C2656" s="1" t="s">
        <v>6577</v>
      </c>
      <c r="D2656" s="1" t="s">
        <v>313</v>
      </c>
      <c r="E2656" s="2">
        <v>5.70038545133E11</v>
      </c>
      <c r="F2656" s="1" t="s">
        <v>6448</v>
      </c>
      <c r="G2656" s="1" t="s">
        <v>12</v>
      </c>
      <c r="H2656" s="1" t="s">
        <v>867</v>
      </c>
      <c r="I2656" s="1" t="s">
        <v>868</v>
      </c>
      <c r="J2656" s="1" t="s">
        <v>869</v>
      </c>
      <c r="K2656" s="1"/>
    </row>
    <row r="2657" ht="15.75" customHeight="1">
      <c r="A2657" s="2">
        <v>2656.0</v>
      </c>
      <c r="B2657" s="1" t="s">
        <v>384</v>
      </c>
      <c r="C2657" s="1" t="s">
        <v>6578</v>
      </c>
      <c r="D2657" s="1" t="s">
        <v>2483</v>
      </c>
      <c r="E2657" s="2">
        <v>5.70038545135E11</v>
      </c>
      <c r="F2657" s="1" t="s">
        <v>6579</v>
      </c>
      <c r="G2657" s="1" t="s">
        <v>12</v>
      </c>
      <c r="H2657" s="3" t="s">
        <v>6580</v>
      </c>
      <c r="I2657" s="1"/>
      <c r="J2657" s="1"/>
      <c r="K2657" s="1"/>
    </row>
    <row r="2658" ht="15.75" customHeight="1">
      <c r="A2658" s="2">
        <v>2657.0</v>
      </c>
      <c r="B2658" s="1" t="s">
        <v>375</v>
      </c>
      <c r="C2658" s="1" t="s">
        <v>6581</v>
      </c>
      <c r="D2658" s="1" t="s">
        <v>60</v>
      </c>
      <c r="E2658" s="2">
        <v>5.70038545138E11</v>
      </c>
      <c r="F2658" s="1" t="s">
        <v>6137</v>
      </c>
      <c r="G2658" s="1" t="s">
        <v>12</v>
      </c>
      <c r="H2658" s="1" t="s">
        <v>867</v>
      </c>
      <c r="I2658" s="1" t="s">
        <v>868</v>
      </c>
      <c r="J2658" s="1" t="s">
        <v>869</v>
      </c>
      <c r="K2658" s="1"/>
    </row>
    <row r="2659" ht="15.75" customHeight="1">
      <c r="A2659" s="2">
        <v>2658.0</v>
      </c>
      <c r="B2659" s="1" t="s">
        <v>935</v>
      </c>
      <c r="C2659" s="1" t="s">
        <v>6582</v>
      </c>
      <c r="D2659" s="1" t="s">
        <v>6583</v>
      </c>
      <c r="E2659" s="2">
        <v>5.7003854514E11</v>
      </c>
      <c r="F2659" s="1" t="s">
        <v>6584</v>
      </c>
      <c r="G2659" s="1" t="s">
        <v>135</v>
      </c>
      <c r="H2659" s="3" t="s">
        <v>6585</v>
      </c>
      <c r="I2659" s="1"/>
      <c r="J2659" s="1"/>
      <c r="K2659" s="1"/>
    </row>
    <row r="2660" ht="15.75" customHeight="1">
      <c r="A2660" s="2">
        <v>2659.0</v>
      </c>
      <c r="B2660" s="1" t="s">
        <v>6586</v>
      </c>
      <c r="C2660" s="1" t="s">
        <v>398</v>
      </c>
      <c r="D2660" s="1" t="s">
        <v>928</v>
      </c>
      <c r="E2660" s="2">
        <v>5.70038545147E11</v>
      </c>
      <c r="F2660" s="1" t="s">
        <v>6587</v>
      </c>
      <c r="G2660" s="1" t="s">
        <v>12</v>
      </c>
      <c r="H2660" s="3" t="s">
        <v>6588</v>
      </c>
      <c r="I2660" s="1"/>
      <c r="J2660" s="1"/>
      <c r="K2660" s="1"/>
    </row>
    <row r="2661" ht="15.75" customHeight="1">
      <c r="A2661" s="2">
        <v>2660.0</v>
      </c>
      <c r="B2661" s="1" t="s">
        <v>6589</v>
      </c>
      <c r="C2661" s="1" t="s">
        <v>4415</v>
      </c>
      <c r="D2661" s="1" t="s">
        <v>6590</v>
      </c>
      <c r="E2661" s="2">
        <v>5.70038545139E11</v>
      </c>
      <c r="F2661" s="1" t="s">
        <v>6591</v>
      </c>
      <c r="G2661" s="1" t="s">
        <v>135</v>
      </c>
      <c r="H2661" s="1" t="s">
        <v>867</v>
      </c>
      <c r="I2661" s="1" t="s">
        <v>868</v>
      </c>
      <c r="J2661" s="1" t="s">
        <v>869</v>
      </c>
      <c r="K2661" s="1"/>
    </row>
    <row r="2662" ht="15.75" customHeight="1">
      <c r="A2662" s="2">
        <v>2661.0</v>
      </c>
      <c r="B2662" s="1" t="s">
        <v>1126</v>
      </c>
      <c r="C2662" s="1" t="s">
        <v>6592</v>
      </c>
      <c r="D2662" s="1" t="s">
        <v>1777</v>
      </c>
      <c r="E2662" s="2">
        <v>5.7003854515E11</v>
      </c>
      <c r="F2662" s="1" t="s">
        <v>6593</v>
      </c>
      <c r="G2662" s="1" t="s">
        <v>135</v>
      </c>
      <c r="H2662" s="3" t="s">
        <v>6594</v>
      </c>
      <c r="I2662" s="1"/>
      <c r="J2662" s="1"/>
      <c r="K2662" s="1"/>
    </row>
    <row r="2663" ht="15.75" customHeight="1">
      <c r="A2663" s="2">
        <v>2662.0</v>
      </c>
      <c r="B2663" s="1" t="s">
        <v>6595</v>
      </c>
      <c r="C2663" s="1" t="s">
        <v>6596</v>
      </c>
      <c r="D2663" s="1" t="s">
        <v>6597</v>
      </c>
      <c r="E2663" s="2">
        <v>5.70038545151E11</v>
      </c>
      <c r="F2663" s="1" t="s">
        <v>6598</v>
      </c>
      <c r="G2663" s="1" t="s">
        <v>12</v>
      </c>
      <c r="H2663" s="1" t="s">
        <v>867</v>
      </c>
      <c r="I2663" s="1" t="s">
        <v>868</v>
      </c>
      <c r="J2663" s="1" t="s">
        <v>869</v>
      </c>
      <c r="K2663" s="1"/>
    </row>
    <row r="2664" ht="15.75" customHeight="1">
      <c r="A2664" s="2">
        <v>2663.0</v>
      </c>
      <c r="B2664" s="1" t="s">
        <v>5205</v>
      </c>
      <c r="C2664" s="1" t="s">
        <v>4823</v>
      </c>
      <c r="D2664" s="1" t="s">
        <v>1458</v>
      </c>
      <c r="E2664" s="2">
        <v>5.70038545153E11</v>
      </c>
      <c r="F2664" s="1" t="s">
        <v>6599</v>
      </c>
      <c r="G2664" s="1" t="s">
        <v>12</v>
      </c>
      <c r="H2664" s="1" t="s">
        <v>867</v>
      </c>
      <c r="I2664" s="1" t="s">
        <v>868</v>
      </c>
      <c r="J2664" s="1" t="s">
        <v>869</v>
      </c>
      <c r="K2664" s="1"/>
    </row>
    <row r="2665" ht="15.75" customHeight="1">
      <c r="A2665" s="2">
        <v>2664.0</v>
      </c>
      <c r="B2665" s="1" t="s">
        <v>6600</v>
      </c>
      <c r="C2665" s="1" t="s">
        <v>6601</v>
      </c>
      <c r="D2665" s="1" t="s">
        <v>413</v>
      </c>
      <c r="E2665" s="2">
        <v>5.70038545155E11</v>
      </c>
      <c r="F2665" s="1" t="s">
        <v>6602</v>
      </c>
      <c r="G2665" s="1" t="s">
        <v>135</v>
      </c>
      <c r="H2665" s="1" t="s">
        <v>867</v>
      </c>
      <c r="I2665" s="1" t="s">
        <v>868</v>
      </c>
      <c r="J2665" s="1" t="s">
        <v>869</v>
      </c>
      <c r="K2665" s="1"/>
    </row>
    <row r="2666" ht="15.75" customHeight="1">
      <c r="A2666" s="2">
        <v>2665.0</v>
      </c>
      <c r="B2666" s="1" t="s">
        <v>490</v>
      </c>
      <c r="C2666" s="1" t="s">
        <v>6603</v>
      </c>
      <c r="D2666" s="1" t="s">
        <v>966</v>
      </c>
      <c r="E2666" s="2">
        <v>5.70038545159E11</v>
      </c>
      <c r="F2666" s="1" t="s">
        <v>6097</v>
      </c>
      <c r="G2666" s="1" t="s">
        <v>12</v>
      </c>
      <c r="H2666" s="1" t="s">
        <v>867</v>
      </c>
      <c r="I2666" s="1" t="s">
        <v>868</v>
      </c>
      <c r="J2666" s="1" t="s">
        <v>869</v>
      </c>
      <c r="K2666" s="1"/>
    </row>
    <row r="2667" ht="15.75" customHeight="1">
      <c r="A2667" s="2">
        <v>2666.0</v>
      </c>
      <c r="B2667" s="1" t="s">
        <v>6604</v>
      </c>
      <c r="C2667" s="1" t="s">
        <v>6605</v>
      </c>
      <c r="D2667" s="1" t="s">
        <v>471</v>
      </c>
      <c r="E2667" s="2">
        <v>5.70038545162E11</v>
      </c>
      <c r="F2667" s="1" t="s">
        <v>6606</v>
      </c>
      <c r="G2667" s="1" t="s">
        <v>12</v>
      </c>
      <c r="H2667" s="1" t="s">
        <v>867</v>
      </c>
      <c r="I2667" s="1" t="s">
        <v>868</v>
      </c>
      <c r="J2667" s="1" t="s">
        <v>869</v>
      </c>
      <c r="K2667" s="1"/>
    </row>
    <row r="2668" ht="15.75" customHeight="1">
      <c r="A2668" s="2">
        <v>2667.0</v>
      </c>
      <c r="B2668" s="1" t="s">
        <v>6607</v>
      </c>
      <c r="C2668" s="1" t="s">
        <v>6608</v>
      </c>
      <c r="D2668" s="1" t="s">
        <v>679</v>
      </c>
      <c r="E2668" s="2">
        <v>5.70038545164E11</v>
      </c>
      <c r="F2668" s="1" t="s">
        <v>6609</v>
      </c>
      <c r="G2668" s="1" t="s">
        <v>135</v>
      </c>
      <c r="H2668" s="1" t="s">
        <v>867</v>
      </c>
      <c r="I2668" s="1" t="s">
        <v>868</v>
      </c>
      <c r="J2668" s="1" t="s">
        <v>869</v>
      </c>
      <c r="K2668" s="1"/>
    </row>
    <row r="2669" ht="15.75" customHeight="1">
      <c r="A2669" s="2">
        <v>2668.0</v>
      </c>
      <c r="B2669" s="1" t="s">
        <v>1365</v>
      </c>
      <c r="C2669" s="1" t="s">
        <v>6610</v>
      </c>
      <c r="D2669" s="1" t="s">
        <v>1790</v>
      </c>
      <c r="E2669" s="2">
        <v>5.70038545166E11</v>
      </c>
      <c r="F2669" s="1" t="s">
        <v>6611</v>
      </c>
      <c r="G2669" s="1" t="s">
        <v>12</v>
      </c>
      <c r="H2669" s="1" t="s">
        <v>867</v>
      </c>
      <c r="I2669" s="1" t="s">
        <v>868</v>
      </c>
      <c r="J2669" s="1" t="s">
        <v>869</v>
      </c>
      <c r="K2669" s="1"/>
    </row>
    <row r="2670" ht="15.75" customHeight="1">
      <c r="A2670" s="2">
        <v>2669.0</v>
      </c>
      <c r="B2670" s="1" t="s">
        <v>6612</v>
      </c>
      <c r="C2670" s="1" t="s">
        <v>6613</v>
      </c>
      <c r="D2670" s="1" t="s">
        <v>4646</v>
      </c>
      <c r="E2670" s="2">
        <v>5.70038545167E11</v>
      </c>
      <c r="F2670" s="1" t="s">
        <v>6320</v>
      </c>
      <c r="G2670" s="1" t="s">
        <v>12</v>
      </c>
      <c r="H2670" s="1" t="s">
        <v>867</v>
      </c>
      <c r="I2670" s="1" t="s">
        <v>868</v>
      </c>
      <c r="J2670" s="1" t="s">
        <v>869</v>
      </c>
      <c r="K2670" s="1"/>
    </row>
    <row r="2671" ht="15.75" customHeight="1">
      <c r="A2671" s="2">
        <v>2670.0</v>
      </c>
      <c r="B2671" s="1" t="s">
        <v>6614</v>
      </c>
      <c r="C2671" s="1" t="s">
        <v>6615</v>
      </c>
      <c r="D2671" s="1" t="s">
        <v>183</v>
      </c>
      <c r="E2671" s="2">
        <v>5.70038545169E11</v>
      </c>
      <c r="F2671" s="1" t="s">
        <v>6616</v>
      </c>
      <c r="G2671" s="1" t="s">
        <v>12</v>
      </c>
      <c r="H2671" s="1" t="s">
        <v>867</v>
      </c>
      <c r="I2671" s="1" t="s">
        <v>868</v>
      </c>
      <c r="J2671" s="1" t="s">
        <v>869</v>
      </c>
      <c r="K2671" s="1"/>
    </row>
    <row r="2672" ht="15.75" customHeight="1">
      <c r="A2672" s="2">
        <v>2671.0</v>
      </c>
      <c r="B2672" s="1" t="s">
        <v>6617</v>
      </c>
      <c r="C2672" s="1" t="s">
        <v>4210</v>
      </c>
      <c r="D2672" s="1" t="s">
        <v>6618</v>
      </c>
      <c r="E2672" s="2">
        <v>5.7003854517E11</v>
      </c>
      <c r="F2672" s="1" t="s">
        <v>6619</v>
      </c>
      <c r="G2672" s="1" t="s">
        <v>12</v>
      </c>
      <c r="H2672" s="3" t="s">
        <v>6620</v>
      </c>
      <c r="I2672" s="1"/>
      <c r="J2672" s="1"/>
      <c r="K2672" s="1"/>
    </row>
    <row r="2673" ht="15.75" customHeight="1">
      <c r="A2673" s="2">
        <v>2672.0</v>
      </c>
      <c r="B2673" s="1" t="s">
        <v>5335</v>
      </c>
      <c r="C2673" s="1" t="s">
        <v>6621</v>
      </c>
      <c r="D2673" s="1" t="s">
        <v>230</v>
      </c>
      <c r="E2673" s="2">
        <v>5.70038545171E11</v>
      </c>
      <c r="F2673" s="1" t="s">
        <v>6622</v>
      </c>
      <c r="G2673" s="1" t="s">
        <v>12</v>
      </c>
      <c r="H2673" s="1" t="s">
        <v>867</v>
      </c>
      <c r="I2673" s="1" t="s">
        <v>868</v>
      </c>
      <c r="J2673" s="1" t="s">
        <v>869</v>
      </c>
      <c r="K2673" s="1"/>
    </row>
    <row r="2674" ht="15.75" customHeight="1">
      <c r="A2674" s="2">
        <v>2673.0</v>
      </c>
      <c r="B2674" s="1" t="s">
        <v>5665</v>
      </c>
      <c r="C2674" s="1" t="s">
        <v>6374</v>
      </c>
      <c r="D2674" s="1" t="s">
        <v>2020</v>
      </c>
      <c r="E2674" s="2">
        <v>5.70038545172E11</v>
      </c>
      <c r="F2674" s="1" t="s">
        <v>6623</v>
      </c>
      <c r="G2674" s="1" t="s">
        <v>12</v>
      </c>
      <c r="H2674" s="1" t="s">
        <v>867</v>
      </c>
      <c r="I2674" s="1" t="s">
        <v>868</v>
      </c>
      <c r="J2674" s="1" t="s">
        <v>869</v>
      </c>
      <c r="K2674" s="1"/>
    </row>
    <row r="2675" ht="15.75" customHeight="1">
      <c r="A2675" s="2">
        <v>2674.0</v>
      </c>
      <c r="B2675" s="1" t="s">
        <v>6624</v>
      </c>
      <c r="C2675" s="1" t="s">
        <v>1332</v>
      </c>
      <c r="D2675" s="1" t="s">
        <v>6625</v>
      </c>
      <c r="E2675" s="2">
        <v>5.70038545174E11</v>
      </c>
      <c r="F2675" s="1" t="s">
        <v>5929</v>
      </c>
      <c r="G2675" s="1" t="s">
        <v>12</v>
      </c>
      <c r="H2675" s="1" t="s">
        <v>867</v>
      </c>
      <c r="I2675" s="1" t="s">
        <v>868</v>
      </c>
      <c r="J2675" s="1" t="s">
        <v>869</v>
      </c>
      <c r="K2675" s="1"/>
    </row>
    <row r="2676" ht="15.75" customHeight="1">
      <c r="A2676" s="2">
        <v>2675.0</v>
      </c>
      <c r="B2676" s="1" t="s">
        <v>6626</v>
      </c>
      <c r="C2676" s="1" t="s">
        <v>6627</v>
      </c>
      <c r="D2676" s="1" t="s">
        <v>6628</v>
      </c>
      <c r="E2676" s="2">
        <v>5.70038545176E11</v>
      </c>
      <c r="F2676" s="1" t="s">
        <v>6362</v>
      </c>
      <c r="G2676" s="1" t="s">
        <v>12</v>
      </c>
      <c r="H2676" s="1" t="s">
        <v>867</v>
      </c>
      <c r="I2676" s="1" t="s">
        <v>868</v>
      </c>
      <c r="J2676" s="1" t="s">
        <v>869</v>
      </c>
      <c r="K2676" s="1"/>
    </row>
    <row r="2677" ht="15.75" customHeight="1">
      <c r="A2677" s="2">
        <v>2676.0</v>
      </c>
      <c r="B2677" s="1" t="s">
        <v>5920</v>
      </c>
      <c r="C2677" s="1" t="s">
        <v>6629</v>
      </c>
      <c r="D2677" s="1" t="s">
        <v>1734</v>
      </c>
      <c r="E2677" s="2">
        <v>5.70038545177E11</v>
      </c>
      <c r="F2677" s="1" t="s">
        <v>6630</v>
      </c>
      <c r="G2677" s="1" t="s">
        <v>12</v>
      </c>
      <c r="H2677" s="1" t="s">
        <v>867</v>
      </c>
      <c r="I2677" s="1" t="s">
        <v>868</v>
      </c>
      <c r="J2677" s="1" t="s">
        <v>869</v>
      </c>
      <c r="K2677" s="1"/>
    </row>
    <row r="2678" ht="15.75" customHeight="1">
      <c r="A2678" s="2">
        <v>2677.0</v>
      </c>
      <c r="B2678" s="1" t="s">
        <v>6631</v>
      </c>
      <c r="C2678" s="1" t="s">
        <v>6632</v>
      </c>
      <c r="D2678" s="1" t="s">
        <v>384</v>
      </c>
      <c r="E2678" s="2">
        <v>5.70038545178E11</v>
      </c>
      <c r="F2678" s="1" t="s">
        <v>6633</v>
      </c>
      <c r="G2678" s="1" t="s">
        <v>12</v>
      </c>
      <c r="H2678" s="1" t="s">
        <v>867</v>
      </c>
      <c r="I2678" s="1" t="s">
        <v>868</v>
      </c>
      <c r="J2678" s="1" t="s">
        <v>869</v>
      </c>
      <c r="K2678" s="1"/>
    </row>
    <row r="2679" ht="15.75" customHeight="1">
      <c r="A2679" s="2">
        <v>2678.0</v>
      </c>
      <c r="B2679" s="1" t="s">
        <v>4165</v>
      </c>
      <c r="C2679" s="1" t="s">
        <v>6634</v>
      </c>
      <c r="D2679" s="1" t="s">
        <v>324</v>
      </c>
      <c r="E2679" s="2">
        <v>5.7003854518E11</v>
      </c>
      <c r="F2679" s="1" t="s">
        <v>6635</v>
      </c>
      <c r="G2679" s="1" t="s">
        <v>12</v>
      </c>
      <c r="H2679" s="1" t="s">
        <v>6636</v>
      </c>
      <c r="I2679" s="1" t="s">
        <v>868</v>
      </c>
      <c r="J2679" s="1" t="s">
        <v>869</v>
      </c>
      <c r="K2679" s="1"/>
    </row>
    <row r="2680" ht="15.75" customHeight="1">
      <c r="A2680" s="2">
        <v>2679.0</v>
      </c>
      <c r="B2680" s="1" t="s">
        <v>3425</v>
      </c>
      <c r="C2680" s="1" t="s">
        <v>1332</v>
      </c>
      <c r="D2680" s="1" t="s">
        <v>77</v>
      </c>
      <c r="E2680" s="2">
        <v>5.70038545181E11</v>
      </c>
      <c r="F2680" s="1" t="s">
        <v>6609</v>
      </c>
      <c r="G2680" s="1" t="s">
        <v>12</v>
      </c>
      <c r="H2680" s="1" t="s">
        <v>867</v>
      </c>
      <c r="I2680" s="1" t="s">
        <v>868</v>
      </c>
      <c r="J2680" s="1" t="s">
        <v>869</v>
      </c>
      <c r="K2680" s="1"/>
    </row>
    <row r="2681" ht="15.75" customHeight="1">
      <c r="A2681" s="2">
        <v>2680.0</v>
      </c>
      <c r="B2681" s="1" t="s">
        <v>3944</v>
      </c>
      <c r="C2681" s="1" t="s">
        <v>5693</v>
      </c>
      <c r="D2681" s="1" t="s">
        <v>267</v>
      </c>
      <c r="E2681" s="2">
        <v>5.70038545184E11</v>
      </c>
      <c r="F2681" s="1" t="s">
        <v>6637</v>
      </c>
      <c r="G2681" s="1" t="s">
        <v>12</v>
      </c>
      <c r="H2681" s="1" t="s">
        <v>867</v>
      </c>
      <c r="I2681" s="1" t="s">
        <v>868</v>
      </c>
      <c r="J2681" s="1" t="s">
        <v>869</v>
      </c>
      <c r="K2681" s="1"/>
    </row>
    <row r="2682" ht="15.75" customHeight="1">
      <c r="A2682" s="2">
        <v>2681.0</v>
      </c>
      <c r="B2682" s="1" t="s">
        <v>6264</v>
      </c>
      <c r="C2682" s="1" t="s">
        <v>1572</v>
      </c>
      <c r="D2682" s="1" t="s">
        <v>5736</v>
      </c>
      <c r="E2682" s="2">
        <v>5.70038545185E11</v>
      </c>
      <c r="F2682" s="1" t="s">
        <v>6638</v>
      </c>
      <c r="G2682" s="1" t="s">
        <v>12</v>
      </c>
      <c r="H2682" s="1" t="s">
        <v>867</v>
      </c>
      <c r="I2682" s="1" t="s">
        <v>868</v>
      </c>
      <c r="J2682" s="1" t="s">
        <v>869</v>
      </c>
      <c r="K2682" s="1"/>
    </row>
    <row r="2683" ht="15.75" customHeight="1">
      <c r="A2683" s="2">
        <v>2682.0</v>
      </c>
      <c r="B2683" s="1" t="s">
        <v>5335</v>
      </c>
      <c r="C2683" s="1" t="s">
        <v>4415</v>
      </c>
      <c r="D2683" s="1" t="s">
        <v>856</v>
      </c>
      <c r="E2683" s="2">
        <v>5.70038545186E11</v>
      </c>
      <c r="F2683" s="1" t="s">
        <v>6639</v>
      </c>
      <c r="G2683" s="1" t="s">
        <v>135</v>
      </c>
      <c r="H2683" s="1" t="s">
        <v>867</v>
      </c>
      <c r="I2683" s="1" t="s">
        <v>868</v>
      </c>
      <c r="J2683" s="1" t="s">
        <v>869</v>
      </c>
      <c r="K2683" s="1"/>
    </row>
    <row r="2684" ht="15.75" customHeight="1">
      <c r="A2684" s="2">
        <v>2683.0</v>
      </c>
      <c r="B2684" s="1" t="s">
        <v>3984</v>
      </c>
      <c r="C2684" s="1" t="s">
        <v>6640</v>
      </c>
      <c r="D2684" s="1" t="s">
        <v>258</v>
      </c>
      <c r="E2684" s="2">
        <v>5.70038545187E11</v>
      </c>
      <c r="F2684" s="1" t="s">
        <v>6641</v>
      </c>
      <c r="G2684" s="1" t="s">
        <v>12</v>
      </c>
      <c r="H2684" s="1" t="s">
        <v>867</v>
      </c>
      <c r="I2684" s="1" t="s">
        <v>868</v>
      </c>
      <c r="J2684" s="1" t="s">
        <v>869</v>
      </c>
      <c r="K2684" s="1"/>
    </row>
    <row r="2685" ht="15.75" customHeight="1">
      <c r="A2685" s="2">
        <v>2684.0</v>
      </c>
      <c r="B2685" s="1" t="s">
        <v>4525</v>
      </c>
      <c r="C2685" s="1" t="s">
        <v>6642</v>
      </c>
      <c r="D2685" s="1" t="s">
        <v>1765</v>
      </c>
      <c r="E2685" s="2">
        <v>5.70038545188E11</v>
      </c>
      <c r="F2685" s="1" t="s">
        <v>6643</v>
      </c>
      <c r="G2685" s="1" t="s">
        <v>12</v>
      </c>
      <c r="H2685" s="1" t="s">
        <v>867</v>
      </c>
      <c r="I2685" s="1" t="s">
        <v>868</v>
      </c>
      <c r="J2685" s="1" t="s">
        <v>869</v>
      </c>
      <c r="K2685" s="1"/>
    </row>
    <row r="2686" ht="15.75" customHeight="1">
      <c r="A2686" s="2">
        <v>2685.0</v>
      </c>
      <c r="B2686" s="1" t="s">
        <v>6644</v>
      </c>
      <c r="C2686" s="1" t="s">
        <v>820</v>
      </c>
      <c r="D2686" s="1" t="s">
        <v>6645</v>
      </c>
      <c r="E2686" s="2">
        <v>5.70038545189E11</v>
      </c>
      <c r="F2686" s="1" t="s">
        <v>6646</v>
      </c>
      <c r="G2686" s="1" t="s">
        <v>135</v>
      </c>
      <c r="H2686" s="1" t="s">
        <v>867</v>
      </c>
      <c r="I2686" s="1" t="s">
        <v>868</v>
      </c>
      <c r="J2686" s="1" t="s">
        <v>869</v>
      </c>
      <c r="K2686" s="1"/>
    </row>
    <row r="2687" ht="15.75" customHeight="1">
      <c r="A2687" s="2">
        <v>2686.0</v>
      </c>
      <c r="B2687" s="1" t="s">
        <v>6647</v>
      </c>
      <c r="C2687" s="1" t="s">
        <v>6648</v>
      </c>
      <c r="D2687" s="1" t="s">
        <v>6649</v>
      </c>
      <c r="E2687" s="2">
        <v>5.70038545191E11</v>
      </c>
      <c r="F2687" s="1" t="s">
        <v>6650</v>
      </c>
      <c r="G2687" s="1" t="s">
        <v>12</v>
      </c>
      <c r="H2687" s="1" t="s">
        <v>867</v>
      </c>
      <c r="I2687" s="1" t="s">
        <v>868</v>
      </c>
      <c r="J2687" s="1" t="s">
        <v>869</v>
      </c>
      <c r="K2687" s="1"/>
    </row>
    <row r="2688" ht="15.75" customHeight="1">
      <c r="A2688" s="2">
        <v>2687.0</v>
      </c>
      <c r="B2688" s="1" t="s">
        <v>1614</v>
      </c>
      <c r="C2688" s="1" t="s">
        <v>5267</v>
      </c>
      <c r="D2688" s="1" t="s">
        <v>3285</v>
      </c>
      <c r="E2688" s="2">
        <v>5.70038545192E11</v>
      </c>
      <c r="F2688" s="1" t="s">
        <v>6651</v>
      </c>
      <c r="G2688" s="1" t="s">
        <v>135</v>
      </c>
      <c r="H2688" s="1" t="s">
        <v>867</v>
      </c>
      <c r="I2688" s="1" t="s">
        <v>868</v>
      </c>
      <c r="J2688" s="1" t="s">
        <v>869</v>
      </c>
      <c r="K2688" s="1"/>
    </row>
    <row r="2689" ht="15.75" customHeight="1">
      <c r="A2689" s="2">
        <v>2688.0</v>
      </c>
      <c r="B2689" s="1" t="s">
        <v>6652</v>
      </c>
      <c r="C2689" s="1" t="s">
        <v>446</v>
      </c>
      <c r="D2689" s="1" t="s">
        <v>1080</v>
      </c>
      <c r="E2689" s="2">
        <v>5.70038545194E11</v>
      </c>
      <c r="F2689" s="1" t="s">
        <v>6653</v>
      </c>
      <c r="G2689" s="1" t="s">
        <v>12</v>
      </c>
      <c r="H2689" s="1" t="s">
        <v>867</v>
      </c>
      <c r="I2689" s="1" t="s">
        <v>868</v>
      </c>
      <c r="J2689" s="1" t="s">
        <v>869</v>
      </c>
      <c r="K2689" s="1"/>
    </row>
    <row r="2690" ht="15.75" customHeight="1">
      <c r="A2690" s="2">
        <v>2689.0</v>
      </c>
      <c r="B2690" s="1" t="s">
        <v>901</v>
      </c>
      <c r="C2690" s="1" t="s">
        <v>911</v>
      </c>
      <c r="D2690" s="1" t="s">
        <v>97</v>
      </c>
      <c r="E2690" s="2">
        <v>5.70038545195E11</v>
      </c>
      <c r="F2690" s="1" t="s">
        <v>6654</v>
      </c>
      <c r="G2690" s="1" t="s">
        <v>12</v>
      </c>
      <c r="H2690" s="1" t="s">
        <v>867</v>
      </c>
      <c r="I2690" s="1" t="s">
        <v>868</v>
      </c>
      <c r="J2690" s="1" t="s">
        <v>869</v>
      </c>
      <c r="K2690" s="1"/>
    </row>
    <row r="2691" ht="15.75" customHeight="1">
      <c r="A2691" s="2">
        <v>2690.0</v>
      </c>
      <c r="B2691" s="1" t="s">
        <v>5647</v>
      </c>
      <c r="C2691" s="1" t="s">
        <v>6291</v>
      </c>
      <c r="D2691" s="1" t="s">
        <v>6655</v>
      </c>
      <c r="E2691" s="2">
        <v>5.700385452E11</v>
      </c>
      <c r="F2691" s="1" t="s">
        <v>6656</v>
      </c>
      <c r="G2691" s="1" t="s">
        <v>12</v>
      </c>
      <c r="H2691" s="1" t="s">
        <v>867</v>
      </c>
      <c r="I2691" s="1" t="s">
        <v>868</v>
      </c>
      <c r="J2691" s="1" t="s">
        <v>869</v>
      </c>
      <c r="K2691" s="1"/>
    </row>
    <row r="2692" ht="15.75" customHeight="1">
      <c r="A2692" s="2">
        <v>2691.0</v>
      </c>
      <c r="B2692" s="1" t="s">
        <v>6000</v>
      </c>
      <c r="C2692" s="1" t="s">
        <v>4210</v>
      </c>
      <c r="D2692" s="1" t="s">
        <v>6657</v>
      </c>
      <c r="E2692" s="2">
        <v>5.70038545201E11</v>
      </c>
      <c r="F2692" s="1" t="s">
        <v>6658</v>
      </c>
      <c r="G2692" s="1" t="s">
        <v>12</v>
      </c>
      <c r="H2692" s="1" t="s">
        <v>867</v>
      </c>
      <c r="I2692" s="1" t="s">
        <v>868</v>
      </c>
      <c r="J2692" s="1" t="s">
        <v>869</v>
      </c>
      <c r="K2692" s="1"/>
    </row>
    <row r="2693" ht="15.75" customHeight="1">
      <c r="A2693" s="2">
        <v>2692.0</v>
      </c>
      <c r="B2693" s="1" t="s">
        <v>2247</v>
      </c>
      <c r="C2693" s="1" t="s">
        <v>6126</v>
      </c>
      <c r="D2693" s="1" t="s">
        <v>362</v>
      </c>
      <c r="E2693" s="2">
        <v>5.70038545206E11</v>
      </c>
      <c r="F2693" s="1" t="s">
        <v>6659</v>
      </c>
      <c r="G2693" s="1" t="s">
        <v>12</v>
      </c>
      <c r="H2693" s="1" t="s">
        <v>867</v>
      </c>
      <c r="I2693" s="1" t="s">
        <v>868</v>
      </c>
      <c r="J2693" s="1" t="s">
        <v>869</v>
      </c>
      <c r="K2693" s="1"/>
    </row>
    <row r="2694" ht="15.75" customHeight="1">
      <c r="A2694" s="2">
        <v>2693.0</v>
      </c>
      <c r="B2694" s="1" t="s">
        <v>6660</v>
      </c>
      <c r="C2694" s="1" t="s">
        <v>522</v>
      </c>
      <c r="D2694" s="1" t="s">
        <v>734</v>
      </c>
      <c r="E2694" s="2">
        <v>5.70038545207E11</v>
      </c>
      <c r="F2694" s="1" t="s">
        <v>6661</v>
      </c>
      <c r="G2694" s="1" t="s">
        <v>12</v>
      </c>
      <c r="H2694" s="1" t="s">
        <v>867</v>
      </c>
      <c r="I2694" s="1" t="s">
        <v>868</v>
      </c>
      <c r="J2694" s="1" t="s">
        <v>869</v>
      </c>
      <c r="K2694" s="1"/>
    </row>
    <row r="2695" ht="15.75" customHeight="1">
      <c r="A2695" s="2">
        <v>2694.0</v>
      </c>
      <c r="B2695" s="1" t="s">
        <v>1659</v>
      </c>
      <c r="C2695" s="1" t="s">
        <v>6662</v>
      </c>
      <c r="D2695" s="1" t="s">
        <v>2005</v>
      </c>
      <c r="E2695" s="2">
        <v>5.70038545208E11</v>
      </c>
      <c r="F2695" s="1" t="s">
        <v>6663</v>
      </c>
      <c r="G2695" s="1" t="s">
        <v>12</v>
      </c>
      <c r="H2695" s="1" t="s">
        <v>867</v>
      </c>
      <c r="I2695" s="1" t="s">
        <v>868</v>
      </c>
      <c r="J2695" s="1" t="s">
        <v>869</v>
      </c>
      <c r="K2695" s="1"/>
    </row>
    <row r="2696" ht="15.75" customHeight="1">
      <c r="A2696" s="2">
        <v>2695.0</v>
      </c>
      <c r="B2696" s="1" t="s">
        <v>6664</v>
      </c>
      <c r="C2696" s="1" t="s">
        <v>6665</v>
      </c>
      <c r="D2696" s="1" t="s">
        <v>2657</v>
      </c>
      <c r="E2696" s="2">
        <v>5.70038545209E11</v>
      </c>
      <c r="F2696" s="1" t="s">
        <v>6666</v>
      </c>
      <c r="G2696" s="1" t="s">
        <v>135</v>
      </c>
      <c r="H2696" s="1" t="s">
        <v>867</v>
      </c>
      <c r="I2696" s="1" t="s">
        <v>868</v>
      </c>
      <c r="J2696" s="1" t="s">
        <v>869</v>
      </c>
      <c r="K2696" s="1"/>
    </row>
    <row r="2697" ht="15.75" customHeight="1">
      <c r="A2697" s="2">
        <v>2696.0</v>
      </c>
      <c r="B2697" s="1" t="s">
        <v>6667</v>
      </c>
      <c r="C2697" s="1" t="s">
        <v>6668</v>
      </c>
      <c r="D2697" s="1" t="s">
        <v>6462</v>
      </c>
      <c r="E2697" s="2">
        <v>5.7003854521E11</v>
      </c>
      <c r="F2697" s="1" t="s">
        <v>6669</v>
      </c>
      <c r="G2697" s="1" t="s">
        <v>12</v>
      </c>
      <c r="H2697" s="1" t="s">
        <v>867</v>
      </c>
      <c r="I2697" s="1" t="s">
        <v>868</v>
      </c>
      <c r="J2697" s="1" t="s">
        <v>869</v>
      </c>
      <c r="K2697" s="1"/>
    </row>
    <row r="2698" ht="15.75" customHeight="1">
      <c r="A2698" s="2">
        <v>2697.0</v>
      </c>
      <c r="B2698" s="1" t="s">
        <v>6670</v>
      </c>
      <c r="C2698" s="1" t="s">
        <v>5786</v>
      </c>
      <c r="D2698" s="1" t="s">
        <v>6671</v>
      </c>
      <c r="E2698" s="2">
        <v>5.70038545211E11</v>
      </c>
      <c r="F2698" s="1" t="s">
        <v>6672</v>
      </c>
      <c r="G2698" s="1" t="s">
        <v>12</v>
      </c>
      <c r="H2698" s="1" t="s">
        <v>867</v>
      </c>
      <c r="I2698" s="1" t="s">
        <v>868</v>
      </c>
      <c r="J2698" s="1" t="s">
        <v>869</v>
      </c>
      <c r="K2698" s="1"/>
    </row>
    <row r="2699" ht="15.75" customHeight="1">
      <c r="A2699" s="2">
        <v>2698.0</v>
      </c>
      <c r="B2699" s="1" t="s">
        <v>5748</v>
      </c>
      <c r="C2699" s="1" t="s">
        <v>6673</v>
      </c>
      <c r="D2699" s="1" t="s">
        <v>2659</v>
      </c>
      <c r="E2699" s="2">
        <v>5.70038545212E11</v>
      </c>
      <c r="F2699" s="1" t="s">
        <v>6674</v>
      </c>
      <c r="G2699" s="1" t="s">
        <v>135</v>
      </c>
      <c r="H2699" s="1" t="s">
        <v>867</v>
      </c>
      <c r="I2699" s="1" t="s">
        <v>868</v>
      </c>
      <c r="J2699" s="1" t="s">
        <v>869</v>
      </c>
      <c r="K2699" s="1"/>
    </row>
    <row r="2700" ht="15.75" customHeight="1">
      <c r="A2700" s="2">
        <v>2699.0</v>
      </c>
      <c r="B2700" s="1" t="s">
        <v>462</v>
      </c>
      <c r="C2700" s="1" t="s">
        <v>323</v>
      </c>
      <c r="D2700" s="1" t="s">
        <v>552</v>
      </c>
      <c r="E2700" s="2">
        <v>5.70038545215E11</v>
      </c>
      <c r="F2700" s="1" t="s">
        <v>5861</v>
      </c>
      <c r="G2700" s="1" t="s">
        <v>12</v>
      </c>
      <c r="H2700" s="1" t="s">
        <v>867</v>
      </c>
      <c r="I2700" s="1" t="s">
        <v>868</v>
      </c>
      <c r="J2700" s="1" t="s">
        <v>869</v>
      </c>
      <c r="K2700" s="1"/>
    </row>
    <row r="2701" ht="15.75" customHeight="1">
      <c r="A2701" s="2">
        <v>2700.0</v>
      </c>
      <c r="B2701" s="1" t="s">
        <v>2632</v>
      </c>
      <c r="C2701" s="1" t="s">
        <v>6675</v>
      </c>
      <c r="D2701" s="1" t="s">
        <v>484</v>
      </c>
      <c r="E2701" s="2">
        <v>5.70038545217E11</v>
      </c>
      <c r="F2701" s="1" t="s">
        <v>6663</v>
      </c>
      <c r="G2701" s="1" t="s">
        <v>12</v>
      </c>
      <c r="H2701" s="1" t="s">
        <v>867</v>
      </c>
      <c r="I2701" s="1" t="s">
        <v>868</v>
      </c>
      <c r="J2701" s="1" t="s">
        <v>869</v>
      </c>
      <c r="K2701" s="1"/>
    </row>
    <row r="2702" ht="15.75" customHeight="1">
      <c r="A2702" s="2">
        <v>2701.0</v>
      </c>
      <c r="B2702" s="1" t="s">
        <v>6676</v>
      </c>
      <c r="C2702" s="1" t="s">
        <v>6677</v>
      </c>
      <c r="D2702" s="1" t="s">
        <v>901</v>
      </c>
      <c r="E2702" s="2">
        <v>5.70038545219E11</v>
      </c>
      <c r="F2702" s="1" t="s">
        <v>6286</v>
      </c>
      <c r="G2702" s="1" t="s">
        <v>12</v>
      </c>
      <c r="H2702" s="1" t="s">
        <v>867</v>
      </c>
      <c r="I2702" s="1" t="s">
        <v>868</v>
      </c>
      <c r="J2702" s="1" t="s">
        <v>869</v>
      </c>
      <c r="K2702" s="1"/>
    </row>
    <row r="2703" ht="15.75" customHeight="1">
      <c r="A2703" s="2">
        <v>2702.0</v>
      </c>
      <c r="B2703" s="1" t="s">
        <v>1599</v>
      </c>
      <c r="C2703" s="1" t="s">
        <v>6678</v>
      </c>
      <c r="D2703" s="1" t="s">
        <v>1475</v>
      </c>
      <c r="E2703" s="2">
        <v>5.70038545224E11</v>
      </c>
      <c r="F2703" s="1" t="s">
        <v>6679</v>
      </c>
      <c r="G2703" s="1" t="s">
        <v>12</v>
      </c>
      <c r="H2703" s="1" t="s">
        <v>867</v>
      </c>
      <c r="I2703" s="1" t="s">
        <v>868</v>
      </c>
      <c r="J2703" s="1" t="s">
        <v>869</v>
      </c>
      <c r="K2703" s="1"/>
    </row>
    <row r="2704" ht="15.75" customHeight="1">
      <c r="A2704" s="2">
        <v>2703.0</v>
      </c>
      <c r="B2704" s="1" t="s">
        <v>6680</v>
      </c>
      <c r="C2704" s="1" t="s">
        <v>6681</v>
      </c>
      <c r="D2704" s="1" t="s">
        <v>625</v>
      </c>
      <c r="E2704" s="2">
        <v>5.70038545226E11</v>
      </c>
      <c r="F2704" s="1" t="s">
        <v>6682</v>
      </c>
      <c r="G2704" s="1" t="s">
        <v>12</v>
      </c>
      <c r="H2704" s="1" t="s">
        <v>867</v>
      </c>
      <c r="I2704" s="1" t="s">
        <v>868</v>
      </c>
      <c r="J2704" s="1" t="s">
        <v>869</v>
      </c>
      <c r="K2704" s="1"/>
    </row>
    <row r="2705" ht="15.75" customHeight="1">
      <c r="A2705" s="2">
        <v>2704.0</v>
      </c>
      <c r="B2705" s="1" t="s">
        <v>4134</v>
      </c>
      <c r="C2705" s="1" t="s">
        <v>5027</v>
      </c>
      <c r="D2705" s="1" t="s">
        <v>3103</v>
      </c>
      <c r="E2705" s="2">
        <v>5.70038545228E11</v>
      </c>
      <c r="F2705" s="1" t="s">
        <v>6683</v>
      </c>
      <c r="G2705" s="1" t="s">
        <v>12</v>
      </c>
      <c r="H2705" s="1" t="s">
        <v>867</v>
      </c>
      <c r="I2705" s="1" t="s">
        <v>868</v>
      </c>
      <c r="J2705" s="1" t="s">
        <v>869</v>
      </c>
      <c r="K2705" s="1"/>
    </row>
    <row r="2706" ht="15.75" customHeight="1">
      <c r="A2706" s="2">
        <v>2705.0</v>
      </c>
      <c r="B2706" s="1" t="s">
        <v>6684</v>
      </c>
      <c r="C2706" s="1" t="s">
        <v>6685</v>
      </c>
      <c r="D2706" s="1" t="s">
        <v>358</v>
      </c>
      <c r="E2706" s="2">
        <v>5.70038545232E11</v>
      </c>
      <c r="F2706" s="1" t="s">
        <v>6686</v>
      </c>
      <c r="G2706" s="1" t="s">
        <v>135</v>
      </c>
      <c r="H2706" s="1" t="s">
        <v>867</v>
      </c>
      <c r="I2706" s="1" t="s">
        <v>868</v>
      </c>
      <c r="J2706" s="1" t="s">
        <v>869</v>
      </c>
      <c r="K2706" s="1"/>
    </row>
    <row r="2707" ht="15.75" customHeight="1">
      <c r="A2707" s="2">
        <v>2706.0</v>
      </c>
      <c r="B2707" s="1" t="s">
        <v>6687</v>
      </c>
      <c r="C2707" s="1" t="s">
        <v>6688</v>
      </c>
      <c r="D2707" s="1" t="s">
        <v>6689</v>
      </c>
      <c r="E2707" s="2">
        <v>5.70038545233E11</v>
      </c>
      <c r="F2707" s="1" t="s">
        <v>6690</v>
      </c>
      <c r="G2707" s="1" t="s">
        <v>12</v>
      </c>
      <c r="H2707" s="1" t="s">
        <v>867</v>
      </c>
      <c r="I2707" s="1" t="s">
        <v>868</v>
      </c>
      <c r="J2707" s="1" t="s">
        <v>869</v>
      </c>
      <c r="K2707" s="1"/>
    </row>
    <row r="2708" ht="15.75" customHeight="1">
      <c r="A2708" s="2">
        <v>2707.0</v>
      </c>
      <c r="B2708" s="1" t="s">
        <v>6003</v>
      </c>
      <c r="C2708" s="1" t="s">
        <v>4615</v>
      </c>
      <c r="D2708" s="1" t="s">
        <v>1599</v>
      </c>
      <c r="E2708" s="2">
        <v>5.70038545234E11</v>
      </c>
      <c r="F2708" s="1" t="s">
        <v>6654</v>
      </c>
      <c r="G2708" s="1" t="s">
        <v>135</v>
      </c>
      <c r="H2708" s="1" t="s">
        <v>867</v>
      </c>
      <c r="I2708" s="1" t="s">
        <v>868</v>
      </c>
      <c r="J2708" s="1" t="s">
        <v>869</v>
      </c>
      <c r="K2708" s="1"/>
    </row>
    <row r="2709" ht="15.75" customHeight="1">
      <c r="A2709" s="2">
        <v>2708.0</v>
      </c>
      <c r="B2709" s="1" t="s">
        <v>5748</v>
      </c>
      <c r="C2709" s="1" t="s">
        <v>67</v>
      </c>
      <c r="D2709" s="1" t="s">
        <v>1455</v>
      </c>
      <c r="E2709" s="2">
        <v>5.70038545235E11</v>
      </c>
      <c r="F2709" s="1" t="s">
        <v>6691</v>
      </c>
      <c r="G2709" s="1" t="s">
        <v>12</v>
      </c>
      <c r="H2709" s="1" t="s">
        <v>867</v>
      </c>
      <c r="I2709" s="1" t="s">
        <v>868</v>
      </c>
      <c r="J2709" s="1" t="s">
        <v>869</v>
      </c>
      <c r="K2709" s="1"/>
    </row>
    <row r="2710" ht="15.75" customHeight="1">
      <c r="A2710" s="2">
        <v>2709.0</v>
      </c>
      <c r="B2710" s="1" t="s">
        <v>3903</v>
      </c>
      <c r="C2710" s="1" t="s">
        <v>4813</v>
      </c>
      <c r="D2710" s="1" t="s">
        <v>6692</v>
      </c>
      <c r="E2710" s="2">
        <v>5.70038545237E11</v>
      </c>
      <c r="F2710" s="1" t="s">
        <v>6693</v>
      </c>
      <c r="G2710" s="1" t="s">
        <v>12</v>
      </c>
      <c r="H2710" s="1" t="s">
        <v>867</v>
      </c>
      <c r="I2710" s="1" t="s">
        <v>868</v>
      </c>
      <c r="J2710" s="1" t="s">
        <v>869</v>
      </c>
      <c r="K2710" s="1"/>
    </row>
    <row r="2711" ht="15.75" customHeight="1">
      <c r="A2711" s="2">
        <v>2710.0</v>
      </c>
      <c r="B2711" s="1" t="s">
        <v>6694</v>
      </c>
      <c r="C2711" s="1" t="s">
        <v>6695</v>
      </c>
      <c r="D2711" s="1" t="s">
        <v>457</v>
      </c>
      <c r="E2711" s="2">
        <v>5.70038545238E11</v>
      </c>
      <c r="F2711" s="1" t="s">
        <v>6696</v>
      </c>
      <c r="G2711" s="1" t="s">
        <v>12</v>
      </c>
      <c r="H2711" s="1" t="s">
        <v>867</v>
      </c>
      <c r="I2711" s="1" t="s">
        <v>868</v>
      </c>
      <c r="J2711" s="1" t="s">
        <v>869</v>
      </c>
      <c r="K2711" s="1"/>
    </row>
    <row r="2712" ht="15.75" customHeight="1">
      <c r="A2712" s="2">
        <v>2711.0</v>
      </c>
      <c r="B2712" s="1" t="s">
        <v>3903</v>
      </c>
      <c r="C2712" s="1" t="s">
        <v>6697</v>
      </c>
      <c r="D2712" s="1" t="s">
        <v>3387</v>
      </c>
      <c r="E2712" s="2">
        <v>5.70038545239E11</v>
      </c>
      <c r="F2712" s="1" t="s">
        <v>6696</v>
      </c>
      <c r="G2712" s="1" t="s">
        <v>12</v>
      </c>
      <c r="H2712" s="1" t="s">
        <v>867</v>
      </c>
      <c r="I2712" s="1" t="s">
        <v>868</v>
      </c>
      <c r="J2712" s="1" t="s">
        <v>869</v>
      </c>
      <c r="K2712" s="1"/>
    </row>
    <row r="2713" ht="15.75" customHeight="1">
      <c r="A2713" s="2">
        <v>2712.0</v>
      </c>
      <c r="B2713" s="1" t="s">
        <v>6698</v>
      </c>
      <c r="C2713" s="1" t="s">
        <v>6699</v>
      </c>
      <c r="D2713" s="1" t="s">
        <v>6700</v>
      </c>
      <c r="E2713" s="2">
        <v>5.7003854524E11</v>
      </c>
      <c r="F2713" s="1" t="s">
        <v>6362</v>
      </c>
      <c r="G2713" s="1" t="s">
        <v>12</v>
      </c>
      <c r="H2713" s="1" t="s">
        <v>867</v>
      </c>
      <c r="I2713" s="1" t="s">
        <v>868</v>
      </c>
      <c r="J2713" s="1" t="s">
        <v>869</v>
      </c>
      <c r="K2713" s="1"/>
    </row>
    <row r="2714" ht="15.75" customHeight="1">
      <c r="A2714" s="2">
        <v>2713.0</v>
      </c>
      <c r="B2714" s="1" t="s">
        <v>4648</v>
      </c>
      <c r="C2714" s="1" t="s">
        <v>4660</v>
      </c>
      <c r="D2714" s="1" t="s">
        <v>1734</v>
      </c>
      <c r="E2714" s="2">
        <v>5.70038545241E11</v>
      </c>
      <c r="F2714" s="1" t="s">
        <v>6701</v>
      </c>
      <c r="G2714" s="1" t="s">
        <v>135</v>
      </c>
      <c r="H2714" s="1" t="s">
        <v>867</v>
      </c>
      <c r="I2714" s="1" t="s">
        <v>868</v>
      </c>
      <c r="J2714" s="1" t="s">
        <v>869</v>
      </c>
      <c r="K2714" s="1"/>
    </row>
    <row r="2715" ht="15.75" customHeight="1">
      <c r="A2715" s="2">
        <v>2714.0</v>
      </c>
      <c r="B2715" s="1" t="s">
        <v>6702</v>
      </c>
      <c r="C2715" s="1" t="s">
        <v>5950</v>
      </c>
      <c r="D2715" s="1" t="s">
        <v>6703</v>
      </c>
      <c r="E2715" s="2">
        <v>5.70038545242E11</v>
      </c>
      <c r="F2715" s="1" t="s">
        <v>6704</v>
      </c>
      <c r="G2715" s="1" t="s">
        <v>12</v>
      </c>
      <c r="H2715" s="1" t="s">
        <v>867</v>
      </c>
      <c r="I2715" s="1" t="s">
        <v>868</v>
      </c>
      <c r="J2715" s="1" t="s">
        <v>869</v>
      </c>
      <c r="K2715" s="1"/>
    </row>
    <row r="2716" ht="15.75" customHeight="1">
      <c r="A2716" s="2">
        <v>2715.0</v>
      </c>
      <c r="B2716" s="1" t="s">
        <v>6705</v>
      </c>
      <c r="C2716" s="1" t="s">
        <v>6706</v>
      </c>
      <c r="D2716" s="1" t="s">
        <v>4844</v>
      </c>
      <c r="E2716" s="2">
        <v>5.70038545243E11</v>
      </c>
      <c r="F2716" s="1" t="s">
        <v>5580</v>
      </c>
      <c r="G2716" s="1" t="s">
        <v>12</v>
      </c>
      <c r="H2716" s="1" t="s">
        <v>867</v>
      </c>
      <c r="I2716" s="1" t="s">
        <v>868</v>
      </c>
      <c r="J2716" s="1" t="s">
        <v>869</v>
      </c>
      <c r="K2716" s="1"/>
    </row>
    <row r="2717" ht="15.75" customHeight="1">
      <c r="A2717" s="2">
        <v>2716.0</v>
      </c>
      <c r="B2717" s="1" t="s">
        <v>6707</v>
      </c>
      <c r="C2717" s="1" t="s">
        <v>1156</v>
      </c>
      <c r="D2717" s="1" t="s">
        <v>793</v>
      </c>
      <c r="E2717" s="2">
        <v>5.70038545244E11</v>
      </c>
      <c r="F2717" s="1" t="s">
        <v>6708</v>
      </c>
      <c r="G2717" s="1" t="s">
        <v>12</v>
      </c>
      <c r="H2717" s="1" t="s">
        <v>867</v>
      </c>
      <c r="I2717" s="1" t="s">
        <v>868</v>
      </c>
      <c r="J2717" s="1" t="s">
        <v>869</v>
      </c>
      <c r="K2717" s="1"/>
    </row>
    <row r="2718" ht="15.75" customHeight="1">
      <c r="A2718" s="2">
        <v>2717.0</v>
      </c>
      <c r="B2718" s="1" t="s">
        <v>6709</v>
      </c>
      <c r="C2718" s="1" t="s">
        <v>631</v>
      </c>
      <c r="D2718" s="1" t="s">
        <v>6710</v>
      </c>
      <c r="E2718" s="2">
        <v>5.70038545247E11</v>
      </c>
      <c r="F2718" s="1" t="s">
        <v>6711</v>
      </c>
      <c r="G2718" s="1" t="s">
        <v>261</v>
      </c>
      <c r="H2718" s="1" t="s">
        <v>867</v>
      </c>
      <c r="I2718" s="1" t="s">
        <v>868</v>
      </c>
      <c r="J2718" s="1" t="s">
        <v>869</v>
      </c>
      <c r="K2718" s="1"/>
    </row>
    <row r="2719" ht="15.75" customHeight="1">
      <c r="A2719" s="2">
        <v>2718.0</v>
      </c>
      <c r="B2719" s="1" t="s">
        <v>6712</v>
      </c>
      <c r="C2719" s="1" t="s">
        <v>6713</v>
      </c>
      <c r="D2719" s="1" t="s">
        <v>5012</v>
      </c>
      <c r="E2719" s="2">
        <v>5.70038545248E11</v>
      </c>
      <c r="F2719" s="1" t="s">
        <v>6714</v>
      </c>
      <c r="G2719" s="1" t="s">
        <v>12</v>
      </c>
      <c r="H2719" s="1" t="s">
        <v>867</v>
      </c>
      <c r="I2719" s="1" t="s">
        <v>868</v>
      </c>
      <c r="J2719" s="1" t="s">
        <v>869</v>
      </c>
      <c r="K2719" s="1"/>
    </row>
    <row r="2720" ht="15.75" customHeight="1">
      <c r="A2720" s="2">
        <v>2719.0</v>
      </c>
      <c r="B2720" s="1" t="s">
        <v>1824</v>
      </c>
      <c r="C2720" s="1" t="s">
        <v>6715</v>
      </c>
      <c r="D2720" s="1" t="s">
        <v>6716</v>
      </c>
      <c r="E2720" s="2">
        <v>5.70038545249E11</v>
      </c>
      <c r="F2720" s="1" t="s">
        <v>6717</v>
      </c>
      <c r="G2720" s="1" t="s">
        <v>12</v>
      </c>
      <c r="H2720" s="1" t="s">
        <v>867</v>
      </c>
      <c r="I2720" s="1" t="s">
        <v>868</v>
      </c>
      <c r="J2720" s="1" t="s">
        <v>869</v>
      </c>
      <c r="K2720" s="1"/>
    </row>
    <row r="2721" ht="15.75" customHeight="1">
      <c r="A2721" s="2">
        <v>2720.0</v>
      </c>
      <c r="B2721" s="1" t="s">
        <v>804</v>
      </c>
      <c r="C2721" s="1" t="s">
        <v>1277</v>
      </c>
      <c r="D2721" s="1" t="s">
        <v>6718</v>
      </c>
      <c r="E2721" s="2">
        <v>5.7003854525E11</v>
      </c>
      <c r="F2721" s="1" t="s">
        <v>6719</v>
      </c>
      <c r="G2721" s="1" t="s">
        <v>12</v>
      </c>
      <c r="H2721" s="1" t="s">
        <v>867</v>
      </c>
      <c r="I2721" s="1" t="s">
        <v>868</v>
      </c>
      <c r="J2721" s="1" t="s">
        <v>869</v>
      </c>
      <c r="K2721" s="1"/>
    </row>
    <row r="2722" ht="15.75" customHeight="1">
      <c r="A2722" s="2">
        <v>2721.0</v>
      </c>
      <c r="B2722" s="1" t="s">
        <v>6720</v>
      </c>
      <c r="C2722" s="1" t="s">
        <v>6721</v>
      </c>
      <c r="D2722" s="1" t="s">
        <v>897</v>
      </c>
      <c r="E2722" s="2">
        <v>5.70038545251E11</v>
      </c>
      <c r="F2722" s="1" t="s">
        <v>6722</v>
      </c>
      <c r="G2722" s="1" t="s">
        <v>12</v>
      </c>
      <c r="H2722" s="1" t="s">
        <v>867</v>
      </c>
      <c r="I2722" s="1" t="s">
        <v>868</v>
      </c>
      <c r="J2722" s="1" t="s">
        <v>869</v>
      </c>
      <c r="K2722" s="1"/>
    </row>
    <row r="2723" ht="15.75" customHeight="1">
      <c r="A2723" s="2">
        <v>2722.0</v>
      </c>
      <c r="B2723" s="1" t="s">
        <v>6723</v>
      </c>
      <c r="C2723" s="1" t="s">
        <v>6724</v>
      </c>
      <c r="D2723" s="1" t="s">
        <v>230</v>
      </c>
      <c r="E2723" s="2">
        <v>5.70038545252E11</v>
      </c>
      <c r="F2723" s="1" t="s">
        <v>6725</v>
      </c>
      <c r="G2723" s="1" t="s">
        <v>12</v>
      </c>
      <c r="H2723" s="1" t="s">
        <v>867</v>
      </c>
      <c r="I2723" s="1" t="s">
        <v>868</v>
      </c>
      <c r="J2723" s="1" t="s">
        <v>869</v>
      </c>
      <c r="K2723" s="1"/>
    </row>
    <row r="2724" ht="15.75" customHeight="1">
      <c r="A2724" s="2">
        <v>2723.0</v>
      </c>
      <c r="B2724" s="1" t="s">
        <v>6726</v>
      </c>
      <c r="C2724" s="1" t="s">
        <v>6727</v>
      </c>
      <c r="D2724" s="1" t="s">
        <v>1581</v>
      </c>
      <c r="E2724" s="2">
        <v>5.70038545253E11</v>
      </c>
      <c r="F2724" s="1" t="s">
        <v>6728</v>
      </c>
      <c r="G2724" s="1" t="s">
        <v>12</v>
      </c>
      <c r="H2724" s="1" t="s">
        <v>867</v>
      </c>
      <c r="I2724" s="1" t="s">
        <v>868</v>
      </c>
      <c r="J2724" s="1" t="s">
        <v>869</v>
      </c>
      <c r="K2724" s="1"/>
    </row>
    <row r="2725" ht="15.75" customHeight="1">
      <c r="A2725" s="2">
        <v>2724.0</v>
      </c>
      <c r="B2725" s="1" t="s">
        <v>1503</v>
      </c>
      <c r="C2725" s="1" t="s">
        <v>6004</v>
      </c>
      <c r="D2725" s="1" t="s">
        <v>161</v>
      </c>
      <c r="E2725" s="2">
        <v>5.70038545254E11</v>
      </c>
      <c r="F2725" s="1" t="s">
        <v>6587</v>
      </c>
      <c r="G2725" s="1" t="s">
        <v>12</v>
      </c>
      <c r="H2725" s="1" t="s">
        <v>867</v>
      </c>
      <c r="I2725" s="1" t="s">
        <v>868</v>
      </c>
      <c r="J2725" s="1" t="s">
        <v>869</v>
      </c>
      <c r="K2725" s="1"/>
    </row>
    <row r="2726" ht="15.75" customHeight="1">
      <c r="A2726" s="2">
        <v>2725.0</v>
      </c>
      <c r="B2726" s="1" t="s">
        <v>6729</v>
      </c>
      <c r="C2726" s="1" t="s">
        <v>5630</v>
      </c>
      <c r="D2726" s="1" t="s">
        <v>1659</v>
      </c>
      <c r="E2726" s="2">
        <v>5.70038545255E11</v>
      </c>
      <c r="F2726" s="1" t="s">
        <v>6730</v>
      </c>
      <c r="G2726" s="1" t="s">
        <v>135</v>
      </c>
      <c r="H2726" s="1" t="s">
        <v>867</v>
      </c>
      <c r="I2726" s="1" t="s">
        <v>868</v>
      </c>
      <c r="J2726" s="1" t="s">
        <v>869</v>
      </c>
      <c r="K2726" s="1"/>
    </row>
    <row r="2727" ht="15.75" customHeight="1">
      <c r="A2727" s="2">
        <v>2726.0</v>
      </c>
      <c r="B2727" s="1" t="s">
        <v>6731</v>
      </c>
      <c r="C2727" s="1" t="s">
        <v>6732</v>
      </c>
      <c r="D2727" s="1" t="s">
        <v>6733</v>
      </c>
      <c r="E2727" s="2">
        <v>5.70038545256E11</v>
      </c>
      <c r="F2727" s="1" t="s">
        <v>6734</v>
      </c>
      <c r="G2727" s="1" t="s">
        <v>135</v>
      </c>
      <c r="H2727" s="1" t="s">
        <v>867</v>
      </c>
      <c r="I2727" s="1" t="s">
        <v>868</v>
      </c>
      <c r="J2727" s="1" t="s">
        <v>869</v>
      </c>
      <c r="K2727" s="1"/>
    </row>
    <row r="2728" ht="15.75" customHeight="1">
      <c r="A2728" s="2">
        <v>2727.0</v>
      </c>
      <c r="B2728" s="1" t="s">
        <v>2393</v>
      </c>
      <c r="C2728" s="1" t="s">
        <v>446</v>
      </c>
      <c r="D2728" s="1" t="s">
        <v>109</v>
      </c>
      <c r="E2728" s="2">
        <v>5.70038545257E11</v>
      </c>
      <c r="F2728" s="1" t="s">
        <v>6735</v>
      </c>
      <c r="G2728" s="1" t="s">
        <v>12</v>
      </c>
      <c r="H2728" s="1" t="s">
        <v>867</v>
      </c>
      <c r="I2728" s="1" t="s">
        <v>868</v>
      </c>
      <c r="J2728" s="1" t="s">
        <v>869</v>
      </c>
      <c r="K2728" s="1"/>
    </row>
    <row r="2729" ht="15.75" customHeight="1">
      <c r="A2729" s="2">
        <v>2728.0</v>
      </c>
      <c r="B2729" s="1" t="s">
        <v>5006</v>
      </c>
      <c r="C2729" s="1" t="s">
        <v>5751</v>
      </c>
      <c r="D2729" s="1" t="s">
        <v>183</v>
      </c>
      <c r="E2729" s="2">
        <v>5.70038545258E11</v>
      </c>
      <c r="F2729" s="1" t="s">
        <v>6467</v>
      </c>
      <c r="G2729" s="1" t="s">
        <v>135</v>
      </c>
      <c r="H2729" s="1" t="s">
        <v>867</v>
      </c>
      <c r="I2729" s="1" t="s">
        <v>868</v>
      </c>
      <c r="J2729" s="1" t="s">
        <v>869</v>
      </c>
      <c r="K2729" s="1"/>
    </row>
    <row r="2730" ht="15.75" customHeight="1">
      <c r="A2730" s="2">
        <v>2729.0</v>
      </c>
      <c r="B2730" s="1" t="s">
        <v>6736</v>
      </c>
      <c r="C2730" s="1" t="s">
        <v>6737</v>
      </c>
      <c r="D2730" s="1" t="s">
        <v>97</v>
      </c>
      <c r="E2730" s="2">
        <v>5.70038545259E11</v>
      </c>
      <c r="F2730" s="1" t="s">
        <v>6738</v>
      </c>
      <c r="G2730" s="1" t="s">
        <v>12</v>
      </c>
      <c r="H2730" s="1" t="s">
        <v>867</v>
      </c>
      <c r="I2730" s="1" t="s">
        <v>868</v>
      </c>
      <c r="J2730" s="1" t="s">
        <v>869</v>
      </c>
      <c r="K2730" s="1"/>
    </row>
    <row r="2731" ht="15.75" customHeight="1">
      <c r="A2731" s="2">
        <v>2730.0</v>
      </c>
      <c r="B2731" s="1" t="s">
        <v>297</v>
      </c>
      <c r="C2731" s="1" t="s">
        <v>3104</v>
      </c>
      <c r="D2731" s="1" t="s">
        <v>6739</v>
      </c>
      <c r="E2731" s="2">
        <v>5.70038545261E11</v>
      </c>
      <c r="F2731" s="1" t="s">
        <v>5752</v>
      </c>
      <c r="G2731" s="1" t="s">
        <v>12</v>
      </c>
      <c r="H2731" s="1" t="s">
        <v>867</v>
      </c>
      <c r="I2731" s="1" t="s">
        <v>868</v>
      </c>
      <c r="J2731" s="1" t="s">
        <v>869</v>
      </c>
      <c r="K2731" s="1"/>
    </row>
    <row r="2732" ht="15.75" customHeight="1">
      <c r="A2732" s="2">
        <v>2731.0</v>
      </c>
      <c r="B2732" s="1" t="s">
        <v>6740</v>
      </c>
      <c r="C2732" s="1" t="s">
        <v>6741</v>
      </c>
      <c r="D2732" s="1" t="s">
        <v>18</v>
      </c>
      <c r="E2732" s="2">
        <v>5.70038545264E11</v>
      </c>
      <c r="F2732" s="1" t="s">
        <v>6742</v>
      </c>
      <c r="G2732" s="1" t="s">
        <v>135</v>
      </c>
      <c r="H2732" s="1" t="s">
        <v>867</v>
      </c>
      <c r="I2732" s="1" t="s">
        <v>868</v>
      </c>
      <c r="J2732" s="1" t="s">
        <v>869</v>
      </c>
      <c r="K2732" s="1"/>
    </row>
    <row r="2733" ht="15.75" customHeight="1">
      <c r="A2733" s="2">
        <v>2732.0</v>
      </c>
      <c r="B2733" s="1" t="s">
        <v>513</v>
      </c>
      <c r="C2733" s="1" t="s">
        <v>6743</v>
      </c>
      <c r="D2733" s="1" t="s">
        <v>77</v>
      </c>
      <c r="E2733" s="2">
        <v>5.70038545265E11</v>
      </c>
      <c r="F2733" s="1" t="s">
        <v>6744</v>
      </c>
      <c r="G2733" s="1" t="s">
        <v>12</v>
      </c>
      <c r="H2733" s="1" t="s">
        <v>867</v>
      </c>
      <c r="I2733" s="1" t="s">
        <v>868</v>
      </c>
      <c r="J2733" s="1" t="s">
        <v>869</v>
      </c>
      <c r="K2733" s="1"/>
    </row>
    <row r="2734" ht="15.75" customHeight="1">
      <c r="A2734" s="2">
        <v>2733.0</v>
      </c>
      <c r="B2734" s="1" t="s">
        <v>6745</v>
      </c>
      <c r="C2734" s="1" t="s">
        <v>5320</v>
      </c>
      <c r="D2734" s="1" t="s">
        <v>6746</v>
      </c>
      <c r="E2734" s="2">
        <v>5.70038545267E11</v>
      </c>
      <c r="F2734" s="1" t="s">
        <v>6747</v>
      </c>
      <c r="G2734" s="1" t="s">
        <v>12</v>
      </c>
      <c r="H2734" s="1" t="s">
        <v>867</v>
      </c>
      <c r="I2734" s="1" t="s">
        <v>868</v>
      </c>
      <c r="J2734" s="1" t="s">
        <v>869</v>
      </c>
      <c r="K2734" s="1"/>
    </row>
    <row r="2735" ht="15.75" customHeight="1">
      <c r="A2735" s="2">
        <v>2734.0</v>
      </c>
      <c r="B2735" s="1" t="s">
        <v>6748</v>
      </c>
      <c r="C2735" s="1" t="s">
        <v>55</v>
      </c>
      <c r="D2735" s="1" t="s">
        <v>6749</v>
      </c>
      <c r="E2735" s="2">
        <v>5.70038545268E11</v>
      </c>
      <c r="F2735" s="1" t="s">
        <v>6750</v>
      </c>
      <c r="G2735" s="1" t="s">
        <v>12</v>
      </c>
      <c r="H2735" s="1" t="s">
        <v>867</v>
      </c>
      <c r="I2735" s="1" t="s">
        <v>868</v>
      </c>
      <c r="J2735" s="1" t="s">
        <v>869</v>
      </c>
      <c r="K2735" s="1"/>
    </row>
    <row r="2736" ht="15.75" customHeight="1">
      <c r="A2736" s="2">
        <v>2735.0</v>
      </c>
      <c r="B2736" s="1" t="s">
        <v>6751</v>
      </c>
      <c r="C2736" s="1" t="s">
        <v>911</v>
      </c>
      <c r="D2736" s="1" t="s">
        <v>6752</v>
      </c>
      <c r="E2736" s="2">
        <v>5.7003854527E11</v>
      </c>
      <c r="F2736" s="1" t="s">
        <v>6753</v>
      </c>
      <c r="G2736" s="1" t="s">
        <v>12</v>
      </c>
      <c r="H2736" s="1" t="s">
        <v>867</v>
      </c>
      <c r="I2736" s="1" t="s">
        <v>868</v>
      </c>
      <c r="J2736" s="1" t="s">
        <v>869</v>
      </c>
      <c r="K2736" s="1"/>
    </row>
    <row r="2737" ht="15.75" customHeight="1">
      <c r="A2737" s="2">
        <v>2736.0</v>
      </c>
      <c r="B2737" s="1" t="s">
        <v>6264</v>
      </c>
      <c r="C2737" s="1" t="s">
        <v>4772</v>
      </c>
      <c r="D2737" s="1" t="s">
        <v>1790</v>
      </c>
      <c r="E2737" s="2">
        <v>5.70038545271E11</v>
      </c>
      <c r="F2737" s="1" t="s">
        <v>6754</v>
      </c>
      <c r="G2737" s="1" t="s">
        <v>12</v>
      </c>
      <c r="H2737" s="1" t="s">
        <v>867</v>
      </c>
      <c r="I2737" s="1" t="s">
        <v>868</v>
      </c>
      <c r="J2737" s="1" t="s">
        <v>869</v>
      </c>
      <c r="K2737" s="1"/>
    </row>
    <row r="2738" ht="15.75" customHeight="1">
      <c r="A2738" s="2">
        <v>2737.0</v>
      </c>
      <c r="B2738" s="1" t="s">
        <v>6705</v>
      </c>
      <c r="C2738" s="1" t="s">
        <v>4120</v>
      </c>
      <c r="D2738" s="1" t="s">
        <v>6755</v>
      </c>
      <c r="E2738" s="2">
        <v>5.70038545272E11</v>
      </c>
      <c r="F2738" s="1" t="s">
        <v>6756</v>
      </c>
      <c r="G2738" s="1" t="s">
        <v>12</v>
      </c>
      <c r="H2738" s="1" t="s">
        <v>867</v>
      </c>
      <c r="I2738" s="1" t="s">
        <v>868</v>
      </c>
      <c r="J2738" s="1" t="s">
        <v>869</v>
      </c>
      <c r="K2738" s="1"/>
    </row>
    <row r="2739" ht="15.75" customHeight="1">
      <c r="A2739" s="2">
        <v>2738.0</v>
      </c>
      <c r="B2739" s="1" t="s">
        <v>829</v>
      </c>
      <c r="C2739" s="1" t="s">
        <v>1504</v>
      </c>
      <c r="D2739" s="1" t="s">
        <v>462</v>
      </c>
      <c r="E2739" s="2">
        <v>5.70038545273E11</v>
      </c>
      <c r="F2739" s="1" t="s">
        <v>4463</v>
      </c>
      <c r="G2739" s="1" t="s">
        <v>12</v>
      </c>
      <c r="H2739" s="1" t="s">
        <v>867</v>
      </c>
      <c r="I2739" s="1" t="s">
        <v>868</v>
      </c>
      <c r="J2739" s="1" t="s">
        <v>869</v>
      </c>
      <c r="K2739" s="1"/>
    </row>
    <row r="2740" ht="15.75" customHeight="1">
      <c r="A2740" s="2">
        <v>2739.0</v>
      </c>
      <c r="B2740" s="1" t="s">
        <v>6757</v>
      </c>
      <c r="C2740" s="1" t="s">
        <v>6758</v>
      </c>
      <c r="D2740" s="1" t="s">
        <v>6759</v>
      </c>
      <c r="E2740" s="2">
        <v>5.7003854528E11</v>
      </c>
      <c r="F2740" s="1" t="s">
        <v>6760</v>
      </c>
      <c r="G2740" s="1" t="s">
        <v>12</v>
      </c>
      <c r="H2740" s="1" t="s">
        <v>867</v>
      </c>
      <c r="I2740" s="1" t="s">
        <v>868</v>
      </c>
      <c r="J2740" s="1" t="s">
        <v>869</v>
      </c>
      <c r="K2740" s="1"/>
    </row>
    <row r="2741" ht="15.75" customHeight="1">
      <c r="A2741" s="2">
        <v>2740.0</v>
      </c>
      <c r="B2741" s="1" t="s">
        <v>4758</v>
      </c>
      <c r="C2741" s="1" t="s">
        <v>6761</v>
      </c>
      <c r="D2741" s="1" t="s">
        <v>2734</v>
      </c>
      <c r="E2741" s="2">
        <v>5.70038545281E11</v>
      </c>
      <c r="F2741" s="1" t="s">
        <v>6762</v>
      </c>
      <c r="G2741" s="1" t="s">
        <v>12</v>
      </c>
      <c r="H2741" s="1" t="s">
        <v>867</v>
      </c>
      <c r="I2741" s="1" t="s">
        <v>868</v>
      </c>
      <c r="J2741" s="1" t="s">
        <v>869</v>
      </c>
      <c r="K2741" s="1"/>
    </row>
    <row r="2742" ht="15.75" customHeight="1">
      <c r="A2742" s="2">
        <v>2741.0</v>
      </c>
      <c r="B2742" s="1" t="s">
        <v>935</v>
      </c>
      <c r="C2742" s="1" t="s">
        <v>6763</v>
      </c>
      <c r="D2742" s="1" t="s">
        <v>172</v>
      </c>
      <c r="E2742" s="2">
        <v>5.70038545283E11</v>
      </c>
      <c r="F2742" s="1" t="s">
        <v>6764</v>
      </c>
      <c r="G2742" s="1" t="s">
        <v>12</v>
      </c>
      <c r="H2742" s="1" t="s">
        <v>867</v>
      </c>
      <c r="I2742" s="1" t="s">
        <v>868</v>
      </c>
      <c r="J2742" s="1" t="s">
        <v>869</v>
      </c>
      <c r="K2742" s="1"/>
    </row>
    <row r="2743" ht="15.75" customHeight="1">
      <c r="A2743" s="2">
        <v>2742.0</v>
      </c>
      <c r="B2743" s="1" t="s">
        <v>6765</v>
      </c>
      <c r="C2743" s="1" t="s">
        <v>6766</v>
      </c>
      <c r="D2743" s="1" t="s">
        <v>358</v>
      </c>
      <c r="E2743" s="2">
        <v>5.70038545285E11</v>
      </c>
      <c r="F2743" s="1" t="s">
        <v>6767</v>
      </c>
      <c r="G2743" s="1" t="s">
        <v>12</v>
      </c>
      <c r="H2743" s="1" t="s">
        <v>867</v>
      </c>
      <c r="I2743" s="1" t="s">
        <v>868</v>
      </c>
      <c r="J2743" s="1" t="s">
        <v>869</v>
      </c>
      <c r="K2743" s="1"/>
    </row>
    <row r="2744" ht="15.75" customHeight="1">
      <c r="A2744" s="2">
        <v>2743.0</v>
      </c>
      <c r="B2744" s="1" t="s">
        <v>6768</v>
      </c>
      <c r="C2744" s="1" t="s">
        <v>4901</v>
      </c>
      <c r="D2744" s="1" t="s">
        <v>738</v>
      </c>
      <c r="E2744" s="2">
        <v>5.70038545286E11</v>
      </c>
      <c r="F2744" s="1" t="s">
        <v>6769</v>
      </c>
      <c r="G2744" s="1" t="s">
        <v>135</v>
      </c>
      <c r="H2744" s="1" t="s">
        <v>867</v>
      </c>
      <c r="I2744" s="1" t="s">
        <v>868</v>
      </c>
      <c r="J2744" s="1" t="s">
        <v>869</v>
      </c>
      <c r="K2744" s="1"/>
    </row>
    <row r="2745" ht="15.75" customHeight="1">
      <c r="A2745" s="2">
        <v>2744.0</v>
      </c>
      <c r="B2745" s="1" t="s">
        <v>6770</v>
      </c>
      <c r="C2745" s="1" t="s">
        <v>5328</v>
      </c>
      <c r="D2745" s="1" t="s">
        <v>3639</v>
      </c>
      <c r="E2745" s="2">
        <v>5.70038545287E11</v>
      </c>
      <c r="F2745" s="1" t="s">
        <v>6771</v>
      </c>
      <c r="G2745" s="1" t="s">
        <v>135</v>
      </c>
      <c r="H2745" s="1" t="s">
        <v>867</v>
      </c>
      <c r="I2745" s="1" t="s">
        <v>868</v>
      </c>
      <c r="J2745" s="1" t="s">
        <v>869</v>
      </c>
      <c r="K2745" s="1"/>
    </row>
    <row r="2746" ht="15.75" customHeight="1">
      <c r="A2746" s="2">
        <v>2745.0</v>
      </c>
      <c r="B2746" s="1" t="s">
        <v>5197</v>
      </c>
      <c r="C2746" s="1" t="s">
        <v>6772</v>
      </c>
      <c r="D2746" s="1" t="s">
        <v>177</v>
      </c>
      <c r="E2746" s="2">
        <v>5.70038545288E11</v>
      </c>
      <c r="F2746" s="1" t="s">
        <v>6274</v>
      </c>
      <c r="G2746" s="1" t="s">
        <v>12</v>
      </c>
      <c r="H2746" s="1" t="s">
        <v>867</v>
      </c>
      <c r="I2746" s="1" t="s">
        <v>868</v>
      </c>
      <c r="J2746" s="1" t="s">
        <v>869</v>
      </c>
      <c r="K2746" s="1"/>
    </row>
    <row r="2747" ht="15.75" customHeight="1">
      <c r="A2747" s="2">
        <v>2746.0</v>
      </c>
      <c r="B2747" s="1" t="s">
        <v>5418</v>
      </c>
      <c r="C2747" s="1" t="s">
        <v>3785</v>
      </c>
      <c r="D2747" s="1" t="s">
        <v>6773</v>
      </c>
      <c r="E2747" s="2">
        <v>5.70038545289E11</v>
      </c>
      <c r="F2747" s="1" t="s">
        <v>6774</v>
      </c>
      <c r="G2747" s="1" t="s">
        <v>12</v>
      </c>
      <c r="H2747" s="1" t="s">
        <v>867</v>
      </c>
      <c r="I2747" s="1" t="s">
        <v>868</v>
      </c>
      <c r="J2747" s="1" t="s">
        <v>869</v>
      </c>
      <c r="K2747" s="1"/>
    </row>
    <row r="2748" ht="15.75" customHeight="1">
      <c r="A2748" s="2">
        <v>2747.0</v>
      </c>
      <c r="B2748" s="1" t="s">
        <v>6073</v>
      </c>
      <c r="C2748" s="1" t="s">
        <v>6775</v>
      </c>
      <c r="D2748" s="1" t="s">
        <v>2077</v>
      </c>
      <c r="E2748" s="2">
        <v>5.7003854529E11</v>
      </c>
      <c r="F2748" s="1" t="s">
        <v>6776</v>
      </c>
      <c r="G2748" s="1" t="s">
        <v>12</v>
      </c>
      <c r="H2748" s="1" t="s">
        <v>867</v>
      </c>
      <c r="I2748" s="1" t="s">
        <v>868</v>
      </c>
      <c r="J2748" s="1" t="s">
        <v>869</v>
      </c>
      <c r="K2748" s="1"/>
    </row>
    <row r="2749" ht="15.75" customHeight="1">
      <c r="A2749" s="2">
        <v>2748.0</v>
      </c>
      <c r="B2749" s="1" t="s">
        <v>6777</v>
      </c>
      <c r="C2749" s="1" t="s">
        <v>6778</v>
      </c>
      <c r="D2749" s="1" t="s">
        <v>1222</v>
      </c>
      <c r="E2749" s="2">
        <v>5.70038545291E11</v>
      </c>
      <c r="F2749" s="1" t="s">
        <v>6696</v>
      </c>
      <c r="G2749" s="1" t="s">
        <v>12</v>
      </c>
      <c r="H2749" s="1" t="s">
        <v>867</v>
      </c>
      <c r="I2749" s="1" t="s">
        <v>868</v>
      </c>
      <c r="J2749" s="1" t="s">
        <v>869</v>
      </c>
      <c r="K2749" s="1"/>
    </row>
    <row r="2750" ht="15.75" customHeight="1">
      <c r="A2750" s="2">
        <v>2749.0</v>
      </c>
      <c r="B2750" s="1" t="s">
        <v>6779</v>
      </c>
      <c r="C2750" s="1" t="s">
        <v>5958</v>
      </c>
      <c r="D2750" s="1" t="s">
        <v>4792</v>
      </c>
      <c r="E2750" s="2">
        <v>5.70038545292E11</v>
      </c>
      <c r="F2750" s="1" t="s">
        <v>6327</v>
      </c>
      <c r="G2750" s="1" t="s">
        <v>12</v>
      </c>
      <c r="H2750" s="1" t="s">
        <v>867</v>
      </c>
      <c r="I2750" s="1" t="s">
        <v>868</v>
      </c>
      <c r="J2750" s="1" t="s">
        <v>869</v>
      </c>
      <c r="K2750" s="1"/>
    </row>
    <row r="2751" ht="15.75" customHeight="1">
      <c r="A2751" s="2">
        <v>2750.0</v>
      </c>
      <c r="B2751" s="1" t="s">
        <v>6780</v>
      </c>
      <c r="C2751" s="1" t="s">
        <v>5868</v>
      </c>
      <c r="D2751" s="1" t="s">
        <v>10</v>
      </c>
      <c r="E2751" s="2">
        <v>5.70038545293E11</v>
      </c>
      <c r="F2751" s="1" t="s">
        <v>5821</v>
      </c>
      <c r="G2751" s="1" t="s">
        <v>12</v>
      </c>
      <c r="H2751" s="1" t="s">
        <v>867</v>
      </c>
      <c r="I2751" s="1" t="s">
        <v>868</v>
      </c>
      <c r="J2751" s="1" t="s">
        <v>869</v>
      </c>
      <c r="K2751" s="1"/>
    </row>
    <row r="2752" ht="15.75" customHeight="1">
      <c r="A2752" s="2">
        <v>2751.0</v>
      </c>
      <c r="B2752" s="1" t="s">
        <v>6406</v>
      </c>
      <c r="C2752" s="1" t="s">
        <v>6781</v>
      </c>
      <c r="D2752" s="1" t="s">
        <v>6782</v>
      </c>
      <c r="E2752" s="2">
        <v>5.70038545296E11</v>
      </c>
      <c r="F2752" s="1" t="s">
        <v>6783</v>
      </c>
      <c r="G2752" s="1" t="s">
        <v>12</v>
      </c>
      <c r="H2752" s="1" t="s">
        <v>867</v>
      </c>
      <c r="I2752" s="1" t="s">
        <v>868</v>
      </c>
      <c r="J2752" s="1" t="s">
        <v>869</v>
      </c>
      <c r="K2752" s="1"/>
    </row>
    <row r="2753" ht="15.75" customHeight="1">
      <c r="A2753" s="2">
        <v>2752.0</v>
      </c>
      <c r="B2753" s="1" t="s">
        <v>6498</v>
      </c>
      <c r="C2753" s="1" t="s">
        <v>6784</v>
      </c>
      <c r="D2753" s="1" t="s">
        <v>6785</v>
      </c>
      <c r="E2753" s="2">
        <v>5.70038545298E11</v>
      </c>
      <c r="F2753" s="1" t="s">
        <v>6786</v>
      </c>
      <c r="G2753" s="1" t="s">
        <v>12</v>
      </c>
      <c r="H2753" s="1" t="s">
        <v>867</v>
      </c>
      <c r="I2753" s="1" t="s">
        <v>868</v>
      </c>
      <c r="J2753" s="1" t="s">
        <v>869</v>
      </c>
      <c r="K2753" s="1"/>
    </row>
    <row r="2754" ht="15.75" customHeight="1">
      <c r="A2754" s="2">
        <v>2753.0</v>
      </c>
      <c r="B2754" s="1" t="s">
        <v>127</v>
      </c>
      <c r="C2754" s="1" t="s">
        <v>509</v>
      </c>
      <c r="D2754" s="1" t="s">
        <v>77</v>
      </c>
      <c r="E2754" s="2">
        <v>5.70038545156E11</v>
      </c>
      <c r="F2754" s="1" t="s">
        <v>6787</v>
      </c>
      <c r="G2754" s="1" t="s">
        <v>417</v>
      </c>
      <c r="H2754" s="1" t="s">
        <v>867</v>
      </c>
      <c r="I2754" s="1" t="s">
        <v>868</v>
      </c>
      <c r="J2754" s="1" t="s">
        <v>869</v>
      </c>
      <c r="K2754" s="1"/>
    </row>
    <row r="2755" ht="15.75" customHeight="1">
      <c r="A2755" s="2">
        <v>2754.0</v>
      </c>
      <c r="B2755" s="1" t="s">
        <v>1911</v>
      </c>
      <c r="C2755" s="1" t="s">
        <v>6788</v>
      </c>
      <c r="D2755" s="1" t="s">
        <v>3230</v>
      </c>
      <c r="E2755" s="2">
        <v>5.70038545157E11</v>
      </c>
      <c r="F2755" s="1" t="s">
        <v>6789</v>
      </c>
      <c r="G2755" s="1" t="s">
        <v>12</v>
      </c>
      <c r="H2755" s="1" t="s">
        <v>867</v>
      </c>
      <c r="I2755" s="1" t="s">
        <v>868</v>
      </c>
      <c r="J2755" s="1" t="s">
        <v>869</v>
      </c>
      <c r="K2755" s="1"/>
    </row>
    <row r="2756" ht="15.75" customHeight="1">
      <c r="A2756" s="2">
        <v>2755.0</v>
      </c>
      <c r="B2756" s="1" t="s">
        <v>6790</v>
      </c>
      <c r="C2756" s="1" t="s">
        <v>3517</v>
      </c>
      <c r="D2756" s="1" t="s">
        <v>6791</v>
      </c>
      <c r="E2756" s="2">
        <v>5.70038545302E11</v>
      </c>
      <c r="F2756" s="1" t="s">
        <v>6792</v>
      </c>
      <c r="G2756" s="1" t="s">
        <v>12</v>
      </c>
      <c r="H2756" s="1" t="s">
        <v>867</v>
      </c>
      <c r="I2756" s="1" t="s">
        <v>868</v>
      </c>
      <c r="J2756" s="1" t="s">
        <v>869</v>
      </c>
      <c r="K2756" s="1"/>
    </row>
    <row r="2757" ht="15.75" customHeight="1">
      <c r="A2757" s="2">
        <v>2756.0</v>
      </c>
      <c r="B2757" s="1" t="s">
        <v>6793</v>
      </c>
      <c r="C2757" s="1" t="s">
        <v>6794</v>
      </c>
      <c r="D2757" s="1" t="s">
        <v>6795</v>
      </c>
      <c r="E2757" s="2">
        <v>5.70038545303E11</v>
      </c>
      <c r="F2757" s="1" t="s">
        <v>6796</v>
      </c>
      <c r="G2757" s="1" t="s">
        <v>12</v>
      </c>
      <c r="H2757" s="1" t="s">
        <v>867</v>
      </c>
      <c r="I2757" s="1" t="s">
        <v>868</v>
      </c>
      <c r="J2757" s="1" t="s">
        <v>869</v>
      </c>
      <c r="K2757" s="1"/>
    </row>
    <row r="2758" ht="15.75" customHeight="1">
      <c r="A2758" s="2">
        <v>2757.0</v>
      </c>
      <c r="B2758" s="1" t="s">
        <v>1581</v>
      </c>
      <c r="C2758" s="1" t="s">
        <v>6797</v>
      </c>
      <c r="D2758" s="1" t="s">
        <v>83</v>
      </c>
      <c r="E2758" s="2">
        <v>5.70038545306E11</v>
      </c>
      <c r="F2758" s="1" t="s">
        <v>6798</v>
      </c>
      <c r="G2758" s="1" t="s">
        <v>12</v>
      </c>
      <c r="H2758" s="1" t="s">
        <v>867</v>
      </c>
      <c r="I2758" s="1" t="s">
        <v>868</v>
      </c>
      <c r="J2758" s="1" t="s">
        <v>869</v>
      </c>
      <c r="K2758" s="1"/>
    </row>
    <row r="2759" ht="15.75" customHeight="1">
      <c r="A2759" s="2">
        <v>2758.0</v>
      </c>
      <c r="B2759" s="1" t="s">
        <v>1599</v>
      </c>
      <c r="C2759" s="1" t="s">
        <v>6799</v>
      </c>
      <c r="D2759" s="1" t="s">
        <v>1777</v>
      </c>
      <c r="E2759" s="2">
        <v>5.70038545307E11</v>
      </c>
      <c r="F2759" s="1" t="s">
        <v>4762</v>
      </c>
      <c r="G2759" s="1" t="s">
        <v>135</v>
      </c>
      <c r="H2759" s="1" t="s">
        <v>867</v>
      </c>
      <c r="I2759" s="1" t="s">
        <v>868</v>
      </c>
      <c r="J2759" s="1" t="s">
        <v>869</v>
      </c>
      <c r="K2759" s="1"/>
    </row>
    <row r="2760" ht="15.75" customHeight="1">
      <c r="A2760" s="2">
        <v>2759.0</v>
      </c>
      <c r="B2760" s="1" t="s">
        <v>83</v>
      </c>
      <c r="C2760" s="1" t="s">
        <v>6800</v>
      </c>
      <c r="D2760" s="1" t="s">
        <v>6801</v>
      </c>
      <c r="E2760" s="2">
        <v>5.7003854531E11</v>
      </c>
      <c r="F2760" s="1" t="s">
        <v>2757</v>
      </c>
      <c r="G2760" s="1" t="s">
        <v>12</v>
      </c>
      <c r="H2760" s="3" t="s">
        <v>6802</v>
      </c>
      <c r="I2760" s="1"/>
      <c r="J2760" s="1"/>
      <c r="K2760" s="1"/>
    </row>
    <row r="2761" ht="15.75" customHeight="1">
      <c r="A2761" s="2">
        <v>2760.0</v>
      </c>
      <c r="B2761" s="1" t="s">
        <v>6803</v>
      </c>
      <c r="C2761" s="1" t="s">
        <v>6804</v>
      </c>
      <c r="D2761" s="1" t="s">
        <v>230</v>
      </c>
      <c r="E2761" s="2">
        <v>5.70038545311E11</v>
      </c>
      <c r="F2761" s="1" t="s">
        <v>6805</v>
      </c>
      <c r="G2761" s="1" t="s">
        <v>12</v>
      </c>
      <c r="H2761" s="3" t="s">
        <v>6806</v>
      </c>
      <c r="I2761" s="1"/>
      <c r="J2761" s="1"/>
      <c r="K2761" s="1"/>
    </row>
    <row r="2762" ht="15.75" customHeight="1">
      <c r="A2762" s="2">
        <v>2761.0</v>
      </c>
      <c r="B2762" s="1" t="s">
        <v>3425</v>
      </c>
      <c r="C2762" s="1" t="s">
        <v>6807</v>
      </c>
      <c r="D2762" s="1" t="s">
        <v>1439</v>
      </c>
      <c r="E2762" s="2">
        <v>5.70038545312E11</v>
      </c>
      <c r="F2762" s="1" t="s">
        <v>6808</v>
      </c>
      <c r="G2762" s="1" t="s">
        <v>12</v>
      </c>
      <c r="H2762" s="3" t="s">
        <v>6809</v>
      </c>
      <c r="I2762" s="1"/>
      <c r="J2762" s="1"/>
      <c r="K2762" s="1"/>
    </row>
    <row r="2763" ht="15.75" customHeight="1">
      <c r="A2763" s="2">
        <v>2762.0</v>
      </c>
      <c r="B2763" s="1" t="s">
        <v>6810</v>
      </c>
      <c r="C2763" s="1" t="s">
        <v>6811</v>
      </c>
      <c r="D2763" s="1" t="s">
        <v>6812</v>
      </c>
      <c r="E2763" s="2">
        <v>5.70038545313E11</v>
      </c>
      <c r="F2763" s="1" t="s">
        <v>6813</v>
      </c>
      <c r="G2763" s="1" t="s">
        <v>12</v>
      </c>
      <c r="H2763" s="1" t="s">
        <v>867</v>
      </c>
      <c r="I2763" s="1" t="s">
        <v>868</v>
      </c>
      <c r="J2763" s="1" t="s">
        <v>869</v>
      </c>
      <c r="K2763" s="1"/>
    </row>
    <row r="2764" ht="15.75" customHeight="1">
      <c r="A2764" s="2">
        <v>2763.0</v>
      </c>
      <c r="B2764" s="1" t="s">
        <v>4855</v>
      </c>
      <c r="C2764" s="1" t="s">
        <v>6811</v>
      </c>
      <c r="D2764" s="1" t="s">
        <v>2907</v>
      </c>
      <c r="E2764" s="2">
        <v>5.70038545315E11</v>
      </c>
      <c r="F2764" s="1" t="s">
        <v>6814</v>
      </c>
      <c r="G2764" s="1" t="s">
        <v>135</v>
      </c>
      <c r="H2764" s="1" t="s">
        <v>867</v>
      </c>
      <c r="I2764" s="1" t="s">
        <v>868</v>
      </c>
      <c r="J2764" s="1" t="s">
        <v>869</v>
      </c>
      <c r="K2764" s="1"/>
    </row>
    <row r="2765" ht="15.75" customHeight="1">
      <c r="A2765" s="2">
        <v>2764.0</v>
      </c>
      <c r="B2765" s="1" t="s">
        <v>2898</v>
      </c>
      <c r="C2765" s="1" t="s">
        <v>6815</v>
      </c>
      <c r="D2765" s="1" t="s">
        <v>6816</v>
      </c>
      <c r="E2765" s="2">
        <v>5.70038545318E11</v>
      </c>
      <c r="F2765" s="1" t="s">
        <v>2411</v>
      </c>
      <c r="G2765" s="1" t="s">
        <v>12</v>
      </c>
      <c r="H2765" s="1" t="s">
        <v>867</v>
      </c>
      <c r="I2765" s="1" t="s">
        <v>868</v>
      </c>
      <c r="J2765" s="1" t="s">
        <v>869</v>
      </c>
      <c r="K2765" s="1"/>
    </row>
    <row r="2766" ht="15.75" customHeight="1">
      <c r="A2766" s="2">
        <v>2765.0</v>
      </c>
      <c r="B2766" s="1" t="s">
        <v>1193</v>
      </c>
      <c r="C2766" s="1" t="s">
        <v>192</v>
      </c>
      <c r="D2766" s="1" t="s">
        <v>795</v>
      </c>
      <c r="E2766" s="2">
        <v>5.7003854532E11</v>
      </c>
      <c r="F2766" s="1" t="s">
        <v>4845</v>
      </c>
      <c r="G2766" s="1" t="s">
        <v>12</v>
      </c>
      <c r="H2766" s="3" t="s">
        <v>6817</v>
      </c>
      <c r="I2766" s="1"/>
      <c r="J2766" s="1"/>
      <c r="K2766" s="1"/>
    </row>
    <row r="2767" ht="15.75" customHeight="1">
      <c r="A2767" s="2">
        <v>2766.0</v>
      </c>
      <c r="B2767" s="1" t="s">
        <v>6818</v>
      </c>
      <c r="C2767" s="1" t="s">
        <v>6819</v>
      </c>
      <c r="D2767" s="1" t="s">
        <v>781</v>
      </c>
      <c r="E2767" s="2">
        <v>5.70038000595E11</v>
      </c>
      <c r="F2767" s="1" t="s">
        <v>6820</v>
      </c>
      <c r="G2767" s="1" t="s">
        <v>12</v>
      </c>
      <c r="H2767" s="3" t="s">
        <v>6821</v>
      </c>
      <c r="I2767" s="1"/>
      <c r="J2767" s="1"/>
      <c r="K2767" s="1"/>
    </row>
    <row r="2768" ht="15.75" customHeight="1">
      <c r="A2768" s="2">
        <v>2767.0</v>
      </c>
      <c r="B2768" s="1" t="s">
        <v>6822</v>
      </c>
      <c r="C2768" s="1" t="s">
        <v>3803</v>
      </c>
      <c r="D2768" s="1" t="s">
        <v>2350</v>
      </c>
      <c r="E2768" s="2">
        <v>5.70038001826E11</v>
      </c>
      <c r="F2768" s="1" t="s">
        <v>6823</v>
      </c>
      <c r="G2768" s="1" t="s">
        <v>12</v>
      </c>
      <c r="H2768" s="1" t="s">
        <v>867</v>
      </c>
      <c r="I2768" s="1" t="s">
        <v>868</v>
      </c>
      <c r="J2768" s="1" t="s">
        <v>869</v>
      </c>
      <c r="K2768" s="1"/>
    </row>
    <row r="2769" ht="15.75" customHeight="1">
      <c r="A2769" s="2">
        <v>2768.0</v>
      </c>
      <c r="B2769" s="1" t="s">
        <v>5319</v>
      </c>
      <c r="C2769" s="1" t="s">
        <v>659</v>
      </c>
      <c r="D2769" s="1" t="s">
        <v>725</v>
      </c>
      <c r="E2769" s="2">
        <v>5.70038001832E11</v>
      </c>
      <c r="F2769" s="1" t="s">
        <v>6824</v>
      </c>
      <c r="G2769" s="1" t="s">
        <v>135</v>
      </c>
      <c r="H2769" s="1" t="s">
        <v>867</v>
      </c>
      <c r="I2769" s="1" t="s">
        <v>868</v>
      </c>
      <c r="J2769" s="1" t="s">
        <v>869</v>
      </c>
      <c r="K2769" s="1"/>
    </row>
    <row r="2770" ht="15.75" customHeight="1">
      <c r="A2770" s="2">
        <v>2769.0</v>
      </c>
      <c r="B2770" s="1" t="s">
        <v>6825</v>
      </c>
      <c r="C2770" s="1" t="s">
        <v>2867</v>
      </c>
      <c r="D2770" s="1" t="s">
        <v>1904</v>
      </c>
      <c r="E2770" s="2">
        <v>5.70038001833E11</v>
      </c>
      <c r="F2770" s="1" t="s">
        <v>6826</v>
      </c>
      <c r="G2770" s="1" t="s">
        <v>12</v>
      </c>
      <c r="H2770" s="1" t="s">
        <v>867</v>
      </c>
      <c r="I2770" s="1" t="s">
        <v>868</v>
      </c>
      <c r="J2770" s="1" t="s">
        <v>869</v>
      </c>
      <c r="K2770" s="1"/>
    </row>
    <row r="2771" ht="15.75" customHeight="1">
      <c r="A2771" s="2">
        <v>2770.0</v>
      </c>
      <c r="B2771" s="1" t="s">
        <v>767</v>
      </c>
      <c r="C2771" s="1" t="s">
        <v>6827</v>
      </c>
      <c r="D2771" s="1" t="s">
        <v>1052</v>
      </c>
      <c r="E2771" s="2">
        <v>5.70038001836E11</v>
      </c>
      <c r="F2771" s="1" t="s">
        <v>6828</v>
      </c>
      <c r="G2771" s="1" t="s">
        <v>135</v>
      </c>
      <c r="H2771" s="1" t="s">
        <v>867</v>
      </c>
      <c r="I2771" s="1" t="s">
        <v>868</v>
      </c>
      <c r="J2771" s="1" t="s">
        <v>869</v>
      </c>
      <c r="K2771" s="1"/>
    </row>
    <row r="2772" ht="15.75" customHeight="1">
      <c r="A2772" s="2">
        <v>2771.0</v>
      </c>
      <c r="B2772" s="1" t="s">
        <v>6829</v>
      </c>
      <c r="C2772" s="1" t="s">
        <v>1613</v>
      </c>
      <c r="D2772" s="1" t="s">
        <v>773</v>
      </c>
      <c r="E2772" s="2">
        <v>5.70038001842E11</v>
      </c>
      <c r="F2772" s="1" t="s">
        <v>6830</v>
      </c>
      <c r="G2772" s="1" t="s">
        <v>135</v>
      </c>
      <c r="H2772" s="1" t="s">
        <v>867</v>
      </c>
      <c r="I2772" s="1" t="s">
        <v>868</v>
      </c>
      <c r="J2772" s="1" t="s">
        <v>869</v>
      </c>
      <c r="K2772" s="1"/>
    </row>
    <row r="2773" ht="15.75" customHeight="1">
      <c r="A2773" s="2">
        <v>2772.0</v>
      </c>
      <c r="B2773" s="1" t="s">
        <v>6831</v>
      </c>
      <c r="C2773" s="1" t="s">
        <v>6832</v>
      </c>
      <c r="D2773" s="1" t="s">
        <v>1911</v>
      </c>
      <c r="E2773" s="2">
        <v>5.70038001844E11</v>
      </c>
      <c r="F2773" s="1" t="s">
        <v>6820</v>
      </c>
      <c r="G2773" s="1" t="s">
        <v>12</v>
      </c>
      <c r="H2773" s="1" t="s">
        <v>867</v>
      </c>
      <c r="I2773" s="1" t="s">
        <v>868</v>
      </c>
      <c r="J2773" s="1" t="s">
        <v>869</v>
      </c>
      <c r="K2773" s="1"/>
    </row>
    <row r="2774" ht="15.75" customHeight="1">
      <c r="A2774" s="2">
        <v>2773.0</v>
      </c>
      <c r="B2774" s="1" t="s">
        <v>6833</v>
      </c>
      <c r="C2774" s="1" t="s">
        <v>6834</v>
      </c>
      <c r="D2774" s="1" t="s">
        <v>6835</v>
      </c>
      <c r="E2774" s="2">
        <v>5.70038001848E11</v>
      </c>
      <c r="F2774" s="1" t="s">
        <v>6820</v>
      </c>
      <c r="G2774" s="1" t="s">
        <v>12</v>
      </c>
      <c r="H2774" s="1" t="s">
        <v>867</v>
      </c>
      <c r="I2774" s="1" t="s">
        <v>868</v>
      </c>
      <c r="J2774" s="1" t="s">
        <v>869</v>
      </c>
      <c r="K2774" s="1"/>
    </row>
    <row r="2775" ht="15.75" customHeight="1">
      <c r="A2775" s="2">
        <v>2774.0</v>
      </c>
      <c r="B2775" s="1" t="s">
        <v>6836</v>
      </c>
      <c r="C2775" s="1" t="s">
        <v>5746</v>
      </c>
      <c r="D2775" s="1" t="s">
        <v>6837</v>
      </c>
      <c r="E2775" s="2">
        <v>5.7003800185E11</v>
      </c>
      <c r="F2775" s="1" t="s">
        <v>6838</v>
      </c>
      <c r="G2775" s="1" t="s">
        <v>12</v>
      </c>
      <c r="H2775" s="1" t="s">
        <v>867</v>
      </c>
      <c r="I2775" s="1" t="s">
        <v>868</v>
      </c>
      <c r="J2775" s="1" t="s">
        <v>869</v>
      </c>
      <c r="K2775" s="1"/>
    </row>
    <row r="2776" ht="15.75" customHeight="1">
      <c r="A2776" s="2">
        <v>2775.0</v>
      </c>
      <c r="B2776" s="1" t="s">
        <v>4947</v>
      </c>
      <c r="C2776" s="1" t="s">
        <v>516</v>
      </c>
      <c r="D2776" s="1" t="s">
        <v>6839</v>
      </c>
      <c r="E2776" s="2">
        <v>5.70038001852E11</v>
      </c>
      <c r="F2776" s="1" t="s">
        <v>6840</v>
      </c>
      <c r="G2776" s="1" t="s">
        <v>12</v>
      </c>
      <c r="H2776" s="1" t="s">
        <v>867</v>
      </c>
      <c r="I2776" s="1" t="s">
        <v>868</v>
      </c>
      <c r="J2776" s="1" t="s">
        <v>869</v>
      </c>
      <c r="K2776" s="1"/>
    </row>
    <row r="2777" ht="15.75" customHeight="1">
      <c r="A2777" s="2">
        <v>2776.0</v>
      </c>
      <c r="B2777" s="1" t="s">
        <v>6490</v>
      </c>
      <c r="C2777" s="1" t="s">
        <v>4805</v>
      </c>
      <c r="D2777" s="1" t="s">
        <v>486</v>
      </c>
      <c r="E2777" s="2">
        <v>5.70038001853E11</v>
      </c>
      <c r="F2777" s="1" t="s">
        <v>6841</v>
      </c>
      <c r="G2777" s="1" t="s">
        <v>12</v>
      </c>
      <c r="H2777" s="1" t="s">
        <v>867</v>
      </c>
      <c r="I2777" s="1" t="s">
        <v>868</v>
      </c>
      <c r="J2777" s="1" t="s">
        <v>869</v>
      </c>
      <c r="K2777" s="1"/>
    </row>
    <row r="2778" ht="15.75" customHeight="1">
      <c r="A2778" s="2">
        <v>2777.0</v>
      </c>
      <c r="B2778" s="1" t="s">
        <v>5335</v>
      </c>
      <c r="C2778" s="1" t="s">
        <v>6842</v>
      </c>
      <c r="D2778" s="1" t="s">
        <v>161</v>
      </c>
      <c r="E2778" s="2">
        <v>5.70038001854E11</v>
      </c>
      <c r="F2778" s="1" t="s">
        <v>6843</v>
      </c>
      <c r="G2778" s="1" t="s">
        <v>12</v>
      </c>
      <c r="H2778" s="1" t="s">
        <v>867</v>
      </c>
      <c r="I2778" s="1" t="s">
        <v>868</v>
      </c>
      <c r="J2778" s="1" t="s">
        <v>869</v>
      </c>
      <c r="K2778" s="1"/>
    </row>
    <row r="2779" ht="15.75" customHeight="1">
      <c r="A2779" s="2">
        <v>2778.0</v>
      </c>
      <c r="B2779" s="1" t="s">
        <v>4662</v>
      </c>
      <c r="C2779" s="1" t="s">
        <v>6761</v>
      </c>
      <c r="D2779" s="1" t="s">
        <v>1080</v>
      </c>
      <c r="E2779" s="2">
        <v>5.70038001855E11</v>
      </c>
      <c r="F2779" s="1" t="s">
        <v>6844</v>
      </c>
      <c r="G2779" s="1" t="s">
        <v>12</v>
      </c>
      <c r="H2779" s="1" t="s">
        <v>867</v>
      </c>
      <c r="I2779" s="1" t="s">
        <v>868</v>
      </c>
      <c r="J2779" s="1" t="s">
        <v>869</v>
      </c>
      <c r="K2779" s="1"/>
    </row>
    <row r="2780" ht="15.75" customHeight="1">
      <c r="A2780" s="2">
        <v>2779.0</v>
      </c>
      <c r="B2780" s="1" t="s">
        <v>4286</v>
      </c>
      <c r="C2780" s="1" t="s">
        <v>6845</v>
      </c>
      <c r="D2780" s="1" t="s">
        <v>1659</v>
      </c>
      <c r="E2780" s="2">
        <v>5.70038001856E11</v>
      </c>
      <c r="F2780" s="1" t="s">
        <v>6846</v>
      </c>
      <c r="G2780" s="1" t="s">
        <v>12</v>
      </c>
      <c r="H2780" s="1" t="s">
        <v>867</v>
      </c>
      <c r="I2780" s="1" t="s">
        <v>868</v>
      </c>
      <c r="J2780" s="1" t="s">
        <v>869</v>
      </c>
      <c r="K2780" s="1"/>
    </row>
    <row r="2781" ht="15.75" customHeight="1">
      <c r="A2781" s="2">
        <v>2780.0</v>
      </c>
      <c r="B2781" s="1" t="s">
        <v>6118</v>
      </c>
      <c r="C2781" s="1" t="s">
        <v>6847</v>
      </c>
      <c r="D2781" s="1" t="s">
        <v>2221</v>
      </c>
      <c r="E2781" s="2">
        <v>5.70038001857E11</v>
      </c>
      <c r="F2781" s="1" t="s">
        <v>6848</v>
      </c>
      <c r="G2781" s="1" t="s">
        <v>12</v>
      </c>
      <c r="H2781" s="1" t="s">
        <v>867</v>
      </c>
      <c r="I2781" s="1" t="s">
        <v>868</v>
      </c>
      <c r="J2781" s="1" t="s">
        <v>869</v>
      </c>
      <c r="K2781" s="1"/>
    </row>
    <row r="2782" ht="15.75" customHeight="1">
      <c r="A2782" s="2">
        <v>2781.0</v>
      </c>
      <c r="B2782" s="1" t="s">
        <v>6849</v>
      </c>
      <c r="C2782" s="1" t="s">
        <v>6850</v>
      </c>
      <c r="D2782" s="1" t="s">
        <v>758</v>
      </c>
      <c r="E2782" s="2">
        <v>5.70038001858E11</v>
      </c>
      <c r="F2782" s="1" t="s">
        <v>6851</v>
      </c>
      <c r="G2782" s="1" t="s">
        <v>135</v>
      </c>
      <c r="H2782" s="1" t="s">
        <v>867</v>
      </c>
      <c r="I2782" s="1" t="s">
        <v>868</v>
      </c>
      <c r="J2782" s="1" t="s">
        <v>869</v>
      </c>
      <c r="K2782" s="1"/>
    </row>
    <row r="2783" ht="15.75" customHeight="1">
      <c r="A2783" s="2">
        <v>2782.0</v>
      </c>
      <c r="B2783" s="1" t="s">
        <v>592</v>
      </c>
      <c r="C2783" s="1" t="s">
        <v>6852</v>
      </c>
      <c r="D2783" s="1" t="s">
        <v>40</v>
      </c>
      <c r="E2783" s="2">
        <v>5.70038001862E11</v>
      </c>
      <c r="F2783" s="1" t="s">
        <v>6853</v>
      </c>
      <c r="G2783" s="1" t="s">
        <v>135</v>
      </c>
      <c r="H2783" s="1" t="s">
        <v>867</v>
      </c>
      <c r="I2783" s="1" t="s">
        <v>868</v>
      </c>
      <c r="J2783" s="1" t="s">
        <v>869</v>
      </c>
      <c r="K2783" s="1"/>
    </row>
    <row r="2784" ht="15.75" customHeight="1">
      <c r="A2784" s="2">
        <v>2783.0</v>
      </c>
      <c r="B2784" s="1" t="s">
        <v>6854</v>
      </c>
      <c r="C2784" s="1" t="s">
        <v>6855</v>
      </c>
      <c r="D2784" s="1" t="s">
        <v>1067</v>
      </c>
      <c r="E2784" s="2">
        <v>5.70038001863E11</v>
      </c>
      <c r="F2784" s="1" t="s">
        <v>6856</v>
      </c>
      <c r="G2784" s="1" t="s">
        <v>135</v>
      </c>
      <c r="H2784" s="3" t="s">
        <v>6857</v>
      </c>
      <c r="I2784" s="1"/>
      <c r="J2784" s="1"/>
      <c r="K2784" s="1"/>
    </row>
    <row r="2785" ht="15.75" customHeight="1">
      <c r="A2785" s="2">
        <v>2784.0</v>
      </c>
      <c r="B2785" s="1" t="s">
        <v>6858</v>
      </c>
      <c r="C2785" s="1" t="s">
        <v>6859</v>
      </c>
      <c r="D2785" s="1" t="s">
        <v>2255</v>
      </c>
      <c r="E2785" s="2">
        <v>5.70038001864E11</v>
      </c>
      <c r="F2785" s="1" t="s">
        <v>6860</v>
      </c>
      <c r="G2785" s="1" t="s">
        <v>135</v>
      </c>
      <c r="H2785" s="1" t="s">
        <v>867</v>
      </c>
      <c r="I2785" s="1" t="s">
        <v>868</v>
      </c>
      <c r="J2785" s="1" t="s">
        <v>869</v>
      </c>
      <c r="K2785" s="1"/>
    </row>
    <row r="2786" ht="15.75" customHeight="1">
      <c r="A2786" s="2">
        <v>2785.0</v>
      </c>
      <c r="B2786" s="1" t="s">
        <v>6861</v>
      </c>
      <c r="C2786" s="1" t="s">
        <v>6862</v>
      </c>
      <c r="D2786" s="1" t="s">
        <v>5263</v>
      </c>
      <c r="E2786" s="2">
        <v>5.70038001867E11</v>
      </c>
      <c r="F2786" s="1" t="s">
        <v>6863</v>
      </c>
      <c r="G2786" s="1" t="s">
        <v>12</v>
      </c>
      <c r="H2786" s="3" t="s">
        <v>6864</v>
      </c>
      <c r="I2786" s="1"/>
      <c r="J2786" s="1"/>
      <c r="K2786" s="1"/>
    </row>
    <row r="2787" ht="15.75" customHeight="1">
      <c r="A2787" s="2">
        <v>2786.0</v>
      </c>
      <c r="B2787" s="1" t="s">
        <v>5855</v>
      </c>
      <c r="C2787" s="1" t="s">
        <v>5950</v>
      </c>
      <c r="D2787" s="1" t="s">
        <v>1911</v>
      </c>
      <c r="E2787" s="2">
        <v>5.70038545316E11</v>
      </c>
      <c r="F2787" s="1" t="s">
        <v>6584</v>
      </c>
      <c r="G2787" s="1" t="s">
        <v>135</v>
      </c>
      <c r="H2787" s="1" t="s">
        <v>867</v>
      </c>
      <c r="I2787" s="1" t="s">
        <v>868</v>
      </c>
      <c r="J2787" s="1" t="s">
        <v>869</v>
      </c>
      <c r="K2787" s="1"/>
    </row>
    <row r="2788" ht="15.75" customHeight="1">
      <c r="A2788" s="2">
        <v>2787.0</v>
      </c>
      <c r="B2788" s="1" t="s">
        <v>6865</v>
      </c>
      <c r="C2788" s="1" t="s">
        <v>6866</v>
      </c>
      <c r="D2788" s="1" t="s">
        <v>2350</v>
      </c>
      <c r="E2788" s="2">
        <v>5.70038545317E11</v>
      </c>
      <c r="F2788" s="1" t="s">
        <v>6867</v>
      </c>
      <c r="G2788" s="1" t="s">
        <v>12</v>
      </c>
      <c r="H2788" s="3" t="s">
        <v>6868</v>
      </c>
      <c r="I2788" s="1"/>
      <c r="J2788" s="1"/>
      <c r="K2788" s="1"/>
    </row>
    <row r="2789" ht="15.75" customHeight="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6" t="s">
        <v>6869</v>
      </c>
      <c r="B1" s="5" t="str">
        <f>IFERROR(__xludf.DUMMYFUNCTION("SPLIT(A1,"","")"),"ক্রমিক নং")</f>
        <v>ক্রমিক নং</v>
      </c>
      <c r="C1" s="5" t="str">
        <f>IFERROR(__xludf.DUMMYFUNCTION("""COMPUTED_VALUE"""),"নাম")</f>
        <v>নাম</v>
      </c>
      <c r="D1" s="5" t="str">
        <f>IFERROR(__xludf.DUMMYFUNCTION("""COMPUTED_VALUE"""),"ভোটার নং")</f>
        <v>ভোটার নং</v>
      </c>
      <c r="E1" s="5" t="str">
        <f>IFERROR(__xludf.DUMMYFUNCTION("""COMPUTED_VALUE"""),"পিতা")</f>
        <v>পিতা</v>
      </c>
      <c r="F1" s="5" t="str">
        <f>IFERROR(__xludf.DUMMYFUNCTION("""COMPUTED_VALUE"""),"মাতা")</f>
        <v>মাতা</v>
      </c>
      <c r="G1" s="5" t="str">
        <f>IFERROR(__xludf.DUMMYFUNCTION("""COMPUTED_VALUE"""),"জন্ম তারিখ")</f>
        <v>জন্ম তারিখ</v>
      </c>
      <c r="H1" s="5" t="str">
        <f>IFERROR(__xludf.DUMMYFUNCTION("""COMPUTED_VALUE"""),"পেশা")</f>
        <v>পেশা</v>
      </c>
      <c r="I1" s="5" t="str">
        <f>IFERROR(__xludf.DUMMYFUNCTION("""COMPUTED_VALUE"""),"ঠিকানা")</f>
        <v>ঠিকানা</v>
      </c>
    </row>
    <row r="2" ht="15.75" customHeight="1">
      <c r="A2" s="6" t="s">
        <v>6870</v>
      </c>
      <c r="B2" s="5">
        <f>IFERROR(__xludf.DUMMYFUNCTION("SPLIT(A2,"","")"),1348.0)</f>
        <v>1348</v>
      </c>
      <c r="C2" s="5" t="str">
        <f>IFERROR(__xludf.DUMMYFUNCTION("""COMPUTED_VALUE"""),"মোছাঃ মর্জিনা খাতুন")</f>
        <v>মোছাঃ মর্জিনা খাতুন</v>
      </c>
      <c r="D2" s="5">
        <f>IFERROR(__xludf.DUMMYFUNCTION("""COMPUTED_VALUE"""),5.7003835619E11)</f>
        <v>570038356190</v>
      </c>
      <c r="E2" s="5" t="str">
        <f>IFERROR(__xludf.DUMMYFUNCTION("""COMPUTED_VALUE"""),"নস্কর মন্ডল")</f>
        <v>নস্কর মন্ডল</v>
      </c>
      <c r="F2" s="5" t="str">
        <f>IFERROR(__xludf.DUMMYFUNCTION("""COMPUTED_VALUE"""),"মোছাঃ নিছারন")</f>
        <v>মোছাঃ নিছারন</v>
      </c>
      <c r="G2" s="5" t="str">
        <f>IFERROR(__xludf.DUMMYFUNCTION("""COMPUTED_VALUE"""),"০৩/০৪/১৯৬৭")</f>
        <v>০৩/০৪/১৯৬৭</v>
      </c>
      <c r="H2" s="5" t="str">
        <f>IFERROR(__xludf.DUMMYFUNCTION("""COMPUTED_VALUE"""),"গৃহিনী")</f>
        <v>গৃহিনী</v>
      </c>
      <c r="I2" s="5" t="str">
        <f>IFERROR(__xludf.DUMMYFUNCTION("""COMPUTED_VALUE"""),"গাড়ীডোব")</f>
        <v>গাড়ীডোব</v>
      </c>
      <c r="J2" s="5" t="str">
        <f>IFERROR(__xludf.DUMMYFUNCTION("""COMPUTED_VALUE""")," গাংনী")</f>
        <v> গাংনী</v>
      </c>
      <c r="K2" s="5" t="str">
        <f>IFERROR(__xludf.DUMMYFUNCTION("""COMPUTED_VALUE""")," মেহেরপুর")</f>
        <v> মেহেরপুর</v>
      </c>
    </row>
    <row r="3" ht="15.75" customHeight="1">
      <c r="A3" s="6" t="s">
        <v>6871</v>
      </c>
      <c r="B3" s="5">
        <f>IFERROR(__xludf.DUMMYFUNCTION("SPLIT(A3,"","")"),1349.0)</f>
        <v>1349</v>
      </c>
      <c r="C3" s="5" t="str">
        <f>IFERROR(__xludf.DUMMYFUNCTION("""COMPUTED_VALUE"""),"মোছাঃ জাহানারা খাতুন")</f>
        <v>মোছাঃ জাহানারা খাতুন</v>
      </c>
      <c r="D3" s="5">
        <f>IFERROR(__xludf.DUMMYFUNCTION("""COMPUTED_VALUE"""),5.70038356192E11)</f>
        <v>570038356192</v>
      </c>
      <c r="E3" s="5" t="str">
        <f>IFERROR(__xludf.DUMMYFUNCTION("""COMPUTED_VALUE"""),"মোঃ রহমত উল্লাহ")</f>
        <v>মোঃ রহমত উল্লাহ</v>
      </c>
      <c r="F3" s="5" t="str">
        <f>IFERROR(__xludf.DUMMYFUNCTION("""COMPUTED_VALUE"""),"মোছাঃ ছারভান")</f>
        <v>মোছাঃ ছারভান</v>
      </c>
      <c r="G3" s="5" t="str">
        <f>IFERROR(__xludf.DUMMYFUNCTION("""COMPUTED_VALUE"""),"০২/০৬/১৯৫৯")</f>
        <v>০২/০৬/১৯৫৯</v>
      </c>
      <c r="H3" s="5" t="str">
        <f>IFERROR(__xludf.DUMMYFUNCTION("""COMPUTED_VALUE"""),"গৃহিনী")</f>
        <v>গৃহিনী</v>
      </c>
      <c r="I3" s="5" t="str">
        <f>IFERROR(__xludf.DUMMYFUNCTION("""COMPUTED_VALUE"""),"গাড়ীডোব")</f>
        <v>গাড়ীডোব</v>
      </c>
      <c r="J3" s="5" t="str">
        <f>IFERROR(__xludf.DUMMYFUNCTION("""COMPUTED_VALUE""")," গাংনী")</f>
        <v> গাংনী</v>
      </c>
      <c r="K3" s="5" t="str">
        <f>IFERROR(__xludf.DUMMYFUNCTION("""COMPUTED_VALUE""")," মেহেরপুর")</f>
        <v> মেহেরপুর</v>
      </c>
    </row>
    <row r="4" ht="15.75" customHeight="1">
      <c r="A4" s="6" t="s">
        <v>6872</v>
      </c>
      <c r="B4" s="5">
        <f>IFERROR(__xludf.DUMMYFUNCTION("SPLIT(A4,"","")"),1350.0)</f>
        <v>1350</v>
      </c>
      <c r="C4" s="5" t="str">
        <f>IFERROR(__xludf.DUMMYFUNCTION("""COMPUTED_VALUE"""),"মোছাঃ আজমিরা খাতুন")</f>
        <v>মোছাঃ আজমিরা খাতুন</v>
      </c>
      <c r="D4" s="5">
        <f>IFERROR(__xludf.DUMMYFUNCTION("""COMPUTED_VALUE"""),5.70038356193E11)</f>
        <v>570038356193</v>
      </c>
      <c r="E4" s="5" t="str">
        <f>IFERROR(__xludf.DUMMYFUNCTION("""COMPUTED_VALUE"""),"মোঃ আয়ুব আলী")</f>
        <v>মোঃ আয়ুব আলী</v>
      </c>
      <c r="F4" s="5" t="str">
        <f>IFERROR(__xludf.DUMMYFUNCTION("""COMPUTED_VALUE"""),"মোছাঃ মুনজিলা খাতুন")</f>
        <v>মোছাঃ মুনজিলা খাতুন</v>
      </c>
      <c r="G4" s="5" t="str">
        <f>IFERROR(__xludf.DUMMYFUNCTION("""COMPUTED_VALUE"""),"০১/০১/১৯৮৮")</f>
        <v>০১/০১/১৯৮৮</v>
      </c>
      <c r="H4" s="5" t="str">
        <f>IFERROR(__xludf.DUMMYFUNCTION("""COMPUTED_VALUE"""),"গৃহিনী")</f>
        <v>গৃহিনী</v>
      </c>
      <c r="I4" s="5" t="str">
        <f>IFERROR(__xludf.DUMMYFUNCTION("""COMPUTED_VALUE"""),"গাড়ীডোব")</f>
        <v>গাড়ীডোব</v>
      </c>
      <c r="J4" s="5" t="str">
        <f>IFERROR(__xludf.DUMMYFUNCTION("""COMPUTED_VALUE""")," গাংনী")</f>
        <v> গাংনী</v>
      </c>
      <c r="K4" s="5" t="str">
        <f>IFERROR(__xludf.DUMMYFUNCTION("""COMPUTED_VALUE""")," মেহেরপুর")</f>
        <v> মেহেরপুর</v>
      </c>
    </row>
    <row r="5" ht="15.75" customHeight="1">
      <c r="A5" s="6" t="s">
        <v>6873</v>
      </c>
      <c r="B5" s="5">
        <f>IFERROR(__xludf.DUMMYFUNCTION("SPLIT(A5,"","")"),1351.0)</f>
        <v>1351</v>
      </c>
      <c r="C5" s="5" t="str">
        <f>IFERROR(__xludf.DUMMYFUNCTION("""COMPUTED_VALUE"""),"মোছাঃ নাজমা খাতুন")</f>
        <v>মোছাঃ নাজমা খাতুন</v>
      </c>
      <c r="D5" s="5">
        <f>IFERROR(__xludf.DUMMYFUNCTION("""COMPUTED_VALUE"""),5.70038356194E11)</f>
        <v>570038356194</v>
      </c>
      <c r="E5" s="5" t="str">
        <f>IFERROR(__xludf.DUMMYFUNCTION("""COMPUTED_VALUE"""),"মোঃ জমির উদ্দীন")</f>
        <v>মোঃ জমির উদ্দীন</v>
      </c>
      <c r="F5" s="5" t="str">
        <f>IFERROR(__xludf.DUMMYFUNCTION("""COMPUTED_VALUE"""),"মোছাঃ জমেলা খাতুন")</f>
        <v>মোছাঃ জমেলা খাতুন</v>
      </c>
      <c r="G5" s="5" t="str">
        <f>IFERROR(__xludf.DUMMYFUNCTION("""COMPUTED_VALUE"""),"১০/০২/১৯৭৭")</f>
        <v>১০/০২/১৯৭৭</v>
      </c>
      <c r="H5" s="5" t="str">
        <f>IFERROR(__xludf.DUMMYFUNCTION("""COMPUTED_VALUE"""),"গৃহিনী")</f>
        <v>গৃহিনী</v>
      </c>
      <c r="I5" s="5" t="str">
        <f>IFERROR(__xludf.DUMMYFUNCTION("""COMPUTED_VALUE"""),"গাড়ীডোব")</f>
        <v>গাড়ীডোব</v>
      </c>
      <c r="J5" s="5" t="str">
        <f>IFERROR(__xludf.DUMMYFUNCTION("""COMPUTED_VALUE""")," গাংনী")</f>
        <v> গাংনী</v>
      </c>
      <c r="K5" s="5" t="str">
        <f>IFERROR(__xludf.DUMMYFUNCTION("""COMPUTED_VALUE""")," মেহেরপুর")</f>
        <v> মেহেরপুর</v>
      </c>
    </row>
    <row r="6" ht="15.75" customHeight="1">
      <c r="A6" s="6" t="s">
        <v>6874</v>
      </c>
      <c r="B6" s="5">
        <f>IFERROR(__xludf.DUMMYFUNCTION("SPLIT(A6,"","")"),1352.0)</f>
        <v>1352</v>
      </c>
      <c r="C6" s="5" t="str">
        <f>IFERROR(__xludf.DUMMYFUNCTION("""COMPUTED_VALUE"""),"মোছাঃ শাহানারা খাতুন")</f>
        <v>মোছাঃ শাহানারা খাতুন</v>
      </c>
      <c r="D6" s="5">
        <f>IFERROR(__xludf.DUMMYFUNCTION("""COMPUTED_VALUE"""),5.70038356195E11)</f>
        <v>570038356195</v>
      </c>
      <c r="E6" s="5" t="str">
        <f>IFERROR(__xludf.DUMMYFUNCTION("""COMPUTED_VALUE"""),"আব্দুল বারিক")</f>
        <v>আব্দুল বারিক</v>
      </c>
      <c r="F6" s="5" t="str">
        <f>IFERROR(__xludf.DUMMYFUNCTION("""COMPUTED_VALUE"""),"হালেমা খাতুন")</f>
        <v>হালেমা খাতুন</v>
      </c>
      <c r="G6" s="5" t="str">
        <f>IFERROR(__xludf.DUMMYFUNCTION("""COMPUTED_VALUE"""),"০৬/০২/১৯৬৫")</f>
        <v>০৬/০২/১৯৬৫</v>
      </c>
      <c r="H6" s="5" t="str">
        <f>IFERROR(__xludf.DUMMYFUNCTION("""COMPUTED_VALUE"""),"গৃহিনী")</f>
        <v>গৃহিনী</v>
      </c>
      <c r="I6" s="5" t="str">
        <f>IFERROR(__xludf.DUMMYFUNCTION("""COMPUTED_VALUE"""),"গাড়ীডোব")</f>
        <v>গাড়ীডোব</v>
      </c>
      <c r="J6" s="5" t="str">
        <f>IFERROR(__xludf.DUMMYFUNCTION("""COMPUTED_VALUE""")," গাংনী")</f>
        <v> গাংনী</v>
      </c>
      <c r="K6" s="5" t="str">
        <f>IFERROR(__xludf.DUMMYFUNCTION("""COMPUTED_VALUE""")," মেহেরপুর")</f>
        <v> মেহেরপুর</v>
      </c>
    </row>
    <row r="7" ht="15.75" customHeight="1">
      <c r="A7" s="6" t="s">
        <v>6875</v>
      </c>
      <c r="B7" s="5">
        <f>IFERROR(__xludf.DUMMYFUNCTION("SPLIT(A7,"","")"),1353.0)</f>
        <v>1353</v>
      </c>
      <c r="C7" s="5" t="str">
        <f>IFERROR(__xludf.DUMMYFUNCTION("""COMPUTED_VALUE"""),"মোছাঃ বেগম খাতুন")</f>
        <v>মোছাঃ বেগম খাতুন</v>
      </c>
      <c r="D7" s="5">
        <f>IFERROR(__xludf.DUMMYFUNCTION("""COMPUTED_VALUE"""),5.70038356197E11)</f>
        <v>570038356197</v>
      </c>
      <c r="E7" s="5" t="str">
        <f>IFERROR(__xludf.DUMMYFUNCTION("""COMPUTED_VALUE"""),"মোঃ ইউনুস আলী")</f>
        <v>মোঃ ইউনুস আলী</v>
      </c>
      <c r="F7" s="5" t="str">
        <f>IFERROR(__xludf.DUMMYFUNCTION("""COMPUTED_VALUE"""),"মোছাঃ নিছারন")</f>
        <v>মোছাঃ নিছারন</v>
      </c>
      <c r="G7" s="5" t="str">
        <f>IFERROR(__xludf.DUMMYFUNCTION("""COMPUTED_VALUE"""),"০৪/০২/১৯৬৯")</f>
        <v>০৪/০২/১৯৬৯</v>
      </c>
      <c r="H7" s="5" t="str">
        <f>IFERROR(__xludf.DUMMYFUNCTION("""COMPUTED_VALUE"""),"গৃহিনী")</f>
        <v>গৃহিনী</v>
      </c>
      <c r="I7" s="5" t="str">
        <f>IFERROR(__xludf.DUMMYFUNCTION("""COMPUTED_VALUE"""),"গাড়ীডোব")</f>
        <v>গাড়ীডোব</v>
      </c>
      <c r="J7" s="5" t="str">
        <f>IFERROR(__xludf.DUMMYFUNCTION("""COMPUTED_VALUE""")," গাংনী")</f>
        <v> গাংনী</v>
      </c>
      <c r="K7" s="5" t="str">
        <f>IFERROR(__xludf.DUMMYFUNCTION("""COMPUTED_VALUE""")," মেহেরপুর")</f>
        <v> মেহেরপুর</v>
      </c>
    </row>
    <row r="8" ht="15.75" customHeight="1">
      <c r="A8" s="6" t="s">
        <v>6876</v>
      </c>
      <c r="B8" s="5">
        <f>IFERROR(__xludf.DUMMYFUNCTION("SPLIT(A8,"","")"),1354.0)</f>
        <v>1354</v>
      </c>
      <c r="C8" s="5" t="str">
        <f>IFERROR(__xludf.DUMMYFUNCTION("""COMPUTED_VALUE"""),"মোছাঃ বানিয়ারা খাতুন")</f>
        <v>মোছাঃ বানিয়ারা খাতুন</v>
      </c>
      <c r="D8" s="5">
        <f>IFERROR(__xludf.DUMMYFUNCTION("""COMPUTED_VALUE"""),5.70038356199E11)</f>
        <v>570038356199</v>
      </c>
      <c r="E8" s="5" t="str">
        <f>IFERROR(__xludf.DUMMYFUNCTION("""COMPUTED_VALUE"""),"মোঃ বাবলু")</f>
        <v>মোঃ বাবলু</v>
      </c>
      <c r="F8" s="5" t="str">
        <f>IFERROR(__xludf.DUMMYFUNCTION("""COMPUTED_VALUE"""),"মোছাঃ বেগম খাতুন")</f>
        <v>মোছাঃ বেগম খাতুন</v>
      </c>
      <c r="G8" s="5" t="str">
        <f>IFERROR(__xludf.DUMMYFUNCTION("""COMPUTED_VALUE"""),"০৯/০৫/১৯৮৫")</f>
        <v>০৯/০৫/১৯৮৫</v>
      </c>
      <c r="H8" s="5" t="str">
        <f>IFERROR(__xludf.DUMMYFUNCTION("""COMPUTED_VALUE"""),"গৃহিনী")</f>
        <v>গৃহিনী</v>
      </c>
      <c r="I8" s="5" t="str">
        <f>IFERROR(__xludf.DUMMYFUNCTION("""COMPUTED_VALUE"""),"গাড়ীডোব")</f>
        <v>গাড়ীডোব</v>
      </c>
      <c r="J8" s="5" t="str">
        <f>IFERROR(__xludf.DUMMYFUNCTION("""COMPUTED_VALUE""")," গাংনী")</f>
        <v> গাংনী</v>
      </c>
      <c r="K8" s="5" t="str">
        <f>IFERROR(__xludf.DUMMYFUNCTION("""COMPUTED_VALUE""")," মেহেরপুর")</f>
        <v> মেহেরপুর</v>
      </c>
    </row>
    <row r="9" ht="15.75" customHeight="1">
      <c r="A9" s="6" t="s">
        <v>6877</v>
      </c>
      <c r="B9" s="5">
        <f>IFERROR(__xludf.DUMMYFUNCTION("SPLIT(A9,"","")"),1355.0)</f>
        <v>1355</v>
      </c>
      <c r="C9" s="5" t="str">
        <f>IFERROR(__xludf.DUMMYFUNCTION("""COMPUTED_VALUE"""),"মোছাঃ রেহেনা খাতুন")</f>
        <v>মোছাঃ রেহেনা খাতুন</v>
      </c>
      <c r="D9" s="5">
        <f>IFERROR(__xludf.DUMMYFUNCTION("""COMPUTED_VALUE"""),5.70038356201E11)</f>
        <v>570038356201</v>
      </c>
      <c r="E9" s="5" t="str">
        <f>IFERROR(__xludf.DUMMYFUNCTION("""COMPUTED_VALUE"""),"আব্দুল বারেক")</f>
        <v>আব্দুল বারেক</v>
      </c>
      <c r="F9" s="5" t="str">
        <f>IFERROR(__xludf.DUMMYFUNCTION("""COMPUTED_VALUE"""),"হালিমা খাতুন")</f>
        <v>হালিমা খাতুন</v>
      </c>
      <c r="G9" s="5" t="str">
        <f>IFERROR(__xludf.DUMMYFUNCTION("""COMPUTED_VALUE"""),"০৩/০২/১৯৮২")</f>
        <v>০৩/০২/১৯৮২</v>
      </c>
      <c r="H9" s="5" t="str">
        <f>IFERROR(__xludf.DUMMYFUNCTION("""COMPUTED_VALUE"""),"গৃহিনী")</f>
        <v>গৃহিনী</v>
      </c>
      <c r="I9" s="5" t="str">
        <f>IFERROR(__xludf.DUMMYFUNCTION("""COMPUTED_VALUE"""),"গাড়ীডোব")</f>
        <v>গাড়ীডোব</v>
      </c>
      <c r="J9" s="5" t="str">
        <f>IFERROR(__xludf.DUMMYFUNCTION("""COMPUTED_VALUE""")," গাংনী")</f>
        <v> গাংনী</v>
      </c>
      <c r="K9" s="5" t="str">
        <f>IFERROR(__xludf.DUMMYFUNCTION("""COMPUTED_VALUE""")," মেহেরপুর")</f>
        <v> মেহেরপুর</v>
      </c>
    </row>
    <row r="10" ht="15.75" customHeight="1">
      <c r="A10" s="6" t="s">
        <v>6878</v>
      </c>
      <c r="B10" s="5">
        <f>IFERROR(__xludf.DUMMYFUNCTION("SPLIT(A10,"","")"),1356.0)</f>
        <v>1356</v>
      </c>
      <c r="C10" s="5" t="str">
        <f>IFERROR(__xludf.DUMMYFUNCTION("""COMPUTED_VALUE"""),"মোছাঃ নাছরিন খাতুন")</f>
        <v>মোছাঃ নাছরিন খাতুন</v>
      </c>
      <c r="D10" s="5">
        <f>IFERROR(__xludf.DUMMYFUNCTION("""COMPUTED_VALUE"""),5.7003835621E11)</f>
        <v>570038356210</v>
      </c>
      <c r="E10" s="5" t="str">
        <f>IFERROR(__xludf.DUMMYFUNCTION("""COMPUTED_VALUE"""),"মোঃ আজিজুল শেখ")</f>
        <v>মোঃ আজিজুল শেখ</v>
      </c>
      <c r="F10" s="5" t="str">
        <f>IFERROR(__xludf.DUMMYFUNCTION("""COMPUTED_VALUE"""),"মোছাঃ ছফেলা খাতুন")</f>
        <v>মোছাঃ ছফেলা খাতুন</v>
      </c>
      <c r="G10" s="5" t="str">
        <f>IFERROR(__xludf.DUMMYFUNCTION("""COMPUTED_VALUE"""),"১০/০৩/১৯৮২")</f>
        <v>১০/০৩/১৯৮২</v>
      </c>
      <c r="H10" s="5" t="str">
        <f>IFERROR(__xludf.DUMMYFUNCTION("""COMPUTED_VALUE"""),"গৃহিনী")</f>
        <v>গৃহিনী</v>
      </c>
      <c r="I10" s="5" t="str">
        <f>IFERROR(__xludf.DUMMYFUNCTION("""COMPUTED_VALUE"""),"গাড়ীডোব")</f>
        <v>গাড়ীডোব</v>
      </c>
      <c r="J10" s="5" t="str">
        <f>IFERROR(__xludf.DUMMYFUNCTION("""COMPUTED_VALUE""")," গাংনী")</f>
        <v> গাংনী</v>
      </c>
      <c r="K10" s="5" t="str">
        <f>IFERROR(__xludf.DUMMYFUNCTION("""COMPUTED_VALUE""")," মেহেরপুর")</f>
        <v> মেহেরপুর</v>
      </c>
    </row>
    <row r="11" ht="15.75" customHeight="1">
      <c r="A11" s="6" t="s">
        <v>6879</v>
      </c>
      <c r="B11" s="5">
        <f>IFERROR(__xludf.DUMMYFUNCTION("SPLIT(A11,"","")"),1357.0)</f>
        <v>1357</v>
      </c>
      <c r="C11" s="5" t="str">
        <f>IFERROR(__xludf.DUMMYFUNCTION("""COMPUTED_VALUE"""),"মোছাঃ ফজিলা খাতুন")</f>
        <v>মোছাঃ ফজিলা খাতুন</v>
      </c>
      <c r="D11" s="5">
        <f>IFERROR(__xludf.DUMMYFUNCTION("""COMPUTED_VALUE"""),5.70038356211E11)</f>
        <v>570038356211</v>
      </c>
      <c r="E11" s="5" t="str">
        <f>IFERROR(__xludf.DUMMYFUNCTION("""COMPUTED_VALUE"""),"মোঃ আব্দুল গনি")</f>
        <v>মোঃ আব্দুল গনি</v>
      </c>
      <c r="F11" s="5" t="str">
        <f>IFERROR(__xludf.DUMMYFUNCTION("""COMPUTED_VALUE"""),"মোছাঃ রাবেয়া খাতুন")</f>
        <v>মোছাঃ রাবেয়া খাতুন</v>
      </c>
      <c r="G11" s="5" t="str">
        <f>IFERROR(__xludf.DUMMYFUNCTION("""COMPUTED_VALUE"""),"১০/০৮/১৯৮৩")</f>
        <v>১০/০৮/১৯৮৩</v>
      </c>
      <c r="H11" s="5" t="str">
        <f>IFERROR(__xludf.DUMMYFUNCTION("""COMPUTED_VALUE"""),"গৃহিনী")</f>
        <v>গৃহিনী</v>
      </c>
      <c r="I11" s="5" t="str">
        <f>IFERROR(__xludf.DUMMYFUNCTION("""COMPUTED_VALUE"""),"গাড়ীডোব")</f>
        <v>গাড়ীডোব</v>
      </c>
      <c r="J11" s="5" t="str">
        <f>IFERROR(__xludf.DUMMYFUNCTION("""COMPUTED_VALUE""")," গাংনী")</f>
        <v> গাংনী</v>
      </c>
      <c r="K11" s="5" t="str">
        <f>IFERROR(__xludf.DUMMYFUNCTION("""COMPUTED_VALUE""")," মেহেরপুর")</f>
        <v> মেহেরপুর</v>
      </c>
    </row>
    <row r="12" ht="15.75" customHeight="1">
      <c r="A12" s="6" t="s">
        <v>6880</v>
      </c>
      <c r="B12" s="5">
        <f>IFERROR(__xludf.DUMMYFUNCTION("SPLIT(A12,"","")"),1358.0)</f>
        <v>1358</v>
      </c>
      <c r="C12" s="5" t="str">
        <f>IFERROR(__xludf.DUMMYFUNCTION("""COMPUTED_VALUE"""),"মোছাঃ মুসলিমা খাতুন")</f>
        <v>মোছাঃ মুসলিমা খাতুন</v>
      </c>
      <c r="D12" s="5">
        <f>IFERROR(__xludf.DUMMYFUNCTION("""COMPUTED_VALUE"""),5.70038356215E11)</f>
        <v>570038356215</v>
      </c>
      <c r="E12" s="5" t="str">
        <f>IFERROR(__xludf.DUMMYFUNCTION("""COMPUTED_VALUE"""),"বাহার আলী")</f>
        <v>বাহার আলী</v>
      </c>
      <c r="F12" s="5" t="str">
        <f>IFERROR(__xludf.DUMMYFUNCTION("""COMPUTED_VALUE"""),"মোছাঃ হোয়তন")</f>
        <v>মোছাঃ হোয়তন</v>
      </c>
      <c r="G12" s="5" t="str">
        <f>IFERROR(__xludf.DUMMYFUNCTION("""COMPUTED_VALUE"""),"২০/০৮/১৯৮৭")</f>
        <v>২০/০৮/১৯৮৭</v>
      </c>
      <c r="H12" s="5" t="str">
        <f>IFERROR(__xludf.DUMMYFUNCTION("""COMPUTED_VALUE"""),"গৃহিনী")</f>
        <v>গৃহিনী</v>
      </c>
      <c r="I12" s="5" t="str">
        <f>IFERROR(__xludf.DUMMYFUNCTION("""COMPUTED_VALUE"""),"গাড়ীডোব")</f>
        <v>গাড়ীডোব</v>
      </c>
      <c r="J12" s="5" t="str">
        <f>IFERROR(__xludf.DUMMYFUNCTION("""COMPUTED_VALUE""")," গাংনী")</f>
        <v> গাংনী</v>
      </c>
      <c r="K12" s="5" t="str">
        <f>IFERROR(__xludf.DUMMYFUNCTION("""COMPUTED_VALUE""")," মেহেরপুর")</f>
        <v> মেহেরপুর</v>
      </c>
    </row>
    <row r="13" ht="15.75" customHeight="1">
      <c r="A13" s="6" t="s">
        <v>6881</v>
      </c>
      <c r="B13" s="5">
        <f>IFERROR(__xludf.DUMMYFUNCTION("SPLIT(A13,"","")"),1359.0)</f>
        <v>1359</v>
      </c>
      <c r="C13" s="5" t="str">
        <f>IFERROR(__xludf.DUMMYFUNCTION("""COMPUTED_VALUE"""),"মোছাঃ খাদেজা খাতুন")</f>
        <v>মোছাঃ খাদেজা খাতুন</v>
      </c>
      <c r="D13" s="5">
        <f>IFERROR(__xludf.DUMMYFUNCTION("""COMPUTED_VALUE"""),5.70038356217E11)</f>
        <v>570038356217</v>
      </c>
      <c r="E13" s="5" t="str">
        <f>IFERROR(__xludf.DUMMYFUNCTION("""COMPUTED_VALUE"""),"রফাত আলী শেখ")</f>
        <v>রফাত আলী শেখ</v>
      </c>
      <c r="F13" s="5" t="str">
        <f>IFERROR(__xludf.DUMMYFUNCTION("""COMPUTED_VALUE"""),"মোছাঃ সবুর নেছা")</f>
        <v>মোছাঃ সবুর নেছা</v>
      </c>
      <c r="G13" s="5" t="str">
        <f>IFERROR(__xludf.DUMMYFUNCTION("""COMPUTED_VALUE"""),"০২/০৩/১৯৬৯")</f>
        <v>০২/০৩/১৯৬৯</v>
      </c>
      <c r="H13" s="5" t="str">
        <f>IFERROR(__xludf.DUMMYFUNCTION("""COMPUTED_VALUE"""),"গৃহিনী")</f>
        <v>গৃহিনী</v>
      </c>
      <c r="I13" s="5" t="str">
        <f>IFERROR(__xludf.DUMMYFUNCTION("""COMPUTED_VALUE"""),"গাড়ীডোব")</f>
        <v>গাড়ীডোব</v>
      </c>
      <c r="J13" s="5" t="str">
        <f>IFERROR(__xludf.DUMMYFUNCTION("""COMPUTED_VALUE""")," গাংনী")</f>
        <v> গাংনী</v>
      </c>
      <c r="K13" s="5" t="str">
        <f>IFERROR(__xludf.DUMMYFUNCTION("""COMPUTED_VALUE""")," মেহেরপুর")</f>
        <v> মেহেরপুর</v>
      </c>
    </row>
    <row r="14" ht="15.75" customHeight="1">
      <c r="A14" s="6" t="s">
        <v>6882</v>
      </c>
      <c r="B14" s="5">
        <f>IFERROR(__xludf.DUMMYFUNCTION("SPLIT(A14,"","")"),1360.0)</f>
        <v>1360</v>
      </c>
      <c r="C14" s="5" t="str">
        <f>IFERROR(__xludf.DUMMYFUNCTION("""COMPUTED_VALUE"""),"মোছাঃ আদরী খাতুন")</f>
        <v>মোছাঃ আদরী খাতুন</v>
      </c>
      <c r="D14" s="5">
        <f>IFERROR(__xludf.DUMMYFUNCTION("""COMPUTED_VALUE"""),5.70038356218E11)</f>
        <v>570038356218</v>
      </c>
      <c r="E14" s="5" t="str">
        <f>IFERROR(__xludf.DUMMYFUNCTION("""COMPUTED_VALUE"""),"মোঃ আব্দুল কুদ্দুস")</f>
        <v>মোঃ আব্দুল কুদ্দুস</v>
      </c>
      <c r="F14" s="5" t="str">
        <f>IFERROR(__xludf.DUMMYFUNCTION("""COMPUTED_VALUE"""),"মোছাঃ জোসনা খাতুন")</f>
        <v>মোছাঃ জোসনা খাতুন</v>
      </c>
      <c r="G14" s="5" t="str">
        <f>IFERROR(__xludf.DUMMYFUNCTION("""COMPUTED_VALUE"""),"২৫/১০/১৯৮১")</f>
        <v>২৫/১০/১৯৮১</v>
      </c>
      <c r="H14" s="5" t="str">
        <f>IFERROR(__xludf.DUMMYFUNCTION("""COMPUTED_VALUE"""),"গৃহিনী")</f>
        <v>গৃহিনী</v>
      </c>
      <c r="I14" s="5" t="str">
        <f>IFERROR(__xludf.DUMMYFUNCTION("""COMPUTED_VALUE"""),"গাড়ীডোব")</f>
        <v>গাড়ীডোব</v>
      </c>
      <c r="J14" s="5" t="str">
        <f>IFERROR(__xludf.DUMMYFUNCTION("""COMPUTED_VALUE""")," গাংনী")</f>
        <v> গাংনী</v>
      </c>
      <c r="K14" s="5" t="str">
        <f>IFERROR(__xludf.DUMMYFUNCTION("""COMPUTED_VALUE""")," মেহেরপুর")</f>
        <v> মেহেরপুর</v>
      </c>
    </row>
    <row r="15" ht="15.75" customHeight="1">
      <c r="A15" s="6" t="s">
        <v>6883</v>
      </c>
      <c r="B15" s="5">
        <f>IFERROR(__xludf.DUMMYFUNCTION("SPLIT(A15,"","")"),1361.0)</f>
        <v>1361</v>
      </c>
      <c r="C15" s="5" t="str">
        <f>IFERROR(__xludf.DUMMYFUNCTION("""COMPUTED_VALUE"""),"মোছাঃ নাসিমা খাতুন")</f>
        <v>মোছাঃ নাসিমা খাতুন</v>
      </c>
      <c r="D15" s="5">
        <f>IFERROR(__xludf.DUMMYFUNCTION("""COMPUTED_VALUE"""),5.70038356219E11)</f>
        <v>570038356219</v>
      </c>
      <c r="E15" s="5" t="str">
        <f>IFERROR(__xludf.DUMMYFUNCTION("""COMPUTED_VALUE"""),"মোতালেব")</f>
        <v>মোতালেব</v>
      </c>
      <c r="F15" s="5" t="str">
        <f>IFERROR(__xludf.DUMMYFUNCTION("""COMPUTED_VALUE"""),"ময়না খাতুন")</f>
        <v>ময়না খাতুন</v>
      </c>
      <c r="G15" s="5" t="str">
        <f>IFERROR(__xludf.DUMMYFUNCTION("""COMPUTED_VALUE"""),"০২/০১/১৯৭০")</f>
        <v>০২/০১/১৯৭০</v>
      </c>
      <c r="H15" s="5" t="str">
        <f>IFERROR(__xludf.DUMMYFUNCTION("""COMPUTED_VALUE"""),"গৃহিনী")</f>
        <v>গৃহিনী</v>
      </c>
      <c r="I15" s="5" t="str">
        <f>IFERROR(__xludf.DUMMYFUNCTION("""COMPUTED_VALUE"""),"গাড়ীডোব")</f>
        <v>গাড়ীডোব</v>
      </c>
      <c r="J15" s="5" t="str">
        <f>IFERROR(__xludf.DUMMYFUNCTION("""COMPUTED_VALUE""")," গাংনী")</f>
        <v> গাংনী</v>
      </c>
      <c r="K15" s="5" t="str">
        <f>IFERROR(__xludf.DUMMYFUNCTION("""COMPUTED_VALUE""")," মেহেরপুর")</f>
        <v> মেহেরপুর</v>
      </c>
    </row>
    <row r="16" ht="15.75" customHeight="1">
      <c r="A16" s="6" t="s">
        <v>6884</v>
      </c>
      <c r="B16" s="5">
        <f>IFERROR(__xludf.DUMMYFUNCTION("SPLIT(A16,"","")"),1362.0)</f>
        <v>1362</v>
      </c>
      <c r="C16" s="5" t="str">
        <f>IFERROR(__xludf.DUMMYFUNCTION("""COMPUTED_VALUE"""),"মোছাঃ মাজেদা খাতুন")</f>
        <v>মোছাঃ মাজেদা খাতুন</v>
      </c>
      <c r="D16" s="5">
        <f>IFERROR(__xludf.DUMMYFUNCTION("""COMPUTED_VALUE"""),5.70038356221E11)</f>
        <v>570038356221</v>
      </c>
      <c r="E16" s="5" t="str">
        <f>IFERROR(__xludf.DUMMYFUNCTION("""COMPUTED_VALUE"""),"রুফাত আলী")</f>
        <v>রুফাত আলী</v>
      </c>
      <c r="F16" s="5" t="str">
        <f>IFERROR(__xludf.DUMMYFUNCTION("""COMPUTED_VALUE"""),"মোছাঃ সবুর নেছা")</f>
        <v>মোছাঃ সবুর নেছা</v>
      </c>
      <c r="G16" s="5" t="str">
        <f>IFERROR(__xludf.DUMMYFUNCTION("""COMPUTED_VALUE"""),"০৬/০২/১৯৬২")</f>
        <v>০৬/০২/১৯৬২</v>
      </c>
      <c r="H16" s="5" t="str">
        <f>IFERROR(__xludf.DUMMYFUNCTION("""COMPUTED_VALUE"""),"গৃহিনী")</f>
        <v>গৃহিনী</v>
      </c>
      <c r="I16" s="5" t="str">
        <f>IFERROR(__xludf.DUMMYFUNCTION("""COMPUTED_VALUE"""),"গাড়ীডোব")</f>
        <v>গাড়ীডোব</v>
      </c>
      <c r="J16" s="5" t="str">
        <f>IFERROR(__xludf.DUMMYFUNCTION("""COMPUTED_VALUE""")," গাংনী")</f>
        <v> গাংনী</v>
      </c>
      <c r="K16" s="5" t="str">
        <f>IFERROR(__xludf.DUMMYFUNCTION("""COMPUTED_VALUE""")," মেহেরপুর")</f>
        <v> মেহেরপুর</v>
      </c>
    </row>
    <row r="17" ht="15.75" customHeight="1">
      <c r="A17" s="6" t="s">
        <v>6885</v>
      </c>
      <c r="B17" s="5">
        <f>IFERROR(__xludf.DUMMYFUNCTION("SPLIT(A17,"","")"),1363.0)</f>
        <v>1363</v>
      </c>
      <c r="C17" s="5" t="str">
        <f>IFERROR(__xludf.DUMMYFUNCTION("""COMPUTED_VALUE"""),"মোছাঃ সবুর নেছা")</f>
        <v>মোছাঃ সবুর নেছা</v>
      </c>
      <c r="D17" s="5">
        <f>IFERROR(__xludf.DUMMYFUNCTION("""COMPUTED_VALUE"""),5.70038356222E11)</f>
        <v>570038356222</v>
      </c>
      <c r="E17" s="5" t="str">
        <f>IFERROR(__xludf.DUMMYFUNCTION("""COMPUTED_VALUE"""),"হিরু শেখ")</f>
        <v>হিরু শেখ</v>
      </c>
      <c r="F17" s="5" t="str">
        <f>IFERROR(__xludf.DUMMYFUNCTION("""COMPUTED_VALUE"""),"ছেরেজান")</f>
        <v>ছেরেজান</v>
      </c>
      <c r="G17" s="5" t="str">
        <f>IFERROR(__xludf.DUMMYFUNCTION("""COMPUTED_VALUE"""),"০১/০২/১৯৫০")</f>
        <v>০১/০২/১৯৫০</v>
      </c>
      <c r="H17" s="5" t="str">
        <f>IFERROR(__xludf.DUMMYFUNCTION("""COMPUTED_VALUE"""),"গৃহিনী")</f>
        <v>গৃহিনী</v>
      </c>
      <c r="I17" s="5" t="str">
        <f>IFERROR(__xludf.DUMMYFUNCTION("""COMPUTED_VALUE"""),"গাড়ীডোব")</f>
        <v>গাড়ীডোব</v>
      </c>
      <c r="J17" s="5" t="str">
        <f>IFERROR(__xludf.DUMMYFUNCTION("""COMPUTED_VALUE""")," গাংনী")</f>
        <v> গাংনী</v>
      </c>
      <c r="K17" s="5" t="str">
        <f>IFERROR(__xludf.DUMMYFUNCTION("""COMPUTED_VALUE""")," মেহেরপুর")</f>
        <v> মেহেরপুর</v>
      </c>
    </row>
    <row r="18" ht="15.75" customHeight="1">
      <c r="A18" s="6" t="s">
        <v>6886</v>
      </c>
      <c r="B18" s="5">
        <f>IFERROR(__xludf.DUMMYFUNCTION("SPLIT(A18,"","")"),1364.0)</f>
        <v>1364</v>
      </c>
      <c r="C18" s="5" t="str">
        <f>IFERROR(__xludf.DUMMYFUNCTION("""COMPUTED_VALUE"""),"মোছাঃ রুমিয়া খাতুন")</f>
        <v>মোছাঃ রুমিয়া খাতুন</v>
      </c>
      <c r="D18" s="5">
        <f>IFERROR(__xludf.DUMMYFUNCTION("""COMPUTED_VALUE"""),5.70038356223E11)</f>
        <v>570038356223</v>
      </c>
      <c r="E18" s="5" t="str">
        <f>IFERROR(__xludf.DUMMYFUNCTION("""COMPUTED_VALUE"""),"আব্দুল করিম মন্ডল")</f>
        <v>আব্দুল করিম মন্ডল</v>
      </c>
      <c r="F18" s="5" t="str">
        <f>IFERROR(__xludf.DUMMYFUNCTION("""COMPUTED_VALUE"""),"মোছাঃ রমেলা খাতুন")</f>
        <v>মোছাঃ রমেলা খাতুন</v>
      </c>
      <c r="G18" s="5" t="str">
        <f>IFERROR(__xludf.DUMMYFUNCTION("""COMPUTED_VALUE"""),"২১/১০/১৯৮৭")</f>
        <v>২১/১০/১৯৮৭</v>
      </c>
      <c r="H18" s="5" t="str">
        <f>IFERROR(__xludf.DUMMYFUNCTION("""COMPUTED_VALUE"""),"গৃহিনী")</f>
        <v>গৃহিনী</v>
      </c>
      <c r="I18" s="5" t="str">
        <f>IFERROR(__xludf.DUMMYFUNCTION("""COMPUTED_VALUE"""),"গাড়ীডোব")</f>
        <v>গাড়ীডোব</v>
      </c>
      <c r="J18" s="5" t="str">
        <f>IFERROR(__xludf.DUMMYFUNCTION("""COMPUTED_VALUE""")," গাংনী")</f>
        <v> গাংনী</v>
      </c>
      <c r="K18" s="5" t="str">
        <f>IFERROR(__xludf.DUMMYFUNCTION("""COMPUTED_VALUE""")," মেহেরপুর")</f>
        <v> মেহেরপুর</v>
      </c>
    </row>
    <row r="19" ht="15.75" customHeight="1">
      <c r="A19" s="6" t="s">
        <v>6887</v>
      </c>
      <c r="B19" s="5">
        <f>IFERROR(__xludf.DUMMYFUNCTION("SPLIT(A19,"","")"),1365.0)</f>
        <v>1365</v>
      </c>
      <c r="C19" s="5" t="str">
        <f>IFERROR(__xludf.DUMMYFUNCTION("""COMPUTED_VALUE"""),"মোছাঃ নিহারন খাতুন")</f>
        <v>মোছাঃ নিহারন খাতুন</v>
      </c>
      <c r="D19" s="5">
        <f>IFERROR(__xludf.DUMMYFUNCTION("""COMPUTED_VALUE"""),5.70038356224E11)</f>
        <v>570038356224</v>
      </c>
      <c r="E19" s="5" t="str">
        <f>IFERROR(__xludf.DUMMYFUNCTION("""COMPUTED_VALUE"""),"সদর উদ্দীন")</f>
        <v>সদর উদ্দীন</v>
      </c>
      <c r="F19" s="5" t="str">
        <f>IFERROR(__xludf.DUMMYFUNCTION("""COMPUTED_VALUE"""),"মোছাঃ রানী খাতুন")</f>
        <v>মোছাঃ রানী খাতুন</v>
      </c>
      <c r="G19" s="5" t="str">
        <f>IFERROR(__xludf.DUMMYFUNCTION("""COMPUTED_VALUE"""),"২৮/০৯/১৯৭৬")</f>
        <v>২৮/০৯/১৯৭৬</v>
      </c>
      <c r="H19" s="5" t="str">
        <f>IFERROR(__xludf.DUMMYFUNCTION("""COMPUTED_VALUE"""),"গৃহিনী")</f>
        <v>গৃহিনী</v>
      </c>
      <c r="I19" s="5" t="str">
        <f>IFERROR(__xludf.DUMMYFUNCTION("""COMPUTED_VALUE"""),"গাড়ীডোব")</f>
        <v>গাড়ীডোব</v>
      </c>
      <c r="J19" s="5" t="str">
        <f>IFERROR(__xludf.DUMMYFUNCTION("""COMPUTED_VALUE""")," গাংনী")</f>
        <v> গাংনী</v>
      </c>
      <c r="K19" s="5" t="str">
        <f>IFERROR(__xludf.DUMMYFUNCTION("""COMPUTED_VALUE""")," মেহেরপুর")</f>
        <v> মেহেরপুর</v>
      </c>
    </row>
    <row r="20" ht="15.75" customHeight="1">
      <c r="A20" s="6" t="s">
        <v>6888</v>
      </c>
      <c r="B20" s="5">
        <f>IFERROR(__xludf.DUMMYFUNCTION("SPLIT(A20,"","")"),1366.0)</f>
        <v>1366</v>
      </c>
      <c r="C20" s="5" t="str">
        <f>IFERROR(__xludf.DUMMYFUNCTION("""COMPUTED_VALUE"""),"মোছাঃ কনা খাতুন")</f>
        <v>মোছাঃ কনা খাতুন</v>
      </c>
      <c r="D20" s="5">
        <f>IFERROR(__xludf.DUMMYFUNCTION("""COMPUTED_VALUE"""),5.70038356227E11)</f>
        <v>570038356227</v>
      </c>
      <c r="E20" s="5" t="str">
        <f>IFERROR(__xludf.DUMMYFUNCTION("""COMPUTED_VALUE"""),"মোঃ হজরত আলী")</f>
        <v>মোঃ হজরত আলী</v>
      </c>
      <c r="F20" s="5" t="str">
        <f>IFERROR(__xludf.DUMMYFUNCTION("""COMPUTED_VALUE"""),"মোছাঃ নফুরা খাতুন")</f>
        <v>মোছাঃ নফুরা খাতুন</v>
      </c>
      <c r="G20" s="5" t="str">
        <f>IFERROR(__xludf.DUMMYFUNCTION("""COMPUTED_VALUE"""),"০১/০২/১৯৮৩")</f>
        <v>০১/০২/১৯৮৩</v>
      </c>
      <c r="H20" s="5" t="str">
        <f>IFERROR(__xludf.DUMMYFUNCTION("""COMPUTED_VALUE"""),"গৃহিনী")</f>
        <v>গৃহিনী</v>
      </c>
      <c r="I20" s="5" t="str">
        <f>IFERROR(__xludf.DUMMYFUNCTION("""COMPUTED_VALUE"""),"গাড়ীডোব")</f>
        <v>গাড়ীডোব</v>
      </c>
      <c r="J20" s="5" t="str">
        <f>IFERROR(__xludf.DUMMYFUNCTION("""COMPUTED_VALUE""")," গাংনী")</f>
        <v> গাংনী</v>
      </c>
      <c r="K20" s="5" t="str">
        <f>IFERROR(__xludf.DUMMYFUNCTION("""COMPUTED_VALUE""")," মেহেরপুর")</f>
        <v> মেহেরপুর</v>
      </c>
    </row>
    <row r="21" ht="15.75" customHeight="1">
      <c r="A21" s="6" t="s">
        <v>6889</v>
      </c>
      <c r="B21" s="5">
        <f>IFERROR(__xludf.DUMMYFUNCTION("SPLIT(A21,"","")"),1367.0)</f>
        <v>1367</v>
      </c>
      <c r="C21" s="5" t="str">
        <f>IFERROR(__xludf.DUMMYFUNCTION("""COMPUTED_VALUE"""),"মোছাঃ মাহিরন খাতুন")</f>
        <v>মোছাঃ মাহিরন খাতুন</v>
      </c>
      <c r="D21" s="5">
        <f>IFERROR(__xludf.DUMMYFUNCTION("""COMPUTED_VALUE"""),5.70038356229E11)</f>
        <v>570038356229</v>
      </c>
      <c r="E21" s="5" t="str">
        <f>IFERROR(__xludf.DUMMYFUNCTION("""COMPUTED_VALUE"""),"মোঃ মফেজ মোল্লা")</f>
        <v>মোঃ মফেজ মোল্লা</v>
      </c>
      <c r="F21" s="5" t="str">
        <f>IFERROR(__xludf.DUMMYFUNCTION("""COMPUTED_VALUE"""),"মোছাঃ আমেদা খাতুন")</f>
        <v>মোছাঃ আমেদা খাতুন</v>
      </c>
      <c r="G21" s="5" t="str">
        <f>IFERROR(__xludf.DUMMYFUNCTION("""COMPUTED_VALUE"""),"০৫/০৩/১৯৬৯")</f>
        <v>০৫/০৩/১৯৬৯</v>
      </c>
      <c r="H21" s="5" t="str">
        <f>IFERROR(__xludf.DUMMYFUNCTION("""COMPUTED_VALUE"""),"গৃহিনী")</f>
        <v>গৃহিনী</v>
      </c>
      <c r="I21" s="5" t="str">
        <f>IFERROR(__xludf.DUMMYFUNCTION("""COMPUTED_VALUE"""),"গাড়ীডোব")</f>
        <v>গাড়ীডোব</v>
      </c>
      <c r="J21" s="5" t="str">
        <f>IFERROR(__xludf.DUMMYFUNCTION("""COMPUTED_VALUE""")," গাংনী")</f>
        <v> গাংনী</v>
      </c>
      <c r="K21" s="5" t="str">
        <f>IFERROR(__xludf.DUMMYFUNCTION("""COMPUTED_VALUE""")," মেহেরপুর")</f>
        <v> মেহেরপুর</v>
      </c>
    </row>
    <row r="22" ht="15.75" customHeight="1">
      <c r="A22" s="6" t="s">
        <v>6890</v>
      </c>
      <c r="B22" s="5">
        <f>IFERROR(__xludf.DUMMYFUNCTION("SPLIT(A22,"","")"),1368.0)</f>
        <v>1368</v>
      </c>
      <c r="C22" s="5" t="str">
        <f>IFERROR(__xludf.DUMMYFUNCTION("""COMPUTED_VALUE"""),"মোছাঃ আসমা খাতুন")</f>
        <v>মোছাঃ আসমা খাতুন</v>
      </c>
      <c r="D22" s="5">
        <f>IFERROR(__xludf.DUMMYFUNCTION("""COMPUTED_VALUE"""),5.7003835623E11)</f>
        <v>570038356230</v>
      </c>
      <c r="E22" s="5" t="str">
        <f>IFERROR(__xludf.DUMMYFUNCTION("""COMPUTED_VALUE"""),"মেয়াল মন্ডল")</f>
        <v>মেয়াল মন্ডল</v>
      </c>
      <c r="F22" s="5" t="str">
        <f>IFERROR(__xludf.DUMMYFUNCTION("""COMPUTED_VALUE"""),"মোছাঃ মনোয়ারা খাতুন")</f>
        <v>মোছাঃ মনোয়ারা খাতুন</v>
      </c>
      <c r="G22" s="5" t="str">
        <f>IFERROR(__xludf.DUMMYFUNCTION("""COMPUTED_VALUE"""),"০২/০১/১৯৬৯")</f>
        <v>০২/০১/১৯৬৯</v>
      </c>
      <c r="H22" s="5" t="str">
        <f>IFERROR(__xludf.DUMMYFUNCTION("""COMPUTED_VALUE"""),"গৃহিনী")</f>
        <v>গৃহিনী</v>
      </c>
      <c r="I22" s="5" t="str">
        <f>IFERROR(__xludf.DUMMYFUNCTION("""COMPUTED_VALUE"""),"গাড়ীডোব")</f>
        <v>গাড়ীডোব</v>
      </c>
      <c r="J22" s="5" t="str">
        <f>IFERROR(__xludf.DUMMYFUNCTION("""COMPUTED_VALUE""")," গাংনী")</f>
        <v> গাংনী</v>
      </c>
      <c r="K22" s="5" t="str">
        <f>IFERROR(__xludf.DUMMYFUNCTION("""COMPUTED_VALUE""")," মেহেরপুর")</f>
        <v> মেহেরপুর</v>
      </c>
    </row>
    <row r="23" ht="15.75" customHeight="1">
      <c r="A23" s="6" t="s">
        <v>6891</v>
      </c>
      <c r="B23" s="5">
        <f>IFERROR(__xludf.DUMMYFUNCTION("SPLIT(A23,"","")"),1369.0)</f>
        <v>1369</v>
      </c>
      <c r="C23" s="5" t="str">
        <f>IFERROR(__xludf.DUMMYFUNCTION("""COMPUTED_VALUE"""),"মোছাঃ রাবেয়া খাতুন")</f>
        <v>মোছাঃ রাবেয়া খাতুন</v>
      </c>
      <c r="D23" s="5">
        <f>IFERROR(__xludf.DUMMYFUNCTION("""COMPUTED_VALUE"""),5.70038356231E11)</f>
        <v>570038356231</v>
      </c>
      <c r="E23" s="5" t="str">
        <f>IFERROR(__xludf.DUMMYFUNCTION("""COMPUTED_VALUE"""),"শাহাদত হোসেন")</f>
        <v>শাহাদত হোসেন</v>
      </c>
      <c r="F23" s="5" t="str">
        <f>IFERROR(__xludf.DUMMYFUNCTION("""COMPUTED_VALUE"""),"মোছাঃ রহিমা খাতুন")</f>
        <v>মোছাঃ রহিমা খাতুন</v>
      </c>
      <c r="G23" s="5" t="str">
        <f>IFERROR(__xludf.DUMMYFUNCTION("""COMPUTED_VALUE"""),"০৩/০১/১৯৪৫")</f>
        <v>০৩/০১/১৯৪৫</v>
      </c>
      <c r="H23" s="5" t="str">
        <f>IFERROR(__xludf.DUMMYFUNCTION("""COMPUTED_VALUE"""),"গৃহিনী")</f>
        <v>গৃহিনী</v>
      </c>
      <c r="I23" s="5" t="str">
        <f>IFERROR(__xludf.DUMMYFUNCTION("""COMPUTED_VALUE"""),"গাড়ীডোব")</f>
        <v>গাড়ীডোব</v>
      </c>
      <c r="J23" s="5" t="str">
        <f>IFERROR(__xludf.DUMMYFUNCTION("""COMPUTED_VALUE""")," গাংনী")</f>
        <v> গাংনী</v>
      </c>
      <c r="K23" s="5" t="str">
        <f>IFERROR(__xludf.DUMMYFUNCTION("""COMPUTED_VALUE""")," মেহেরপুর")</f>
        <v> মেহেরপুর</v>
      </c>
    </row>
    <row r="24" ht="15.75" customHeight="1">
      <c r="A24" s="6" t="s">
        <v>6892</v>
      </c>
      <c r="B24" s="5">
        <f>IFERROR(__xludf.DUMMYFUNCTION("SPLIT(A24,"","")"),1370.0)</f>
        <v>1370</v>
      </c>
      <c r="C24" s="5" t="str">
        <f>IFERROR(__xludf.DUMMYFUNCTION("""COMPUTED_VALUE"""),"মোছাঃ হামেদা খাতুন")</f>
        <v>মোছাঃ হামেদা খাতুন</v>
      </c>
      <c r="D24" s="5">
        <f>IFERROR(__xludf.DUMMYFUNCTION("""COMPUTED_VALUE"""),5.70038356233E11)</f>
        <v>570038356233</v>
      </c>
      <c r="E24" s="5" t="str">
        <f>IFERROR(__xludf.DUMMYFUNCTION("""COMPUTED_VALUE"""),"শাহাদত হোসেন")</f>
        <v>শাহাদত হোসেন</v>
      </c>
      <c r="F24" s="5" t="str">
        <f>IFERROR(__xludf.DUMMYFUNCTION("""COMPUTED_VALUE"""),"মোছাঃ রহিমা খাতুন")</f>
        <v>মোছাঃ রহিমা খাতুন</v>
      </c>
      <c r="G24" s="5" t="str">
        <f>IFERROR(__xludf.DUMMYFUNCTION("""COMPUTED_VALUE"""),"০৭/০২/১৯৭২")</f>
        <v>০৭/০২/১৯৭২</v>
      </c>
      <c r="H24" s="5" t="str">
        <f>IFERROR(__xludf.DUMMYFUNCTION("""COMPUTED_VALUE"""),"গৃহিনী")</f>
        <v>গৃহিনী</v>
      </c>
      <c r="I24" s="5" t="str">
        <f>IFERROR(__xludf.DUMMYFUNCTION("""COMPUTED_VALUE"""),"গাড়ীডোব")</f>
        <v>গাড়ীডোব</v>
      </c>
      <c r="J24" s="5" t="str">
        <f>IFERROR(__xludf.DUMMYFUNCTION("""COMPUTED_VALUE""")," গাংনী")</f>
        <v> গাংনী</v>
      </c>
      <c r="K24" s="5" t="str">
        <f>IFERROR(__xludf.DUMMYFUNCTION("""COMPUTED_VALUE""")," মেহেরপুর")</f>
        <v> মেহেরপুর</v>
      </c>
    </row>
    <row r="25" ht="15.75" customHeight="1">
      <c r="A25" s="6" t="s">
        <v>6893</v>
      </c>
      <c r="B25" s="5">
        <f>IFERROR(__xludf.DUMMYFUNCTION("SPLIT(A25,"","")"),1371.0)</f>
        <v>1371</v>
      </c>
      <c r="C25" s="5" t="str">
        <f>IFERROR(__xludf.DUMMYFUNCTION("""COMPUTED_VALUE"""),"মোছাঃ রহিদা খাতুন")</f>
        <v>মোছাঃ রহিদা খাতুন</v>
      </c>
      <c r="D25" s="5">
        <f>IFERROR(__xludf.DUMMYFUNCTION("""COMPUTED_VALUE"""),5.70038356234E11)</f>
        <v>570038356234</v>
      </c>
      <c r="E25" s="5" t="str">
        <f>IFERROR(__xludf.DUMMYFUNCTION("""COMPUTED_VALUE"""),"খোদা বক্স")</f>
        <v>খোদা বক্স</v>
      </c>
      <c r="F25" s="5" t="str">
        <f>IFERROR(__xludf.DUMMYFUNCTION("""COMPUTED_VALUE"""),"ঝুঁকি খাতুন")</f>
        <v>ঝুঁকি খাতুন</v>
      </c>
      <c r="G25" s="5" t="str">
        <f>IFERROR(__xludf.DUMMYFUNCTION("""COMPUTED_VALUE"""),"১০/০৫/১৯৭৩")</f>
        <v>১০/০৫/১৯৭৩</v>
      </c>
      <c r="H25" s="5" t="str">
        <f>IFERROR(__xludf.DUMMYFUNCTION("""COMPUTED_VALUE"""),"গৃহিনী")</f>
        <v>গৃহিনী</v>
      </c>
      <c r="I25" s="5" t="str">
        <f>IFERROR(__xludf.DUMMYFUNCTION("""COMPUTED_VALUE"""),"গাড়ীডোব")</f>
        <v>গাড়ীডোব</v>
      </c>
      <c r="J25" s="5" t="str">
        <f>IFERROR(__xludf.DUMMYFUNCTION("""COMPUTED_VALUE""")," গাংনী")</f>
        <v> গাংনী</v>
      </c>
      <c r="K25" s="5" t="str">
        <f>IFERROR(__xludf.DUMMYFUNCTION("""COMPUTED_VALUE""")," মেহেরপুর")</f>
        <v> মেহেরপুর</v>
      </c>
    </row>
    <row r="26" ht="15.75" customHeight="1">
      <c r="A26" s="6" t="s">
        <v>6894</v>
      </c>
      <c r="B26" s="5">
        <f>IFERROR(__xludf.DUMMYFUNCTION("SPLIT(A26,"","")"),1372.0)</f>
        <v>1372</v>
      </c>
      <c r="C26" s="5" t="str">
        <f>IFERROR(__xludf.DUMMYFUNCTION("""COMPUTED_VALUE"""),"মোছাঃ রওশন আরা")</f>
        <v>মোছাঃ রওশন আরা</v>
      </c>
      <c r="D26" s="5">
        <f>IFERROR(__xludf.DUMMYFUNCTION("""COMPUTED_VALUE"""),5.70038356235E11)</f>
        <v>570038356235</v>
      </c>
      <c r="E26" s="5" t="str">
        <f>IFERROR(__xludf.DUMMYFUNCTION("""COMPUTED_VALUE"""),"রমজান মন্ডল")</f>
        <v>রমজান মন্ডল</v>
      </c>
      <c r="F26" s="5" t="str">
        <f>IFERROR(__xludf.DUMMYFUNCTION("""COMPUTED_VALUE"""),"মোছাঃ আছিয়া খাতুন")</f>
        <v>মোছাঃ আছিয়া খাতুন</v>
      </c>
      <c r="G26" s="5" t="str">
        <f>IFERROR(__xludf.DUMMYFUNCTION("""COMPUTED_VALUE"""),"১৫/১০/১৯৬৫")</f>
        <v>১৫/১০/১৯৬৫</v>
      </c>
      <c r="H26" s="5" t="str">
        <f>IFERROR(__xludf.DUMMYFUNCTION("""COMPUTED_VALUE"""),"গৃহিনী")</f>
        <v>গৃহিনী</v>
      </c>
      <c r="I26" s="5" t="str">
        <f>IFERROR(__xludf.DUMMYFUNCTION("""COMPUTED_VALUE"""),"গাড়ীডোব")</f>
        <v>গাড়ীডোব</v>
      </c>
      <c r="J26" s="5" t="str">
        <f>IFERROR(__xludf.DUMMYFUNCTION("""COMPUTED_VALUE""")," গাংনী")</f>
        <v> গাংনী</v>
      </c>
      <c r="K26" s="5" t="str">
        <f>IFERROR(__xludf.DUMMYFUNCTION("""COMPUTED_VALUE""")," মেহেরপুর")</f>
        <v> মেহেরপুর</v>
      </c>
    </row>
    <row r="27" ht="15.75" customHeight="1">
      <c r="A27" s="6" t="s">
        <v>6895</v>
      </c>
      <c r="B27" s="5">
        <f>IFERROR(__xludf.DUMMYFUNCTION("SPLIT(A27,"","")"),1373.0)</f>
        <v>1373</v>
      </c>
      <c r="C27" s="5" t="str">
        <f>IFERROR(__xludf.DUMMYFUNCTION("""COMPUTED_VALUE"""),"মোছাঃ জহুরা খাতুন")</f>
        <v>মোছাঃ জহুরা খাতুন</v>
      </c>
      <c r="D27" s="5">
        <f>IFERROR(__xludf.DUMMYFUNCTION("""COMPUTED_VALUE"""),5.70038356236E11)</f>
        <v>570038356236</v>
      </c>
      <c r="E27" s="5" t="str">
        <f>IFERROR(__xludf.DUMMYFUNCTION("""COMPUTED_VALUE"""),"ওলি আহমেদ")</f>
        <v>ওলি আহমেদ</v>
      </c>
      <c r="F27" s="5" t="str">
        <f>IFERROR(__xludf.DUMMYFUNCTION("""COMPUTED_VALUE"""),"মোছাঃ পরিস্কার খাতুন")</f>
        <v>মোছাঃ পরিস্কার খাতুন</v>
      </c>
      <c r="G27" s="5" t="str">
        <f>IFERROR(__xludf.DUMMYFUNCTION("""COMPUTED_VALUE"""),"০৭/০৩/১৯৮২")</f>
        <v>০৭/০৩/১৯৮২</v>
      </c>
      <c r="H27" s="5" t="str">
        <f>IFERROR(__xludf.DUMMYFUNCTION("""COMPUTED_VALUE"""),"গৃহিনী")</f>
        <v>গৃহিনী</v>
      </c>
      <c r="I27" s="5" t="str">
        <f>IFERROR(__xludf.DUMMYFUNCTION("""COMPUTED_VALUE"""),"গাড়ীডোব")</f>
        <v>গাড়ীডোব</v>
      </c>
      <c r="J27" s="5" t="str">
        <f>IFERROR(__xludf.DUMMYFUNCTION("""COMPUTED_VALUE""")," গাংনী")</f>
        <v> গাংনী</v>
      </c>
      <c r="K27" s="5" t="str">
        <f>IFERROR(__xludf.DUMMYFUNCTION("""COMPUTED_VALUE""")," মেহেরপুর")</f>
        <v> মেহেরপুর</v>
      </c>
    </row>
    <row r="28" ht="15.75" customHeight="1">
      <c r="A28" s="6" t="s">
        <v>6896</v>
      </c>
      <c r="B28" s="5">
        <f>IFERROR(__xludf.DUMMYFUNCTION("SPLIT(A28,"","")"),1374.0)</f>
        <v>1374</v>
      </c>
      <c r="C28" s="5" t="str">
        <f>IFERROR(__xludf.DUMMYFUNCTION("""COMPUTED_VALUE"""),"মোছাঃ তহমিনা খাতুন")</f>
        <v>মোছাঃ তহমিনা খাতুন</v>
      </c>
      <c r="D28" s="5">
        <f>IFERROR(__xludf.DUMMYFUNCTION("""COMPUTED_VALUE"""),5.70038356237E11)</f>
        <v>570038356237</v>
      </c>
      <c r="E28" s="5" t="str">
        <f>IFERROR(__xludf.DUMMYFUNCTION("""COMPUTED_VALUE"""),"মোঃ হিসাব মন্ডল")</f>
        <v>মোঃ হিসাব মন্ডল</v>
      </c>
      <c r="F28" s="5" t="str">
        <f>IFERROR(__xludf.DUMMYFUNCTION("""COMPUTED_VALUE"""),"মোছাঃ মরিয়ম খাতুন")</f>
        <v>মোছাঃ মরিয়ম খাতুন</v>
      </c>
      <c r="G28" s="5" t="str">
        <f>IFERROR(__xludf.DUMMYFUNCTION("""COMPUTED_VALUE"""),"০২/০১/১৯৮২")</f>
        <v>০২/০১/১৯৮২</v>
      </c>
      <c r="H28" s="5" t="str">
        <f>IFERROR(__xludf.DUMMYFUNCTION("""COMPUTED_VALUE"""),"গৃহিনী")</f>
        <v>গৃহিনী</v>
      </c>
      <c r="I28" s="5" t="str">
        <f>IFERROR(__xludf.DUMMYFUNCTION("""COMPUTED_VALUE"""),"গাড়ীডোব")</f>
        <v>গাড়ীডোব</v>
      </c>
      <c r="J28" s="5" t="str">
        <f>IFERROR(__xludf.DUMMYFUNCTION("""COMPUTED_VALUE""")," গাংনী")</f>
        <v> গাংনী</v>
      </c>
      <c r="K28" s="5" t="str">
        <f>IFERROR(__xludf.DUMMYFUNCTION("""COMPUTED_VALUE""")," মেহেরপুর")</f>
        <v> মেহেরপুর</v>
      </c>
    </row>
    <row r="29" ht="15.75" customHeight="1">
      <c r="A29" s="6" t="s">
        <v>6897</v>
      </c>
      <c r="B29" s="5">
        <f>IFERROR(__xludf.DUMMYFUNCTION("SPLIT(A29,"","")"),1375.0)</f>
        <v>1375</v>
      </c>
      <c r="C29" s="5" t="str">
        <f>IFERROR(__xludf.DUMMYFUNCTION("""COMPUTED_VALUE"""),"মোছাঃ তসলিমা খাতুন")</f>
        <v>মোছাঃ তসলিমা খাতুন</v>
      </c>
      <c r="D29" s="5">
        <f>IFERROR(__xludf.DUMMYFUNCTION("""COMPUTED_VALUE"""),5.70038356239E11)</f>
        <v>570038356239</v>
      </c>
      <c r="E29" s="5" t="str">
        <f>IFERROR(__xludf.DUMMYFUNCTION("""COMPUTED_VALUE"""),"মোঃ খোদা বক্স")</f>
        <v>মোঃ খোদা বক্স</v>
      </c>
      <c r="F29" s="5" t="str">
        <f>IFERROR(__xludf.DUMMYFUNCTION("""COMPUTED_VALUE"""),"মোছাঃ আনোয়ারা খাতুন")</f>
        <v>মোছাঃ আনোয়ারা খাতুন</v>
      </c>
      <c r="G29" s="5" t="str">
        <f>IFERROR(__xludf.DUMMYFUNCTION("""COMPUTED_VALUE"""),"০৯/০৩/১৯৬৪")</f>
        <v>০৯/০৩/১৯৬৪</v>
      </c>
      <c r="H29" s="5" t="str">
        <f>IFERROR(__xludf.DUMMYFUNCTION("""COMPUTED_VALUE"""),"গৃহিনী")</f>
        <v>গৃহিনী</v>
      </c>
      <c r="I29" s="5" t="str">
        <f>IFERROR(__xludf.DUMMYFUNCTION("""COMPUTED_VALUE"""),"গাড়ীডোব")</f>
        <v>গাড়ীডোব</v>
      </c>
      <c r="J29" s="5" t="str">
        <f>IFERROR(__xludf.DUMMYFUNCTION("""COMPUTED_VALUE""")," গাংনী")</f>
        <v> গাংনী</v>
      </c>
      <c r="K29" s="5" t="str">
        <f>IFERROR(__xludf.DUMMYFUNCTION("""COMPUTED_VALUE""")," মেহেরপুর")</f>
        <v> মেহেরপুর</v>
      </c>
    </row>
    <row r="30" ht="15.75" customHeight="1">
      <c r="A30" s="6" t="s">
        <v>6898</v>
      </c>
      <c r="B30" s="5">
        <f>IFERROR(__xludf.DUMMYFUNCTION("SPLIT(A30,"","")"),1376.0)</f>
        <v>1376</v>
      </c>
      <c r="C30" s="5" t="str">
        <f>IFERROR(__xludf.DUMMYFUNCTION("""COMPUTED_VALUE"""),"মোছাঃ ইসরাফন নেছা")</f>
        <v>মোছাঃ ইসরাফন নেছা</v>
      </c>
      <c r="D30" s="5">
        <f>IFERROR(__xludf.DUMMYFUNCTION("""COMPUTED_VALUE"""),5.7003835624E11)</f>
        <v>570038356240</v>
      </c>
      <c r="E30" s="5" t="str">
        <f>IFERROR(__xludf.DUMMYFUNCTION("""COMPUTED_VALUE"""),"একতার আলী")</f>
        <v>একতার আলী</v>
      </c>
      <c r="F30" s="5" t="str">
        <f>IFERROR(__xludf.DUMMYFUNCTION("""COMPUTED_VALUE"""),"মোছাঃ রহিমা খাতুন")</f>
        <v>মোছাঃ রহিমা খাতুন</v>
      </c>
      <c r="G30" s="5" t="str">
        <f>IFERROR(__xludf.DUMMYFUNCTION("""COMPUTED_VALUE"""),"১২/১০/১৯৮২")</f>
        <v>১২/১০/১৯৮২</v>
      </c>
      <c r="H30" s="5" t="str">
        <f>IFERROR(__xludf.DUMMYFUNCTION("""COMPUTED_VALUE"""),"গৃহিনী")</f>
        <v>গৃহিনী</v>
      </c>
      <c r="I30" s="5" t="str">
        <f>IFERROR(__xludf.DUMMYFUNCTION("""COMPUTED_VALUE"""),"গাড়ীডোব")</f>
        <v>গাড়ীডোব</v>
      </c>
      <c r="J30" s="5" t="str">
        <f>IFERROR(__xludf.DUMMYFUNCTION("""COMPUTED_VALUE""")," গাংনী")</f>
        <v> গাংনী</v>
      </c>
      <c r="K30" s="5" t="str">
        <f>IFERROR(__xludf.DUMMYFUNCTION("""COMPUTED_VALUE""")," মেহেরপুর")</f>
        <v> মেহেরপুর</v>
      </c>
    </row>
    <row r="31" ht="15.75" customHeight="1">
      <c r="A31" s="6" t="s">
        <v>6899</v>
      </c>
      <c r="B31" s="5">
        <f>IFERROR(__xludf.DUMMYFUNCTION("SPLIT(A31,"","")"),1377.0)</f>
        <v>1377</v>
      </c>
      <c r="C31" s="5" t="str">
        <f>IFERROR(__xludf.DUMMYFUNCTION("""COMPUTED_VALUE"""),"মোছাঃ কহিনুর আক্তার")</f>
        <v>মোছাঃ কহিনুর আক্তার</v>
      </c>
      <c r="D31" s="5">
        <f>IFERROR(__xludf.DUMMYFUNCTION("""COMPUTED_VALUE"""),5.70038356244E11)</f>
        <v>570038356244</v>
      </c>
      <c r="E31" s="5" t="str">
        <f>IFERROR(__xludf.DUMMYFUNCTION("""COMPUTED_VALUE"""),"মোঃ কিতাব আলী")</f>
        <v>মোঃ কিতাব আলী</v>
      </c>
      <c r="F31" s="5" t="str">
        <f>IFERROR(__xludf.DUMMYFUNCTION("""COMPUTED_VALUE"""),"মোছাঃ ইসরাফন নেছা")</f>
        <v>মোছাঃ ইসরাফন নেছা</v>
      </c>
      <c r="G31" s="5" t="str">
        <f>IFERROR(__xludf.DUMMYFUNCTION("""COMPUTED_VALUE"""),"১০/০৯/১৯৮৪")</f>
        <v>১০/০৯/১৯৮৪</v>
      </c>
      <c r="H31" s="5" t="str">
        <f>IFERROR(__xludf.DUMMYFUNCTION("""COMPUTED_VALUE"""),"গৃহিনী")</f>
        <v>গৃহিনী</v>
      </c>
      <c r="I31" s="5" t="str">
        <f>IFERROR(__xludf.DUMMYFUNCTION("""COMPUTED_VALUE"""),"গাড়ীডোব")</f>
        <v>গাড়ীডোব</v>
      </c>
      <c r="J31" s="5" t="str">
        <f>IFERROR(__xludf.DUMMYFUNCTION("""COMPUTED_VALUE""")," গাংনী")</f>
        <v> গাংনী</v>
      </c>
      <c r="K31" s="5" t="str">
        <f>IFERROR(__xludf.DUMMYFUNCTION("""COMPUTED_VALUE""")," মেহেরপুর")</f>
        <v> মেহেরপুর</v>
      </c>
    </row>
    <row r="32" ht="15.75" customHeight="1">
      <c r="A32" s="6" t="s">
        <v>6900</v>
      </c>
      <c r="B32" s="5">
        <f>IFERROR(__xludf.DUMMYFUNCTION("SPLIT(A32,"","")"),1378.0)</f>
        <v>1378</v>
      </c>
      <c r="C32" s="5" t="str">
        <f>IFERROR(__xludf.DUMMYFUNCTION("""COMPUTED_VALUE"""),"মোছাঃ আল্লাহি খাতুন")</f>
        <v>মোছাঃ আল্লাহি খাতুন</v>
      </c>
      <c r="D32" s="5">
        <f>IFERROR(__xludf.DUMMYFUNCTION("""COMPUTED_VALUE"""),5.70038356245E11)</f>
        <v>570038356245</v>
      </c>
      <c r="E32" s="5" t="str">
        <f>IFERROR(__xludf.DUMMYFUNCTION("""COMPUTED_VALUE"""),"তাসের আলী")</f>
        <v>তাসের আলী</v>
      </c>
      <c r="F32" s="5" t="str">
        <f>IFERROR(__xludf.DUMMYFUNCTION("""COMPUTED_VALUE"""),"মোছাঃ মেহেরন")</f>
        <v>মোছাঃ মেহেরন</v>
      </c>
      <c r="G32" s="5" t="str">
        <f>IFERROR(__xludf.DUMMYFUNCTION("""COMPUTED_VALUE"""),"০৫/০২/১৯৬২")</f>
        <v>০৫/০২/১৯৬২</v>
      </c>
      <c r="H32" s="5" t="str">
        <f>IFERROR(__xludf.DUMMYFUNCTION("""COMPUTED_VALUE"""),"গৃহিনী")</f>
        <v>গৃহিনী</v>
      </c>
      <c r="I32" s="5" t="str">
        <f>IFERROR(__xludf.DUMMYFUNCTION("""COMPUTED_VALUE"""),"গাড়ীডোব")</f>
        <v>গাড়ীডোব</v>
      </c>
      <c r="J32" s="5" t="str">
        <f>IFERROR(__xludf.DUMMYFUNCTION("""COMPUTED_VALUE""")," গাংনী")</f>
        <v> গাংনী</v>
      </c>
      <c r="K32" s="5" t="str">
        <f>IFERROR(__xludf.DUMMYFUNCTION("""COMPUTED_VALUE""")," মেহেরপুর")</f>
        <v> মেহেরপুর</v>
      </c>
    </row>
    <row r="33" ht="15.75" customHeight="1">
      <c r="A33" s="6" t="s">
        <v>6901</v>
      </c>
      <c r="B33" s="5">
        <f>IFERROR(__xludf.DUMMYFUNCTION("SPLIT(A33,"","")"),1379.0)</f>
        <v>1379</v>
      </c>
      <c r="C33" s="5" t="str">
        <f>IFERROR(__xludf.DUMMYFUNCTION("""COMPUTED_VALUE"""),"মোছাঃ সাজেদা খাতুন")</f>
        <v>মোছাঃ সাজেদা খাতুন</v>
      </c>
      <c r="D33" s="5">
        <f>IFERROR(__xludf.DUMMYFUNCTION("""COMPUTED_VALUE"""),5.70038356246E11)</f>
        <v>570038356246</v>
      </c>
      <c r="E33" s="5" t="str">
        <f>IFERROR(__xludf.DUMMYFUNCTION("""COMPUTED_VALUE"""),"মকছেদ আলী")</f>
        <v>মকছেদ আলী</v>
      </c>
      <c r="F33" s="5" t="str">
        <f>IFERROR(__xludf.DUMMYFUNCTION("""COMPUTED_VALUE"""),"মোছাঃ ফজিলাতুন নেছা")</f>
        <v>মোছাঃ ফজিলাতুন নেছা</v>
      </c>
      <c r="G33" s="5" t="str">
        <f>IFERROR(__xludf.DUMMYFUNCTION("""COMPUTED_VALUE"""),"১০/০২/১৯৬৫")</f>
        <v>১০/০২/১৯৬৫</v>
      </c>
      <c r="H33" s="5" t="str">
        <f>IFERROR(__xludf.DUMMYFUNCTION("""COMPUTED_VALUE"""),"গৃহিনী")</f>
        <v>গৃহিনী</v>
      </c>
      <c r="I33" s="5" t="str">
        <f>IFERROR(__xludf.DUMMYFUNCTION("""COMPUTED_VALUE"""),"গাড়ীডোব")</f>
        <v>গাড়ীডোব</v>
      </c>
      <c r="J33" s="5" t="str">
        <f>IFERROR(__xludf.DUMMYFUNCTION("""COMPUTED_VALUE""")," গাংনী")</f>
        <v> গাংনী</v>
      </c>
      <c r="K33" s="5" t="str">
        <f>IFERROR(__xludf.DUMMYFUNCTION("""COMPUTED_VALUE""")," মেহেরপুর")</f>
        <v> মেহেরপুর</v>
      </c>
    </row>
    <row r="34" ht="15.75" customHeight="1">
      <c r="A34" s="6" t="s">
        <v>6902</v>
      </c>
      <c r="B34" s="5">
        <f>IFERROR(__xludf.DUMMYFUNCTION("SPLIT(A34,"","")"),1380.0)</f>
        <v>1380</v>
      </c>
      <c r="C34" s="5" t="str">
        <f>IFERROR(__xludf.DUMMYFUNCTION("""COMPUTED_VALUE"""),"মোছাঃ শরিফা খাতুন")</f>
        <v>মোছাঃ শরিফা খাতুন</v>
      </c>
      <c r="D34" s="5">
        <f>IFERROR(__xludf.DUMMYFUNCTION("""COMPUTED_VALUE"""),5.70038356257E11)</f>
        <v>570038356257</v>
      </c>
      <c r="E34" s="5" t="str">
        <f>IFERROR(__xludf.DUMMYFUNCTION("""COMPUTED_VALUE"""),"মোঃ শহিদুল ইসলাম")</f>
        <v>মোঃ শহিদুল ইসলাম</v>
      </c>
      <c r="F34" s="5" t="str">
        <f>IFERROR(__xludf.DUMMYFUNCTION("""COMPUTED_VALUE"""),"মোছাঃ হামেদা খাতুন")</f>
        <v>মোছাঃ হামেদা খাতুন</v>
      </c>
      <c r="G34" s="5" t="str">
        <f>IFERROR(__xludf.DUMMYFUNCTION("""COMPUTED_VALUE"""),"০২/০৩/১৯৮৬")</f>
        <v>০২/০৩/১৯৮৬</v>
      </c>
      <c r="H34" s="5" t="str">
        <f>IFERROR(__xludf.DUMMYFUNCTION("""COMPUTED_VALUE"""),"গৃহিনী")</f>
        <v>গৃহিনী</v>
      </c>
      <c r="I34" s="5" t="str">
        <f>IFERROR(__xludf.DUMMYFUNCTION("""COMPUTED_VALUE"""),"গাড়ীডোব")</f>
        <v>গাড়ীডোব</v>
      </c>
      <c r="J34" s="5" t="str">
        <f>IFERROR(__xludf.DUMMYFUNCTION("""COMPUTED_VALUE""")," গাংনী")</f>
        <v> গাংনী</v>
      </c>
      <c r="K34" s="5" t="str">
        <f>IFERROR(__xludf.DUMMYFUNCTION("""COMPUTED_VALUE""")," মেহেরপুর")</f>
        <v> মেহেরপুর</v>
      </c>
    </row>
    <row r="35" ht="15.75" customHeight="1">
      <c r="A35" s="6" t="s">
        <v>6903</v>
      </c>
      <c r="B35" s="5">
        <f>IFERROR(__xludf.DUMMYFUNCTION("SPLIT(A35,"","")"),1381.0)</f>
        <v>1381</v>
      </c>
      <c r="C35" s="5" t="str">
        <f>IFERROR(__xludf.DUMMYFUNCTION("""COMPUTED_VALUE"""),"মোছাঃ রহিমা খাতুন")</f>
        <v>মোছাঃ রহিমা খাতুন</v>
      </c>
      <c r="D35" s="5">
        <f>IFERROR(__xludf.DUMMYFUNCTION("""COMPUTED_VALUE"""),5.70038356259E11)</f>
        <v>570038356259</v>
      </c>
      <c r="E35" s="5" t="str">
        <f>IFERROR(__xludf.DUMMYFUNCTION("""COMPUTED_VALUE"""),"মোবারক আলী")</f>
        <v>মোবারক আলী</v>
      </c>
      <c r="F35" s="5" t="str">
        <f>IFERROR(__xludf.DUMMYFUNCTION("""COMPUTED_VALUE"""),"রমেছা খাতুন")</f>
        <v>রমেছা খাতুন</v>
      </c>
      <c r="G35" s="5" t="str">
        <f>IFERROR(__xludf.DUMMYFUNCTION("""COMPUTED_VALUE"""),"০৭/০১/১৯৫২")</f>
        <v>০৭/০১/১৯৫২</v>
      </c>
      <c r="H35" s="5" t="str">
        <f>IFERROR(__xludf.DUMMYFUNCTION("""COMPUTED_VALUE"""),"গৃহিনী")</f>
        <v>গৃহিনী</v>
      </c>
      <c r="I35" s="5" t="str">
        <f>IFERROR(__xludf.DUMMYFUNCTION("""COMPUTED_VALUE"""),"গাড়ীডোব")</f>
        <v>গাড়ীডোব</v>
      </c>
      <c r="J35" s="5" t="str">
        <f>IFERROR(__xludf.DUMMYFUNCTION("""COMPUTED_VALUE""")," গাংনী")</f>
        <v> গাংনী</v>
      </c>
      <c r="K35" s="5" t="str">
        <f>IFERROR(__xludf.DUMMYFUNCTION("""COMPUTED_VALUE""")," মেহেরপুর")</f>
        <v> মেহেরপুর</v>
      </c>
    </row>
    <row r="36" ht="15.75" customHeight="1">
      <c r="A36" s="6" t="s">
        <v>6904</v>
      </c>
      <c r="B36" s="5">
        <f>IFERROR(__xludf.DUMMYFUNCTION("SPLIT(A36,"","")"),1382.0)</f>
        <v>1382</v>
      </c>
      <c r="C36" s="5" t="str">
        <f>IFERROR(__xludf.DUMMYFUNCTION("""COMPUTED_VALUE"""),"মোছাঃ খালেদা খাতুন")</f>
        <v>মোছাঃ খালেদা খাতুন</v>
      </c>
      <c r="D36" s="5">
        <f>IFERROR(__xludf.DUMMYFUNCTION("""COMPUTED_VALUE"""),5.70038356261E11)</f>
        <v>570038356261</v>
      </c>
      <c r="E36" s="5" t="str">
        <f>IFERROR(__xludf.DUMMYFUNCTION("""COMPUTED_VALUE"""),"মোঃ আয়জুদ্দীন")</f>
        <v>মোঃ আয়জুদ্দীন</v>
      </c>
      <c r="F36" s="5" t="str">
        <f>IFERROR(__xludf.DUMMYFUNCTION("""COMPUTED_VALUE"""),"মোছাঃ হিয়াতন")</f>
        <v>মোছাঃ হিয়াতন</v>
      </c>
      <c r="G36" s="5" t="str">
        <f>IFERROR(__xludf.DUMMYFUNCTION("""COMPUTED_VALUE"""),"০৩/০৫/১৯৭৭")</f>
        <v>০৩/০৫/১৯৭৭</v>
      </c>
      <c r="H36" s="5" t="str">
        <f>IFERROR(__xludf.DUMMYFUNCTION("""COMPUTED_VALUE"""),"গৃহিনী")</f>
        <v>গৃহিনী</v>
      </c>
      <c r="I36" s="5" t="str">
        <f>IFERROR(__xludf.DUMMYFUNCTION("""COMPUTED_VALUE"""),"গাড়ীডোব")</f>
        <v>গাড়ীডোব</v>
      </c>
      <c r="J36" s="5" t="str">
        <f>IFERROR(__xludf.DUMMYFUNCTION("""COMPUTED_VALUE""")," গাংনী")</f>
        <v> গাংনী</v>
      </c>
      <c r="K36" s="5" t="str">
        <f>IFERROR(__xludf.DUMMYFUNCTION("""COMPUTED_VALUE""")," মেহেরপুর")</f>
        <v> মেহেরপুর</v>
      </c>
    </row>
    <row r="37" ht="15.75" customHeight="1">
      <c r="A37" s="6" t="s">
        <v>6905</v>
      </c>
      <c r="B37" s="5">
        <f>IFERROR(__xludf.DUMMYFUNCTION("SPLIT(A37,"","")"),1383.0)</f>
        <v>1383</v>
      </c>
      <c r="C37" s="5" t="str">
        <f>IFERROR(__xludf.DUMMYFUNCTION("""COMPUTED_VALUE"""),"মোছাঃ শিরিনা খাতুন")</f>
        <v>মোছাঃ শিরিনা খাতুন</v>
      </c>
      <c r="D37" s="5">
        <f>IFERROR(__xludf.DUMMYFUNCTION("""COMPUTED_VALUE"""),5.70038356262E11)</f>
        <v>570038356262</v>
      </c>
      <c r="E37" s="5" t="str">
        <f>IFERROR(__xludf.DUMMYFUNCTION("""COMPUTED_VALUE"""),"মোঃ এলাহীম")</f>
        <v>মোঃ এলাহীম</v>
      </c>
      <c r="F37" s="5" t="str">
        <f>IFERROR(__xludf.DUMMYFUNCTION("""COMPUTED_VALUE"""),"মোছাঃ সহিদা খাতুন")</f>
        <v>মোছাঃ সহিদা খাতুন</v>
      </c>
      <c r="G37" s="5" t="str">
        <f>IFERROR(__xludf.DUMMYFUNCTION("""COMPUTED_VALUE"""),"১০/০২/১৯৮৩")</f>
        <v>১০/০২/১৯৮৩</v>
      </c>
      <c r="H37" s="5" t="str">
        <f>IFERROR(__xludf.DUMMYFUNCTION("""COMPUTED_VALUE"""),"গৃহিনী")</f>
        <v>গৃহিনী</v>
      </c>
      <c r="I37" s="5" t="str">
        <f>IFERROR(__xludf.DUMMYFUNCTION("""COMPUTED_VALUE"""),"গাড়ীডোব")</f>
        <v>গাড়ীডোব</v>
      </c>
      <c r="J37" s="5" t="str">
        <f>IFERROR(__xludf.DUMMYFUNCTION("""COMPUTED_VALUE""")," গাংনী")</f>
        <v> গাংনী</v>
      </c>
      <c r="K37" s="5" t="str">
        <f>IFERROR(__xludf.DUMMYFUNCTION("""COMPUTED_VALUE""")," মেহেরপুর")</f>
        <v> মেহেরপুর</v>
      </c>
    </row>
    <row r="38" ht="15.75" customHeight="1">
      <c r="A38" s="6" t="s">
        <v>6906</v>
      </c>
      <c r="B38" s="5">
        <f>IFERROR(__xludf.DUMMYFUNCTION("SPLIT(A38,"","")"),1384.0)</f>
        <v>1384</v>
      </c>
      <c r="C38" s="5" t="str">
        <f>IFERROR(__xludf.DUMMYFUNCTION("""COMPUTED_VALUE"""),"মোছাঃ রেহেনা খাতুন")</f>
        <v>মোছাঃ রেহেনা খাতুন</v>
      </c>
      <c r="D38" s="5">
        <f>IFERROR(__xludf.DUMMYFUNCTION("""COMPUTED_VALUE"""),5.70038356263E11)</f>
        <v>570038356263</v>
      </c>
      <c r="E38" s="5" t="str">
        <f>IFERROR(__xludf.DUMMYFUNCTION("""COMPUTED_VALUE"""),"মোঃ আব্দুর রাজ্জাক")</f>
        <v>মোঃ আব্দুর রাজ্জাক</v>
      </c>
      <c r="F38" s="5" t="str">
        <f>IFERROR(__xludf.DUMMYFUNCTION("""COMPUTED_VALUE"""),"মোছাঃ হাওয়া খাতুন")</f>
        <v>মোছাঃ হাওয়া খাতুন</v>
      </c>
      <c r="G38" s="5" t="str">
        <f>IFERROR(__xludf.DUMMYFUNCTION("""COMPUTED_VALUE"""),"০১/০১/১৯৮৮")</f>
        <v>০১/০১/১৯৮৮</v>
      </c>
      <c r="H38" s="5" t="str">
        <f>IFERROR(__xludf.DUMMYFUNCTION("""COMPUTED_VALUE"""),"গৃহিনী")</f>
        <v>গৃহিনী</v>
      </c>
      <c r="I38" s="5" t="str">
        <f>IFERROR(__xludf.DUMMYFUNCTION("""COMPUTED_VALUE"""),"গাড়ীডোব")</f>
        <v>গাড়ীডোব</v>
      </c>
      <c r="J38" s="5" t="str">
        <f>IFERROR(__xludf.DUMMYFUNCTION("""COMPUTED_VALUE""")," গাংনী")</f>
        <v> গাংনী</v>
      </c>
      <c r="K38" s="5" t="str">
        <f>IFERROR(__xludf.DUMMYFUNCTION("""COMPUTED_VALUE""")," মেহেরপুর")</f>
        <v> মেহেরপুর</v>
      </c>
    </row>
    <row r="39" ht="15.75" customHeight="1">
      <c r="A39" s="6" t="s">
        <v>6907</v>
      </c>
      <c r="B39" s="5">
        <f>IFERROR(__xludf.DUMMYFUNCTION("SPLIT(A39,"","")"),1385.0)</f>
        <v>1385</v>
      </c>
      <c r="C39" s="5" t="str">
        <f>IFERROR(__xludf.DUMMYFUNCTION("""COMPUTED_VALUE"""),"মোছাঃ আয়শা খাতুন")</f>
        <v>মোছাঃ আয়শা খাতুন</v>
      </c>
      <c r="D39" s="5">
        <f>IFERROR(__xludf.DUMMYFUNCTION("""COMPUTED_VALUE"""),5.7003835627E11)</f>
        <v>570038356270</v>
      </c>
      <c r="E39" s="5" t="str">
        <f>IFERROR(__xludf.DUMMYFUNCTION("""COMPUTED_VALUE"""),"ছলেমান")</f>
        <v>ছলেমান</v>
      </c>
      <c r="F39" s="5" t="str">
        <f>IFERROR(__xludf.DUMMYFUNCTION("""COMPUTED_VALUE"""),"মোছাঃ সারেজান")</f>
        <v>মোছাঃ সারেজান</v>
      </c>
      <c r="G39" s="5" t="str">
        <f>IFERROR(__xludf.DUMMYFUNCTION("""COMPUTED_VALUE"""),"০৭/০১/১৯৬৭")</f>
        <v>০৭/০১/১৯৬৭</v>
      </c>
      <c r="H39" s="5" t="str">
        <f>IFERROR(__xludf.DUMMYFUNCTION("""COMPUTED_VALUE"""),"গৃহিনী")</f>
        <v>গৃহিনী</v>
      </c>
      <c r="I39" s="5" t="str">
        <f>IFERROR(__xludf.DUMMYFUNCTION("""COMPUTED_VALUE"""),"গাড়ীডোব")</f>
        <v>গাড়ীডোব</v>
      </c>
      <c r="J39" s="5" t="str">
        <f>IFERROR(__xludf.DUMMYFUNCTION("""COMPUTED_VALUE""")," গাংনী")</f>
        <v> গাংনী</v>
      </c>
      <c r="K39" s="5" t="str">
        <f>IFERROR(__xludf.DUMMYFUNCTION("""COMPUTED_VALUE""")," মেহেরপুর")</f>
        <v> মেহেরপুর</v>
      </c>
    </row>
    <row r="40" ht="15.75" customHeight="1">
      <c r="A40" s="6" t="s">
        <v>6908</v>
      </c>
      <c r="B40" s="5">
        <f>IFERROR(__xludf.DUMMYFUNCTION("SPLIT(A40,"","")"),1386.0)</f>
        <v>1386</v>
      </c>
      <c r="C40" s="5" t="str">
        <f>IFERROR(__xludf.DUMMYFUNCTION("""COMPUTED_VALUE"""),"মোছাঃ মুসলিমা খাতুন")</f>
        <v>মোছাঃ মুসলিমা খাতুন</v>
      </c>
      <c r="D40" s="5">
        <f>IFERROR(__xludf.DUMMYFUNCTION("""COMPUTED_VALUE"""),5.70038356272E11)</f>
        <v>570038356272</v>
      </c>
      <c r="E40" s="5" t="str">
        <f>IFERROR(__xludf.DUMMYFUNCTION("""COMPUTED_VALUE"""),"আবুল হোসেন")</f>
        <v>আবুল হোসেন</v>
      </c>
      <c r="F40" s="5" t="str">
        <f>IFERROR(__xludf.DUMMYFUNCTION("""COMPUTED_VALUE"""),"মোছাঃ যমুনা বেগম")</f>
        <v>মোছাঃ যমুনা বেগম</v>
      </c>
      <c r="G40" s="5" t="str">
        <f>IFERROR(__xludf.DUMMYFUNCTION("""COMPUTED_VALUE"""),"০৪/০১/১৯৭১")</f>
        <v>০৪/০১/১৯৭১</v>
      </c>
      <c r="H40" s="5" t="str">
        <f>IFERROR(__xludf.DUMMYFUNCTION("""COMPUTED_VALUE"""),"গৃহিনী")</f>
        <v>গৃহিনী</v>
      </c>
      <c r="I40" s="5" t="str">
        <f>IFERROR(__xludf.DUMMYFUNCTION("""COMPUTED_VALUE"""),"গাড়ীডোব")</f>
        <v>গাড়ীডোব</v>
      </c>
      <c r="J40" s="5" t="str">
        <f>IFERROR(__xludf.DUMMYFUNCTION("""COMPUTED_VALUE""")," গাংনী")</f>
        <v> গাংনী</v>
      </c>
      <c r="K40" s="5" t="str">
        <f>IFERROR(__xludf.DUMMYFUNCTION("""COMPUTED_VALUE""")," মেহেরপুর")</f>
        <v> মেহেরপুর</v>
      </c>
    </row>
    <row r="41" ht="15.75" customHeight="1">
      <c r="A41" s="6" t="s">
        <v>6909</v>
      </c>
      <c r="B41" s="5">
        <f>IFERROR(__xludf.DUMMYFUNCTION("SPLIT(A41,"","")"),1387.0)</f>
        <v>1387</v>
      </c>
      <c r="C41" s="5" t="str">
        <f>IFERROR(__xludf.DUMMYFUNCTION("""COMPUTED_VALUE"""),"মোছাঃ নাসিমা খাতুন")</f>
        <v>মোছাঃ নাসিমা খাতুন</v>
      </c>
      <c r="D41" s="5">
        <f>IFERROR(__xludf.DUMMYFUNCTION("""COMPUTED_VALUE"""),5.70038356273E11)</f>
        <v>570038356273</v>
      </c>
      <c r="E41" s="5" t="str">
        <f>IFERROR(__xludf.DUMMYFUNCTION("""COMPUTED_VALUE"""),"গোলাম")</f>
        <v>গোলাম</v>
      </c>
      <c r="F41" s="5" t="str">
        <f>IFERROR(__xludf.DUMMYFUNCTION("""COMPUTED_VALUE"""),"মোছাঃ কুলছুম খাতুন")</f>
        <v>মোছাঃ কুলছুম খাতুন</v>
      </c>
      <c r="G41" s="5" t="str">
        <f>IFERROR(__xludf.DUMMYFUNCTION("""COMPUTED_VALUE"""),"১০/০৫/১৯৭৯")</f>
        <v>১০/০৫/১৯৭৯</v>
      </c>
      <c r="H41" s="5" t="str">
        <f>IFERROR(__xludf.DUMMYFUNCTION("""COMPUTED_VALUE"""),"গৃহিনী")</f>
        <v>গৃহিনী</v>
      </c>
      <c r="I41" s="5" t="str">
        <f>IFERROR(__xludf.DUMMYFUNCTION("""COMPUTED_VALUE"""),"গাড়ীডোব")</f>
        <v>গাড়ীডোব</v>
      </c>
      <c r="J41" s="5" t="str">
        <f>IFERROR(__xludf.DUMMYFUNCTION("""COMPUTED_VALUE""")," গাংনী")</f>
        <v> গাংনী</v>
      </c>
      <c r="K41" s="5" t="str">
        <f>IFERROR(__xludf.DUMMYFUNCTION("""COMPUTED_VALUE""")," মেহেরপুর")</f>
        <v> মেহেরপুর</v>
      </c>
    </row>
    <row r="42" ht="15.75" customHeight="1">
      <c r="A42" s="6" t="s">
        <v>6910</v>
      </c>
      <c r="B42" s="5">
        <f>IFERROR(__xludf.DUMMYFUNCTION("SPLIT(A42,"","")"),1388.0)</f>
        <v>1388</v>
      </c>
      <c r="C42" s="5" t="str">
        <f>IFERROR(__xludf.DUMMYFUNCTION("""COMPUTED_VALUE"""),"মোছাঃ পারুলা খাতুন")</f>
        <v>মোছাঃ পারুলা খাতুন</v>
      </c>
      <c r="D42" s="5">
        <f>IFERROR(__xludf.DUMMYFUNCTION("""COMPUTED_VALUE"""),5.70038356274E11)</f>
        <v>570038356274</v>
      </c>
      <c r="E42" s="5" t="str">
        <f>IFERROR(__xludf.DUMMYFUNCTION("""COMPUTED_VALUE"""),"মোঃ আহাদ আলী")</f>
        <v>মোঃ আহাদ আলী</v>
      </c>
      <c r="F42" s="5" t="str">
        <f>IFERROR(__xludf.DUMMYFUNCTION("""COMPUTED_VALUE"""),"মোছাঃ ছকিনা খাতুন")</f>
        <v>মোছাঃ ছকিনা খাতুন</v>
      </c>
      <c r="G42" s="5" t="str">
        <f>IFERROR(__xludf.DUMMYFUNCTION("""COMPUTED_VALUE"""),"০৫/০১/১৯৮৪")</f>
        <v>০৫/০১/১৯৮৪</v>
      </c>
      <c r="H42" s="5" t="str">
        <f>IFERROR(__xludf.DUMMYFUNCTION("""COMPUTED_VALUE"""),"গৃহিনী")</f>
        <v>গৃহিনী</v>
      </c>
      <c r="I42" s="5" t="str">
        <f>IFERROR(__xludf.DUMMYFUNCTION("""COMPUTED_VALUE"""),"গাড়ীডোব")</f>
        <v>গাড়ীডোব</v>
      </c>
      <c r="J42" s="5" t="str">
        <f>IFERROR(__xludf.DUMMYFUNCTION("""COMPUTED_VALUE""")," গাংনী")</f>
        <v> গাংনী</v>
      </c>
      <c r="K42" s="5" t="str">
        <f>IFERROR(__xludf.DUMMYFUNCTION("""COMPUTED_VALUE""")," মেহেরপুর")</f>
        <v> মেহেরপুর</v>
      </c>
    </row>
    <row r="43" ht="15.75" customHeight="1">
      <c r="A43" s="6" t="s">
        <v>6911</v>
      </c>
      <c r="B43" s="5">
        <f>IFERROR(__xludf.DUMMYFUNCTION("SPLIT(A43,"","")"),1389.0)</f>
        <v>1389</v>
      </c>
      <c r="C43" s="5" t="str">
        <f>IFERROR(__xludf.DUMMYFUNCTION("""COMPUTED_VALUE"""),"মোছাঃ হাচেনা খাতুন")</f>
        <v>মোছাঃ হাচেনা খাতুন</v>
      </c>
      <c r="D43" s="5">
        <f>IFERROR(__xludf.DUMMYFUNCTION("""COMPUTED_VALUE"""),5.70038356276E11)</f>
        <v>570038356276</v>
      </c>
      <c r="E43" s="5" t="str">
        <f>IFERROR(__xludf.DUMMYFUNCTION("""COMPUTED_VALUE"""),"আরজ শেখ")</f>
        <v>আরজ শেখ</v>
      </c>
      <c r="F43" s="5" t="str">
        <f>IFERROR(__xludf.DUMMYFUNCTION("""COMPUTED_VALUE"""),"মোছাঃ হামেদা খাতুন")</f>
        <v>মোছাঃ হামেদা খাতুন</v>
      </c>
      <c r="G43" s="5" t="str">
        <f>IFERROR(__xludf.DUMMYFUNCTION("""COMPUTED_VALUE"""),"১৮/০৯/১৯৫৭")</f>
        <v>১৮/০৯/১৯৫৭</v>
      </c>
      <c r="H43" s="5" t="str">
        <f>IFERROR(__xludf.DUMMYFUNCTION("""COMPUTED_VALUE"""),"গৃহিনী")</f>
        <v>গৃহিনী</v>
      </c>
      <c r="I43" s="5" t="str">
        <f>IFERROR(__xludf.DUMMYFUNCTION("""COMPUTED_VALUE"""),"গাড়ীডোব")</f>
        <v>গাড়ীডোব</v>
      </c>
      <c r="J43" s="5" t="str">
        <f>IFERROR(__xludf.DUMMYFUNCTION("""COMPUTED_VALUE""")," গাংনী")</f>
        <v> গাংনী</v>
      </c>
      <c r="K43" s="5" t="str">
        <f>IFERROR(__xludf.DUMMYFUNCTION("""COMPUTED_VALUE""")," মেহেরপুর")</f>
        <v> মেহেরপুর</v>
      </c>
    </row>
    <row r="44" ht="15.75" customHeight="1">
      <c r="A44" s="6" t="s">
        <v>6912</v>
      </c>
      <c r="B44" s="5">
        <f>IFERROR(__xludf.DUMMYFUNCTION("SPLIT(A44,"","")"),1390.0)</f>
        <v>1390</v>
      </c>
      <c r="C44" s="5" t="str">
        <f>IFERROR(__xludf.DUMMYFUNCTION("""COMPUTED_VALUE"""),"মোছাঃ মার্জিয়া খাতুন")</f>
        <v>মোছাঃ মার্জিয়া খাতুন</v>
      </c>
      <c r="D44" s="5">
        <f>IFERROR(__xludf.DUMMYFUNCTION("""COMPUTED_VALUE"""),5.70038356277E11)</f>
        <v>570038356277</v>
      </c>
      <c r="E44" s="5" t="str">
        <f>IFERROR(__xludf.DUMMYFUNCTION("""COMPUTED_VALUE"""),"মোঃ মাজেত মল্লিক")</f>
        <v>মোঃ মাজেত মল্লিক</v>
      </c>
      <c r="F44" s="5" t="str">
        <f>IFERROR(__xludf.DUMMYFUNCTION("""COMPUTED_VALUE"""),"মোছাঃ তহুরা খাতুন")</f>
        <v>মোছাঃ তহুরা খাতুন</v>
      </c>
      <c r="G44" s="5" t="str">
        <f>IFERROR(__xludf.DUMMYFUNCTION("""COMPUTED_VALUE"""),"০৫/০২/১৯৮৭")</f>
        <v>০৫/০২/১৯৮৭</v>
      </c>
      <c r="H44" s="5" t="str">
        <f>IFERROR(__xludf.DUMMYFUNCTION("""COMPUTED_VALUE"""),"গৃহিনী")</f>
        <v>গৃহিনী</v>
      </c>
      <c r="I44" s="5" t="str">
        <f>IFERROR(__xludf.DUMMYFUNCTION("""COMPUTED_VALUE"""),"গাড়ীডোব")</f>
        <v>গাড়ীডোব</v>
      </c>
      <c r="J44" s="5" t="str">
        <f>IFERROR(__xludf.DUMMYFUNCTION("""COMPUTED_VALUE""")," গাংনী")</f>
        <v> গাংনী</v>
      </c>
      <c r="K44" s="5" t="str">
        <f>IFERROR(__xludf.DUMMYFUNCTION("""COMPUTED_VALUE""")," মেহেরপুর")</f>
        <v> মেহেরপুর</v>
      </c>
    </row>
    <row r="45" ht="15.75" customHeight="1">
      <c r="A45" s="6" t="s">
        <v>6913</v>
      </c>
      <c r="B45" s="5">
        <f>IFERROR(__xludf.DUMMYFUNCTION("SPLIT(A45,"","")"),1391.0)</f>
        <v>1391</v>
      </c>
      <c r="C45" s="5" t="str">
        <f>IFERROR(__xludf.DUMMYFUNCTION("""COMPUTED_VALUE"""),"মোছাঃ বিলকিস আরা")</f>
        <v>মোছাঃ বিলকিস আরা</v>
      </c>
      <c r="D45" s="5">
        <f>IFERROR(__xludf.DUMMYFUNCTION("""COMPUTED_VALUE"""),5.70038356278E11)</f>
        <v>570038356278</v>
      </c>
      <c r="E45" s="5" t="str">
        <f>IFERROR(__xludf.DUMMYFUNCTION("""COMPUTED_VALUE"""),"ছুফরোদ্দীন")</f>
        <v>ছুফরোদ্দীন</v>
      </c>
      <c r="F45" s="5" t="str">
        <f>IFERROR(__xludf.DUMMYFUNCTION("""COMPUTED_VALUE"""),"মোছাঃ শহিদা খাতুন")</f>
        <v>মোছাঃ শহিদা খাতুন</v>
      </c>
      <c r="G45" s="5" t="str">
        <f>IFERROR(__xludf.DUMMYFUNCTION("""COMPUTED_VALUE"""),"০৬/০১/১৯৮৪")</f>
        <v>০৬/০১/১৯৮৪</v>
      </c>
      <c r="H45" s="5" t="str">
        <f>IFERROR(__xludf.DUMMYFUNCTION("""COMPUTED_VALUE"""),"গৃহিনী")</f>
        <v>গৃহিনী</v>
      </c>
      <c r="I45" s="5" t="str">
        <f>IFERROR(__xludf.DUMMYFUNCTION("""COMPUTED_VALUE"""),"গাড়ীডোব")</f>
        <v>গাড়ীডোব</v>
      </c>
      <c r="J45" s="5" t="str">
        <f>IFERROR(__xludf.DUMMYFUNCTION("""COMPUTED_VALUE""")," গাংনী")</f>
        <v> গাংনী</v>
      </c>
      <c r="K45" s="5" t="str">
        <f>IFERROR(__xludf.DUMMYFUNCTION("""COMPUTED_VALUE""")," মেহেরপুর")</f>
        <v> মেহেরপুর</v>
      </c>
    </row>
    <row r="46" ht="15.75" customHeight="1">
      <c r="A46" s="6" t="s">
        <v>6914</v>
      </c>
      <c r="B46" s="5">
        <f>IFERROR(__xludf.DUMMYFUNCTION("SPLIT(A46,"","")"),1392.0)</f>
        <v>1392</v>
      </c>
      <c r="C46" s="5" t="str">
        <f>IFERROR(__xludf.DUMMYFUNCTION("""COMPUTED_VALUE"""),"মোছাঃ খোদেজা খাতুন")</f>
        <v>মোছাঃ খোদেজা খাতুন</v>
      </c>
      <c r="D46" s="5">
        <f>IFERROR(__xludf.DUMMYFUNCTION("""COMPUTED_VALUE"""),5.7003835628E11)</f>
        <v>570038356280</v>
      </c>
      <c r="E46" s="5" t="str">
        <f>IFERROR(__xludf.DUMMYFUNCTION("""COMPUTED_VALUE"""),"আব্দুল জলিল")</f>
        <v>আব্দুল জলিল</v>
      </c>
      <c r="F46" s="5" t="str">
        <f>IFERROR(__xludf.DUMMYFUNCTION("""COMPUTED_VALUE"""),"ছকিনা")</f>
        <v>ছকিনা</v>
      </c>
      <c r="G46" s="5" t="str">
        <f>IFERROR(__xludf.DUMMYFUNCTION("""COMPUTED_VALUE"""),"১২/০২/১৯৬২")</f>
        <v>১২/০২/১৯৬২</v>
      </c>
      <c r="H46" s="5" t="str">
        <f>IFERROR(__xludf.DUMMYFUNCTION("""COMPUTED_VALUE"""),"গৃহিনী")</f>
        <v>গৃহিনী</v>
      </c>
      <c r="I46" s="5" t="str">
        <f>IFERROR(__xludf.DUMMYFUNCTION("""COMPUTED_VALUE"""),"গাড়ীডোব")</f>
        <v>গাড়ীডোব</v>
      </c>
      <c r="J46" s="5" t="str">
        <f>IFERROR(__xludf.DUMMYFUNCTION("""COMPUTED_VALUE""")," গাংনী")</f>
        <v> গাংনী</v>
      </c>
      <c r="K46" s="5" t="str">
        <f>IFERROR(__xludf.DUMMYFUNCTION("""COMPUTED_VALUE""")," মেহেরপুর")</f>
        <v> মেহেরপুর</v>
      </c>
    </row>
    <row r="47" ht="15.75" customHeight="1">
      <c r="A47" s="6" t="s">
        <v>6915</v>
      </c>
      <c r="B47" s="5">
        <f>IFERROR(__xludf.DUMMYFUNCTION("SPLIT(A47,"","")"),1393.0)</f>
        <v>1393</v>
      </c>
      <c r="C47" s="5" t="str">
        <f>IFERROR(__xludf.DUMMYFUNCTION("""COMPUTED_VALUE"""),"মোছাঃ মেলেজান")</f>
        <v>মোছাঃ মেলেজান</v>
      </c>
      <c r="D47" s="5">
        <f>IFERROR(__xludf.DUMMYFUNCTION("""COMPUTED_VALUE"""),5.70038356293E11)</f>
        <v>570038356293</v>
      </c>
      <c r="E47" s="5" t="str">
        <f>IFERROR(__xludf.DUMMYFUNCTION("""COMPUTED_VALUE"""),"সমুর আলী")</f>
        <v>সমুর আলী</v>
      </c>
      <c r="F47" s="5" t="str">
        <f>IFERROR(__xludf.DUMMYFUNCTION("""COMPUTED_VALUE"""),"শাবানা বেগম")</f>
        <v>শাবানা বেগম</v>
      </c>
      <c r="G47" s="5" t="str">
        <f>IFERROR(__xludf.DUMMYFUNCTION("""COMPUTED_VALUE"""),"১০/১১/১৯৬২")</f>
        <v>১০/১১/১৯৬২</v>
      </c>
      <c r="H47" s="5" t="str">
        <f>IFERROR(__xludf.DUMMYFUNCTION("""COMPUTED_VALUE"""),"গৃহিনী")</f>
        <v>গৃহিনী</v>
      </c>
      <c r="I47" s="5" t="str">
        <f>IFERROR(__xludf.DUMMYFUNCTION("""COMPUTED_VALUE"""),"গাড়ীডোব")</f>
        <v>গাড়ীডোব</v>
      </c>
      <c r="J47" s="5" t="str">
        <f>IFERROR(__xludf.DUMMYFUNCTION("""COMPUTED_VALUE""")," গাংনী")</f>
        <v> গাংনী</v>
      </c>
      <c r="K47" s="5" t="str">
        <f>IFERROR(__xludf.DUMMYFUNCTION("""COMPUTED_VALUE""")," মেহেরপুর")</f>
        <v> মেহেরপুর</v>
      </c>
    </row>
    <row r="48" ht="15.75" customHeight="1">
      <c r="A48" s="6" t="s">
        <v>6916</v>
      </c>
      <c r="B48" s="5">
        <f>IFERROR(__xludf.DUMMYFUNCTION("SPLIT(A48,"","")"),1394.0)</f>
        <v>1394</v>
      </c>
      <c r="C48" s="5" t="str">
        <f>IFERROR(__xludf.DUMMYFUNCTION("""COMPUTED_VALUE"""),"মোছাঃ রোকেয়া বেগম")</f>
        <v>মোছাঃ রোকেয়া বেগম</v>
      </c>
      <c r="D48" s="5">
        <f>IFERROR(__xludf.DUMMYFUNCTION("""COMPUTED_VALUE"""),5.70038356295E11)</f>
        <v>570038356295</v>
      </c>
      <c r="E48" s="5" t="str">
        <f>IFERROR(__xludf.DUMMYFUNCTION("""COMPUTED_VALUE"""),"মোঃ আলি হোসেন")</f>
        <v>মোঃ আলি হোসেন</v>
      </c>
      <c r="F48" s="5" t="str">
        <f>IFERROR(__xludf.DUMMYFUNCTION("""COMPUTED_VALUE"""),"মোছাঃ সোনা ভানু")</f>
        <v>মোছাঃ সোনা ভানু</v>
      </c>
      <c r="G48" s="5" t="str">
        <f>IFERROR(__xludf.DUMMYFUNCTION("""COMPUTED_VALUE"""),"০৩/০১/১৯৭৭")</f>
        <v>০৩/০১/১৯৭৭</v>
      </c>
      <c r="H48" s="5" t="str">
        <f>IFERROR(__xludf.DUMMYFUNCTION("""COMPUTED_VALUE"""),"গৃহিনী")</f>
        <v>গৃহিনী</v>
      </c>
      <c r="I48" s="5" t="str">
        <f>IFERROR(__xludf.DUMMYFUNCTION("""COMPUTED_VALUE"""),"গাড়ীডোব")</f>
        <v>গাড়ীডোব</v>
      </c>
      <c r="J48" s="5" t="str">
        <f>IFERROR(__xludf.DUMMYFUNCTION("""COMPUTED_VALUE""")," গাংনী")</f>
        <v> গাংনী</v>
      </c>
      <c r="K48" s="5" t="str">
        <f>IFERROR(__xludf.DUMMYFUNCTION("""COMPUTED_VALUE""")," মেহেরপুর")</f>
        <v> মেহেরপুর</v>
      </c>
    </row>
    <row r="49" ht="15.75" customHeight="1">
      <c r="A49" s="6" t="s">
        <v>6917</v>
      </c>
      <c r="B49" s="5">
        <f>IFERROR(__xludf.DUMMYFUNCTION("SPLIT(A49,"","")"),1395.0)</f>
        <v>1395</v>
      </c>
      <c r="C49" s="5" t="str">
        <f>IFERROR(__xludf.DUMMYFUNCTION("""COMPUTED_VALUE"""),"মোছাঃ ফেরদোসি বেগম")</f>
        <v>মোছাঃ ফেরদোসি বেগম</v>
      </c>
      <c r="D49" s="5">
        <f>IFERROR(__xludf.DUMMYFUNCTION("""COMPUTED_VALUE"""),5.70038356296E11)</f>
        <v>570038356296</v>
      </c>
      <c r="E49" s="5" t="str">
        <f>IFERROR(__xludf.DUMMYFUNCTION("""COMPUTED_VALUE"""),"লুৎফর রহমান")</f>
        <v>লুৎফর রহমান</v>
      </c>
      <c r="F49" s="5" t="str">
        <f>IFERROR(__xludf.DUMMYFUNCTION("""COMPUTED_VALUE"""),"মোছাঃ রোকেয়া বেগম")</f>
        <v>মোছাঃ রোকেয়া বেগম</v>
      </c>
      <c r="G49" s="5" t="str">
        <f>IFERROR(__xludf.DUMMYFUNCTION("""COMPUTED_VALUE"""),"০৩/০১/১৯৮২")</f>
        <v>০৩/০১/১৯৮২</v>
      </c>
      <c r="H49" s="5" t="str">
        <f>IFERROR(__xludf.DUMMYFUNCTION("""COMPUTED_VALUE"""),"গৃহিনী")</f>
        <v>গৃহিনী</v>
      </c>
      <c r="I49" s="5" t="str">
        <f>IFERROR(__xludf.DUMMYFUNCTION("""COMPUTED_VALUE"""),"গাড়ীডোব")</f>
        <v>গাড়ীডোব</v>
      </c>
      <c r="J49" s="5" t="str">
        <f>IFERROR(__xludf.DUMMYFUNCTION("""COMPUTED_VALUE""")," গাংনী")</f>
        <v> গাংনী</v>
      </c>
      <c r="K49" s="5" t="str">
        <f>IFERROR(__xludf.DUMMYFUNCTION("""COMPUTED_VALUE""")," মেহেরপুর")</f>
        <v> মেহেরপুর</v>
      </c>
    </row>
    <row r="50" ht="15.75" customHeight="1">
      <c r="A50" s="6" t="s">
        <v>6918</v>
      </c>
      <c r="B50" s="5">
        <f>IFERROR(__xludf.DUMMYFUNCTION("SPLIT(A50,"","")"),1396.0)</f>
        <v>1396</v>
      </c>
      <c r="C50" s="5" t="str">
        <f>IFERROR(__xludf.DUMMYFUNCTION("""COMPUTED_VALUE"""),"মোছাঃ সহিদা খাতুন")</f>
        <v>মোছাঃ সহিদা খাতুন</v>
      </c>
      <c r="D50" s="5">
        <f>IFERROR(__xludf.DUMMYFUNCTION("""COMPUTED_VALUE"""),5.70038356297E11)</f>
        <v>570038356297</v>
      </c>
      <c r="E50" s="5" t="str">
        <f>IFERROR(__xludf.DUMMYFUNCTION("""COMPUTED_VALUE"""),"খেদ আলী খন্দকার")</f>
        <v>খেদ আলী খন্দকার</v>
      </c>
      <c r="F50" s="5" t="str">
        <f>IFERROR(__xludf.DUMMYFUNCTION("""COMPUTED_VALUE"""),"মোছাঃ শামেনা বেগম")</f>
        <v>মোছাঃ শামেনা বেগম</v>
      </c>
      <c r="G50" s="5" t="str">
        <f>IFERROR(__xludf.DUMMYFUNCTION("""COMPUTED_VALUE"""),"১০/০২/১৯৬৯")</f>
        <v>১০/০২/১৯৬৯</v>
      </c>
      <c r="H50" s="5" t="str">
        <f>IFERROR(__xludf.DUMMYFUNCTION("""COMPUTED_VALUE"""),"গৃহিনী")</f>
        <v>গৃহিনী</v>
      </c>
      <c r="I50" s="5" t="str">
        <f>IFERROR(__xludf.DUMMYFUNCTION("""COMPUTED_VALUE"""),"গাড়ীডোব")</f>
        <v>গাড়ীডোব</v>
      </c>
      <c r="J50" s="5" t="str">
        <f>IFERROR(__xludf.DUMMYFUNCTION("""COMPUTED_VALUE""")," গাংনী")</f>
        <v> গাংনী</v>
      </c>
      <c r="K50" s="5" t="str">
        <f>IFERROR(__xludf.DUMMYFUNCTION("""COMPUTED_VALUE""")," মেহেরপুর")</f>
        <v> মেহেরপুর</v>
      </c>
    </row>
    <row r="51" ht="15.75" customHeight="1">
      <c r="A51" s="6" t="s">
        <v>6919</v>
      </c>
      <c r="B51" s="5">
        <f>IFERROR(__xludf.DUMMYFUNCTION("SPLIT(A51,"","")"),1397.0)</f>
        <v>1397</v>
      </c>
      <c r="C51" s="5" t="str">
        <f>IFERROR(__xludf.DUMMYFUNCTION("""COMPUTED_VALUE"""),"মোছাঃ মুসলিমা খাতুন")</f>
        <v>মোছাঃ মুসলিমা খাতুন</v>
      </c>
      <c r="D51" s="5">
        <f>IFERROR(__xludf.DUMMYFUNCTION("""COMPUTED_VALUE"""),5.70038356298E11)</f>
        <v>570038356298</v>
      </c>
      <c r="E51" s="5" t="str">
        <f>IFERROR(__xludf.DUMMYFUNCTION("""COMPUTED_VALUE"""),"মোঃ মকলেছুর রহমান মুকুল")</f>
        <v>মোঃ মকলেছুর রহমান মুকুল</v>
      </c>
      <c r="F51" s="5" t="str">
        <f>IFERROR(__xludf.DUMMYFUNCTION("""COMPUTED_VALUE"""),"মোছাঃ সহিদা খাতুন")</f>
        <v>মোছাঃ সহিদা খাতুন</v>
      </c>
      <c r="G51" s="5" t="str">
        <f>IFERROR(__xludf.DUMMYFUNCTION("""COMPUTED_VALUE"""),"০৩/০৪/১৯৮৬")</f>
        <v>০৩/০৪/১৯৮৬</v>
      </c>
      <c r="H51" s="5" t="str">
        <f>IFERROR(__xludf.DUMMYFUNCTION("""COMPUTED_VALUE"""),"গৃহিনী")</f>
        <v>গৃহিনী</v>
      </c>
      <c r="I51" s="5" t="str">
        <f>IFERROR(__xludf.DUMMYFUNCTION("""COMPUTED_VALUE"""),"গাড়ীডোব")</f>
        <v>গাড়ীডোব</v>
      </c>
      <c r="J51" s="5" t="str">
        <f>IFERROR(__xludf.DUMMYFUNCTION("""COMPUTED_VALUE""")," গাংনী")</f>
        <v> গাংনী</v>
      </c>
      <c r="K51" s="5" t="str">
        <f>IFERROR(__xludf.DUMMYFUNCTION("""COMPUTED_VALUE""")," মেহেরপুর")</f>
        <v> মেহেরপুর</v>
      </c>
    </row>
    <row r="52" ht="15.75" customHeight="1">
      <c r="A52" s="6" t="s">
        <v>6920</v>
      </c>
      <c r="B52" s="5">
        <f>IFERROR(__xludf.DUMMYFUNCTION("SPLIT(A52,"","")"),1398.0)</f>
        <v>1398</v>
      </c>
      <c r="C52" s="5" t="str">
        <f>IFERROR(__xludf.DUMMYFUNCTION("""COMPUTED_VALUE"""),"মোছাঃ সাবিনা খাতুন")</f>
        <v>মোছাঃ সাবিনা খাতুন</v>
      </c>
      <c r="D52" s="5">
        <f>IFERROR(__xludf.DUMMYFUNCTION("""COMPUTED_VALUE"""),5.700383563E11)</f>
        <v>570038356300</v>
      </c>
      <c r="E52" s="5" t="str">
        <f>IFERROR(__xludf.DUMMYFUNCTION("""COMPUTED_VALUE"""),"ছলেমান")</f>
        <v>ছলেমান</v>
      </c>
      <c r="F52" s="5" t="str">
        <f>IFERROR(__xludf.DUMMYFUNCTION("""COMPUTED_VALUE"""),"নছিয়া")</f>
        <v>নছিয়া</v>
      </c>
      <c r="G52" s="5" t="str">
        <f>IFERROR(__xludf.DUMMYFUNCTION("""COMPUTED_VALUE"""),"০৩/০৫/১৯৮৫")</f>
        <v>০৩/০৫/১৯৮৫</v>
      </c>
      <c r="H52" s="5" t="str">
        <f>IFERROR(__xludf.DUMMYFUNCTION("""COMPUTED_VALUE"""),"গৃহিনী")</f>
        <v>গৃহিনী</v>
      </c>
      <c r="I52" s="5" t="str">
        <f>IFERROR(__xludf.DUMMYFUNCTION("""COMPUTED_VALUE"""),"গাড়ীডোব")</f>
        <v>গাড়ীডোব</v>
      </c>
      <c r="J52" s="5" t="str">
        <f>IFERROR(__xludf.DUMMYFUNCTION("""COMPUTED_VALUE""")," গাংনী")</f>
        <v> গাংনী</v>
      </c>
      <c r="K52" s="5" t="str">
        <f>IFERROR(__xludf.DUMMYFUNCTION("""COMPUTED_VALUE""")," মেহেরপুর")</f>
        <v> মেহেরপুর</v>
      </c>
    </row>
    <row r="53" ht="15.75" customHeight="1">
      <c r="A53" s="6" t="s">
        <v>6921</v>
      </c>
      <c r="B53" s="5">
        <f>IFERROR(__xludf.DUMMYFUNCTION("SPLIT(A53,"","")"),1399.0)</f>
        <v>1399</v>
      </c>
      <c r="C53" s="5" t="str">
        <f>IFERROR(__xludf.DUMMYFUNCTION("""COMPUTED_VALUE"""),"মোছাঃ সহিদা খাতুন")</f>
        <v>মোছাঃ সহিদা খাতুন</v>
      </c>
      <c r="D53" s="5">
        <f>IFERROR(__xludf.DUMMYFUNCTION("""COMPUTED_VALUE"""),5.70038356301E11)</f>
        <v>570038356301</v>
      </c>
      <c r="E53" s="5" t="str">
        <f>IFERROR(__xludf.DUMMYFUNCTION("""COMPUTED_VALUE"""),"মোঃ বজলুর রহমান")</f>
        <v>মোঃ বজলুর রহমান</v>
      </c>
      <c r="F53" s="5" t="str">
        <f>IFERROR(__xludf.DUMMYFUNCTION("""COMPUTED_VALUE"""),"মোছাঃ হেনা খাতুন")</f>
        <v>মোছাঃ হেনা খাতুন</v>
      </c>
      <c r="G53" s="5" t="str">
        <f>IFERROR(__xludf.DUMMYFUNCTION("""COMPUTED_VALUE"""),"১২/০২/১৯৭২")</f>
        <v>১২/০২/১৯৭২</v>
      </c>
      <c r="H53" s="5" t="str">
        <f>IFERROR(__xludf.DUMMYFUNCTION("""COMPUTED_VALUE"""),"গৃহিনী")</f>
        <v>গৃহিনী</v>
      </c>
      <c r="I53" s="5" t="str">
        <f>IFERROR(__xludf.DUMMYFUNCTION("""COMPUTED_VALUE"""),"গাড়ীডোব")</f>
        <v>গাড়ীডোব</v>
      </c>
      <c r="J53" s="5" t="str">
        <f>IFERROR(__xludf.DUMMYFUNCTION("""COMPUTED_VALUE""")," গাংনী")</f>
        <v> গাংনী</v>
      </c>
      <c r="K53" s="5" t="str">
        <f>IFERROR(__xludf.DUMMYFUNCTION("""COMPUTED_VALUE""")," মেহেরপুর")</f>
        <v> মেহেরপুর</v>
      </c>
    </row>
    <row r="54" ht="15.75" customHeight="1">
      <c r="A54" s="6" t="s">
        <v>6922</v>
      </c>
      <c r="B54" s="5">
        <f>IFERROR(__xludf.DUMMYFUNCTION("SPLIT(A54,"","")"),1400.0)</f>
        <v>1400</v>
      </c>
      <c r="C54" s="5" t="str">
        <f>IFERROR(__xludf.DUMMYFUNCTION("""COMPUTED_VALUE"""),"মোছাঃ কহিনুর বেগম")</f>
        <v>মোছাঃ কহিনুর বেগম</v>
      </c>
      <c r="D54" s="5">
        <f>IFERROR(__xludf.DUMMYFUNCTION("""COMPUTED_VALUE"""),5.70038356302E11)</f>
        <v>570038356302</v>
      </c>
      <c r="E54" s="5" t="str">
        <f>IFERROR(__xludf.DUMMYFUNCTION("""COMPUTED_VALUE"""),"আব্দুল শেখ")</f>
        <v>আব্দুল শেখ</v>
      </c>
      <c r="F54" s="5" t="str">
        <f>IFERROR(__xludf.DUMMYFUNCTION("""COMPUTED_VALUE"""),"মোছাঃ জবেদা খাতুন")</f>
        <v>মোছাঃ জবেদা খাতুন</v>
      </c>
      <c r="G54" s="5" t="str">
        <f>IFERROR(__xludf.DUMMYFUNCTION("""COMPUTED_VALUE"""),"০৫/০৪/১৯৬২")</f>
        <v>০৫/০৪/১৯৬২</v>
      </c>
      <c r="H54" s="5" t="str">
        <f>IFERROR(__xludf.DUMMYFUNCTION("""COMPUTED_VALUE"""),"গৃহিনী")</f>
        <v>গৃহিনী</v>
      </c>
      <c r="I54" s="5" t="str">
        <f>IFERROR(__xludf.DUMMYFUNCTION("""COMPUTED_VALUE"""),"গাড়ীডোব")</f>
        <v>গাড়ীডোব</v>
      </c>
      <c r="J54" s="5" t="str">
        <f>IFERROR(__xludf.DUMMYFUNCTION("""COMPUTED_VALUE""")," গাংনী")</f>
        <v> গাংনী</v>
      </c>
      <c r="K54" s="5" t="str">
        <f>IFERROR(__xludf.DUMMYFUNCTION("""COMPUTED_VALUE""")," মেহেরপুর")</f>
        <v> মেহেরপুর</v>
      </c>
    </row>
    <row r="55" ht="15.75" customHeight="1">
      <c r="A55" s="6" t="s">
        <v>6923</v>
      </c>
      <c r="B55" s="5">
        <f>IFERROR(__xludf.DUMMYFUNCTION("SPLIT(A55,"","")"),1401.0)</f>
        <v>1401</v>
      </c>
      <c r="C55" s="5" t="str">
        <f>IFERROR(__xludf.DUMMYFUNCTION("""COMPUTED_VALUE"""),"মোছাঃ আরজিয়া খাতুন")</f>
        <v>মোছাঃ আরজিয়া খাতুন</v>
      </c>
      <c r="D55" s="5">
        <f>IFERROR(__xludf.DUMMYFUNCTION("""COMPUTED_VALUE"""),5.70038356303E11)</f>
        <v>570038356303</v>
      </c>
      <c r="E55" s="5" t="str">
        <f>IFERROR(__xludf.DUMMYFUNCTION("""COMPUTED_VALUE"""),"খোদা বক্স")</f>
        <v>খোদা বক্স</v>
      </c>
      <c r="F55" s="5" t="str">
        <f>IFERROR(__xludf.DUMMYFUNCTION("""COMPUTED_VALUE"""),"মোছাঃ জাহানারা খাতুন")</f>
        <v>মোছাঃ জাহানারা খাতুন</v>
      </c>
      <c r="G55" s="5" t="str">
        <f>IFERROR(__xludf.DUMMYFUNCTION("""COMPUTED_VALUE"""),"১০/০৩/১৯৪৭")</f>
        <v>১০/০৩/১৯৪৭</v>
      </c>
      <c r="H55" s="5" t="str">
        <f>IFERROR(__xludf.DUMMYFUNCTION("""COMPUTED_VALUE"""),"গৃহিনী")</f>
        <v>গৃহিনী</v>
      </c>
      <c r="I55" s="5" t="str">
        <f>IFERROR(__xludf.DUMMYFUNCTION("""COMPUTED_VALUE"""),"গাড়ীডোব")</f>
        <v>গাড়ীডোব</v>
      </c>
      <c r="J55" s="5" t="str">
        <f>IFERROR(__xludf.DUMMYFUNCTION("""COMPUTED_VALUE""")," গাংনী")</f>
        <v> গাংনী</v>
      </c>
      <c r="K55" s="5" t="str">
        <f>IFERROR(__xludf.DUMMYFUNCTION("""COMPUTED_VALUE""")," মেহেরপুর")</f>
        <v> মেহেরপুর</v>
      </c>
    </row>
    <row r="56" ht="15.75" customHeight="1">
      <c r="A56" s="6" t="s">
        <v>6924</v>
      </c>
      <c r="B56" s="5">
        <f>IFERROR(__xludf.DUMMYFUNCTION("SPLIT(A56,"","")"),1402.0)</f>
        <v>1402</v>
      </c>
      <c r="C56" s="5" t="str">
        <f>IFERROR(__xludf.DUMMYFUNCTION("""COMPUTED_VALUE"""),"মোছাঃ রাবেয়া খাতুন")</f>
        <v>মোছাঃ রাবেয়া খাতুন</v>
      </c>
      <c r="D56" s="5">
        <f>IFERROR(__xludf.DUMMYFUNCTION("""COMPUTED_VALUE"""),5.70038356304E11)</f>
        <v>570038356304</v>
      </c>
      <c r="E56" s="5" t="str">
        <f>IFERROR(__xludf.DUMMYFUNCTION("""COMPUTED_VALUE"""),"ওয়াজ শেখ")</f>
        <v>ওয়াজ শেখ</v>
      </c>
      <c r="F56" s="5" t="str">
        <f>IFERROR(__xludf.DUMMYFUNCTION("""COMPUTED_VALUE"""),"রহিমা বেগম")</f>
        <v>রহিমা বেগম</v>
      </c>
      <c r="G56" s="5" t="str">
        <f>IFERROR(__xludf.DUMMYFUNCTION("""COMPUTED_VALUE"""),"০৮/০৬/১৯৬৯")</f>
        <v>০৮/০৬/১৯৬৯</v>
      </c>
      <c r="H56" s="5" t="str">
        <f>IFERROR(__xludf.DUMMYFUNCTION("""COMPUTED_VALUE"""),"গৃহিনী")</f>
        <v>গৃহিনী</v>
      </c>
      <c r="I56" s="5" t="str">
        <f>IFERROR(__xludf.DUMMYFUNCTION("""COMPUTED_VALUE"""),"গাড়ীডোব")</f>
        <v>গাড়ীডোব</v>
      </c>
      <c r="J56" s="5" t="str">
        <f>IFERROR(__xludf.DUMMYFUNCTION("""COMPUTED_VALUE""")," গাংনী")</f>
        <v> গাংনী</v>
      </c>
      <c r="K56" s="5" t="str">
        <f>IFERROR(__xludf.DUMMYFUNCTION("""COMPUTED_VALUE""")," মেহেরপুর")</f>
        <v> মেহেরপুর</v>
      </c>
    </row>
    <row r="57" ht="15.75" customHeight="1">
      <c r="A57" s="6" t="s">
        <v>6925</v>
      </c>
      <c r="B57" s="5">
        <f>IFERROR(__xludf.DUMMYFUNCTION("SPLIT(A57,"","")"),1403.0)</f>
        <v>1403</v>
      </c>
      <c r="C57" s="5" t="str">
        <f>IFERROR(__xludf.DUMMYFUNCTION("""COMPUTED_VALUE"""),"মোছাঃ হামেদা খাতুন")</f>
        <v>মোছাঃ হামেদা খাতুন</v>
      </c>
      <c r="D57" s="5">
        <f>IFERROR(__xludf.DUMMYFUNCTION("""COMPUTED_VALUE"""),5.70038356305E11)</f>
        <v>570038356305</v>
      </c>
      <c r="E57" s="5" t="str">
        <f>IFERROR(__xludf.DUMMYFUNCTION("""COMPUTED_VALUE"""),"মোঃ আলাউদ্দীন")</f>
        <v>মোঃ আলাউদ্দীন</v>
      </c>
      <c r="F57" s="5" t="str">
        <f>IFERROR(__xludf.DUMMYFUNCTION("""COMPUTED_VALUE"""),"ছকিনা বেগম")</f>
        <v>ছকিনা বেগম</v>
      </c>
      <c r="G57" s="5" t="str">
        <f>IFERROR(__xludf.DUMMYFUNCTION("""COMPUTED_VALUE"""),"০৬/০৩/১৯৭২")</f>
        <v>০৬/০৩/১৯৭২</v>
      </c>
      <c r="H57" s="5" t="str">
        <f>IFERROR(__xludf.DUMMYFUNCTION("""COMPUTED_VALUE"""),"গৃহিনী")</f>
        <v>গৃহিনী</v>
      </c>
      <c r="I57" s="5" t="str">
        <f>IFERROR(__xludf.DUMMYFUNCTION("""COMPUTED_VALUE"""),"গাড়ীডোব")</f>
        <v>গাড়ীডোব</v>
      </c>
      <c r="J57" s="5" t="str">
        <f>IFERROR(__xludf.DUMMYFUNCTION("""COMPUTED_VALUE""")," গাংনী")</f>
        <v> গাংনী</v>
      </c>
      <c r="K57" s="5" t="str">
        <f>IFERROR(__xludf.DUMMYFUNCTION("""COMPUTED_VALUE""")," মেহেরপুর")</f>
        <v> মেহেরপুর</v>
      </c>
    </row>
    <row r="58" ht="15.75" customHeight="1">
      <c r="A58" s="6" t="s">
        <v>6926</v>
      </c>
      <c r="B58" s="5">
        <f>IFERROR(__xludf.DUMMYFUNCTION("SPLIT(A58,"","")"),1404.0)</f>
        <v>1404</v>
      </c>
      <c r="C58" s="5" t="str">
        <f>IFERROR(__xludf.DUMMYFUNCTION("""COMPUTED_VALUE"""),"মোছাঃ মাছুরা খাতুন")</f>
        <v>মোছাঃ মাছুরা খাতুন</v>
      </c>
      <c r="D58" s="5">
        <f>IFERROR(__xludf.DUMMYFUNCTION("""COMPUTED_VALUE"""),5.70038356306E11)</f>
        <v>570038356306</v>
      </c>
      <c r="E58" s="5" t="str">
        <f>IFERROR(__xludf.DUMMYFUNCTION("""COMPUTED_VALUE"""),"মোঃ মহিউদ্দিন খাঁ")</f>
        <v>মোঃ মহিউদ্দিন খাঁ</v>
      </c>
      <c r="F58" s="5" t="str">
        <f>IFERROR(__xludf.DUMMYFUNCTION("""COMPUTED_VALUE"""),"মোছাঃ ছকিনা খাতুন")</f>
        <v>মোছাঃ ছকিনা খাতুন</v>
      </c>
      <c r="G58" s="5" t="str">
        <f>IFERROR(__xludf.DUMMYFUNCTION("""COMPUTED_VALUE"""),"০৬/০২/১৯৭২")</f>
        <v>০৬/০২/১৯৭২</v>
      </c>
      <c r="H58" s="5" t="str">
        <f>IFERROR(__xludf.DUMMYFUNCTION("""COMPUTED_VALUE"""),"গৃহিনী")</f>
        <v>গৃহিনী</v>
      </c>
      <c r="I58" s="5" t="str">
        <f>IFERROR(__xludf.DUMMYFUNCTION("""COMPUTED_VALUE"""),"গাড়ীডোব")</f>
        <v>গাড়ীডোব</v>
      </c>
      <c r="J58" s="5" t="str">
        <f>IFERROR(__xludf.DUMMYFUNCTION("""COMPUTED_VALUE""")," গাংনী")</f>
        <v> গাংনী</v>
      </c>
      <c r="K58" s="5" t="str">
        <f>IFERROR(__xludf.DUMMYFUNCTION("""COMPUTED_VALUE""")," মেহেরপুর")</f>
        <v> মেহেরপুর</v>
      </c>
    </row>
    <row r="59" ht="15.75" customHeight="1">
      <c r="A59" s="6" t="s">
        <v>6927</v>
      </c>
      <c r="B59" s="5">
        <f>IFERROR(__xludf.DUMMYFUNCTION("SPLIT(A59,"","")"),1405.0)</f>
        <v>1405</v>
      </c>
      <c r="C59" s="5" t="str">
        <f>IFERROR(__xludf.DUMMYFUNCTION("""COMPUTED_VALUE"""),"মোছাঃ ফরিদা আশরাফ")</f>
        <v>মোছাঃ ফরিদা আশরাফ</v>
      </c>
      <c r="D59" s="5">
        <f>IFERROR(__xludf.DUMMYFUNCTION("""COMPUTED_VALUE"""),5.70038356312E11)</f>
        <v>570038356312</v>
      </c>
      <c r="E59" s="5" t="str">
        <f>IFERROR(__xludf.DUMMYFUNCTION("""COMPUTED_VALUE"""),"এস এম আবু তাহের")</f>
        <v>এস এম আবু তাহের</v>
      </c>
      <c r="F59" s="5" t="str">
        <f>IFERROR(__xludf.DUMMYFUNCTION("""COMPUTED_VALUE"""),"মোছাঃ রোমানা তাহের")</f>
        <v>মোছাঃ রোমানা তাহের</v>
      </c>
      <c r="G59" s="5" t="str">
        <f>IFERROR(__xludf.DUMMYFUNCTION("""COMPUTED_VALUE"""),"১২/০৯/১৯৭৪")</f>
        <v>১২/০৯/১৯৭৪</v>
      </c>
      <c r="H59" s="5" t="str">
        <f>IFERROR(__xludf.DUMMYFUNCTION("""COMPUTED_VALUE"""),"গৃহিনী")</f>
        <v>গৃহিনী</v>
      </c>
      <c r="I59" s="5" t="str">
        <f>IFERROR(__xludf.DUMMYFUNCTION("""COMPUTED_VALUE"""),"গাড়ীডোব")</f>
        <v>গাড়ীডোব</v>
      </c>
      <c r="J59" s="5" t="str">
        <f>IFERROR(__xludf.DUMMYFUNCTION("""COMPUTED_VALUE""")," গাংনী")</f>
        <v> গাংনী</v>
      </c>
      <c r="K59" s="5" t="str">
        <f>IFERROR(__xludf.DUMMYFUNCTION("""COMPUTED_VALUE""")," মেহেরপুর")</f>
        <v> মেহেরপুর</v>
      </c>
    </row>
    <row r="60" ht="15.75" customHeight="1">
      <c r="A60" s="6" t="s">
        <v>6928</v>
      </c>
      <c r="B60" s="5">
        <f>IFERROR(__xludf.DUMMYFUNCTION("SPLIT(A60,"","")"),1406.0)</f>
        <v>1406</v>
      </c>
      <c r="C60" s="5" t="str">
        <f>IFERROR(__xludf.DUMMYFUNCTION("""COMPUTED_VALUE"""),"মোছাঃ মানেজা বেগম")</f>
        <v>মোছাঃ মানেজা বেগম</v>
      </c>
      <c r="D60" s="5">
        <f>IFERROR(__xludf.DUMMYFUNCTION("""COMPUTED_VALUE"""),5.70038356314E11)</f>
        <v>570038356314</v>
      </c>
      <c r="E60" s="5" t="str">
        <f>IFERROR(__xludf.DUMMYFUNCTION("""COMPUTED_VALUE"""),"আজিজুল শাহ")</f>
        <v>আজিজুল শাহ</v>
      </c>
      <c r="F60" s="5" t="str">
        <f>IFERROR(__xludf.DUMMYFUNCTION("""COMPUTED_VALUE"""),"নাইবানু")</f>
        <v>নাইবানু</v>
      </c>
      <c r="G60" s="5" t="str">
        <f>IFERROR(__xludf.DUMMYFUNCTION("""COMPUTED_VALUE"""),"১৫/০৩/১৯৪৫")</f>
        <v>১৫/০৩/১৯৪৫</v>
      </c>
      <c r="H60" s="5" t="str">
        <f>IFERROR(__xludf.DUMMYFUNCTION("""COMPUTED_VALUE"""),"গৃহিনী")</f>
        <v>গৃহিনী</v>
      </c>
      <c r="I60" s="5" t="str">
        <f>IFERROR(__xludf.DUMMYFUNCTION("""COMPUTED_VALUE"""),"গাড়ীডোব")</f>
        <v>গাড়ীডোব</v>
      </c>
      <c r="J60" s="5" t="str">
        <f>IFERROR(__xludf.DUMMYFUNCTION("""COMPUTED_VALUE""")," গাংনী")</f>
        <v> গাংনী</v>
      </c>
      <c r="K60" s="5" t="str">
        <f>IFERROR(__xludf.DUMMYFUNCTION("""COMPUTED_VALUE""")," মেহেরপুর")</f>
        <v> মেহেরপুর</v>
      </c>
    </row>
    <row r="61" ht="15.75" customHeight="1">
      <c r="A61" s="6" t="s">
        <v>6929</v>
      </c>
      <c r="B61" s="5">
        <f>IFERROR(__xludf.DUMMYFUNCTION("SPLIT(A61,"","")"),1407.0)</f>
        <v>1407</v>
      </c>
      <c r="C61" s="5" t="str">
        <f>IFERROR(__xludf.DUMMYFUNCTION("""COMPUTED_VALUE"""),"সৈয়দা তহমিনা আশরাফ")</f>
        <v>সৈয়দা তহমিনা আশরাফ</v>
      </c>
      <c r="D61" s="5">
        <f>IFERROR(__xludf.DUMMYFUNCTION("""COMPUTED_VALUE"""),5.70038356316E11)</f>
        <v>570038356316</v>
      </c>
      <c r="E61" s="5" t="str">
        <f>IFERROR(__xludf.DUMMYFUNCTION("""COMPUTED_VALUE"""),"মোঃ সোলাইমান")</f>
        <v>মোঃ সোলাইমান</v>
      </c>
      <c r="F61" s="5" t="str">
        <f>IFERROR(__xludf.DUMMYFUNCTION("""COMPUTED_VALUE"""),"মোছাঃ রাহাতন নেছা")</f>
        <v>মোছাঃ রাহাতন নেছা</v>
      </c>
      <c r="G61" s="5" t="str">
        <f>IFERROR(__xludf.DUMMYFUNCTION("""COMPUTED_VALUE"""),"৩০/১২/১৯৭৬")</f>
        <v>৩০/১২/১৯৭৬</v>
      </c>
      <c r="H61" s="5" t="str">
        <f>IFERROR(__xludf.DUMMYFUNCTION("""COMPUTED_VALUE"""),"গৃহিনী")</f>
        <v>গৃহিনী</v>
      </c>
      <c r="I61" s="5" t="str">
        <f>IFERROR(__xludf.DUMMYFUNCTION("""COMPUTED_VALUE"""),"গাড়ীডোব")</f>
        <v>গাড়ীডোব</v>
      </c>
      <c r="J61" s="5" t="str">
        <f>IFERROR(__xludf.DUMMYFUNCTION("""COMPUTED_VALUE""")," গাংনী")</f>
        <v> গাংনী</v>
      </c>
      <c r="K61" s="5" t="str">
        <f>IFERROR(__xludf.DUMMYFUNCTION("""COMPUTED_VALUE""")," মেহেরপুর")</f>
        <v> মেহেরপুর</v>
      </c>
    </row>
    <row r="62" ht="15.75" customHeight="1">
      <c r="A62" s="6" t="s">
        <v>6930</v>
      </c>
      <c r="B62" s="5">
        <f>IFERROR(__xludf.DUMMYFUNCTION("SPLIT(A62,"","")"),1408.0)</f>
        <v>1408</v>
      </c>
      <c r="C62" s="5" t="str">
        <f>IFERROR(__xludf.DUMMYFUNCTION("""COMPUTED_VALUE"""),"মোছাঃ রাশেদা খাতুন")</f>
        <v>মোছাঃ রাশেদা খাতুন</v>
      </c>
      <c r="D62" s="5">
        <f>IFERROR(__xludf.DUMMYFUNCTION("""COMPUTED_VALUE"""),5.70038356318E11)</f>
        <v>570038356318</v>
      </c>
      <c r="E62" s="5" t="str">
        <f>IFERROR(__xludf.DUMMYFUNCTION("""COMPUTED_VALUE"""),"দাউদ হোসেন")</f>
        <v>দাউদ হোসেন</v>
      </c>
      <c r="F62" s="5" t="str">
        <f>IFERROR(__xludf.DUMMYFUNCTION("""COMPUTED_VALUE"""),"মোছাঃ মানেজা বেগম")</f>
        <v>মোছাঃ মানেজা বেগম</v>
      </c>
      <c r="G62" s="5" t="str">
        <f>IFERROR(__xludf.DUMMYFUNCTION("""COMPUTED_VALUE"""),"২০/০৬/১৯৮৩")</f>
        <v>২০/০৬/১৯৮৩</v>
      </c>
      <c r="H62" s="5" t="str">
        <f>IFERROR(__xludf.DUMMYFUNCTION("""COMPUTED_VALUE"""),"গৃহিনী")</f>
        <v>গৃহিনী</v>
      </c>
      <c r="I62" s="5" t="str">
        <f>IFERROR(__xludf.DUMMYFUNCTION("""COMPUTED_VALUE"""),"গাড়ীডোব")</f>
        <v>গাড়ীডোব</v>
      </c>
      <c r="J62" s="5" t="str">
        <f>IFERROR(__xludf.DUMMYFUNCTION("""COMPUTED_VALUE""")," গাংনী")</f>
        <v> গাংনী</v>
      </c>
      <c r="K62" s="5" t="str">
        <f>IFERROR(__xludf.DUMMYFUNCTION("""COMPUTED_VALUE""")," মেহেরপুর")</f>
        <v> মেহেরপুর</v>
      </c>
    </row>
    <row r="63" ht="15.75" customHeight="1">
      <c r="A63" s="6" t="s">
        <v>6931</v>
      </c>
      <c r="B63" s="5">
        <f>IFERROR(__xludf.DUMMYFUNCTION("SPLIT(A63,"","")"),1409.0)</f>
        <v>1409</v>
      </c>
      <c r="C63" s="5" t="str">
        <f>IFERROR(__xludf.DUMMYFUNCTION("""COMPUTED_VALUE"""),"মোছাঃ মোমেনা খাতুন")</f>
        <v>মোছাঃ মোমেনা খাতুন</v>
      </c>
      <c r="D63" s="5">
        <f>IFERROR(__xludf.DUMMYFUNCTION("""COMPUTED_VALUE"""),5.70038356322E11)</f>
        <v>570038356322</v>
      </c>
      <c r="E63" s="5" t="str">
        <f>IFERROR(__xludf.DUMMYFUNCTION("""COMPUTED_VALUE"""),"মোঃ গোলাম পঞ্জাতন")</f>
        <v>মোঃ গোলাম পঞ্জাতন</v>
      </c>
      <c r="F63" s="5" t="str">
        <f>IFERROR(__xludf.DUMMYFUNCTION("""COMPUTED_VALUE"""),"মোছাঃ রহিমা খাতুন")</f>
        <v>মোছাঃ রহিমা খাতুন</v>
      </c>
      <c r="G63" s="5" t="str">
        <f>IFERROR(__xludf.DUMMYFUNCTION("""COMPUTED_VALUE"""),"০৬/০২/১৯৬৫")</f>
        <v>০৬/০২/১৯৬৫</v>
      </c>
      <c r="H63" s="5" t="str">
        <f>IFERROR(__xludf.DUMMYFUNCTION("""COMPUTED_VALUE"""),"গৃহিনী")</f>
        <v>গৃহিনী</v>
      </c>
      <c r="I63" s="5" t="str">
        <f>IFERROR(__xludf.DUMMYFUNCTION("""COMPUTED_VALUE"""),"গাড়ীডোব")</f>
        <v>গাড়ীডোব</v>
      </c>
      <c r="J63" s="5" t="str">
        <f>IFERROR(__xludf.DUMMYFUNCTION("""COMPUTED_VALUE""")," গাংনী")</f>
        <v> গাংনী</v>
      </c>
      <c r="K63" s="5" t="str">
        <f>IFERROR(__xludf.DUMMYFUNCTION("""COMPUTED_VALUE""")," মেহেরপুর")</f>
        <v> মেহেরপুর</v>
      </c>
    </row>
    <row r="64" ht="15.75" customHeight="1">
      <c r="A64" s="6" t="s">
        <v>6932</v>
      </c>
      <c r="B64" s="5">
        <f>IFERROR(__xludf.DUMMYFUNCTION("SPLIT(A64,"","")"),1410.0)</f>
        <v>1410</v>
      </c>
      <c r="C64" s="5" t="str">
        <f>IFERROR(__xludf.DUMMYFUNCTION("""COMPUTED_VALUE"""),"মোছাঃ জাহানারা বেগম")</f>
        <v>মোছাঃ জাহানারা বেগম</v>
      </c>
      <c r="D64" s="5">
        <f>IFERROR(__xludf.DUMMYFUNCTION("""COMPUTED_VALUE"""),5.70038356329E11)</f>
        <v>570038356329</v>
      </c>
      <c r="E64" s="5" t="str">
        <f>IFERROR(__xludf.DUMMYFUNCTION("""COMPUTED_VALUE"""),"হুরমত বিশ্বাস")</f>
        <v>হুরমত বিশ্বাস</v>
      </c>
      <c r="F64" s="5" t="str">
        <f>IFERROR(__xludf.DUMMYFUNCTION("""COMPUTED_VALUE"""),"মোছাঃ জফু বেগম")</f>
        <v>মোছাঃ জফু বেগম</v>
      </c>
      <c r="G64" s="5" t="str">
        <f>IFERROR(__xludf.DUMMYFUNCTION("""COMPUTED_VALUE"""),"০৫/০২/১৯৪২")</f>
        <v>০৫/০২/১৯৪২</v>
      </c>
      <c r="H64" s="5" t="str">
        <f>IFERROR(__xludf.DUMMYFUNCTION("""COMPUTED_VALUE"""),"গৃহিনী")</f>
        <v>গৃহিনী</v>
      </c>
      <c r="I64" s="5" t="str">
        <f>IFERROR(__xludf.DUMMYFUNCTION("""COMPUTED_VALUE"""),"গাড়ীডোব")</f>
        <v>গাড়ীডোব</v>
      </c>
      <c r="J64" s="5" t="str">
        <f>IFERROR(__xludf.DUMMYFUNCTION("""COMPUTED_VALUE""")," গাংনী")</f>
        <v> গাংনী</v>
      </c>
      <c r="K64" s="5" t="str">
        <f>IFERROR(__xludf.DUMMYFUNCTION("""COMPUTED_VALUE""")," মেহেরপুর")</f>
        <v> মেহেরপুর</v>
      </c>
    </row>
    <row r="65" ht="15.75" customHeight="1">
      <c r="A65" s="6" t="s">
        <v>6933</v>
      </c>
      <c r="B65" s="5">
        <f>IFERROR(__xludf.DUMMYFUNCTION("SPLIT(A65,"","")"),1411.0)</f>
        <v>1411</v>
      </c>
      <c r="C65" s="5" t="str">
        <f>IFERROR(__xludf.DUMMYFUNCTION("""COMPUTED_VALUE"""),"মোছাঃ শ্যামলি খাতুন")</f>
        <v>মোছাঃ শ্যামলি খাতুন</v>
      </c>
      <c r="D65" s="5">
        <f>IFERROR(__xludf.DUMMYFUNCTION("""COMPUTED_VALUE"""),5.70038356331E11)</f>
        <v>570038356331</v>
      </c>
      <c r="E65" s="5" t="str">
        <f>IFERROR(__xludf.DUMMYFUNCTION("""COMPUTED_VALUE"""),"মোঃ নাজিম উদ্দীন")</f>
        <v>মোঃ নাজিম উদ্দীন</v>
      </c>
      <c r="F65" s="5" t="str">
        <f>IFERROR(__xludf.DUMMYFUNCTION("""COMPUTED_VALUE"""),"মোছাঃ লতিফন নেছা")</f>
        <v>মোছাঃ লতিফন নেছা</v>
      </c>
      <c r="G65" s="5" t="str">
        <f>IFERROR(__xludf.DUMMYFUNCTION("""COMPUTED_VALUE"""),"১০/০২/১৯৮৫")</f>
        <v>১০/০২/১৯৮৫</v>
      </c>
      <c r="H65" s="5" t="str">
        <f>IFERROR(__xludf.DUMMYFUNCTION("""COMPUTED_VALUE"""),"গৃহিনী")</f>
        <v>গৃহিনী</v>
      </c>
      <c r="I65" s="5" t="str">
        <f>IFERROR(__xludf.DUMMYFUNCTION("""COMPUTED_VALUE"""),"গাড়ীডোব")</f>
        <v>গাড়ীডোব</v>
      </c>
      <c r="J65" s="5" t="str">
        <f>IFERROR(__xludf.DUMMYFUNCTION("""COMPUTED_VALUE""")," গাংনী")</f>
        <v> গাংনী</v>
      </c>
      <c r="K65" s="5" t="str">
        <f>IFERROR(__xludf.DUMMYFUNCTION("""COMPUTED_VALUE""")," মেহেরপুর")</f>
        <v> মেহেরপুর</v>
      </c>
    </row>
    <row r="66" ht="15.75" customHeight="1">
      <c r="A66" s="6" t="s">
        <v>6934</v>
      </c>
      <c r="B66" s="5">
        <f>IFERROR(__xludf.DUMMYFUNCTION("SPLIT(A66,"","")"),1412.0)</f>
        <v>1412</v>
      </c>
      <c r="C66" s="5" t="str">
        <f>IFERROR(__xludf.DUMMYFUNCTION("""COMPUTED_VALUE"""),"মোছাঃ হাফিজা খাতুন")</f>
        <v>মোছাঃ হাফিজা খাতুন</v>
      </c>
      <c r="D66" s="5">
        <f>IFERROR(__xludf.DUMMYFUNCTION("""COMPUTED_VALUE"""),5.70038356332E11)</f>
        <v>570038356332</v>
      </c>
      <c r="E66" s="5" t="str">
        <f>IFERROR(__xludf.DUMMYFUNCTION("""COMPUTED_VALUE"""),"মোঃ আবুল হাশেম")</f>
        <v>মোঃ আবুল হাশেম</v>
      </c>
      <c r="F66" s="5" t="str">
        <f>IFERROR(__xludf.DUMMYFUNCTION("""COMPUTED_VALUE"""),"মোছাঃ মাহমুদা খাতুন")</f>
        <v>মোছাঃ মাহমুদা খাতুন</v>
      </c>
      <c r="G66" s="5" t="str">
        <f>IFERROR(__xludf.DUMMYFUNCTION("""COMPUTED_VALUE"""),"০১/০১/১৯৮১")</f>
        <v>০১/০১/১৯৮১</v>
      </c>
      <c r="H66" s="5" t="str">
        <f>IFERROR(__xludf.DUMMYFUNCTION("""COMPUTED_VALUE"""),"গৃহিনী")</f>
        <v>গৃহিনী</v>
      </c>
      <c r="I66" s="5" t="str">
        <f>IFERROR(__xludf.DUMMYFUNCTION("""COMPUTED_VALUE"""),"গাড়ীডোব")</f>
        <v>গাড়ীডোব</v>
      </c>
      <c r="J66" s="5" t="str">
        <f>IFERROR(__xludf.DUMMYFUNCTION("""COMPUTED_VALUE""")," গাংনী")</f>
        <v> গাংনী</v>
      </c>
      <c r="K66" s="5" t="str">
        <f>IFERROR(__xludf.DUMMYFUNCTION("""COMPUTED_VALUE""")," মেহেরপুর")</f>
        <v> মেহেরপুর</v>
      </c>
    </row>
    <row r="67" ht="15.75" customHeight="1">
      <c r="A67" s="6" t="s">
        <v>6935</v>
      </c>
      <c r="B67" s="5">
        <f>IFERROR(__xludf.DUMMYFUNCTION("SPLIT(A67,"","")"),1413.0)</f>
        <v>1413</v>
      </c>
      <c r="C67" s="5" t="str">
        <f>IFERROR(__xludf.DUMMYFUNCTION("""COMPUTED_VALUE"""),"মোছাঃ নীলিমা আফরোজ")</f>
        <v>মোছাঃ নীলিমা আফরোজ</v>
      </c>
      <c r="D67" s="5">
        <f>IFERROR(__xludf.DUMMYFUNCTION("""COMPUTED_VALUE"""),5.70038356334E11)</f>
        <v>570038356334</v>
      </c>
      <c r="E67" s="5" t="str">
        <f>IFERROR(__xludf.DUMMYFUNCTION("""COMPUTED_VALUE"""),"মোঃ আবুল হাশেম")</f>
        <v>মোঃ আবুল হাশেম</v>
      </c>
      <c r="F67" s="5" t="str">
        <f>IFERROR(__xludf.DUMMYFUNCTION("""COMPUTED_VALUE"""),"মোছাঃ মাহমুদা বেগম")</f>
        <v>মোছাঃ মাহমুদা বেগম</v>
      </c>
      <c r="G67" s="5" t="str">
        <f>IFERROR(__xludf.DUMMYFUNCTION("""COMPUTED_VALUE"""),"২১/০২/১৯৮২")</f>
        <v>২১/০২/১৯৮২</v>
      </c>
      <c r="H67" s="5" t="str">
        <f>IFERROR(__xludf.DUMMYFUNCTION("""COMPUTED_VALUE"""),"গৃহিনী")</f>
        <v>গৃহিনী</v>
      </c>
      <c r="I67" s="5" t="str">
        <f>IFERROR(__xludf.DUMMYFUNCTION("""COMPUTED_VALUE"""),"গাড়ীডোব")</f>
        <v>গাড়ীডোব</v>
      </c>
      <c r="J67" s="5" t="str">
        <f>IFERROR(__xludf.DUMMYFUNCTION("""COMPUTED_VALUE""")," গাংনী")</f>
        <v> গাংনী</v>
      </c>
      <c r="K67" s="5" t="str">
        <f>IFERROR(__xludf.DUMMYFUNCTION("""COMPUTED_VALUE""")," মেহেরপুর")</f>
        <v> মেহেরপুর</v>
      </c>
    </row>
    <row r="68" ht="15.75" customHeight="1">
      <c r="A68" s="6" t="s">
        <v>6936</v>
      </c>
      <c r="B68" s="5">
        <f>IFERROR(__xludf.DUMMYFUNCTION("SPLIT(A68,"","")"),1414.0)</f>
        <v>1414</v>
      </c>
      <c r="C68" s="5" t="str">
        <f>IFERROR(__xludf.DUMMYFUNCTION("""COMPUTED_VALUE"""),"মোছাঃ চামিলি খাতুন")</f>
        <v>মোছাঃ চামিলি খাতুন</v>
      </c>
      <c r="D68" s="5">
        <f>IFERROR(__xludf.DUMMYFUNCTION("""COMPUTED_VALUE"""),5.70038356335E11)</f>
        <v>570038356335</v>
      </c>
      <c r="E68" s="5" t="str">
        <f>IFERROR(__xludf.DUMMYFUNCTION("""COMPUTED_VALUE"""),"মোঃ আব্দুর রশিদ")</f>
        <v>মোঃ আব্দুর রশিদ</v>
      </c>
      <c r="F68" s="5" t="str">
        <f>IFERROR(__xludf.DUMMYFUNCTION("""COMPUTED_VALUE"""),"মোছাঃ রাফিজা বেগম")</f>
        <v>মোছাঃ রাফিজা বেগম</v>
      </c>
      <c r="G68" s="5" t="str">
        <f>IFERROR(__xludf.DUMMYFUNCTION("""COMPUTED_VALUE"""),"০২/০১/১৯৮৯")</f>
        <v>০২/০১/১৯৮৯</v>
      </c>
      <c r="H68" s="5" t="str">
        <f>IFERROR(__xludf.DUMMYFUNCTION("""COMPUTED_VALUE"""),"গৃহিনী")</f>
        <v>গৃহিনী</v>
      </c>
      <c r="I68" s="5" t="str">
        <f>IFERROR(__xludf.DUMMYFUNCTION("""COMPUTED_VALUE"""),"গাড়ীডোব")</f>
        <v>গাড়ীডোব</v>
      </c>
      <c r="J68" s="5" t="str">
        <f>IFERROR(__xludf.DUMMYFUNCTION("""COMPUTED_VALUE""")," গাংনী")</f>
        <v> গাংনী</v>
      </c>
      <c r="K68" s="5" t="str">
        <f>IFERROR(__xludf.DUMMYFUNCTION("""COMPUTED_VALUE""")," মেহেরপুর")</f>
        <v> মেহেরপুর</v>
      </c>
    </row>
    <row r="69" ht="15.75" customHeight="1">
      <c r="A69" s="6" t="s">
        <v>6937</v>
      </c>
      <c r="B69" s="5">
        <f>IFERROR(__xludf.DUMMYFUNCTION("SPLIT(A69,"","")"),1415.0)</f>
        <v>1415</v>
      </c>
      <c r="C69" s="5" t="str">
        <f>IFERROR(__xludf.DUMMYFUNCTION("""COMPUTED_VALUE"""),"মোছাঃ সফুরা খাতুন")</f>
        <v>মোছাঃ সফুরা খাতুন</v>
      </c>
      <c r="D69" s="5">
        <f>IFERROR(__xludf.DUMMYFUNCTION("""COMPUTED_VALUE"""),5.70038356338E11)</f>
        <v>570038356338</v>
      </c>
      <c r="E69" s="5" t="str">
        <f>IFERROR(__xludf.DUMMYFUNCTION("""COMPUTED_VALUE"""),"সুন্নত মালিথা")</f>
        <v>সুন্নত মালিথা</v>
      </c>
      <c r="F69" s="5" t="str">
        <f>IFERROR(__xludf.DUMMYFUNCTION("""COMPUTED_VALUE"""),"মোছাঃ গোলজান")</f>
        <v>মোছাঃ গোলজান</v>
      </c>
      <c r="G69" s="5" t="str">
        <f>IFERROR(__xludf.DUMMYFUNCTION("""COMPUTED_VALUE"""),"১০/০৪/১৯৪২")</f>
        <v>১০/০৪/১৯৪২</v>
      </c>
      <c r="H69" s="5" t="str">
        <f>IFERROR(__xludf.DUMMYFUNCTION("""COMPUTED_VALUE"""),"গৃহিনী")</f>
        <v>গৃহিনী</v>
      </c>
      <c r="I69" s="5" t="str">
        <f>IFERROR(__xludf.DUMMYFUNCTION("""COMPUTED_VALUE"""),"গাড়ীডোব")</f>
        <v>গাড়ীডোব</v>
      </c>
      <c r="J69" s="5" t="str">
        <f>IFERROR(__xludf.DUMMYFUNCTION("""COMPUTED_VALUE""")," গাংনী")</f>
        <v> গাংনী</v>
      </c>
      <c r="K69" s="5" t="str">
        <f>IFERROR(__xludf.DUMMYFUNCTION("""COMPUTED_VALUE""")," মেহেরপুর")</f>
        <v> মেহেরপুর</v>
      </c>
    </row>
    <row r="70" ht="15.75" customHeight="1">
      <c r="A70" s="6" t="s">
        <v>6938</v>
      </c>
      <c r="B70" s="5">
        <f>IFERROR(__xludf.DUMMYFUNCTION("SPLIT(A70,"","")"),1416.0)</f>
        <v>1416</v>
      </c>
      <c r="C70" s="5" t="str">
        <f>IFERROR(__xludf.DUMMYFUNCTION("""COMPUTED_VALUE"""),"মোছাঃ রাফিয়া খাতুন")</f>
        <v>মোছাঃ রাফিয়া খাতুন</v>
      </c>
      <c r="D70" s="5">
        <f>IFERROR(__xludf.DUMMYFUNCTION("""COMPUTED_VALUE"""),5.70038356339E11)</f>
        <v>570038356339</v>
      </c>
      <c r="E70" s="5" t="str">
        <f>IFERROR(__xludf.DUMMYFUNCTION("""COMPUTED_VALUE"""),"মোঃ আহাসান আলী")</f>
        <v>মোঃ আহাসান আলী</v>
      </c>
      <c r="F70" s="5" t="str">
        <f>IFERROR(__xludf.DUMMYFUNCTION("""COMPUTED_VALUE"""),"মোছাঃ সফুরা খাতুন")</f>
        <v>মোছাঃ সফুরা খাতুন</v>
      </c>
      <c r="G70" s="5" t="str">
        <f>IFERROR(__xludf.DUMMYFUNCTION("""COMPUTED_VALUE"""),"০৩/০৫/১৯৫৭")</f>
        <v>০৩/০৫/১৯৫৭</v>
      </c>
      <c r="H70" s="5" t="str">
        <f>IFERROR(__xludf.DUMMYFUNCTION("""COMPUTED_VALUE"""),"গৃহিনী")</f>
        <v>গৃহিনী</v>
      </c>
      <c r="I70" s="5" t="str">
        <f>IFERROR(__xludf.DUMMYFUNCTION("""COMPUTED_VALUE"""),"গাড়ীডোব")</f>
        <v>গাড়ীডোব</v>
      </c>
      <c r="J70" s="5" t="str">
        <f>IFERROR(__xludf.DUMMYFUNCTION("""COMPUTED_VALUE""")," গাংনী")</f>
        <v> গাংনী</v>
      </c>
      <c r="K70" s="5" t="str">
        <f>IFERROR(__xludf.DUMMYFUNCTION("""COMPUTED_VALUE""")," মেহেরপুর")</f>
        <v> মেহেরপুর</v>
      </c>
    </row>
    <row r="71" ht="15.75" customHeight="1">
      <c r="A71" s="6" t="s">
        <v>6939</v>
      </c>
      <c r="B71" s="5">
        <f>IFERROR(__xludf.DUMMYFUNCTION("SPLIT(A71,"","")"),1417.0)</f>
        <v>1417</v>
      </c>
      <c r="C71" s="5" t="str">
        <f>IFERROR(__xludf.DUMMYFUNCTION("""COMPUTED_VALUE"""),"মোছাঃ বাচেনা খাতুন")</f>
        <v>মোছাঃ বাচেনা খাতুন</v>
      </c>
      <c r="D71" s="5">
        <f>IFERROR(__xludf.DUMMYFUNCTION("""COMPUTED_VALUE"""),5.70038356341E11)</f>
        <v>570038356341</v>
      </c>
      <c r="E71" s="5" t="str">
        <f>IFERROR(__xludf.DUMMYFUNCTION("""COMPUTED_VALUE"""),"আফছার আলী")</f>
        <v>আফছার আলী</v>
      </c>
      <c r="F71" s="5" t="str">
        <f>IFERROR(__xludf.DUMMYFUNCTION("""COMPUTED_VALUE"""),"মোছাঃ উজিলা খাতুন")</f>
        <v>মোছাঃ উজিলা খাতুন</v>
      </c>
      <c r="G71" s="5" t="str">
        <f>IFERROR(__xludf.DUMMYFUNCTION("""COMPUTED_VALUE"""),"০৫/০৪/১৯৮০")</f>
        <v>০৫/০৪/১৯৮০</v>
      </c>
      <c r="H71" s="5" t="str">
        <f>IFERROR(__xludf.DUMMYFUNCTION("""COMPUTED_VALUE"""),"গৃহিনী")</f>
        <v>গৃহিনী</v>
      </c>
      <c r="I71" s="5" t="str">
        <f>IFERROR(__xludf.DUMMYFUNCTION("""COMPUTED_VALUE"""),"গাড়ীডোব")</f>
        <v>গাড়ীডোব</v>
      </c>
      <c r="J71" s="5" t="str">
        <f>IFERROR(__xludf.DUMMYFUNCTION("""COMPUTED_VALUE""")," গাংনী")</f>
        <v> গাংনী</v>
      </c>
      <c r="K71" s="5" t="str">
        <f>IFERROR(__xludf.DUMMYFUNCTION("""COMPUTED_VALUE""")," মেহেরপুর")</f>
        <v> মেহেরপুর</v>
      </c>
    </row>
    <row r="72" ht="15.75" customHeight="1">
      <c r="A72" s="6" t="s">
        <v>6940</v>
      </c>
      <c r="B72" s="5">
        <f>IFERROR(__xludf.DUMMYFUNCTION("SPLIT(A72,"","")"),1418.0)</f>
        <v>1418</v>
      </c>
      <c r="C72" s="5" t="str">
        <f>IFERROR(__xludf.DUMMYFUNCTION("""COMPUTED_VALUE"""),"মোছাঃ রহিমা খাতুন")</f>
        <v>মোছাঃ রহিমা খাতুন</v>
      </c>
      <c r="D72" s="5">
        <f>IFERROR(__xludf.DUMMYFUNCTION("""COMPUTED_VALUE"""),5.70038356345E11)</f>
        <v>570038356345</v>
      </c>
      <c r="E72" s="5" t="str">
        <f>IFERROR(__xludf.DUMMYFUNCTION("""COMPUTED_VALUE"""),"ফরজ আলী")</f>
        <v>ফরজ আলী</v>
      </c>
      <c r="F72" s="5" t="str">
        <f>IFERROR(__xludf.DUMMYFUNCTION("""COMPUTED_VALUE"""),"মারু বেগম")</f>
        <v>মারু বেগম</v>
      </c>
      <c r="G72" s="5" t="str">
        <f>IFERROR(__xludf.DUMMYFUNCTION("""COMPUTED_VALUE"""),"১৫/০৩/১৯৪২")</f>
        <v>১৫/০৩/১৯৪২</v>
      </c>
      <c r="H72" s="5" t="str">
        <f>IFERROR(__xludf.DUMMYFUNCTION("""COMPUTED_VALUE"""),"গৃহিনী")</f>
        <v>গৃহিনী</v>
      </c>
      <c r="I72" s="5" t="str">
        <f>IFERROR(__xludf.DUMMYFUNCTION("""COMPUTED_VALUE"""),"গাড়ীডোব")</f>
        <v>গাড়ীডোব</v>
      </c>
      <c r="J72" s="5" t="str">
        <f>IFERROR(__xludf.DUMMYFUNCTION("""COMPUTED_VALUE""")," গাংনী")</f>
        <v> গাংনী</v>
      </c>
      <c r="K72" s="5" t="str">
        <f>IFERROR(__xludf.DUMMYFUNCTION("""COMPUTED_VALUE""")," মেহেরপুর")</f>
        <v> মেহেরপুর</v>
      </c>
    </row>
    <row r="73" ht="15.75" customHeight="1">
      <c r="A73" s="6" t="s">
        <v>6941</v>
      </c>
      <c r="B73" s="5">
        <f>IFERROR(__xludf.DUMMYFUNCTION("SPLIT(A73,"","")"),1419.0)</f>
        <v>1419</v>
      </c>
      <c r="C73" s="5" t="str">
        <f>IFERROR(__xludf.DUMMYFUNCTION("""COMPUTED_VALUE"""),"মোছাঃ ছালেমা বেগম")</f>
        <v>মোছাঃ ছালেমা বেগম</v>
      </c>
      <c r="D73" s="5">
        <f>IFERROR(__xludf.DUMMYFUNCTION("""COMPUTED_VALUE"""),5.70038356347E11)</f>
        <v>570038356347</v>
      </c>
      <c r="E73" s="5" t="str">
        <f>IFERROR(__xludf.DUMMYFUNCTION("""COMPUTED_VALUE"""),"ছলেমান শেখ")</f>
        <v>ছলেমান শেখ</v>
      </c>
      <c r="F73" s="5" t="str">
        <f>IFERROR(__xludf.DUMMYFUNCTION("""COMPUTED_VALUE"""),"নছিয়া খাতুন")</f>
        <v>নছিয়া খাতুন</v>
      </c>
      <c r="G73" s="5" t="str">
        <f>IFERROR(__xludf.DUMMYFUNCTION("""COMPUTED_VALUE"""),"১০/০৪/১৯৭১")</f>
        <v>১০/০৪/১৯৭১</v>
      </c>
      <c r="H73" s="5" t="str">
        <f>IFERROR(__xludf.DUMMYFUNCTION("""COMPUTED_VALUE"""),"গৃহিনী")</f>
        <v>গৃহিনী</v>
      </c>
      <c r="I73" s="5" t="str">
        <f>IFERROR(__xludf.DUMMYFUNCTION("""COMPUTED_VALUE"""),"গাড়ীডোব")</f>
        <v>গাড়ীডোব</v>
      </c>
      <c r="J73" s="5" t="str">
        <f>IFERROR(__xludf.DUMMYFUNCTION("""COMPUTED_VALUE""")," গাংনী")</f>
        <v> গাংনী</v>
      </c>
      <c r="K73" s="5" t="str">
        <f>IFERROR(__xludf.DUMMYFUNCTION("""COMPUTED_VALUE""")," মেহেরপুর")</f>
        <v> মেহেরপুর</v>
      </c>
    </row>
    <row r="74" ht="15.75" customHeight="1">
      <c r="A74" s="6" t="s">
        <v>6942</v>
      </c>
      <c r="B74" s="5">
        <f>IFERROR(__xludf.DUMMYFUNCTION("SPLIT(A74,"","")"),1420.0)</f>
        <v>1420</v>
      </c>
      <c r="C74" s="5" t="str">
        <f>IFERROR(__xludf.DUMMYFUNCTION("""COMPUTED_VALUE"""),"মোছাঃ নজেরা বেগম")</f>
        <v>মোছাঃ নজেরা বেগম</v>
      </c>
      <c r="D74" s="5">
        <f>IFERROR(__xludf.DUMMYFUNCTION("""COMPUTED_VALUE"""),5.70038356351E11)</f>
        <v>570038356351</v>
      </c>
      <c r="E74" s="5" t="str">
        <f>IFERROR(__xludf.DUMMYFUNCTION("""COMPUTED_VALUE"""),"মোঃ মনিরুল ইসলাম")</f>
        <v>মোঃ মনিরুল ইসলাম</v>
      </c>
      <c r="F74" s="5" t="str">
        <f>IFERROR(__xludf.DUMMYFUNCTION("""COMPUTED_VALUE"""),"মোছাঃ ছামসুন্নাহার")</f>
        <v>মোছাঃ ছামসুন্নাহার</v>
      </c>
      <c r="G74" s="5" t="str">
        <f>IFERROR(__xludf.DUMMYFUNCTION("""COMPUTED_VALUE"""),"০৩/০২/১৯৮১")</f>
        <v>০৩/০২/১৯৮১</v>
      </c>
      <c r="H74" s="5" t="str">
        <f>IFERROR(__xludf.DUMMYFUNCTION("""COMPUTED_VALUE"""),"গৃহিনী")</f>
        <v>গৃহিনী</v>
      </c>
      <c r="I74" s="5" t="str">
        <f>IFERROR(__xludf.DUMMYFUNCTION("""COMPUTED_VALUE"""),"গাড়ীডোব")</f>
        <v>গাড়ীডোব</v>
      </c>
      <c r="J74" s="5" t="str">
        <f>IFERROR(__xludf.DUMMYFUNCTION("""COMPUTED_VALUE""")," গাংনী")</f>
        <v> গাংনী</v>
      </c>
      <c r="K74" s="5" t="str">
        <f>IFERROR(__xludf.DUMMYFUNCTION("""COMPUTED_VALUE""")," মেহেরপুর")</f>
        <v> মেহেরপুর</v>
      </c>
    </row>
    <row r="75" ht="15.75" customHeight="1">
      <c r="A75" s="6" t="s">
        <v>6943</v>
      </c>
      <c r="B75" s="5">
        <f>IFERROR(__xludf.DUMMYFUNCTION("SPLIT(A75,"","")"),1421.0)</f>
        <v>1421</v>
      </c>
      <c r="C75" s="5" t="str">
        <f>IFERROR(__xludf.DUMMYFUNCTION("""COMPUTED_VALUE"""),"মোছাঃ ছালমা খাতুন")</f>
        <v>মোছাঃ ছালমা খাতুন</v>
      </c>
      <c r="D75" s="5">
        <f>IFERROR(__xludf.DUMMYFUNCTION("""COMPUTED_VALUE"""),5.70038356352E11)</f>
        <v>570038356352</v>
      </c>
      <c r="E75" s="5" t="str">
        <f>IFERROR(__xludf.DUMMYFUNCTION("""COMPUTED_VALUE"""),"মোঃ আক্কাচ আলী")</f>
        <v>মোঃ আক্কাচ আলী</v>
      </c>
      <c r="F75" s="5" t="str">
        <f>IFERROR(__xludf.DUMMYFUNCTION("""COMPUTED_VALUE"""),"মোছাঃ সোহাগী")</f>
        <v>মোছাঃ সোহাগী</v>
      </c>
      <c r="G75" s="5" t="str">
        <f>IFERROR(__xludf.DUMMYFUNCTION("""COMPUTED_VALUE"""),"১০/০৪/১৯৮৫")</f>
        <v>১০/০৪/১৯৮৫</v>
      </c>
      <c r="H75" s="5" t="str">
        <f>IFERROR(__xludf.DUMMYFUNCTION("""COMPUTED_VALUE"""),"গৃহিনী")</f>
        <v>গৃহিনী</v>
      </c>
      <c r="I75" s="5" t="str">
        <f>IFERROR(__xludf.DUMMYFUNCTION("""COMPUTED_VALUE"""),"গাড়ীডোব")</f>
        <v>গাড়ীডোব</v>
      </c>
      <c r="J75" s="5" t="str">
        <f>IFERROR(__xludf.DUMMYFUNCTION("""COMPUTED_VALUE""")," গাংনী")</f>
        <v> গাংনী</v>
      </c>
      <c r="K75" s="5" t="str">
        <f>IFERROR(__xludf.DUMMYFUNCTION("""COMPUTED_VALUE""")," মেহেরপুর")</f>
        <v> মেহেরপুর</v>
      </c>
    </row>
    <row r="76" ht="15.75" customHeight="1">
      <c r="A76" s="6" t="s">
        <v>6944</v>
      </c>
      <c r="B76" s="5">
        <f>IFERROR(__xludf.DUMMYFUNCTION("SPLIT(A76,"","")"),1422.0)</f>
        <v>1422</v>
      </c>
      <c r="C76" s="5" t="str">
        <f>IFERROR(__xludf.DUMMYFUNCTION("""COMPUTED_VALUE"""),"মোছাঃ শাবেজান")</f>
        <v>মোছাঃ শাবেজান</v>
      </c>
      <c r="D76" s="5">
        <f>IFERROR(__xludf.DUMMYFUNCTION("""COMPUTED_VALUE"""),5.70038356354E11)</f>
        <v>570038356354</v>
      </c>
      <c r="E76" s="5" t="str">
        <f>IFERROR(__xludf.DUMMYFUNCTION("""COMPUTED_VALUE"""),"নুর বক্স")</f>
        <v>নুর বক্স</v>
      </c>
      <c r="F76" s="5" t="str">
        <f>IFERROR(__xludf.DUMMYFUNCTION("""COMPUTED_VALUE"""),"খাতুন নেছা")</f>
        <v>খাতুন নেছা</v>
      </c>
      <c r="G76" s="5" t="str">
        <f>IFERROR(__xludf.DUMMYFUNCTION("""COMPUTED_VALUE"""),"০৮/১০/১৯৬৪")</f>
        <v>০৮/১০/১৯৬৪</v>
      </c>
      <c r="H76" s="5" t="str">
        <f>IFERROR(__xludf.DUMMYFUNCTION("""COMPUTED_VALUE"""),"গৃহিনী")</f>
        <v>গৃহিনী</v>
      </c>
      <c r="I76" s="5" t="str">
        <f>IFERROR(__xludf.DUMMYFUNCTION("""COMPUTED_VALUE"""),"গাড়ীডোব")</f>
        <v>গাড়ীডোব</v>
      </c>
      <c r="J76" s="5" t="str">
        <f>IFERROR(__xludf.DUMMYFUNCTION("""COMPUTED_VALUE""")," গাংনী")</f>
        <v> গাংনী</v>
      </c>
      <c r="K76" s="5" t="str">
        <f>IFERROR(__xludf.DUMMYFUNCTION("""COMPUTED_VALUE""")," মেহেরপুর")</f>
        <v> মেহেরপুর</v>
      </c>
    </row>
    <row r="77" ht="15.75" customHeight="1">
      <c r="A77" s="6" t="s">
        <v>6945</v>
      </c>
      <c r="B77" s="5">
        <f>IFERROR(__xludf.DUMMYFUNCTION("SPLIT(A77,"","")"),1423.0)</f>
        <v>1423</v>
      </c>
      <c r="C77" s="5" t="str">
        <f>IFERROR(__xludf.DUMMYFUNCTION("""COMPUTED_VALUE"""),"মোছাঃ আপ্পনা খাতুন")</f>
        <v>মোছাঃ আপ্পনা খাতুন</v>
      </c>
      <c r="D77" s="5">
        <f>IFERROR(__xludf.DUMMYFUNCTION("""COMPUTED_VALUE"""),5.70038356359E11)</f>
        <v>570038356359</v>
      </c>
      <c r="E77" s="5" t="str">
        <f>IFERROR(__xludf.DUMMYFUNCTION("""COMPUTED_VALUE"""),"মোঃ ফজল শেখ")</f>
        <v>মোঃ ফজল শেখ</v>
      </c>
      <c r="F77" s="5" t="str">
        <f>IFERROR(__xludf.DUMMYFUNCTION("""COMPUTED_VALUE"""),"মোছাঃ ফজিলা খাতুন")</f>
        <v>মোছাঃ ফজিলা খাতুন</v>
      </c>
      <c r="G77" s="5" t="str">
        <f>IFERROR(__xludf.DUMMYFUNCTION("""COMPUTED_VALUE"""),"০২/০৩/১৯৮৮")</f>
        <v>০২/০৩/১৯৮৮</v>
      </c>
      <c r="H77" s="5" t="str">
        <f>IFERROR(__xludf.DUMMYFUNCTION("""COMPUTED_VALUE"""),"গৃহিনী")</f>
        <v>গৃহিনী</v>
      </c>
      <c r="I77" s="5" t="str">
        <f>IFERROR(__xludf.DUMMYFUNCTION("""COMPUTED_VALUE"""),"গাড়ীডোব")</f>
        <v>গাড়ীডোব</v>
      </c>
      <c r="J77" s="5" t="str">
        <f>IFERROR(__xludf.DUMMYFUNCTION("""COMPUTED_VALUE""")," গাংনী")</f>
        <v> গাংনী</v>
      </c>
      <c r="K77" s="5" t="str">
        <f>IFERROR(__xludf.DUMMYFUNCTION("""COMPUTED_VALUE""")," মেহেরপুর")</f>
        <v> মেহেরপুর</v>
      </c>
    </row>
    <row r="78" ht="15.75" customHeight="1">
      <c r="A78" s="6" t="s">
        <v>6946</v>
      </c>
      <c r="B78" s="5">
        <f>IFERROR(__xludf.DUMMYFUNCTION("SPLIT(A78,"","")"),1424.0)</f>
        <v>1424</v>
      </c>
      <c r="C78" s="5" t="str">
        <f>IFERROR(__xludf.DUMMYFUNCTION("""COMPUTED_VALUE"""),"মোছাঃ বেলি খাতুন")</f>
        <v>মোছাঃ বেলি খাতুন</v>
      </c>
      <c r="D78" s="5">
        <f>IFERROR(__xludf.DUMMYFUNCTION("""COMPUTED_VALUE"""),5.70038356362E11)</f>
        <v>570038356362</v>
      </c>
      <c r="E78" s="5" t="str">
        <f>IFERROR(__xludf.DUMMYFUNCTION("""COMPUTED_VALUE"""),"মোঃ তৌহিদুল ইসলাম")</f>
        <v>মোঃ তৌহিদুল ইসলাম</v>
      </c>
      <c r="F78" s="5" t="str">
        <f>IFERROR(__xludf.DUMMYFUNCTION("""COMPUTED_VALUE"""),"মোছাঃ আলতাফন নেছা")</f>
        <v>মোছাঃ আলতাফন নেছা</v>
      </c>
      <c r="G78" s="5" t="str">
        <f>IFERROR(__xludf.DUMMYFUNCTION("""COMPUTED_VALUE"""),"০৯/০২/১৯৮৮")</f>
        <v>০৯/০২/১৯৮৮</v>
      </c>
      <c r="H78" s="5" t="str">
        <f>IFERROR(__xludf.DUMMYFUNCTION("""COMPUTED_VALUE"""),"গৃহিনী")</f>
        <v>গৃহিনী</v>
      </c>
      <c r="I78" s="5" t="str">
        <f>IFERROR(__xludf.DUMMYFUNCTION("""COMPUTED_VALUE"""),"গাড়ীডোব")</f>
        <v>গাড়ীডোব</v>
      </c>
      <c r="J78" s="5" t="str">
        <f>IFERROR(__xludf.DUMMYFUNCTION("""COMPUTED_VALUE""")," গাংনী")</f>
        <v> গাংনী</v>
      </c>
      <c r="K78" s="5" t="str">
        <f>IFERROR(__xludf.DUMMYFUNCTION("""COMPUTED_VALUE""")," মেহেরপুর")</f>
        <v> মেহেরপুর</v>
      </c>
    </row>
    <row r="79" ht="15.75" customHeight="1">
      <c r="A79" s="6" t="s">
        <v>6947</v>
      </c>
      <c r="B79" s="5">
        <f>IFERROR(__xludf.DUMMYFUNCTION("SPLIT(A79,"","")"),1425.0)</f>
        <v>1425</v>
      </c>
      <c r="C79" s="5" t="str">
        <f>IFERROR(__xludf.DUMMYFUNCTION("""COMPUTED_VALUE"""),"মোছাঃ ছইরন খাতুন")</f>
        <v>মোছাঃ ছইরন খাতুন</v>
      </c>
      <c r="D79" s="5">
        <f>IFERROR(__xludf.DUMMYFUNCTION("""COMPUTED_VALUE"""),5.70038356363E11)</f>
        <v>570038356363</v>
      </c>
      <c r="E79" s="5" t="str">
        <f>IFERROR(__xludf.DUMMYFUNCTION("""COMPUTED_VALUE"""),"ভাদু খাঁ")</f>
        <v>ভাদু খাঁ</v>
      </c>
      <c r="F79" s="5" t="str">
        <f>IFERROR(__xludf.DUMMYFUNCTION("""COMPUTED_VALUE"""),"মোছাঃ উলি খাতুন")</f>
        <v>মোছাঃ উলি খাতুন</v>
      </c>
      <c r="G79" s="5" t="str">
        <f>IFERROR(__xludf.DUMMYFUNCTION("""COMPUTED_VALUE"""),"০৮/০১/১৯৬৭")</f>
        <v>০৮/০১/১৯৬৭</v>
      </c>
      <c r="H79" s="5" t="str">
        <f>IFERROR(__xludf.DUMMYFUNCTION("""COMPUTED_VALUE"""),"গৃহিনী")</f>
        <v>গৃহিনী</v>
      </c>
      <c r="I79" s="5" t="str">
        <f>IFERROR(__xludf.DUMMYFUNCTION("""COMPUTED_VALUE"""),"গাড়ীডোব")</f>
        <v>গাড়ীডোব</v>
      </c>
      <c r="J79" s="5" t="str">
        <f>IFERROR(__xludf.DUMMYFUNCTION("""COMPUTED_VALUE""")," গাংনী")</f>
        <v> গাংনী</v>
      </c>
      <c r="K79" s="5" t="str">
        <f>IFERROR(__xludf.DUMMYFUNCTION("""COMPUTED_VALUE""")," মেহেরপুর")</f>
        <v> মেহেরপুর</v>
      </c>
    </row>
    <row r="80" ht="15.75" customHeight="1">
      <c r="A80" s="6" t="s">
        <v>6948</v>
      </c>
      <c r="B80" s="5">
        <f>IFERROR(__xludf.DUMMYFUNCTION("SPLIT(A80,"","")"),1426.0)</f>
        <v>1426</v>
      </c>
      <c r="C80" s="5" t="str">
        <f>IFERROR(__xludf.DUMMYFUNCTION("""COMPUTED_VALUE"""),"মোছাঃ রিজ্কা খাতুন")</f>
        <v>মোছাঃ রিজ্কা খাতুন</v>
      </c>
      <c r="D80" s="5">
        <f>IFERROR(__xludf.DUMMYFUNCTION("""COMPUTED_VALUE"""),5.70038356365E11)</f>
        <v>570038356365</v>
      </c>
      <c r="E80" s="5" t="str">
        <f>IFERROR(__xludf.DUMMYFUNCTION("""COMPUTED_VALUE"""),"খলিল খাঁ")</f>
        <v>খলিল খাঁ</v>
      </c>
      <c r="F80" s="5" t="str">
        <f>IFERROR(__xludf.DUMMYFUNCTION("""COMPUTED_VALUE"""),"মোছাঃ জহুরা খাতুন")</f>
        <v>মোছাঃ জহুরা খাতুন</v>
      </c>
      <c r="G80" s="5" t="str">
        <f>IFERROR(__xludf.DUMMYFUNCTION("""COMPUTED_VALUE"""),"১২/০৩/১৯৮৭")</f>
        <v>১২/০৩/১৯৮৭</v>
      </c>
      <c r="H80" s="5" t="str">
        <f>IFERROR(__xludf.DUMMYFUNCTION("""COMPUTED_VALUE"""),"গৃহিনী")</f>
        <v>গৃহিনী</v>
      </c>
      <c r="I80" s="5" t="str">
        <f>IFERROR(__xludf.DUMMYFUNCTION("""COMPUTED_VALUE"""),"গাড়ীডোব")</f>
        <v>গাড়ীডোব</v>
      </c>
      <c r="J80" s="5" t="str">
        <f>IFERROR(__xludf.DUMMYFUNCTION("""COMPUTED_VALUE""")," গাংনী")</f>
        <v> গাংনী</v>
      </c>
      <c r="K80" s="5" t="str">
        <f>IFERROR(__xludf.DUMMYFUNCTION("""COMPUTED_VALUE""")," মেহেরপুর")</f>
        <v> মেহেরপুর</v>
      </c>
    </row>
    <row r="81" ht="15.75" customHeight="1">
      <c r="A81" s="6" t="s">
        <v>6949</v>
      </c>
      <c r="B81" s="5">
        <f>IFERROR(__xludf.DUMMYFUNCTION("SPLIT(A81,"","")"),1427.0)</f>
        <v>1427</v>
      </c>
      <c r="C81" s="5" t="str">
        <f>IFERROR(__xludf.DUMMYFUNCTION("""COMPUTED_VALUE"""),"মোছাঃ জেসমিন খাতুন")</f>
        <v>মোছাঃ জেসমিন খাতুন</v>
      </c>
      <c r="D81" s="5">
        <f>IFERROR(__xludf.DUMMYFUNCTION("""COMPUTED_VALUE"""),5.70038356366E11)</f>
        <v>570038356366</v>
      </c>
      <c r="E81" s="5" t="str">
        <f>IFERROR(__xludf.DUMMYFUNCTION("""COMPUTED_VALUE"""),"মোঃ আজিজুল হক")</f>
        <v>মোঃ আজিজুল হক</v>
      </c>
      <c r="F81" s="5" t="str">
        <f>IFERROR(__xludf.DUMMYFUNCTION("""COMPUTED_VALUE"""),"মোছাঃ হিফারন")</f>
        <v>মোছাঃ হিফারন</v>
      </c>
      <c r="G81" s="5" t="str">
        <f>IFERROR(__xludf.DUMMYFUNCTION("""COMPUTED_VALUE"""),"১২/০৪/১৯৮৭")</f>
        <v>১২/০৪/১৯৮৭</v>
      </c>
      <c r="H81" s="5" t="str">
        <f>IFERROR(__xludf.DUMMYFUNCTION("""COMPUTED_VALUE"""),"গৃহিনী")</f>
        <v>গৃহিনী</v>
      </c>
      <c r="I81" s="5" t="str">
        <f>IFERROR(__xludf.DUMMYFUNCTION("""COMPUTED_VALUE"""),"গাড়ীডোব")</f>
        <v>গাড়ীডোব</v>
      </c>
      <c r="J81" s="5" t="str">
        <f>IFERROR(__xludf.DUMMYFUNCTION("""COMPUTED_VALUE""")," গাংনী")</f>
        <v> গাংনী</v>
      </c>
      <c r="K81" s="5" t="str">
        <f>IFERROR(__xludf.DUMMYFUNCTION("""COMPUTED_VALUE""")," মেহেরপুর")</f>
        <v> মেহেরপুর</v>
      </c>
    </row>
    <row r="82" ht="15.75" customHeight="1">
      <c r="A82" s="6" t="s">
        <v>6950</v>
      </c>
      <c r="B82" s="5">
        <f>IFERROR(__xludf.DUMMYFUNCTION("SPLIT(A82,"","")"),1428.0)</f>
        <v>1428</v>
      </c>
      <c r="C82" s="5" t="str">
        <f>IFERROR(__xludf.DUMMYFUNCTION("""COMPUTED_VALUE"""),"মোছাঃ তানজিলা খাতুন")</f>
        <v>মোছাঃ তানজিলা খাতুন</v>
      </c>
      <c r="D82" s="5">
        <f>IFERROR(__xludf.DUMMYFUNCTION("""COMPUTED_VALUE"""),5.70038356368E11)</f>
        <v>570038356368</v>
      </c>
      <c r="E82" s="5" t="str">
        <f>IFERROR(__xludf.DUMMYFUNCTION("""COMPUTED_VALUE"""),"ছামছুদ্দীন")</f>
        <v>ছামছুদ্দীন</v>
      </c>
      <c r="F82" s="5" t="str">
        <f>IFERROR(__xludf.DUMMYFUNCTION("""COMPUTED_VALUE"""),"মোছাঃ ছফেরা খাতুন")</f>
        <v>মোছাঃ ছফেরা খাতুন</v>
      </c>
      <c r="G82" s="5" t="str">
        <f>IFERROR(__xludf.DUMMYFUNCTION("""COMPUTED_VALUE"""),"০৪/০২/১৯৫৭")</f>
        <v>০৪/০২/১৯৫৭</v>
      </c>
      <c r="H82" s="5" t="str">
        <f>IFERROR(__xludf.DUMMYFUNCTION("""COMPUTED_VALUE"""),"গৃহিনী")</f>
        <v>গৃহিনী</v>
      </c>
      <c r="I82" s="5" t="str">
        <f>IFERROR(__xludf.DUMMYFUNCTION("""COMPUTED_VALUE"""),"গাড়ীডোব")</f>
        <v>গাড়ীডোব</v>
      </c>
      <c r="J82" s="5" t="str">
        <f>IFERROR(__xludf.DUMMYFUNCTION("""COMPUTED_VALUE""")," গাংনী")</f>
        <v> গাংনী</v>
      </c>
      <c r="K82" s="5" t="str">
        <f>IFERROR(__xludf.DUMMYFUNCTION("""COMPUTED_VALUE""")," মেহেরপুর")</f>
        <v> মেহেরপুর</v>
      </c>
    </row>
    <row r="83" ht="15.75" customHeight="1">
      <c r="A83" s="6" t="s">
        <v>6951</v>
      </c>
      <c r="B83" s="5">
        <f>IFERROR(__xludf.DUMMYFUNCTION("SPLIT(A83,"","")"),1429.0)</f>
        <v>1429</v>
      </c>
      <c r="C83" s="5" t="str">
        <f>IFERROR(__xludf.DUMMYFUNCTION("""COMPUTED_VALUE"""),"মোছাঃ রহিমা খাতুন")</f>
        <v>মোছাঃ রহিমা খাতুন</v>
      </c>
      <c r="D83" s="5">
        <f>IFERROR(__xludf.DUMMYFUNCTION("""COMPUTED_VALUE"""),5.70038356369E11)</f>
        <v>570038356369</v>
      </c>
      <c r="E83" s="5" t="str">
        <f>IFERROR(__xludf.DUMMYFUNCTION("""COMPUTED_VALUE"""),"আব্দুর রহমান")</f>
        <v>আব্দুর রহমান</v>
      </c>
      <c r="F83" s="5" t="str">
        <f>IFERROR(__xludf.DUMMYFUNCTION("""COMPUTED_VALUE"""),"মোছাঃ তানজিলা খাতুন")</f>
        <v>মোছাঃ তানজিলা খাতুন</v>
      </c>
      <c r="G83" s="5" t="str">
        <f>IFERROR(__xludf.DUMMYFUNCTION("""COMPUTED_VALUE"""),"০৮/০৩/১৯৭৩")</f>
        <v>০৮/০৩/১৯৭৩</v>
      </c>
      <c r="H83" s="5" t="str">
        <f>IFERROR(__xludf.DUMMYFUNCTION("""COMPUTED_VALUE"""),"গৃহিনী")</f>
        <v>গৃহিনী</v>
      </c>
      <c r="I83" s="5" t="str">
        <f>IFERROR(__xludf.DUMMYFUNCTION("""COMPUTED_VALUE"""),"গাড়ীডোব")</f>
        <v>গাড়ীডোব</v>
      </c>
      <c r="J83" s="5" t="str">
        <f>IFERROR(__xludf.DUMMYFUNCTION("""COMPUTED_VALUE""")," গাংনী")</f>
        <v> গাংনী</v>
      </c>
      <c r="K83" s="5" t="str">
        <f>IFERROR(__xludf.DUMMYFUNCTION("""COMPUTED_VALUE""")," মেহেরপুর")</f>
        <v> মেহেরপুর</v>
      </c>
    </row>
    <row r="84" ht="15.75" customHeight="1">
      <c r="A84" s="6" t="s">
        <v>6952</v>
      </c>
      <c r="B84" s="5">
        <f>IFERROR(__xludf.DUMMYFUNCTION("SPLIT(A84,"","")"),1430.0)</f>
        <v>1430</v>
      </c>
      <c r="C84" s="5" t="str">
        <f>IFERROR(__xludf.DUMMYFUNCTION("""COMPUTED_VALUE"""),"মোছাঃ হাছিনা আক্তার")</f>
        <v>মোছাঃ হাছিনা আক্তার</v>
      </c>
      <c r="D84" s="5">
        <f>IFERROR(__xludf.DUMMYFUNCTION("""COMPUTED_VALUE"""),5.70038356379E11)</f>
        <v>570038356379</v>
      </c>
      <c r="E84" s="5" t="str">
        <f>IFERROR(__xludf.DUMMYFUNCTION("""COMPUTED_VALUE"""),"মোঃ হারুন আর রশীদ")</f>
        <v>মোঃ হারুন আর রশীদ</v>
      </c>
      <c r="F84" s="5" t="str">
        <f>IFERROR(__xludf.DUMMYFUNCTION("""COMPUTED_VALUE"""),"মোছাঃ মলিনা রশিদ")</f>
        <v>মোছাঃ মলিনা রশিদ</v>
      </c>
      <c r="G84" s="5" t="str">
        <f>IFERROR(__xludf.DUMMYFUNCTION("""COMPUTED_VALUE"""),"১৮/০৪/১৯৮০")</f>
        <v>১৮/০৪/১৯৮০</v>
      </c>
      <c r="H84" s="5" t="str">
        <f>IFERROR(__xludf.DUMMYFUNCTION("""COMPUTED_VALUE"""),"সরকারী চাকুরী")</f>
        <v>সরকারী চাকুরী</v>
      </c>
      <c r="I84" s="5" t="str">
        <f>IFERROR(__xludf.DUMMYFUNCTION("""COMPUTED_VALUE"""),"গাড়ীডোব")</f>
        <v>গাড়ীডোব</v>
      </c>
      <c r="J84" s="5" t="str">
        <f>IFERROR(__xludf.DUMMYFUNCTION("""COMPUTED_VALUE""")," গাংনী")</f>
        <v> গাংনী</v>
      </c>
      <c r="K84" s="5" t="str">
        <f>IFERROR(__xludf.DUMMYFUNCTION("""COMPUTED_VALUE""")," মেহেরপুর")</f>
        <v> মেহেরপুর</v>
      </c>
    </row>
    <row r="85" ht="15.75" customHeight="1">
      <c r="A85" s="6" t="s">
        <v>6953</v>
      </c>
      <c r="B85" s="5">
        <f>IFERROR(__xludf.DUMMYFUNCTION("SPLIT(A85,"","")"),1431.0)</f>
        <v>1431</v>
      </c>
      <c r="C85" s="5" t="str">
        <f>IFERROR(__xludf.DUMMYFUNCTION("""COMPUTED_VALUE"""),"মোছাঃ কায়মন নেছা")</f>
        <v>মোছাঃ কায়মন নেছা</v>
      </c>
      <c r="D85" s="5">
        <f>IFERROR(__xludf.DUMMYFUNCTION("""COMPUTED_VALUE"""),5.70038356386E11)</f>
        <v>570038356386</v>
      </c>
      <c r="E85" s="5" t="str">
        <f>IFERROR(__xludf.DUMMYFUNCTION("""COMPUTED_VALUE"""),"কুদুন খাঁ")</f>
        <v>কুদুন খাঁ</v>
      </c>
      <c r="F85" s="5" t="str">
        <f>IFERROR(__xludf.DUMMYFUNCTION("""COMPUTED_VALUE"""),"মোছাঃ গোলেজান")</f>
        <v>মোছাঃ গোলেজান</v>
      </c>
      <c r="G85" s="5" t="str">
        <f>IFERROR(__xludf.DUMMYFUNCTION("""COMPUTED_VALUE"""),"১০/০২/১৯৪২")</f>
        <v>১০/০২/১৯৪২</v>
      </c>
      <c r="H85" s="5" t="str">
        <f>IFERROR(__xludf.DUMMYFUNCTION("""COMPUTED_VALUE"""),"গৃহিনী")</f>
        <v>গৃহিনী</v>
      </c>
      <c r="I85" s="5" t="str">
        <f>IFERROR(__xludf.DUMMYFUNCTION("""COMPUTED_VALUE"""),"গাড়ীডোব")</f>
        <v>গাড়ীডোব</v>
      </c>
      <c r="J85" s="5" t="str">
        <f>IFERROR(__xludf.DUMMYFUNCTION("""COMPUTED_VALUE""")," গাংনী")</f>
        <v> গাংনী</v>
      </c>
      <c r="K85" s="5" t="str">
        <f>IFERROR(__xludf.DUMMYFUNCTION("""COMPUTED_VALUE""")," মেহেরপুর")</f>
        <v> মেহেরপুর</v>
      </c>
    </row>
    <row r="86" ht="15.75" customHeight="1">
      <c r="A86" s="6" t="s">
        <v>6954</v>
      </c>
      <c r="B86" s="5">
        <f>IFERROR(__xludf.DUMMYFUNCTION("SPLIT(A86,"","")"),1432.0)</f>
        <v>1432</v>
      </c>
      <c r="C86" s="5" t="str">
        <f>IFERROR(__xludf.DUMMYFUNCTION("""COMPUTED_VALUE"""),"মোছাঃ নাজমা খাতুন")</f>
        <v>মোছাঃ নাজমা খাতুন</v>
      </c>
      <c r="D86" s="5">
        <f>IFERROR(__xludf.DUMMYFUNCTION("""COMPUTED_VALUE"""),5.7003835639E11)</f>
        <v>570038356390</v>
      </c>
      <c r="E86" s="5" t="str">
        <f>IFERROR(__xludf.DUMMYFUNCTION("""COMPUTED_VALUE"""),"মোঃ চাঁদ আলী")</f>
        <v>মোঃ চাঁদ আলী</v>
      </c>
      <c r="F86" s="5" t="str">
        <f>IFERROR(__xludf.DUMMYFUNCTION("""COMPUTED_VALUE"""),"মোছাঃ জাহানারা খাতুন")</f>
        <v>মোছাঃ জাহানারা খাতুন</v>
      </c>
      <c r="G86" s="5" t="str">
        <f>IFERROR(__xludf.DUMMYFUNCTION("""COMPUTED_VALUE"""),"০৮/০৭/১৯৮৭")</f>
        <v>০৮/০৭/১৯৮৭</v>
      </c>
      <c r="H86" s="5" t="str">
        <f>IFERROR(__xludf.DUMMYFUNCTION("""COMPUTED_VALUE"""),"গৃহিনী")</f>
        <v>গৃহিনী</v>
      </c>
      <c r="I86" s="5" t="str">
        <f>IFERROR(__xludf.DUMMYFUNCTION("""COMPUTED_VALUE"""),"গাড়ীডোব")</f>
        <v>গাড়ীডোব</v>
      </c>
      <c r="J86" s="5" t="str">
        <f>IFERROR(__xludf.DUMMYFUNCTION("""COMPUTED_VALUE""")," গাংনী")</f>
        <v> গাংনী</v>
      </c>
      <c r="K86" s="5" t="str">
        <f>IFERROR(__xludf.DUMMYFUNCTION("""COMPUTED_VALUE""")," মেহেরপুর")</f>
        <v> মেহেরপুর</v>
      </c>
    </row>
    <row r="87" ht="15.75" customHeight="1">
      <c r="A87" s="6" t="s">
        <v>6955</v>
      </c>
      <c r="B87" s="5">
        <f>IFERROR(__xludf.DUMMYFUNCTION("SPLIT(A87,"","")"),1433.0)</f>
        <v>1433</v>
      </c>
      <c r="C87" s="5" t="str">
        <f>IFERROR(__xludf.DUMMYFUNCTION("""COMPUTED_VALUE"""),"মোছাঃ রূপালী খাতুন")</f>
        <v>মোছাঃ রূপালী খাতুন</v>
      </c>
      <c r="D87" s="5">
        <f>IFERROR(__xludf.DUMMYFUNCTION("""COMPUTED_VALUE"""),5.70038356391E11)</f>
        <v>570038356391</v>
      </c>
      <c r="E87" s="5" t="str">
        <f>IFERROR(__xludf.DUMMYFUNCTION("""COMPUTED_VALUE"""),"মোঃ বিসারত আলী")</f>
        <v>মোঃ বিসারত আলী</v>
      </c>
      <c r="F87" s="5" t="str">
        <f>IFERROR(__xludf.DUMMYFUNCTION("""COMPUTED_VALUE"""),"মোছাঃ মানিয়ারা খাতুন")</f>
        <v>মোছাঃ মানিয়ারা খাতুন</v>
      </c>
      <c r="G87" s="5" t="str">
        <f>IFERROR(__xludf.DUMMYFUNCTION("""COMPUTED_VALUE"""),"১০/০৫/১৯৮৭")</f>
        <v>১০/০৫/১৯৮৭</v>
      </c>
      <c r="H87" s="5" t="str">
        <f>IFERROR(__xludf.DUMMYFUNCTION("""COMPUTED_VALUE"""),"গৃহিনী")</f>
        <v>গৃহিনী</v>
      </c>
      <c r="I87" s="5" t="str">
        <f>IFERROR(__xludf.DUMMYFUNCTION("""COMPUTED_VALUE"""),"গাড়ীডোব")</f>
        <v>গাড়ীডোব</v>
      </c>
      <c r="J87" s="5" t="str">
        <f>IFERROR(__xludf.DUMMYFUNCTION("""COMPUTED_VALUE""")," গাংনী")</f>
        <v> গাংনী</v>
      </c>
      <c r="K87" s="5" t="str">
        <f>IFERROR(__xludf.DUMMYFUNCTION("""COMPUTED_VALUE""")," মেহেরপুর")</f>
        <v> মেহেরপুর</v>
      </c>
    </row>
    <row r="88" ht="15.75" customHeight="1">
      <c r="A88" s="6" t="s">
        <v>6956</v>
      </c>
      <c r="B88" s="5">
        <f>IFERROR(__xludf.DUMMYFUNCTION("SPLIT(A88,"","")"),1434.0)</f>
        <v>1434</v>
      </c>
      <c r="C88" s="5" t="str">
        <f>IFERROR(__xludf.DUMMYFUNCTION("""COMPUTED_VALUE"""),"মোছাঃ রেক্সোনা খাতুন")</f>
        <v>মোছাঃ রেক্সোনা খাতুন</v>
      </c>
      <c r="D88" s="5">
        <f>IFERROR(__xludf.DUMMYFUNCTION("""COMPUTED_VALUE"""),5.70038356392E11)</f>
        <v>570038356392</v>
      </c>
      <c r="E88" s="5" t="str">
        <f>IFERROR(__xludf.DUMMYFUNCTION("""COMPUTED_VALUE"""),"মোঃ আব্দুল কাদের")</f>
        <v>মোঃ আব্দুল কাদের</v>
      </c>
      <c r="F88" s="5" t="str">
        <f>IFERROR(__xludf.DUMMYFUNCTION("""COMPUTED_VALUE"""),"মোছাঃ ছাপিয়া খাতুন")</f>
        <v>মোছাঃ ছাপিয়া খাতুন</v>
      </c>
      <c r="G88" s="5" t="str">
        <f>IFERROR(__xludf.DUMMYFUNCTION("""COMPUTED_VALUE"""),"০৫/০৭/১৯৮৮")</f>
        <v>০৫/০৭/১৯৮৮</v>
      </c>
      <c r="H88" s="5" t="str">
        <f>IFERROR(__xludf.DUMMYFUNCTION("""COMPUTED_VALUE"""),"গৃহিনী")</f>
        <v>গৃহিনী</v>
      </c>
      <c r="I88" s="5" t="str">
        <f>IFERROR(__xludf.DUMMYFUNCTION("""COMPUTED_VALUE"""),"গাড়ীডোব")</f>
        <v>গাড়ীডোব</v>
      </c>
      <c r="J88" s="5" t="str">
        <f>IFERROR(__xludf.DUMMYFUNCTION("""COMPUTED_VALUE""")," গাংনী")</f>
        <v> গাংনী</v>
      </c>
      <c r="K88" s="5" t="str">
        <f>IFERROR(__xludf.DUMMYFUNCTION("""COMPUTED_VALUE""")," মেহেরপুর")</f>
        <v> মেহেরপুর</v>
      </c>
    </row>
    <row r="89" ht="15.75" customHeight="1">
      <c r="A89" s="6" t="s">
        <v>6957</v>
      </c>
      <c r="B89" s="5">
        <f>IFERROR(__xludf.DUMMYFUNCTION("SPLIT(A89,"","")"),1435.0)</f>
        <v>1435</v>
      </c>
      <c r="C89" s="5" t="str">
        <f>IFERROR(__xludf.DUMMYFUNCTION("""COMPUTED_VALUE"""),"মোছাঃ আফরোজা খাতুন")</f>
        <v>মোছাঃ আফরোজা খাতুন</v>
      </c>
      <c r="D89" s="5">
        <f>IFERROR(__xludf.DUMMYFUNCTION("""COMPUTED_VALUE"""),5.70038356393E11)</f>
        <v>570038356393</v>
      </c>
      <c r="E89" s="5" t="str">
        <f>IFERROR(__xludf.DUMMYFUNCTION("""COMPUTED_VALUE"""),"মোঃ আক্কাচ আলী")</f>
        <v>মোঃ আক্কাচ আলী</v>
      </c>
      <c r="F89" s="5" t="str">
        <f>IFERROR(__xludf.DUMMYFUNCTION("""COMPUTED_VALUE"""),"মোছাঃ ছকিনা খাতুন")</f>
        <v>মোছাঃ ছকিনা খাতুন</v>
      </c>
      <c r="G89" s="5" t="str">
        <f>IFERROR(__xludf.DUMMYFUNCTION("""COMPUTED_VALUE"""),"০৫/০২/১৯৮৭")</f>
        <v>০৫/০২/১৯৮৭</v>
      </c>
      <c r="H89" s="5" t="str">
        <f>IFERROR(__xludf.DUMMYFUNCTION("""COMPUTED_VALUE"""),"গৃহিনী")</f>
        <v>গৃহিনী</v>
      </c>
      <c r="I89" s="5" t="str">
        <f>IFERROR(__xludf.DUMMYFUNCTION("""COMPUTED_VALUE"""),"গাড়ীডোব")</f>
        <v>গাড়ীডোব</v>
      </c>
      <c r="J89" s="5" t="str">
        <f>IFERROR(__xludf.DUMMYFUNCTION("""COMPUTED_VALUE""")," গাংনী")</f>
        <v> গাংনী</v>
      </c>
      <c r="K89" s="5" t="str">
        <f>IFERROR(__xludf.DUMMYFUNCTION("""COMPUTED_VALUE""")," মেহেরপুর")</f>
        <v> মেহেরপুর</v>
      </c>
    </row>
    <row r="90" ht="15.75" customHeight="1">
      <c r="A90" s="6" t="s">
        <v>6958</v>
      </c>
      <c r="B90" s="5">
        <f>IFERROR(__xludf.DUMMYFUNCTION("SPLIT(A90,"","")"),1436.0)</f>
        <v>1436</v>
      </c>
      <c r="C90" s="5" t="str">
        <f>IFERROR(__xludf.DUMMYFUNCTION("""COMPUTED_VALUE"""),"মোছাঃ ফজিলা খাতুন")</f>
        <v>মোছাঃ ফজিলা খাতুন</v>
      </c>
      <c r="D90" s="5">
        <f>IFERROR(__xludf.DUMMYFUNCTION("""COMPUTED_VALUE"""),5.70038356396E11)</f>
        <v>570038356396</v>
      </c>
      <c r="E90" s="5" t="str">
        <f>IFERROR(__xludf.DUMMYFUNCTION("""COMPUTED_VALUE"""),"নিজাম উদ্দীন খা")</f>
        <v>নিজাম উদ্দীন খা</v>
      </c>
      <c r="F90" s="5" t="str">
        <f>IFERROR(__xludf.DUMMYFUNCTION("""COMPUTED_VALUE"""),"মোছাঃ জামেনা খাতুন")</f>
        <v>মোছাঃ জামেনা খাতুন</v>
      </c>
      <c r="G90" s="5" t="str">
        <f>IFERROR(__xludf.DUMMYFUNCTION("""COMPUTED_VALUE"""),"০৮/০৩/১৯৬০")</f>
        <v>০৮/০৩/১৯৬০</v>
      </c>
      <c r="H90" s="5" t="str">
        <f>IFERROR(__xludf.DUMMYFUNCTION("""COMPUTED_VALUE"""),"গৃহিনী")</f>
        <v>গৃহিনী</v>
      </c>
      <c r="I90" s="5" t="str">
        <f>IFERROR(__xludf.DUMMYFUNCTION("""COMPUTED_VALUE"""),"গাড়ীডোব")</f>
        <v>গাড়ীডোব</v>
      </c>
      <c r="J90" s="5" t="str">
        <f>IFERROR(__xludf.DUMMYFUNCTION("""COMPUTED_VALUE""")," গাংনী")</f>
        <v> গাংনী</v>
      </c>
      <c r="K90" s="5" t="str">
        <f>IFERROR(__xludf.DUMMYFUNCTION("""COMPUTED_VALUE""")," মেহেরপুর")</f>
        <v> মেহেরপুর</v>
      </c>
    </row>
    <row r="91" ht="15.75" customHeight="1">
      <c r="A91" s="6" t="s">
        <v>6959</v>
      </c>
      <c r="B91" s="5">
        <f>IFERROR(__xludf.DUMMYFUNCTION("SPLIT(A91,"","")"),1437.0)</f>
        <v>1437</v>
      </c>
      <c r="C91" s="5" t="str">
        <f>IFERROR(__xludf.DUMMYFUNCTION("""COMPUTED_VALUE"""),"মোছাঃ মোমেনা খাতুন")</f>
        <v>মোছাঃ মোমেনা খাতুন</v>
      </c>
      <c r="D91" s="5">
        <f>IFERROR(__xludf.DUMMYFUNCTION("""COMPUTED_VALUE"""),5.70038356402E11)</f>
        <v>570038356402</v>
      </c>
      <c r="E91" s="5" t="str">
        <f>IFERROR(__xludf.DUMMYFUNCTION("""COMPUTED_VALUE"""),"ময়েজদ্দীন")</f>
        <v>ময়েজদ্দীন</v>
      </c>
      <c r="F91" s="5" t="str">
        <f>IFERROR(__xludf.DUMMYFUNCTION("""COMPUTED_VALUE"""),"মোছাঃ জাহারন নেছা")</f>
        <v>মোছাঃ জাহারন নেছা</v>
      </c>
      <c r="G91" s="5" t="str">
        <f>IFERROR(__xludf.DUMMYFUNCTION("""COMPUTED_VALUE"""),"২১/০১/১৯৭৩")</f>
        <v>২১/০১/১৯৭৩</v>
      </c>
      <c r="H91" s="5" t="str">
        <f>IFERROR(__xludf.DUMMYFUNCTION("""COMPUTED_VALUE"""),"গৃহিনী")</f>
        <v>গৃহিনী</v>
      </c>
      <c r="I91" s="5" t="str">
        <f>IFERROR(__xludf.DUMMYFUNCTION("""COMPUTED_VALUE"""),"বাঁশবাড়ীয়া")</f>
        <v>বাঁশবাড়ীয়া</v>
      </c>
      <c r="J91" s="5" t="str">
        <f>IFERROR(__xludf.DUMMYFUNCTION("""COMPUTED_VALUE""")," গাড়ীডোব")</f>
        <v> গাড়ীডোব</v>
      </c>
      <c r="K91" s="5" t="str">
        <f>IFERROR(__xludf.DUMMYFUNCTION("""COMPUTED_VALUE""")," গাংনী")</f>
        <v> গাংনী</v>
      </c>
      <c r="L91" s="5" t="str">
        <f>IFERROR(__xludf.DUMMYFUNCTION("""COMPUTED_VALUE""")," মেহেরপুর")</f>
        <v> মেহেরপুর</v>
      </c>
    </row>
    <row r="92" ht="15.75" customHeight="1">
      <c r="A92" s="6" t="s">
        <v>6960</v>
      </c>
      <c r="B92" s="5">
        <f>IFERROR(__xludf.DUMMYFUNCTION("SPLIT(A92,"","")"),1438.0)</f>
        <v>1438</v>
      </c>
      <c r="C92" s="5" t="str">
        <f>IFERROR(__xludf.DUMMYFUNCTION("""COMPUTED_VALUE"""),"মোছাঃ ফাতেমা খাতুন")</f>
        <v>মোছাঃ ফাতেমা খাতুন</v>
      </c>
      <c r="D92" s="5">
        <f>IFERROR(__xludf.DUMMYFUNCTION("""COMPUTED_VALUE"""),5.70038356403E11)</f>
        <v>570038356403</v>
      </c>
      <c r="E92" s="5" t="str">
        <f>IFERROR(__xludf.DUMMYFUNCTION("""COMPUTED_VALUE"""),"সাদেক আলী")</f>
        <v>সাদেক আলী</v>
      </c>
      <c r="F92" s="5" t="str">
        <f>IFERROR(__xludf.DUMMYFUNCTION("""COMPUTED_VALUE"""),"মোছাঃ শোকজান")</f>
        <v>মোছাঃ শোকজান</v>
      </c>
      <c r="G92" s="5" t="str">
        <f>IFERROR(__xludf.DUMMYFUNCTION("""COMPUTED_VALUE"""),"১২/০২/১৯৮০")</f>
        <v>১২/০২/১৯৮০</v>
      </c>
      <c r="H92" s="5" t="str">
        <f>IFERROR(__xludf.DUMMYFUNCTION("""COMPUTED_VALUE"""),"গৃহিনী")</f>
        <v>গৃহিনী</v>
      </c>
      <c r="I92" s="5" t="str">
        <f>IFERROR(__xludf.DUMMYFUNCTION("""COMPUTED_VALUE"""),"বাঁশবাড়ীয়া")</f>
        <v>বাঁশবাড়ীয়া</v>
      </c>
      <c r="J92" s="5" t="str">
        <f>IFERROR(__xludf.DUMMYFUNCTION("""COMPUTED_VALUE""")," গাড়ীডোব")</f>
        <v> গাড়ীডোব</v>
      </c>
      <c r="K92" s="5" t="str">
        <f>IFERROR(__xludf.DUMMYFUNCTION("""COMPUTED_VALUE""")," গাংনী")</f>
        <v> গাংনী</v>
      </c>
      <c r="L92" s="5" t="str">
        <f>IFERROR(__xludf.DUMMYFUNCTION("""COMPUTED_VALUE""")," মেহেরপুর")</f>
        <v> মেহেরপুর</v>
      </c>
    </row>
    <row r="93" ht="15.75" customHeight="1">
      <c r="A93" s="6" t="s">
        <v>6961</v>
      </c>
      <c r="B93" s="5">
        <f>IFERROR(__xludf.DUMMYFUNCTION("SPLIT(A93,"","")"),1439.0)</f>
        <v>1439</v>
      </c>
      <c r="C93" s="5" t="str">
        <f>IFERROR(__xludf.DUMMYFUNCTION("""COMPUTED_VALUE"""),"মোছাঃ মর্জিনা খাতুন")</f>
        <v>মোছাঃ মর্জিনা খাতুন</v>
      </c>
      <c r="D93" s="5">
        <f>IFERROR(__xludf.DUMMYFUNCTION("""COMPUTED_VALUE"""),5.70038356407E11)</f>
        <v>570038356407</v>
      </c>
      <c r="E93" s="5" t="str">
        <f>IFERROR(__xludf.DUMMYFUNCTION("""COMPUTED_VALUE"""),"মোঃ মমতাজ মালিথা")</f>
        <v>মোঃ মমতাজ মালিথা</v>
      </c>
      <c r="F93" s="5" t="str">
        <f>IFERROR(__xludf.DUMMYFUNCTION("""COMPUTED_VALUE"""),"মোছাঃ ওসরা খাতুন")</f>
        <v>মোছাঃ ওসরা খাতুন</v>
      </c>
      <c r="G93" s="5" t="str">
        <f>IFERROR(__xludf.DUMMYFUNCTION("""COMPUTED_VALUE"""),"২১/০২/১৯৫৭")</f>
        <v>২১/০২/১৯৫৭</v>
      </c>
      <c r="H93" s="5" t="str">
        <f>IFERROR(__xludf.DUMMYFUNCTION("""COMPUTED_VALUE"""),"গৃহিনী")</f>
        <v>গৃহিনী</v>
      </c>
      <c r="I93" s="5" t="str">
        <f>IFERROR(__xludf.DUMMYFUNCTION("""COMPUTED_VALUE"""),"বাঁশবাড়ীয়া")</f>
        <v>বাঁশবাড়ীয়া</v>
      </c>
      <c r="J93" s="5" t="str">
        <f>IFERROR(__xludf.DUMMYFUNCTION("""COMPUTED_VALUE""")," গাড়ীডোব")</f>
        <v> গাড়ীডোব</v>
      </c>
      <c r="K93" s="5" t="str">
        <f>IFERROR(__xludf.DUMMYFUNCTION("""COMPUTED_VALUE""")," গাংনী")</f>
        <v> গাংনী</v>
      </c>
      <c r="L93" s="5" t="str">
        <f>IFERROR(__xludf.DUMMYFUNCTION("""COMPUTED_VALUE""")," মেহেরপুর")</f>
        <v> মেহেরপুর</v>
      </c>
    </row>
    <row r="94" ht="15.75" customHeight="1">
      <c r="A94" s="6" t="s">
        <v>6962</v>
      </c>
      <c r="B94" s="5">
        <f>IFERROR(__xludf.DUMMYFUNCTION("SPLIT(A94,"","")"),1440.0)</f>
        <v>1440</v>
      </c>
      <c r="C94" s="5" t="str">
        <f>IFERROR(__xludf.DUMMYFUNCTION("""COMPUTED_VALUE"""),"মোছাঃ রক্তিমা খাতুন")</f>
        <v>মোছাঃ রক্তিমা খাতুন</v>
      </c>
      <c r="D94" s="5">
        <f>IFERROR(__xludf.DUMMYFUNCTION("""COMPUTED_VALUE"""),5.70038356408E11)</f>
        <v>570038356408</v>
      </c>
      <c r="E94" s="5" t="str">
        <f>IFERROR(__xludf.DUMMYFUNCTION("""COMPUTED_VALUE"""),"মোঃ আব্দুর রহমান")</f>
        <v>মোঃ আব্দুর রহমান</v>
      </c>
      <c r="F94" s="5" t="str">
        <f>IFERROR(__xludf.DUMMYFUNCTION("""COMPUTED_VALUE"""),"মোছাঃ আরিফা খাতুন")</f>
        <v>মোছাঃ আরিফা খাতুন</v>
      </c>
      <c r="G94" s="5" t="str">
        <f>IFERROR(__xludf.DUMMYFUNCTION("""COMPUTED_VALUE"""),"১২/১০/১৯৮৫")</f>
        <v>১২/১০/১৯৮৫</v>
      </c>
      <c r="H94" s="5" t="str">
        <f>IFERROR(__xludf.DUMMYFUNCTION("""COMPUTED_VALUE"""),"গৃহিনী")</f>
        <v>গৃহিনী</v>
      </c>
      <c r="I94" s="5" t="str">
        <f>IFERROR(__xludf.DUMMYFUNCTION("""COMPUTED_VALUE"""),"গাড়ীডোব")</f>
        <v>গাড়ীডোব</v>
      </c>
      <c r="J94" s="5" t="str">
        <f>IFERROR(__xludf.DUMMYFUNCTION("""COMPUTED_VALUE""")," গাংনী")</f>
        <v> গাংনী</v>
      </c>
      <c r="K94" s="5" t="str">
        <f>IFERROR(__xludf.DUMMYFUNCTION("""COMPUTED_VALUE""")," মেহেরপুর")</f>
        <v> মেহেরপুর</v>
      </c>
    </row>
    <row r="95" ht="15.75" customHeight="1">
      <c r="A95" s="6" t="s">
        <v>6963</v>
      </c>
      <c r="B95" s="5">
        <f>IFERROR(__xludf.DUMMYFUNCTION("SPLIT(A95,"","")"),1441.0)</f>
        <v>1441</v>
      </c>
      <c r="C95" s="5" t="str">
        <f>IFERROR(__xludf.DUMMYFUNCTION("""COMPUTED_VALUE"""),"মোছাঃ সোহাগী খাতুন")</f>
        <v>মোছাঃ সোহাগী খাতুন</v>
      </c>
      <c r="D95" s="5">
        <f>IFERROR(__xludf.DUMMYFUNCTION("""COMPUTED_VALUE"""),5.70038356409E11)</f>
        <v>570038356409</v>
      </c>
      <c r="E95" s="5" t="str">
        <f>IFERROR(__xludf.DUMMYFUNCTION("""COMPUTED_VALUE"""),"মোঃ বদর উদ্দীন")</f>
        <v>মোঃ বদর উদ্দীন</v>
      </c>
      <c r="F95" s="5" t="str">
        <f>IFERROR(__xludf.DUMMYFUNCTION("""COMPUTED_VALUE"""),"মোছাঃ নপুরা খাতুন")</f>
        <v>মোছাঃ নপুরা খাতুন</v>
      </c>
      <c r="G95" s="5" t="str">
        <f>IFERROR(__xludf.DUMMYFUNCTION("""COMPUTED_VALUE"""),"০১/০৬/১৯৭২")</f>
        <v>০১/০৬/১৯৭২</v>
      </c>
      <c r="H95" s="5" t="str">
        <f>IFERROR(__xludf.DUMMYFUNCTION("""COMPUTED_VALUE"""),"গৃহিনী")</f>
        <v>গৃহিনী</v>
      </c>
      <c r="I95" s="5" t="str">
        <f>IFERROR(__xludf.DUMMYFUNCTION("""COMPUTED_VALUE"""),"বাঁশবাড়ীয়া")</f>
        <v>বাঁশবাড়ীয়া</v>
      </c>
      <c r="J95" s="5" t="str">
        <f>IFERROR(__xludf.DUMMYFUNCTION("""COMPUTED_VALUE""")," গাড়ীডোব")</f>
        <v> গাড়ীডোব</v>
      </c>
      <c r="K95" s="5" t="str">
        <f>IFERROR(__xludf.DUMMYFUNCTION("""COMPUTED_VALUE""")," গাংনী")</f>
        <v> গাংনী</v>
      </c>
      <c r="L95" s="5" t="str">
        <f>IFERROR(__xludf.DUMMYFUNCTION("""COMPUTED_VALUE""")," মেহেরপুর")</f>
        <v> মেহেরপুর</v>
      </c>
    </row>
    <row r="96" ht="15.75" customHeight="1">
      <c r="A96" s="6" t="s">
        <v>6964</v>
      </c>
      <c r="B96" s="5">
        <f>IFERROR(__xludf.DUMMYFUNCTION("SPLIT(A96,"","")"),1442.0)</f>
        <v>1442</v>
      </c>
      <c r="C96" s="5" t="str">
        <f>IFERROR(__xludf.DUMMYFUNCTION("""COMPUTED_VALUE"""),"মোছাঃ আনোয়ারা খাতুন")</f>
        <v>মোছাঃ আনোয়ারা খাতুন</v>
      </c>
      <c r="D96" s="5">
        <f>IFERROR(__xludf.DUMMYFUNCTION("""COMPUTED_VALUE"""),5.7003835641E11)</f>
        <v>570038356410</v>
      </c>
      <c r="E96" s="5" t="str">
        <f>IFERROR(__xludf.DUMMYFUNCTION("""COMPUTED_VALUE"""),"গরীব মন্ডল")</f>
        <v>গরীব মন্ডল</v>
      </c>
      <c r="F96" s="5" t="str">
        <f>IFERROR(__xludf.DUMMYFUNCTION("""COMPUTED_VALUE"""),"মোছাঃ আবেদা খাতুন")</f>
        <v>মোছাঃ আবেদা খাতুন</v>
      </c>
      <c r="G96" s="5" t="str">
        <f>IFERROR(__xludf.DUMMYFUNCTION("""COMPUTED_VALUE"""),"১০/১২/১৯৪৭")</f>
        <v>১০/১২/১৯৪৭</v>
      </c>
      <c r="H96" s="5" t="str">
        <f>IFERROR(__xludf.DUMMYFUNCTION("""COMPUTED_VALUE"""),"গৃহিনী")</f>
        <v>গৃহিনী</v>
      </c>
      <c r="I96" s="5" t="str">
        <f>IFERROR(__xludf.DUMMYFUNCTION("""COMPUTED_VALUE"""),"গাড়ীডোব")</f>
        <v>গাড়ীডোব</v>
      </c>
      <c r="J96" s="5" t="str">
        <f>IFERROR(__xludf.DUMMYFUNCTION("""COMPUTED_VALUE""")," গাংনী")</f>
        <v> গাংনী</v>
      </c>
      <c r="K96" s="5" t="str">
        <f>IFERROR(__xludf.DUMMYFUNCTION("""COMPUTED_VALUE""")," মেহেরপুর")</f>
        <v> মেহেরপুর</v>
      </c>
    </row>
    <row r="97" ht="15.75" customHeight="1">
      <c r="A97" s="6" t="s">
        <v>6965</v>
      </c>
      <c r="B97" s="5">
        <f>IFERROR(__xludf.DUMMYFUNCTION("SPLIT(A97,"","")"),1443.0)</f>
        <v>1443</v>
      </c>
      <c r="C97" s="5" t="str">
        <f>IFERROR(__xludf.DUMMYFUNCTION("""COMPUTED_VALUE"""),"মোছাঃ রেকসোনা খাতুন")</f>
        <v>মোছাঃ রেকসোনা খাতুন</v>
      </c>
      <c r="D97" s="5">
        <f>IFERROR(__xludf.DUMMYFUNCTION("""COMPUTED_VALUE"""),5.70038356411E11)</f>
        <v>570038356411</v>
      </c>
      <c r="E97" s="5" t="str">
        <f>IFERROR(__xludf.DUMMYFUNCTION("""COMPUTED_VALUE"""),"মোঃ খলিলুর রহমান")</f>
        <v>মোঃ খলিলুর রহমান</v>
      </c>
      <c r="F97" s="5" t="str">
        <f>IFERROR(__xludf.DUMMYFUNCTION("""COMPUTED_VALUE"""),"মোছাঃ হাফিজা খাতুন")</f>
        <v>মোছাঃ হাফিজা খাতুন</v>
      </c>
      <c r="G97" s="5" t="str">
        <f>IFERROR(__xludf.DUMMYFUNCTION("""COMPUTED_VALUE"""),"১০/১২/১৯৭৭")</f>
        <v>১০/১২/১৯৭৭</v>
      </c>
      <c r="H97" s="5" t="str">
        <f>IFERROR(__xludf.DUMMYFUNCTION("""COMPUTED_VALUE"""),"গৃহিনী")</f>
        <v>গৃহিনী</v>
      </c>
      <c r="I97" s="5" t="str">
        <f>IFERROR(__xludf.DUMMYFUNCTION("""COMPUTED_VALUE"""),"বাঁশবাড়িয়া")</f>
        <v>বাঁশবাড়িয়া</v>
      </c>
      <c r="J97" s="5" t="str">
        <f>IFERROR(__xludf.DUMMYFUNCTION("""COMPUTED_VALUE""")," গাড়ীডোব")</f>
        <v> গাড়ীডোব</v>
      </c>
      <c r="K97" s="5" t="str">
        <f>IFERROR(__xludf.DUMMYFUNCTION("""COMPUTED_VALUE""")," গাংনী")</f>
        <v> গাংনী</v>
      </c>
      <c r="L97" s="5" t="str">
        <f>IFERROR(__xludf.DUMMYFUNCTION("""COMPUTED_VALUE""")," মেহেরপুর")</f>
        <v> মেহেরপুর</v>
      </c>
    </row>
    <row r="98" ht="15.75" customHeight="1">
      <c r="A98" s="6" t="s">
        <v>6966</v>
      </c>
      <c r="B98" s="5">
        <f>IFERROR(__xludf.DUMMYFUNCTION("SPLIT(A98,"","")"),1444.0)</f>
        <v>1444</v>
      </c>
      <c r="C98" s="5" t="str">
        <f>IFERROR(__xludf.DUMMYFUNCTION("""COMPUTED_VALUE"""),"মোছাঃ নুসরাত জাহান")</f>
        <v>মোছাঃ নুসরাত জাহান</v>
      </c>
      <c r="D98" s="5">
        <f>IFERROR(__xludf.DUMMYFUNCTION("""COMPUTED_VALUE"""),5.70038356412E11)</f>
        <v>570038356412</v>
      </c>
      <c r="E98" s="5" t="str">
        <f>IFERROR(__xludf.DUMMYFUNCTION("""COMPUTED_VALUE"""),"মোঃ ফেলু মন্ডল")</f>
        <v>মোঃ ফেলু মন্ডল</v>
      </c>
      <c r="F98" s="5" t="str">
        <f>IFERROR(__xludf.DUMMYFUNCTION("""COMPUTED_VALUE"""),"মোছাঃ আনিসা বেগম")</f>
        <v>মোছাঃ আনিসা বেগম</v>
      </c>
      <c r="G98" s="5" t="str">
        <f>IFERROR(__xludf.DUMMYFUNCTION("""COMPUTED_VALUE"""),"০২/০৬/১৯৮৯")</f>
        <v>০২/০৬/১৯৮৯</v>
      </c>
      <c r="H98" s="5" t="str">
        <f>IFERROR(__xludf.DUMMYFUNCTION("""COMPUTED_VALUE"""),"গৃহিনী")</f>
        <v>গৃহিনী</v>
      </c>
      <c r="I98" s="5" t="str">
        <f>IFERROR(__xludf.DUMMYFUNCTION("""COMPUTED_VALUE"""),"বাঁশবাড়ীয়া")</f>
        <v>বাঁশবাড়ীয়া</v>
      </c>
      <c r="J98" s="5" t="str">
        <f>IFERROR(__xludf.DUMMYFUNCTION("""COMPUTED_VALUE""")," গাড়ীডোব")</f>
        <v> গাড়ীডোব</v>
      </c>
      <c r="K98" s="5" t="str">
        <f>IFERROR(__xludf.DUMMYFUNCTION("""COMPUTED_VALUE""")," গাংনী")</f>
        <v> গাংনী</v>
      </c>
      <c r="L98" s="5" t="str">
        <f>IFERROR(__xludf.DUMMYFUNCTION("""COMPUTED_VALUE""")," মেহেরপুর")</f>
        <v> মেহেরপুর</v>
      </c>
    </row>
    <row r="99" ht="15.75" customHeight="1">
      <c r="A99" s="6" t="s">
        <v>6967</v>
      </c>
      <c r="B99" s="5">
        <f>IFERROR(__xludf.DUMMYFUNCTION("SPLIT(A99,"","")"),1445.0)</f>
        <v>1445</v>
      </c>
      <c r="C99" s="5" t="str">
        <f>IFERROR(__xludf.DUMMYFUNCTION("""COMPUTED_VALUE"""),"মোছাঃ আসমা খাতুন")</f>
        <v>মোছাঃ আসমা খাতুন</v>
      </c>
      <c r="D99" s="5">
        <f>IFERROR(__xludf.DUMMYFUNCTION("""COMPUTED_VALUE"""),5.70038356415E11)</f>
        <v>570038356415</v>
      </c>
      <c r="E99" s="5" t="str">
        <f>IFERROR(__xludf.DUMMYFUNCTION("""COMPUTED_VALUE"""),"নেয়ামত আলী")</f>
        <v>নেয়ামত আলী</v>
      </c>
      <c r="F99" s="5" t="str">
        <f>IFERROR(__xludf.DUMMYFUNCTION("""COMPUTED_VALUE"""),"ফুলজান বিবি")</f>
        <v>ফুলজান বিবি</v>
      </c>
      <c r="G99" s="5" t="str">
        <f>IFERROR(__xludf.DUMMYFUNCTION("""COMPUTED_VALUE"""),"০১/০৬/১৯৬১")</f>
        <v>০১/০৬/১৯৬১</v>
      </c>
      <c r="H99" s="5" t="str">
        <f>IFERROR(__xludf.DUMMYFUNCTION("""COMPUTED_VALUE"""),"গৃহিনী")</f>
        <v>গৃহিনী</v>
      </c>
      <c r="I99" s="5" t="str">
        <f>IFERROR(__xludf.DUMMYFUNCTION("""COMPUTED_VALUE"""),"গাড়ীডোব")</f>
        <v>গাড়ীডোব</v>
      </c>
      <c r="J99" s="5" t="str">
        <f>IFERROR(__xludf.DUMMYFUNCTION("""COMPUTED_VALUE""")," গাংনী")</f>
        <v> গাংনী</v>
      </c>
      <c r="K99" s="5" t="str">
        <f>IFERROR(__xludf.DUMMYFUNCTION("""COMPUTED_VALUE""")," মেহেরপুর")</f>
        <v> মেহেরপুর</v>
      </c>
    </row>
    <row r="100" ht="15.75" customHeight="1">
      <c r="A100" s="6" t="s">
        <v>6968</v>
      </c>
      <c r="B100" s="5">
        <f>IFERROR(__xludf.DUMMYFUNCTION("SPLIT(A100,"","")"),1446.0)</f>
        <v>1446</v>
      </c>
      <c r="C100" s="5" t="str">
        <f>IFERROR(__xludf.DUMMYFUNCTION("""COMPUTED_VALUE"""),"মোছাঃ তহমিনা খাতুন")</f>
        <v>মোছাঃ তহমিনা খাতুন</v>
      </c>
      <c r="D100" s="5">
        <f>IFERROR(__xludf.DUMMYFUNCTION("""COMPUTED_VALUE"""),5.70038356416E11)</f>
        <v>570038356416</v>
      </c>
      <c r="E100" s="5" t="str">
        <f>IFERROR(__xludf.DUMMYFUNCTION("""COMPUTED_VALUE"""),"হেলাল উদ্দিন")</f>
        <v>হেলাল উদ্দিন</v>
      </c>
      <c r="F100" s="5" t="str">
        <f>IFERROR(__xludf.DUMMYFUNCTION("""COMPUTED_VALUE"""),"হুরজান বিবি")</f>
        <v>হুরজান বিবি</v>
      </c>
      <c r="G100" s="5" t="str">
        <f>IFERROR(__xludf.DUMMYFUNCTION("""COMPUTED_VALUE"""),"০২/০৭/১৯৬৯")</f>
        <v>০২/০৭/১৯৬৯</v>
      </c>
      <c r="H100" s="5" t="str">
        <f>IFERROR(__xludf.DUMMYFUNCTION("""COMPUTED_VALUE"""),"গৃহিনী")</f>
        <v>গৃহিনী</v>
      </c>
      <c r="I100" s="5" t="str">
        <f>IFERROR(__xludf.DUMMYFUNCTION("""COMPUTED_VALUE"""),"গাড়ীডোব")</f>
        <v>গাড়ীডোব</v>
      </c>
      <c r="J100" s="5" t="str">
        <f>IFERROR(__xludf.DUMMYFUNCTION("""COMPUTED_VALUE""")," গাংনী")</f>
        <v> গাংনী</v>
      </c>
      <c r="K100" s="5" t="str">
        <f>IFERROR(__xludf.DUMMYFUNCTION("""COMPUTED_VALUE""")," মেহেরপুর")</f>
        <v> মেহেরপুর</v>
      </c>
    </row>
    <row r="101" ht="15.75" customHeight="1">
      <c r="A101" s="6" t="s">
        <v>6969</v>
      </c>
      <c r="B101" s="5">
        <f>IFERROR(__xludf.DUMMYFUNCTION("SPLIT(A101,"","")"),1447.0)</f>
        <v>1447</v>
      </c>
      <c r="C101" s="5" t="str">
        <f>IFERROR(__xludf.DUMMYFUNCTION("""COMPUTED_VALUE"""),"মোছাঃ জেসমিন আরা")</f>
        <v>মোছাঃ জেসমিন আরা</v>
      </c>
      <c r="D101" s="5">
        <f>IFERROR(__xludf.DUMMYFUNCTION("""COMPUTED_VALUE"""),5.70038356417E11)</f>
        <v>570038356417</v>
      </c>
      <c r="E101" s="5" t="str">
        <f>IFERROR(__xludf.DUMMYFUNCTION("""COMPUTED_VALUE"""),"মোঃ আকবর আলী")</f>
        <v>মোঃ আকবর আলী</v>
      </c>
      <c r="F101" s="5" t="str">
        <f>IFERROR(__xludf.DUMMYFUNCTION("""COMPUTED_VALUE"""),"মোছাঃ আছিয়া খাতুন")</f>
        <v>মোছাঃ আছিয়া খাতুন</v>
      </c>
      <c r="G101" s="5" t="str">
        <f>IFERROR(__xludf.DUMMYFUNCTION("""COMPUTED_VALUE"""),"১৫/০৬/১৯৮৮")</f>
        <v>১৫/০৬/১৯৮৮</v>
      </c>
      <c r="H101" s="5" t="str">
        <f>IFERROR(__xludf.DUMMYFUNCTION("""COMPUTED_VALUE"""),"গৃহিনী")</f>
        <v>গৃহিনী</v>
      </c>
      <c r="I101" s="5" t="str">
        <f>IFERROR(__xludf.DUMMYFUNCTION("""COMPUTED_VALUE"""),"বাঁশবাড়িয়া")</f>
        <v>বাঁশবাড়িয়া</v>
      </c>
      <c r="J101" s="5" t="str">
        <f>IFERROR(__xludf.DUMMYFUNCTION("""COMPUTED_VALUE""")," গাড়ীডোব")</f>
        <v> গাড়ীডোব</v>
      </c>
      <c r="K101" s="5" t="str">
        <f>IFERROR(__xludf.DUMMYFUNCTION("""COMPUTED_VALUE""")," গাংনী")</f>
        <v> গাংনী</v>
      </c>
      <c r="L101" s="5" t="str">
        <f>IFERROR(__xludf.DUMMYFUNCTION("""COMPUTED_VALUE""")," মেহেরপুর")</f>
        <v> মেহেরপুর</v>
      </c>
    </row>
    <row r="102" ht="15.75" customHeight="1">
      <c r="A102" s="6" t="s">
        <v>6970</v>
      </c>
      <c r="B102" s="5">
        <f>IFERROR(__xludf.DUMMYFUNCTION("SPLIT(A102,"","")"),1448.0)</f>
        <v>1448</v>
      </c>
      <c r="C102" s="5" t="str">
        <f>IFERROR(__xludf.DUMMYFUNCTION("""COMPUTED_VALUE"""),"মোছাঃ খালেদা আকতার")</f>
        <v>মোছাঃ খালেদা আকতার</v>
      </c>
      <c r="D102" s="5">
        <f>IFERROR(__xludf.DUMMYFUNCTION("""COMPUTED_VALUE"""),5.70038356418E11)</f>
        <v>570038356418</v>
      </c>
      <c r="E102" s="5" t="str">
        <f>IFERROR(__xludf.DUMMYFUNCTION("""COMPUTED_VALUE"""),"মোঃ সিদ্দিকুর রহমান")</f>
        <v>মোঃ সিদ্দিকুর রহমান</v>
      </c>
      <c r="F102" s="5" t="str">
        <f>IFERROR(__xludf.DUMMYFUNCTION("""COMPUTED_VALUE"""),"মোছাঃ তহমিনা খাতুন")</f>
        <v>মোছাঃ তহমিনা খাতুন</v>
      </c>
      <c r="G102" s="5" t="str">
        <f>IFERROR(__xludf.DUMMYFUNCTION("""COMPUTED_VALUE"""),"০১/১০/১৯৮৯")</f>
        <v>০১/১০/১৯৮৯</v>
      </c>
      <c r="H102" s="5" t="str">
        <f>IFERROR(__xludf.DUMMYFUNCTION("""COMPUTED_VALUE"""),"গৃহিনী")</f>
        <v>গৃহিনী</v>
      </c>
      <c r="I102" s="5" t="str">
        <f>IFERROR(__xludf.DUMMYFUNCTION("""COMPUTED_VALUE"""),"বাঁশবাড়িয়া")</f>
        <v>বাঁশবাড়িয়া</v>
      </c>
      <c r="J102" s="5" t="str">
        <f>IFERROR(__xludf.DUMMYFUNCTION("""COMPUTED_VALUE""")," গাড়ীডোব")</f>
        <v> গাড়ীডোব</v>
      </c>
      <c r="K102" s="5" t="str">
        <f>IFERROR(__xludf.DUMMYFUNCTION("""COMPUTED_VALUE""")," গাংনী")</f>
        <v> গাংনী</v>
      </c>
      <c r="L102" s="5" t="str">
        <f>IFERROR(__xludf.DUMMYFUNCTION("""COMPUTED_VALUE""")," মেহেরপুর")</f>
        <v> মেহেরপুর</v>
      </c>
    </row>
    <row r="103" ht="15.75" customHeight="1">
      <c r="A103" s="6" t="s">
        <v>6971</v>
      </c>
      <c r="B103" s="5">
        <f>IFERROR(__xludf.DUMMYFUNCTION("SPLIT(A103,"","")"),1449.0)</f>
        <v>1449</v>
      </c>
      <c r="C103" s="5" t="str">
        <f>IFERROR(__xludf.DUMMYFUNCTION("""COMPUTED_VALUE"""),"মোছাঃ সারা খাতুন")</f>
        <v>মোছাঃ সারা খাতুন</v>
      </c>
      <c r="D103" s="5">
        <f>IFERROR(__xludf.DUMMYFUNCTION("""COMPUTED_VALUE"""),5.70038356419E11)</f>
        <v>570038356419</v>
      </c>
      <c r="E103" s="5" t="str">
        <f>IFERROR(__xludf.DUMMYFUNCTION("""COMPUTED_VALUE"""),"ফকির মালিথা")</f>
        <v>ফকির মালিথা</v>
      </c>
      <c r="F103" s="5" t="str">
        <f>IFERROR(__xludf.DUMMYFUNCTION("""COMPUTED_VALUE"""),"মতিয়ারা খাতুন")</f>
        <v>মতিয়ারা খাতুন</v>
      </c>
      <c r="G103" s="5" t="str">
        <f>IFERROR(__xludf.DUMMYFUNCTION("""COMPUTED_VALUE"""),"০২/১০/১৯২৫")</f>
        <v>০২/১০/১৯২৫</v>
      </c>
      <c r="H103" s="5" t="str">
        <f>IFERROR(__xludf.DUMMYFUNCTION("""COMPUTED_VALUE"""),"গৃহিনী")</f>
        <v>গৃহিনী</v>
      </c>
      <c r="I103" s="5" t="str">
        <f>IFERROR(__xludf.DUMMYFUNCTION("""COMPUTED_VALUE"""),"বাঁশবাড়ীয়া")</f>
        <v>বাঁশবাড়ীয়া</v>
      </c>
      <c r="J103" s="5" t="str">
        <f>IFERROR(__xludf.DUMMYFUNCTION("""COMPUTED_VALUE""")," গাড়ীডোব")</f>
        <v> গাড়ীডোব</v>
      </c>
      <c r="K103" s="5" t="str">
        <f>IFERROR(__xludf.DUMMYFUNCTION("""COMPUTED_VALUE""")," গাংনী")</f>
        <v> গাংনী</v>
      </c>
      <c r="L103" s="5" t="str">
        <f>IFERROR(__xludf.DUMMYFUNCTION("""COMPUTED_VALUE""")," মেহেরপুর")</f>
        <v> মেহেরপুর</v>
      </c>
    </row>
    <row r="104" ht="15.75" customHeight="1">
      <c r="A104" s="6" t="s">
        <v>6972</v>
      </c>
      <c r="B104" s="5">
        <f>IFERROR(__xludf.DUMMYFUNCTION("SPLIT(A104,"","")"),1450.0)</f>
        <v>1450</v>
      </c>
      <c r="C104" s="5" t="str">
        <f>IFERROR(__xludf.DUMMYFUNCTION("""COMPUTED_VALUE"""),"মোছাঃ আনজিরা খাতুন")</f>
        <v>মোছাঃ আনজিরা খাতুন</v>
      </c>
      <c r="D104" s="5">
        <f>IFERROR(__xludf.DUMMYFUNCTION("""COMPUTED_VALUE"""),5.70038356421E11)</f>
        <v>570038356421</v>
      </c>
      <c r="E104" s="5" t="str">
        <f>IFERROR(__xludf.DUMMYFUNCTION("""COMPUTED_VALUE"""),"ইছাহাক মোল্লা")</f>
        <v>ইছাহাক মোল্লা</v>
      </c>
      <c r="F104" s="5" t="str">
        <f>IFERROR(__xludf.DUMMYFUNCTION("""COMPUTED_VALUE"""),"মোছাঃ আমেনা খাতুন")</f>
        <v>মোছাঃ আমেনা খাতুন</v>
      </c>
      <c r="G104" s="5" t="str">
        <f>IFERROR(__xludf.DUMMYFUNCTION("""COMPUTED_VALUE"""),"১০/১১/১৯৬২")</f>
        <v>১০/১১/১৯৬২</v>
      </c>
      <c r="H104" s="5" t="str">
        <f>IFERROR(__xludf.DUMMYFUNCTION("""COMPUTED_VALUE"""),"গৃহিনী")</f>
        <v>গৃহিনী</v>
      </c>
      <c r="I104" s="5" t="str">
        <f>IFERROR(__xludf.DUMMYFUNCTION("""COMPUTED_VALUE"""),"বাঁশবাড়ীয়া")</f>
        <v>বাঁশবাড়ীয়া</v>
      </c>
      <c r="J104" s="5" t="str">
        <f>IFERROR(__xludf.DUMMYFUNCTION("""COMPUTED_VALUE""")," গাড়ীডোব")</f>
        <v> গাড়ীডোব</v>
      </c>
      <c r="K104" s="5" t="str">
        <f>IFERROR(__xludf.DUMMYFUNCTION("""COMPUTED_VALUE""")," গাংনী")</f>
        <v> গাংনী</v>
      </c>
      <c r="L104" s="5" t="str">
        <f>IFERROR(__xludf.DUMMYFUNCTION("""COMPUTED_VALUE""")," মেহেরপুর")</f>
        <v> মেহেরপুর</v>
      </c>
    </row>
    <row r="105" ht="15.75" customHeight="1">
      <c r="A105" s="6" t="s">
        <v>6973</v>
      </c>
      <c r="B105" s="5">
        <f>IFERROR(__xludf.DUMMYFUNCTION("SPLIT(A105,"","")"),1451.0)</f>
        <v>1451</v>
      </c>
      <c r="C105" s="5" t="str">
        <f>IFERROR(__xludf.DUMMYFUNCTION("""COMPUTED_VALUE"""),"মোছাঃ খাদিজা খাতুন")</f>
        <v>মোছাঃ খাদিজা খাতুন</v>
      </c>
      <c r="D105" s="5">
        <f>IFERROR(__xludf.DUMMYFUNCTION("""COMPUTED_VALUE"""),5.70038356424E11)</f>
        <v>570038356424</v>
      </c>
      <c r="E105" s="5" t="str">
        <f>IFERROR(__xludf.DUMMYFUNCTION("""COMPUTED_VALUE"""),"মোঃ লুৎফর রহমান")</f>
        <v>মোঃ লুৎফর রহমান</v>
      </c>
      <c r="F105" s="5" t="str">
        <f>IFERROR(__xludf.DUMMYFUNCTION("""COMPUTED_VALUE"""),"মোছাঃ মর্জিনা খাতুন")</f>
        <v>মোছাঃ মর্জিনা খাতুন</v>
      </c>
      <c r="G105" s="5" t="str">
        <f>IFERROR(__xludf.DUMMYFUNCTION("""COMPUTED_VALUE"""),"০১/০৬/১৯৮৫")</f>
        <v>০১/০৬/১৯৮৫</v>
      </c>
      <c r="H105" s="5" t="str">
        <f>IFERROR(__xludf.DUMMYFUNCTION("""COMPUTED_VALUE"""),"গৃহিনী")</f>
        <v>গৃহিনী</v>
      </c>
      <c r="I105" s="5" t="str">
        <f>IFERROR(__xludf.DUMMYFUNCTION("""COMPUTED_VALUE"""),"বাঁশবাড়ীয়া")</f>
        <v>বাঁশবাড়ীয়া</v>
      </c>
      <c r="J105" s="5" t="str">
        <f>IFERROR(__xludf.DUMMYFUNCTION("""COMPUTED_VALUE""")," গাড়ীডোব")</f>
        <v> গাড়ীডোব</v>
      </c>
      <c r="K105" s="5" t="str">
        <f>IFERROR(__xludf.DUMMYFUNCTION("""COMPUTED_VALUE""")," গাংনী")</f>
        <v> গাংনী</v>
      </c>
      <c r="L105" s="5" t="str">
        <f>IFERROR(__xludf.DUMMYFUNCTION("""COMPUTED_VALUE""")," মেহেরপুর")</f>
        <v> মেহেরপুর</v>
      </c>
    </row>
    <row r="106" ht="15.75" customHeight="1">
      <c r="A106" s="6" t="s">
        <v>6974</v>
      </c>
      <c r="B106" s="5">
        <f>IFERROR(__xludf.DUMMYFUNCTION("SPLIT(A106,"","")"),1452.0)</f>
        <v>1452</v>
      </c>
      <c r="C106" s="5" t="str">
        <f>IFERROR(__xludf.DUMMYFUNCTION("""COMPUTED_VALUE"""),"মোছাঃ লাকী খাতুন")</f>
        <v>মোছাঃ লাকী খাতুন</v>
      </c>
      <c r="D106" s="5">
        <f>IFERROR(__xludf.DUMMYFUNCTION("""COMPUTED_VALUE"""),5.70038356425E11)</f>
        <v>570038356425</v>
      </c>
      <c r="E106" s="5" t="str">
        <f>IFERROR(__xludf.DUMMYFUNCTION("""COMPUTED_VALUE"""),"মোঃ শুকুর আলী")</f>
        <v>মোঃ শুকুর আলী</v>
      </c>
      <c r="F106" s="5" t="str">
        <f>IFERROR(__xludf.DUMMYFUNCTION("""COMPUTED_VALUE"""),"মোছাঃ তারাফুল")</f>
        <v>মোছাঃ তারাফুল</v>
      </c>
      <c r="G106" s="5" t="str">
        <f>IFERROR(__xludf.DUMMYFUNCTION("""COMPUTED_VALUE"""),"১৫/১০/১৯৮৫")</f>
        <v>১৫/১০/১৯৮৫</v>
      </c>
      <c r="H106" s="5" t="str">
        <f>IFERROR(__xludf.DUMMYFUNCTION("""COMPUTED_VALUE"""),"গৃহিনী")</f>
        <v>গৃহিনী</v>
      </c>
      <c r="I106" s="5" t="str">
        <f>IFERROR(__xludf.DUMMYFUNCTION("""COMPUTED_VALUE"""),"বাঁশবাড়ীয়া")</f>
        <v>বাঁশবাড়ীয়া</v>
      </c>
      <c r="J106" s="5" t="str">
        <f>IFERROR(__xludf.DUMMYFUNCTION("""COMPUTED_VALUE""")," গাড়ীডোব")</f>
        <v> গাড়ীডোব</v>
      </c>
      <c r="K106" s="5" t="str">
        <f>IFERROR(__xludf.DUMMYFUNCTION("""COMPUTED_VALUE""")," গাংনী")</f>
        <v> গাংনী</v>
      </c>
      <c r="L106" s="5" t="str">
        <f>IFERROR(__xludf.DUMMYFUNCTION("""COMPUTED_VALUE""")," মেহেরপুর")</f>
        <v> মেহেরপুর</v>
      </c>
    </row>
    <row r="107" ht="15.75" customHeight="1">
      <c r="A107" s="6" t="s">
        <v>6975</v>
      </c>
      <c r="B107" s="5">
        <f>IFERROR(__xludf.DUMMYFUNCTION("SPLIT(A107,"","")"),1453.0)</f>
        <v>1453</v>
      </c>
      <c r="C107" s="5" t="str">
        <f>IFERROR(__xludf.DUMMYFUNCTION("""COMPUTED_VALUE"""),"মোছাঃ মাজেদা খাতুন")</f>
        <v>মোছাঃ মাজেদা খাতুন</v>
      </c>
      <c r="D107" s="5">
        <f>IFERROR(__xludf.DUMMYFUNCTION("""COMPUTED_VALUE"""),5.70038356427E11)</f>
        <v>570038356427</v>
      </c>
      <c r="E107" s="5" t="str">
        <f>IFERROR(__xludf.DUMMYFUNCTION("""COMPUTED_VALUE"""),"মবজেল হোসেন")</f>
        <v>মবজেল হোসেন</v>
      </c>
      <c r="F107" s="5" t="str">
        <f>IFERROR(__xludf.DUMMYFUNCTION("""COMPUTED_VALUE"""),"মোছাঃ সাহেরা খাতুন")</f>
        <v>মোছাঃ সাহেরা খাতুন</v>
      </c>
      <c r="G107" s="5" t="str">
        <f>IFERROR(__xludf.DUMMYFUNCTION("""COMPUTED_VALUE"""),"১০/১১/১৯৬৭")</f>
        <v>১০/১১/১৯৬৭</v>
      </c>
      <c r="H107" s="5" t="str">
        <f>IFERROR(__xludf.DUMMYFUNCTION("""COMPUTED_VALUE"""),"গৃহিনী")</f>
        <v>গৃহিনী</v>
      </c>
      <c r="I107" s="5" t="str">
        <f>IFERROR(__xludf.DUMMYFUNCTION("""COMPUTED_VALUE"""),"বাঁশবাড়ীয়া")</f>
        <v>বাঁশবাড়ীয়া</v>
      </c>
      <c r="J107" s="5" t="str">
        <f>IFERROR(__xludf.DUMMYFUNCTION("""COMPUTED_VALUE""")," গাড়ীডোব")</f>
        <v> গাড়ীডোব</v>
      </c>
      <c r="K107" s="5" t="str">
        <f>IFERROR(__xludf.DUMMYFUNCTION("""COMPUTED_VALUE""")," গাংনী")</f>
        <v> গাংনী</v>
      </c>
      <c r="L107" s="5" t="str">
        <f>IFERROR(__xludf.DUMMYFUNCTION("""COMPUTED_VALUE""")," মেহেরপুর")</f>
        <v> মেহেরপুর</v>
      </c>
    </row>
    <row r="108" ht="15.75" customHeight="1">
      <c r="A108" s="6" t="s">
        <v>6976</v>
      </c>
      <c r="B108" s="5">
        <f>IFERROR(__xludf.DUMMYFUNCTION("SPLIT(A108,"","")"),1454.0)</f>
        <v>1454</v>
      </c>
      <c r="C108" s="5" t="str">
        <f>IFERROR(__xludf.DUMMYFUNCTION("""COMPUTED_VALUE"""),"মোছাঃ বিলকিস খাতুন")</f>
        <v>মোছাঃ বিলকিস খাতুন</v>
      </c>
      <c r="D108" s="5">
        <f>IFERROR(__xludf.DUMMYFUNCTION("""COMPUTED_VALUE"""),5.70038356428E11)</f>
        <v>570038356428</v>
      </c>
      <c r="E108" s="5" t="str">
        <f>IFERROR(__xludf.DUMMYFUNCTION("""COMPUTED_VALUE"""),"কালু মন্ডল")</f>
        <v>কালু মন্ডল</v>
      </c>
      <c r="F108" s="5" t="str">
        <f>IFERROR(__xludf.DUMMYFUNCTION("""COMPUTED_VALUE"""),"মোছাঃ মিনুয়ারা")</f>
        <v>মোছাঃ মিনুয়ারা</v>
      </c>
      <c r="G108" s="5" t="str">
        <f>IFERROR(__xludf.DUMMYFUNCTION("""COMPUTED_VALUE"""),"১০/১০/১৯৮০")</f>
        <v>১০/১০/১৯৮০</v>
      </c>
      <c r="H108" s="5" t="str">
        <f>IFERROR(__xludf.DUMMYFUNCTION("""COMPUTED_VALUE"""),"গৃহিনী")</f>
        <v>গৃহিনী</v>
      </c>
      <c r="I108" s="5" t="str">
        <f>IFERROR(__xludf.DUMMYFUNCTION("""COMPUTED_VALUE"""),"বাঁশবাড়ীয়া")</f>
        <v>বাঁশবাড়ীয়া</v>
      </c>
      <c r="J108" s="5" t="str">
        <f>IFERROR(__xludf.DUMMYFUNCTION("""COMPUTED_VALUE""")," গাড়ীডোব")</f>
        <v> গাড়ীডোব</v>
      </c>
      <c r="K108" s="5" t="str">
        <f>IFERROR(__xludf.DUMMYFUNCTION("""COMPUTED_VALUE""")," গাংনী")</f>
        <v> গাংনী</v>
      </c>
      <c r="L108" s="5" t="str">
        <f>IFERROR(__xludf.DUMMYFUNCTION("""COMPUTED_VALUE""")," মেহেরপুর")</f>
        <v> মেহেরপুর</v>
      </c>
    </row>
    <row r="109" ht="15.75" customHeight="1">
      <c r="A109" s="6" t="s">
        <v>6977</v>
      </c>
      <c r="B109" s="5">
        <f>IFERROR(__xludf.DUMMYFUNCTION("SPLIT(A109,"","")"),1455.0)</f>
        <v>1455</v>
      </c>
      <c r="C109" s="5" t="str">
        <f>IFERROR(__xludf.DUMMYFUNCTION("""COMPUTED_VALUE"""),"মোছাঃ তহমিনা খাতুন")</f>
        <v>মোছাঃ তহমিনা খাতুন</v>
      </c>
      <c r="D109" s="5">
        <f>IFERROR(__xludf.DUMMYFUNCTION("""COMPUTED_VALUE"""),5.70038356431E11)</f>
        <v>570038356431</v>
      </c>
      <c r="E109" s="5" t="str">
        <f>IFERROR(__xludf.DUMMYFUNCTION("""COMPUTED_VALUE"""),"আত্তাব মন্ডল")</f>
        <v>আত্তাব মন্ডল</v>
      </c>
      <c r="F109" s="5" t="str">
        <f>IFERROR(__xludf.DUMMYFUNCTION("""COMPUTED_VALUE"""),"মোছাঃ সাহারন নেছা")</f>
        <v>মোছাঃ সাহারন নেছা</v>
      </c>
      <c r="G109" s="5" t="str">
        <f>IFERROR(__xludf.DUMMYFUNCTION("""COMPUTED_VALUE"""),"১৫/০৬/১৯৫৭")</f>
        <v>১৫/০৬/১৯৫৭</v>
      </c>
      <c r="H109" s="5" t="str">
        <f>IFERROR(__xludf.DUMMYFUNCTION("""COMPUTED_VALUE"""),"গৃহিনী")</f>
        <v>গৃহিনী</v>
      </c>
      <c r="I109" s="5" t="str">
        <f>IFERROR(__xludf.DUMMYFUNCTION("""COMPUTED_VALUE"""),"গাড়ীডোব")</f>
        <v>গাড়ীডোব</v>
      </c>
      <c r="J109" s="5" t="str">
        <f>IFERROR(__xludf.DUMMYFUNCTION("""COMPUTED_VALUE""")," গাংনী")</f>
        <v> গাংনী</v>
      </c>
      <c r="K109" s="5" t="str">
        <f>IFERROR(__xludf.DUMMYFUNCTION("""COMPUTED_VALUE""")," মেহেরপুর")</f>
        <v> মেহেরপুর</v>
      </c>
    </row>
    <row r="110" ht="15.75" customHeight="1">
      <c r="A110" s="6" t="s">
        <v>6978</v>
      </c>
      <c r="B110" s="5">
        <f>IFERROR(__xludf.DUMMYFUNCTION("SPLIT(A110,"","")"),1456.0)</f>
        <v>1456</v>
      </c>
      <c r="C110" s="5" t="str">
        <f>IFERROR(__xludf.DUMMYFUNCTION("""COMPUTED_VALUE"""),"মোছাঃ জাম্বাতন নেছা")</f>
        <v>মোছাঃ জাম্বাতন নেছা</v>
      </c>
      <c r="D110" s="5">
        <f>IFERROR(__xludf.DUMMYFUNCTION("""COMPUTED_VALUE"""),5.70038356432E11)</f>
        <v>570038356432</v>
      </c>
      <c r="E110" s="5" t="str">
        <f>IFERROR(__xludf.DUMMYFUNCTION("""COMPUTED_VALUE"""),"মোঃ আক্কাচ আলী")</f>
        <v>মোঃ আক্কাচ আলী</v>
      </c>
      <c r="F110" s="5" t="str">
        <f>IFERROR(__xludf.DUMMYFUNCTION("""COMPUTED_VALUE"""),"মোছাঃ শকেজান")</f>
        <v>মোছাঃ শকেজান</v>
      </c>
      <c r="G110" s="5" t="str">
        <f>IFERROR(__xludf.DUMMYFUNCTION("""COMPUTED_VALUE"""),"১৮/০৬/১৯৮২")</f>
        <v>১৮/০৬/১৯৮২</v>
      </c>
      <c r="H110" s="5" t="str">
        <f>IFERROR(__xludf.DUMMYFUNCTION("""COMPUTED_VALUE"""),"গৃহিনী")</f>
        <v>গৃহিনী</v>
      </c>
      <c r="I110" s="5" t="str">
        <f>IFERROR(__xludf.DUMMYFUNCTION("""COMPUTED_VALUE"""),"বাঁশবাড়ীয়া")</f>
        <v>বাঁশবাড়ীয়া</v>
      </c>
      <c r="J110" s="5" t="str">
        <f>IFERROR(__xludf.DUMMYFUNCTION("""COMPUTED_VALUE""")," গাড়ীডোব")</f>
        <v> গাড়ীডোব</v>
      </c>
      <c r="K110" s="5" t="str">
        <f>IFERROR(__xludf.DUMMYFUNCTION("""COMPUTED_VALUE""")," গাংনী")</f>
        <v> গাংনী</v>
      </c>
      <c r="L110" s="5" t="str">
        <f>IFERROR(__xludf.DUMMYFUNCTION("""COMPUTED_VALUE""")," মেহেরপুর")</f>
        <v> মেহেরপুর</v>
      </c>
    </row>
    <row r="111" ht="15.75" customHeight="1">
      <c r="A111" s="6" t="s">
        <v>6979</v>
      </c>
      <c r="B111" s="5">
        <f>IFERROR(__xludf.DUMMYFUNCTION("SPLIT(A111,"","")"),1457.0)</f>
        <v>1457</v>
      </c>
      <c r="C111" s="5" t="str">
        <f>IFERROR(__xludf.DUMMYFUNCTION("""COMPUTED_VALUE"""),"মোছাঃ আনজিরা খাতুন")</f>
        <v>মোছাঃ আনজিরা খাতুন</v>
      </c>
      <c r="D111" s="5">
        <f>IFERROR(__xludf.DUMMYFUNCTION("""COMPUTED_VALUE"""),5.70038356438E11)</f>
        <v>570038356438</v>
      </c>
      <c r="E111" s="5" t="str">
        <f>IFERROR(__xludf.DUMMYFUNCTION("""COMPUTED_VALUE"""),"সাদেক আলী")</f>
        <v>সাদেক আলী</v>
      </c>
      <c r="F111" s="5" t="str">
        <f>IFERROR(__xludf.DUMMYFUNCTION("""COMPUTED_VALUE"""),"মোছাঃ মাহিরন নেছা")</f>
        <v>মোছাঃ মাহিরন নেছা</v>
      </c>
      <c r="G111" s="5" t="str">
        <f>IFERROR(__xludf.DUMMYFUNCTION("""COMPUTED_VALUE"""),"১৫/১০/১৯৬৫")</f>
        <v>১৫/১০/১৯৬৫</v>
      </c>
      <c r="H111" s="5" t="str">
        <f>IFERROR(__xludf.DUMMYFUNCTION("""COMPUTED_VALUE"""),"গৃহিনী")</f>
        <v>গৃহিনী</v>
      </c>
      <c r="I111" s="5" t="str">
        <f>IFERROR(__xludf.DUMMYFUNCTION("""COMPUTED_VALUE"""),"বাঁশবাড়ীয়া")</f>
        <v>বাঁশবাড়ীয়া</v>
      </c>
      <c r="J111" s="5" t="str">
        <f>IFERROR(__xludf.DUMMYFUNCTION("""COMPUTED_VALUE""")," গাড়ীডোব")</f>
        <v> গাড়ীডোব</v>
      </c>
      <c r="K111" s="5" t="str">
        <f>IFERROR(__xludf.DUMMYFUNCTION("""COMPUTED_VALUE""")," গাংনী")</f>
        <v> গাংনী</v>
      </c>
      <c r="L111" s="5" t="str">
        <f>IFERROR(__xludf.DUMMYFUNCTION("""COMPUTED_VALUE""")," মেহেরপুর")</f>
        <v> মেহেরপুর</v>
      </c>
    </row>
    <row r="112" ht="15.75" customHeight="1">
      <c r="A112" s="6" t="s">
        <v>6980</v>
      </c>
      <c r="B112" s="5">
        <f>IFERROR(__xludf.DUMMYFUNCTION("SPLIT(A112,"","")"),1458.0)</f>
        <v>1458</v>
      </c>
      <c r="C112" s="5" t="str">
        <f>IFERROR(__xludf.DUMMYFUNCTION("""COMPUTED_VALUE"""),"মোছাঃ সোনাভানু")</f>
        <v>মোছাঃ সোনাভানু</v>
      </c>
      <c r="D112" s="5">
        <f>IFERROR(__xludf.DUMMYFUNCTION("""COMPUTED_VALUE"""),5.7003835644E11)</f>
        <v>570038356440</v>
      </c>
      <c r="E112" s="5" t="str">
        <f>IFERROR(__xludf.DUMMYFUNCTION("""COMPUTED_VALUE"""),"নেয়ামত আলী")</f>
        <v>নেয়ামত আলী</v>
      </c>
      <c r="F112" s="5" t="str">
        <f>IFERROR(__xludf.DUMMYFUNCTION("""COMPUTED_VALUE"""),"ফুলজান বিবি")</f>
        <v>ফুলজান বিবি</v>
      </c>
      <c r="G112" s="5" t="str">
        <f>IFERROR(__xludf.DUMMYFUNCTION("""COMPUTED_VALUE"""),"১২/০৮/১৯৬২")</f>
        <v>১২/০৮/১৯৬২</v>
      </c>
      <c r="H112" s="5" t="str">
        <f>IFERROR(__xludf.DUMMYFUNCTION("""COMPUTED_VALUE"""),"গৃহিনী")</f>
        <v>গৃহিনী</v>
      </c>
      <c r="I112" s="5" t="str">
        <f>IFERROR(__xludf.DUMMYFUNCTION("""COMPUTED_VALUE"""),"বাঁশবাড়িয়া")</f>
        <v>বাঁশবাড়িয়া</v>
      </c>
      <c r="J112" s="5" t="str">
        <f>IFERROR(__xludf.DUMMYFUNCTION("""COMPUTED_VALUE""")," গাড়ীডোব")</f>
        <v> গাড়ীডোব</v>
      </c>
      <c r="K112" s="5" t="str">
        <f>IFERROR(__xludf.DUMMYFUNCTION("""COMPUTED_VALUE""")," গাংনী")</f>
        <v> গাংনী</v>
      </c>
      <c r="L112" s="5" t="str">
        <f>IFERROR(__xludf.DUMMYFUNCTION("""COMPUTED_VALUE""")," মেহেরপুর")</f>
        <v> মেহেরপুর</v>
      </c>
    </row>
    <row r="113" ht="15.75" customHeight="1">
      <c r="A113" s="6" t="s">
        <v>6981</v>
      </c>
      <c r="B113" s="5">
        <f>IFERROR(__xludf.DUMMYFUNCTION("SPLIT(A113,"","")"),1459.0)</f>
        <v>1459</v>
      </c>
      <c r="C113" s="5" t="str">
        <f>IFERROR(__xludf.DUMMYFUNCTION("""COMPUTED_VALUE"""),"মোছাঃ রেবেকা খাতুন")</f>
        <v>মোছাঃ রেবেকা খাতুন</v>
      </c>
      <c r="D113" s="5">
        <f>IFERROR(__xludf.DUMMYFUNCTION("""COMPUTED_VALUE"""),5.70038356442E11)</f>
        <v>570038356442</v>
      </c>
      <c r="E113" s="5" t="str">
        <f>IFERROR(__xludf.DUMMYFUNCTION("""COMPUTED_VALUE"""),"মোঃ গফুর আলী")</f>
        <v>মোঃ গফুর আলী</v>
      </c>
      <c r="F113" s="5" t="str">
        <f>IFERROR(__xludf.DUMMYFUNCTION("""COMPUTED_VALUE"""),"মোছাঃ মনোয়ারা খাতুন")</f>
        <v>মোছাঃ মনোয়ারা খাতুন</v>
      </c>
      <c r="G113" s="5" t="str">
        <f>IFERROR(__xludf.DUMMYFUNCTION("""COMPUTED_VALUE"""),"১০/১১/১৯৮৬")</f>
        <v>১০/১১/১৯৮৬</v>
      </c>
      <c r="H113" s="5" t="str">
        <f>IFERROR(__xludf.DUMMYFUNCTION("""COMPUTED_VALUE"""),"গৃহিনী")</f>
        <v>গৃহিনী</v>
      </c>
      <c r="I113" s="5" t="str">
        <f>IFERROR(__xludf.DUMMYFUNCTION("""COMPUTED_VALUE"""),"বাঁশবাড়িয়া")</f>
        <v>বাঁশবাড়িয়া</v>
      </c>
      <c r="J113" s="5" t="str">
        <f>IFERROR(__xludf.DUMMYFUNCTION("""COMPUTED_VALUE""")," গাড়ীডোব")</f>
        <v> গাড়ীডোব</v>
      </c>
      <c r="K113" s="5" t="str">
        <f>IFERROR(__xludf.DUMMYFUNCTION("""COMPUTED_VALUE""")," গাংনী")</f>
        <v> গাংনী</v>
      </c>
      <c r="L113" s="5" t="str">
        <f>IFERROR(__xludf.DUMMYFUNCTION("""COMPUTED_VALUE""")," মেহেরপুর")</f>
        <v> মেহেরপুর</v>
      </c>
    </row>
    <row r="114" ht="15.75" customHeight="1">
      <c r="A114" s="6" t="s">
        <v>6982</v>
      </c>
      <c r="B114" s="5">
        <f>IFERROR(__xludf.DUMMYFUNCTION("SPLIT(A114,"","")"),1460.0)</f>
        <v>1460</v>
      </c>
      <c r="C114" s="5" t="str">
        <f>IFERROR(__xludf.DUMMYFUNCTION("""COMPUTED_VALUE"""),"মোছাঃ সাবানা খাতুন")</f>
        <v>মোছাঃ সাবানা খাতুন</v>
      </c>
      <c r="D114" s="5">
        <f>IFERROR(__xludf.DUMMYFUNCTION("""COMPUTED_VALUE"""),5.70038356444E11)</f>
        <v>570038356444</v>
      </c>
      <c r="E114" s="5" t="str">
        <f>IFERROR(__xludf.DUMMYFUNCTION("""COMPUTED_VALUE"""),"মোঃ মোফাজ্জেল হোসেন")</f>
        <v>মোঃ মোফাজ্জেল হোসেন</v>
      </c>
      <c r="F114" s="5" t="str">
        <f>IFERROR(__xludf.DUMMYFUNCTION("""COMPUTED_VALUE"""),"মোছাঃ হালিমা খাতুন")</f>
        <v>মোছাঃ হালিমা খাতুন</v>
      </c>
      <c r="G114" s="5" t="str">
        <f>IFERROR(__xludf.DUMMYFUNCTION("""COMPUTED_VALUE"""),"১৫/০৯/১৯৮৬")</f>
        <v>১৫/০৯/১৯৮৬</v>
      </c>
      <c r="H114" s="5" t="str">
        <f>IFERROR(__xludf.DUMMYFUNCTION("""COMPUTED_VALUE"""),"গৃহিনী")</f>
        <v>গৃহিনী</v>
      </c>
      <c r="I114" s="5" t="str">
        <f>IFERROR(__xludf.DUMMYFUNCTION("""COMPUTED_VALUE"""),"গাড়ীডোব")</f>
        <v>গাড়ীডোব</v>
      </c>
      <c r="J114" s="5" t="str">
        <f>IFERROR(__xludf.DUMMYFUNCTION("""COMPUTED_VALUE""")," গাংনী")</f>
        <v> গাংনী</v>
      </c>
      <c r="K114" s="5" t="str">
        <f>IFERROR(__xludf.DUMMYFUNCTION("""COMPUTED_VALUE""")," মেহেরপুর")</f>
        <v> মেহেরপুর</v>
      </c>
    </row>
    <row r="115" ht="15.75" customHeight="1">
      <c r="A115" s="6" t="s">
        <v>6983</v>
      </c>
      <c r="B115" s="5">
        <f>IFERROR(__xludf.DUMMYFUNCTION("SPLIT(A115,"","")"),1461.0)</f>
        <v>1461</v>
      </c>
      <c r="C115" s="5" t="str">
        <f>IFERROR(__xludf.DUMMYFUNCTION("""COMPUTED_VALUE"""),"মোছাঃ মলেজান")</f>
        <v>মোছাঃ মলেজান</v>
      </c>
      <c r="D115" s="5">
        <f>IFERROR(__xludf.DUMMYFUNCTION("""COMPUTED_VALUE"""),5.70038356446E11)</f>
        <v>570038356446</v>
      </c>
      <c r="E115" s="5" t="str">
        <f>IFERROR(__xludf.DUMMYFUNCTION("""COMPUTED_VALUE"""),"ফকিরজান")</f>
        <v>ফকিরজান</v>
      </c>
      <c r="F115" s="5" t="str">
        <f>IFERROR(__xludf.DUMMYFUNCTION("""COMPUTED_VALUE"""),"মোছাঃ সইমেনা খাতুন")</f>
        <v>মোছাঃ সইমেনা খাতুন</v>
      </c>
      <c r="G115" s="5" t="str">
        <f>IFERROR(__xludf.DUMMYFUNCTION("""COMPUTED_VALUE"""),"১৫/০৭/১৯৬২")</f>
        <v>১৫/০৭/১৯৬২</v>
      </c>
      <c r="H115" s="5" t="str">
        <f>IFERROR(__xludf.DUMMYFUNCTION("""COMPUTED_VALUE"""),"গৃহিনী")</f>
        <v>গৃহিনী</v>
      </c>
      <c r="I115" s="5" t="str">
        <f>IFERROR(__xludf.DUMMYFUNCTION("""COMPUTED_VALUE"""),"গাড়ীডোব")</f>
        <v>গাড়ীডোব</v>
      </c>
      <c r="J115" s="5" t="str">
        <f>IFERROR(__xludf.DUMMYFUNCTION("""COMPUTED_VALUE""")," গাংনী")</f>
        <v> গাংনী</v>
      </c>
      <c r="K115" s="5" t="str">
        <f>IFERROR(__xludf.DUMMYFUNCTION("""COMPUTED_VALUE""")," মেহেরপুর")</f>
        <v> মেহেরপুর</v>
      </c>
    </row>
    <row r="116" ht="15.75" customHeight="1">
      <c r="A116" s="6" t="s">
        <v>6984</v>
      </c>
      <c r="B116" s="5">
        <f>IFERROR(__xludf.DUMMYFUNCTION("SPLIT(A116,"","")"),1462.0)</f>
        <v>1462</v>
      </c>
      <c r="C116" s="5" t="str">
        <f>IFERROR(__xludf.DUMMYFUNCTION("""COMPUTED_VALUE"""),"মোছাঃ সোহাগী খাতুন")</f>
        <v>মোছাঃ সোহাগী খাতুন</v>
      </c>
      <c r="D116" s="5">
        <f>IFERROR(__xludf.DUMMYFUNCTION("""COMPUTED_VALUE"""),5.70038356447E11)</f>
        <v>570038356447</v>
      </c>
      <c r="E116" s="5" t="str">
        <f>IFERROR(__xludf.DUMMYFUNCTION("""COMPUTED_VALUE"""),"ওয়াদ মন্ডল")</f>
        <v>ওয়াদ মন্ডল</v>
      </c>
      <c r="F116" s="5" t="str">
        <f>IFERROR(__xludf.DUMMYFUNCTION("""COMPUTED_VALUE"""),"মোছাঃ জমেলা খাতুন")</f>
        <v>মোছাঃ জমেলা খাতুন</v>
      </c>
      <c r="G116" s="5" t="str">
        <f>IFERROR(__xludf.DUMMYFUNCTION("""COMPUTED_VALUE"""),"১৫/১০/১৯৫২")</f>
        <v>১৫/১০/১৯৫২</v>
      </c>
      <c r="H116" s="5" t="str">
        <f>IFERROR(__xludf.DUMMYFUNCTION("""COMPUTED_VALUE"""),"গৃহিনী")</f>
        <v>গৃহিনী</v>
      </c>
      <c r="I116" s="5" t="str">
        <f>IFERROR(__xludf.DUMMYFUNCTION("""COMPUTED_VALUE"""),"বাঁশবাড়ীয়া")</f>
        <v>বাঁশবাড়ীয়া</v>
      </c>
      <c r="J116" s="5" t="str">
        <f>IFERROR(__xludf.DUMMYFUNCTION("""COMPUTED_VALUE""")," গাড়ীডোব")</f>
        <v> গাড়ীডোব</v>
      </c>
      <c r="K116" s="5" t="str">
        <f>IFERROR(__xludf.DUMMYFUNCTION("""COMPUTED_VALUE""")," গাংনী")</f>
        <v> গাংনী</v>
      </c>
      <c r="L116" s="5" t="str">
        <f>IFERROR(__xludf.DUMMYFUNCTION("""COMPUTED_VALUE""")," মেহেরপুর")</f>
        <v> মেহেরপুর</v>
      </c>
    </row>
    <row r="117" ht="15.75" customHeight="1">
      <c r="A117" s="6" t="s">
        <v>6985</v>
      </c>
      <c r="B117" s="5">
        <f>IFERROR(__xludf.DUMMYFUNCTION("SPLIT(A117,"","")"),1463.0)</f>
        <v>1463</v>
      </c>
      <c r="C117" s="5" t="str">
        <f>IFERROR(__xludf.DUMMYFUNCTION("""COMPUTED_VALUE"""),"মোছাঃ সাবিনা খাতুন")</f>
        <v>মোছাঃ সাবিনা খাতুন</v>
      </c>
      <c r="D117" s="5">
        <f>IFERROR(__xludf.DUMMYFUNCTION("""COMPUTED_VALUE"""),5.70038356448E11)</f>
        <v>570038356448</v>
      </c>
      <c r="E117" s="5" t="str">
        <f>IFERROR(__xludf.DUMMYFUNCTION("""COMPUTED_VALUE"""),"মোঃ রমজান আলী")</f>
        <v>মোঃ রমজান আলী</v>
      </c>
      <c r="F117" s="5" t="str">
        <f>IFERROR(__xludf.DUMMYFUNCTION("""COMPUTED_VALUE"""),"মোছাঃ আকলিমা")</f>
        <v>মোছাঃ আকলিমা</v>
      </c>
      <c r="G117" s="5" t="str">
        <f>IFERROR(__xludf.DUMMYFUNCTION("""COMPUTED_VALUE"""),"১৫/০৯/১৯৮২")</f>
        <v>১৫/০৯/১৯৮২</v>
      </c>
      <c r="H117" s="5" t="str">
        <f>IFERROR(__xludf.DUMMYFUNCTION("""COMPUTED_VALUE"""),"গৃহিনী")</f>
        <v>গৃহিনী</v>
      </c>
      <c r="I117" s="5" t="str">
        <f>IFERROR(__xludf.DUMMYFUNCTION("""COMPUTED_VALUE"""),"গাড়ীডোব")</f>
        <v>গাড়ীডোব</v>
      </c>
      <c r="J117" s="5" t="str">
        <f>IFERROR(__xludf.DUMMYFUNCTION("""COMPUTED_VALUE""")," গাংনী")</f>
        <v> গাংনী</v>
      </c>
      <c r="K117" s="5" t="str">
        <f>IFERROR(__xludf.DUMMYFUNCTION("""COMPUTED_VALUE""")," মেহেরপুর")</f>
        <v> মেহেরপুর</v>
      </c>
    </row>
    <row r="118" ht="15.75" customHeight="1">
      <c r="A118" s="6" t="s">
        <v>6986</v>
      </c>
      <c r="B118" s="5">
        <f>IFERROR(__xludf.DUMMYFUNCTION("SPLIT(A118,"","")"),1464.0)</f>
        <v>1464</v>
      </c>
      <c r="C118" s="5" t="str">
        <f>IFERROR(__xludf.DUMMYFUNCTION("""COMPUTED_VALUE"""),"মোছাঃ রিনা খাতুন")</f>
        <v>মোছাঃ রিনা খাতুন</v>
      </c>
      <c r="D118" s="5">
        <f>IFERROR(__xludf.DUMMYFUNCTION("""COMPUTED_VALUE"""),5.70038356449E11)</f>
        <v>570038356449</v>
      </c>
      <c r="E118" s="5" t="str">
        <f>IFERROR(__xludf.DUMMYFUNCTION("""COMPUTED_VALUE"""),"মোছাঃ আজিবার হোসেন")</f>
        <v>মোছাঃ আজিবার হোসেন</v>
      </c>
      <c r="F118" s="5" t="str">
        <f>IFERROR(__xludf.DUMMYFUNCTION("""COMPUTED_VALUE"""),"মোছাঃ রাকিয়া খাতুন")</f>
        <v>মোছাঃ রাকিয়া খাতুন</v>
      </c>
      <c r="G118" s="5" t="str">
        <f>IFERROR(__xludf.DUMMYFUNCTION("""COMPUTED_VALUE"""),"১৫/০৮/১৯৮৩")</f>
        <v>১৫/০৮/১৯৮৩</v>
      </c>
      <c r="H118" s="5" t="str">
        <f>IFERROR(__xludf.DUMMYFUNCTION("""COMPUTED_VALUE"""),"গৃহিনী")</f>
        <v>গৃহিনী</v>
      </c>
      <c r="I118" s="5" t="str">
        <f>IFERROR(__xludf.DUMMYFUNCTION("""COMPUTED_VALUE"""),"বাঁশবাড়ীয়া")</f>
        <v>বাঁশবাড়ীয়া</v>
      </c>
      <c r="J118" s="5" t="str">
        <f>IFERROR(__xludf.DUMMYFUNCTION("""COMPUTED_VALUE""")," গাড়ীডোব")</f>
        <v> গাড়ীডোব</v>
      </c>
      <c r="K118" s="5" t="str">
        <f>IFERROR(__xludf.DUMMYFUNCTION("""COMPUTED_VALUE""")," গাংনী")</f>
        <v> গাংনী</v>
      </c>
      <c r="L118" s="5" t="str">
        <f>IFERROR(__xludf.DUMMYFUNCTION("""COMPUTED_VALUE""")," মেহেরপুর")</f>
        <v> মেহেরপুর</v>
      </c>
    </row>
    <row r="119" ht="15.75" customHeight="1">
      <c r="A119" s="6" t="s">
        <v>6987</v>
      </c>
      <c r="B119" s="5">
        <f>IFERROR(__xludf.DUMMYFUNCTION("SPLIT(A119,"","")"),1465.0)</f>
        <v>1465</v>
      </c>
      <c r="C119" s="5" t="str">
        <f>IFERROR(__xludf.DUMMYFUNCTION("""COMPUTED_VALUE"""),"মোছাঃ ভানুয়ারা")</f>
        <v>মোছাঃ ভানুয়ারা</v>
      </c>
      <c r="D119" s="5">
        <f>IFERROR(__xludf.DUMMYFUNCTION("""COMPUTED_VALUE"""),5.7003835645E11)</f>
        <v>570038356450</v>
      </c>
      <c r="E119" s="5" t="str">
        <f>IFERROR(__xludf.DUMMYFUNCTION("""COMPUTED_VALUE"""),"জারমান আলী")</f>
        <v>জারমান আলী</v>
      </c>
      <c r="F119" s="5" t="str">
        <f>IFERROR(__xludf.DUMMYFUNCTION("""COMPUTED_VALUE"""),"রহিমা খাতুন")</f>
        <v>রহিমা খাতুন</v>
      </c>
      <c r="G119" s="5" t="str">
        <f>IFERROR(__xludf.DUMMYFUNCTION("""COMPUTED_VALUE"""),"১০/০৬/১৯৫৪")</f>
        <v>১০/০৬/১৯৫৪</v>
      </c>
      <c r="H119" s="5" t="str">
        <f>IFERROR(__xludf.DUMMYFUNCTION("""COMPUTED_VALUE"""),"গৃহিনী")</f>
        <v>গৃহিনী</v>
      </c>
      <c r="I119" s="5" t="str">
        <f>IFERROR(__xludf.DUMMYFUNCTION("""COMPUTED_VALUE"""),"বাঁশবাড়ীয়া")</f>
        <v>বাঁশবাড়ীয়া</v>
      </c>
      <c r="J119" s="5" t="str">
        <f>IFERROR(__xludf.DUMMYFUNCTION("""COMPUTED_VALUE""")," গাড়ীডোব")</f>
        <v> গাড়ীডোব</v>
      </c>
      <c r="K119" s="5" t="str">
        <f>IFERROR(__xludf.DUMMYFUNCTION("""COMPUTED_VALUE""")," গাংনী")</f>
        <v> গাংনী</v>
      </c>
      <c r="L119" s="5" t="str">
        <f>IFERROR(__xludf.DUMMYFUNCTION("""COMPUTED_VALUE""")," মেহেরপুর")</f>
        <v> মেহেরপুর</v>
      </c>
    </row>
    <row r="120" ht="15.75" customHeight="1">
      <c r="A120" s="6" t="s">
        <v>6988</v>
      </c>
      <c r="B120" s="5">
        <f>IFERROR(__xludf.DUMMYFUNCTION("SPLIT(A120,"","")"),1466.0)</f>
        <v>1466</v>
      </c>
      <c r="C120" s="5" t="str">
        <f>IFERROR(__xludf.DUMMYFUNCTION("""COMPUTED_VALUE"""),"মোছাঃ তসলিমা খাতুন")</f>
        <v>মোছাঃ তসলিমা খাতুন</v>
      </c>
      <c r="D120" s="5">
        <f>IFERROR(__xludf.DUMMYFUNCTION("""COMPUTED_VALUE"""),5.70038356451E11)</f>
        <v>570038356451</v>
      </c>
      <c r="E120" s="5" t="str">
        <f>IFERROR(__xludf.DUMMYFUNCTION("""COMPUTED_VALUE"""),"মহম্মাদ আলী")</f>
        <v>মহম্মাদ আলী</v>
      </c>
      <c r="F120" s="5" t="str">
        <f>IFERROR(__xludf.DUMMYFUNCTION("""COMPUTED_VALUE"""),"মোছাঃ ছুরাতন নেছা")</f>
        <v>মোছাঃ ছুরাতন নেছা</v>
      </c>
      <c r="G120" s="5" t="str">
        <f>IFERROR(__xludf.DUMMYFUNCTION("""COMPUTED_VALUE"""),"০৫/০৬/১৯৬৩")</f>
        <v>০৫/০৬/১৯৬৩</v>
      </c>
      <c r="H120" s="5" t="str">
        <f>IFERROR(__xludf.DUMMYFUNCTION("""COMPUTED_VALUE"""),"গৃহিনী")</f>
        <v>গৃহিনী</v>
      </c>
      <c r="I120" s="5" t="str">
        <f>IFERROR(__xludf.DUMMYFUNCTION("""COMPUTED_VALUE"""),"বাঁশবাড়ীয়া")</f>
        <v>বাঁশবাড়ীয়া</v>
      </c>
      <c r="J120" s="5" t="str">
        <f>IFERROR(__xludf.DUMMYFUNCTION("""COMPUTED_VALUE""")," গাড়ীডোব")</f>
        <v> গাড়ীডোব</v>
      </c>
      <c r="K120" s="5" t="str">
        <f>IFERROR(__xludf.DUMMYFUNCTION("""COMPUTED_VALUE""")," গাংনী")</f>
        <v> গাংনী</v>
      </c>
      <c r="L120" s="5" t="str">
        <f>IFERROR(__xludf.DUMMYFUNCTION("""COMPUTED_VALUE""")," মেহেরপুর")</f>
        <v> মেহেরপুর</v>
      </c>
    </row>
    <row r="121" ht="15.75" customHeight="1">
      <c r="A121" s="6" t="s">
        <v>6989</v>
      </c>
      <c r="B121" s="5">
        <f>IFERROR(__xludf.DUMMYFUNCTION("SPLIT(A121,"","")"),1467.0)</f>
        <v>1467</v>
      </c>
      <c r="C121" s="5" t="str">
        <f>IFERROR(__xludf.DUMMYFUNCTION("""COMPUTED_VALUE"""),"মোছাঃ সামসুন্নাহার")</f>
        <v>মোছাঃ সামসুন্নাহার</v>
      </c>
      <c r="D121" s="5">
        <f>IFERROR(__xludf.DUMMYFUNCTION("""COMPUTED_VALUE"""),5.70038356453E11)</f>
        <v>570038356453</v>
      </c>
      <c r="E121" s="5" t="str">
        <f>IFERROR(__xludf.DUMMYFUNCTION("""COMPUTED_VALUE"""),"সলেমান বিশ্বাস")</f>
        <v>সলেমান বিশ্বাস</v>
      </c>
      <c r="F121" s="5" t="str">
        <f>IFERROR(__xludf.DUMMYFUNCTION("""COMPUTED_VALUE"""),"মোছাঃ নেকজান নেছা")</f>
        <v>মোছাঃ নেকজান নেছা</v>
      </c>
      <c r="G121" s="5" t="str">
        <f>IFERROR(__xludf.DUMMYFUNCTION("""COMPUTED_VALUE"""),"১০/১০/১৯৬৪")</f>
        <v>১০/১০/১৯৬৪</v>
      </c>
      <c r="H121" s="5" t="str">
        <f>IFERROR(__xludf.DUMMYFUNCTION("""COMPUTED_VALUE"""),"গৃহিনী")</f>
        <v>গৃহিনী</v>
      </c>
      <c r="I121" s="5" t="str">
        <f>IFERROR(__xludf.DUMMYFUNCTION("""COMPUTED_VALUE"""),"বাঁশবাড়ীয়া")</f>
        <v>বাঁশবাড়ীয়া</v>
      </c>
      <c r="J121" s="5" t="str">
        <f>IFERROR(__xludf.DUMMYFUNCTION("""COMPUTED_VALUE""")," গাড়ীডোব")</f>
        <v> গাড়ীডোব</v>
      </c>
      <c r="K121" s="5" t="str">
        <f>IFERROR(__xludf.DUMMYFUNCTION("""COMPUTED_VALUE""")," গাংনী")</f>
        <v> গাংনী</v>
      </c>
      <c r="L121" s="5" t="str">
        <f>IFERROR(__xludf.DUMMYFUNCTION("""COMPUTED_VALUE""")," মেহেরপুর")</f>
        <v> মেহেরপুর</v>
      </c>
    </row>
    <row r="122" ht="15.75" customHeight="1">
      <c r="A122" s="6" t="s">
        <v>6990</v>
      </c>
      <c r="B122" s="5">
        <f>IFERROR(__xludf.DUMMYFUNCTION("SPLIT(A122,"","")"),1468.0)</f>
        <v>1468</v>
      </c>
      <c r="C122" s="5" t="str">
        <f>IFERROR(__xludf.DUMMYFUNCTION("""COMPUTED_VALUE"""),"মোছাঃ রহিমা খাতুন")</f>
        <v>মোছাঃ রহিমা খাতুন</v>
      </c>
      <c r="D122" s="5">
        <f>IFERROR(__xludf.DUMMYFUNCTION("""COMPUTED_VALUE"""),5.70038356454E11)</f>
        <v>570038356454</v>
      </c>
      <c r="E122" s="5" t="str">
        <f>IFERROR(__xludf.DUMMYFUNCTION("""COMPUTED_VALUE"""),"বাবর আলী")</f>
        <v>বাবর আলী</v>
      </c>
      <c r="F122" s="5" t="str">
        <f>IFERROR(__xludf.DUMMYFUNCTION("""COMPUTED_VALUE"""),"মোছাঃ সকিনা বিবি")</f>
        <v>মোছাঃ সকিনা বিবি</v>
      </c>
      <c r="G122" s="5" t="str">
        <f>IFERROR(__xludf.DUMMYFUNCTION("""COMPUTED_VALUE"""),"০৪/০৭/১৯৬৭")</f>
        <v>০৪/০৭/১৯৬৭</v>
      </c>
      <c r="H122" s="5" t="str">
        <f>IFERROR(__xludf.DUMMYFUNCTION("""COMPUTED_VALUE"""),"গৃহিনী")</f>
        <v>গৃহিনী</v>
      </c>
      <c r="I122" s="5" t="str">
        <f>IFERROR(__xludf.DUMMYFUNCTION("""COMPUTED_VALUE"""),"বাঁশবাড়ীয়া")</f>
        <v>বাঁশবাড়ীয়া</v>
      </c>
      <c r="J122" s="5" t="str">
        <f>IFERROR(__xludf.DUMMYFUNCTION("""COMPUTED_VALUE""")," গাড়ীডোব")</f>
        <v> গাড়ীডোব</v>
      </c>
      <c r="K122" s="5" t="str">
        <f>IFERROR(__xludf.DUMMYFUNCTION("""COMPUTED_VALUE""")," গাংনী")</f>
        <v> গাংনী</v>
      </c>
      <c r="L122" s="5" t="str">
        <f>IFERROR(__xludf.DUMMYFUNCTION("""COMPUTED_VALUE""")," মেহেরপুর")</f>
        <v> মেহেরপুর</v>
      </c>
    </row>
    <row r="123" ht="15.75" customHeight="1">
      <c r="A123" s="6" t="s">
        <v>6991</v>
      </c>
      <c r="B123" s="5">
        <f>IFERROR(__xludf.DUMMYFUNCTION("SPLIT(A123,"","")"),1469.0)</f>
        <v>1469</v>
      </c>
      <c r="C123" s="5" t="str">
        <f>IFERROR(__xludf.DUMMYFUNCTION("""COMPUTED_VALUE"""),"মোছাঃ হালিম")</f>
        <v>মোছাঃ হালিম</v>
      </c>
      <c r="D123" s="5">
        <f>IFERROR(__xludf.DUMMYFUNCTION("""COMPUTED_VALUE"""),5.70038356455E11)</f>
        <v>570038356455</v>
      </c>
      <c r="E123" s="5" t="str">
        <f>IFERROR(__xludf.DUMMYFUNCTION("""COMPUTED_VALUE"""),"মোঃ জহর মন্ডল")</f>
        <v>মোঃ জহর মন্ডল</v>
      </c>
      <c r="F123" s="5" t="str">
        <f>IFERROR(__xludf.DUMMYFUNCTION("""COMPUTED_VALUE"""),"মোছাঃ সালেহার")</f>
        <v>মোছাঃ সালেহার</v>
      </c>
      <c r="G123" s="5" t="str">
        <f>IFERROR(__xludf.DUMMYFUNCTION("""COMPUTED_VALUE"""),"১০/০৬/১৯৬৫")</f>
        <v>১০/০৬/১৯৬৫</v>
      </c>
      <c r="H123" s="5" t="str">
        <f>IFERROR(__xludf.DUMMYFUNCTION("""COMPUTED_VALUE"""),"গৃহিনী")</f>
        <v>গৃহিনী</v>
      </c>
      <c r="I123" s="5" t="str">
        <f>IFERROR(__xludf.DUMMYFUNCTION("""COMPUTED_VALUE"""),"গাড়ীডোব")</f>
        <v>গাড়ীডোব</v>
      </c>
      <c r="J123" s="5" t="str">
        <f>IFERROR(__xludf.DUMMYFUNCTION("""COMPUTED_VALUE""")," গাংনী")</f>
        <v> গাংনী</v>
      </c>
      <c r="K123" s="5" t="str">
        <f>IFERROR(__xludf.DUMMYFUNCTION("""COMPUTED_VALUE""")," মেহেরপুর")</f>
        <v> মেহেরপুর</v>
      </c>
    </row>
    <row r="124" ht="15.75" customHeight="1">
      <c r="A124" s="6" t="s">
        <v>6992</v>
      </c>
      <c r="B124" s="5">
        <f>IFERROR(__xludf.DUMMYFUNCTION("SPLIT(A124,"","")"),1470.0)</f>
        <v>1470</v>
      </c>
      <c r="C124" s="5" t="str">
        <f>IFERROR(__xludf.DUMMYFUNCTION("""COMPUTED_VALUE"""),"মোছাঃ তরিফন খাতুন")</f>
        <v>মোছাঃ তরিফন খাতুন</v>
      </c>
      <c r="D124" s="5">
        <f>IFERROR(__xludf.DUMMYFUNCTION("""COMPUTED_VALUE"""),5.70038356457E11)</f>
        <v>570038356457</v>
      </c>
      <c r="E124" s="5" t="str">
        <f>IFERROR(__xludf.DUMMYFUNCTION("""COMPUTED_VALUE"""),"রাসুল মন্ডল")</f>
        <v>রাসুল মন্ডল</v>
      </c>
      <c r="F124" s="5" t="str">
        <f>IFERROR(__xludf.DUMMYFUNCTION("""COMPUTED_VALUE"""),"মোছাঃ সায়েরা খাতুন")</f>
        <v>মোছাঃ সায়েরা খাতুন</v>
      </c>
      <c r="G124" s="5" t="str">
        <f>IFERROR(__xludf.DUMMYFUNCTION("""COMPUTED_VALUE"""),"১২/০৯/১৯৬৭")</f>
        <v>১২/০৯/১৯৬৭</v>
      </c>
      <c r="H124" s="5" t="str">
        <f>IFERROR(__xludf.DUMMYFUNCTION("""COMPUTED_VALUE"""),"গৃহিনী")</f>
        <v>গৃহিনী</v>
      </c>
      <c r="I124" s="5" t="str">
        <f>IFERROR(__xludf.DUMMYFUNCTION("""COMPUTED_VALUE"""),"গাড়ীডোব")</f>
        <v>গাড়ীডোব</v>
      </c>
      <c r="J124" s="5" t="str">
        <f>IFERROR(__xludf.DUMMYFUNCTION("""COMPUTED_VALUE""")," গাংনী")</f>
        <v> গাংনী</v>
      </c>
      <c r="K124" s="5" t="str">
        <f>IFERROR(__xludf.DUMMYFUNCTION("""COMPUTED_VALUE""")," মেহেরপুর")</f>
        <v> মেহেরপুর</v>
      </c>
    </row>
    <row r="125" ht="15.75" customHeight="1">
      <c r="A125" s="6" t="s">
        <v>6993</v>
      </c>
      <c r="B125" s="5">
        <f>IFERROR(__xludf.DUMMYFUNCTION("SPLIT(A125,"","")"),1471.0)</f>
        <v>1471</v>
      </c>
      <c r="C125" s="5" t="str">
        <f>IFERROR(__xludf.DUMMYFUNCTION("""COMPUTED_VALUE"""),"মোছাঃ ফরিদা বেগম")</f>
        <v>মোছাঃ ফরিদা বেগম</v>
      </c>
      <c r="D125" s="5">
        <f>IFERROR(__xludf.DUMMYFUNCTION("""COMPUTED_VALUE"""),5.7003835646E11)</f>
        <v>570038356460</v>
      </c>
      <c r="E125" s="5" t="str">
        <f>IFERROR(__xludf.DUMMYFUNCTION("""COMPUTED_VALUE"""),"মোঃ আলতাব হোসেন")</f>
        <v>মোঃ আলতাব হোসেন</v>
      </c>
      <c r="F125" s="5" t="str">
        <f>IFERROR(__xludf.DUMMYFUNCTION("""COMPUTED_VALUE"""),"মোছাঃ ফজিলা বেগম")</f>
        <v>মোছাঃ ফজিলা বেগম</v>
      </c>
      <c r="G125" s="5" t="str">
        <f>IFERROR(__xludf.DUMMYFUNCTION("""COMPUTED_VALUE"""),"১৬/০৯/১৯৭৪")</f>
        <v>১৬/০৯/১৯৭৪</v>
      </c>
      <c r="H125" s="5" t="str">
        <f>IFERROR(__xludf.DUMMYFUNCTION("""COMPUTED_VALUE"""),"গৃহিনী")</f>
        <v>গৃহিনী</v>
      </c>
      <c r="I125" s="5" t="str">
        <f>IFERROR(__xludf.DUMMYFUNCTION("""COMPUTED_VALUE"""),"গাড়ীডোব")</f>
        <v>গাড়ীডোব</v>
      </c>
      <c r="J125" s="5" t="str">
        <f>IFERROR(__xludf.DUMMYFUNCTION("""COMPUTED_VALUE""")," গাংনী")</f>
        <v> গাংনী</v>
      </c>
      <c r="K125" s="5" t="str">
        <f>IFERROR(__xludf.DUMMYFUNCTION("""COMPUTED_VALUE""")," মেহেরপুর")</f>
        <v> মেহেরপুর</v>
      </c>
    </row>
    <row r="126" ht="15.75" customHeight="1">
      <c r="A126" s="6" t="s">
        <v>6994</v>
      </c>
      <c r="B126" s="5">
        <f>IFERROR(__xludf.DUMMYFUNCTION("SPLIT(A126,"","")"),1472.0)</f>
        <v>1472</v>
      </c>
      <c r="C126" s="5" t="str">
        <f>IFERROR(__xludf.DUMMYFUNCTION("""COMPUTED_VALUE"""),"মোছাঃ নাসিমা খাতুন")</f>
        <v>মোছাঃ নাসিমা খাতুন</v>
      </c>
      <c r="D126" s="5">
        <f>IFERROR(__xludf.DUMMYFUNCTION("""COMPUTED_VALUE"""),5.70038356462E11)</f>
        <v>570038356462</v>
      </c>
      <c r="E126" s="5" t="str">
        <f>IFERROR(__xludf.DUMMYFUNCTION("""COMPUTED_VALUE"""),"নহিম শেখ")</f>
        <v>নহিম শেখ</v>
      </c>
      <c r="F126" s="5" t="str">
        <f>IFERROR(__xludf.DUMMYFUNCTION("""COMPUTED_VALUE"""),"মোছাঃ খাদিজা")</f>
        <v>মোছাঃ খাদিজা</v>
      </c>
      <c r="G126" s="5" t="str">
        <f>IFERROR(__xludf.DUMMYFUNCTION("""COMPUTED_VALUE"""),"১০/১০/১৯৬৮")</f>
        <v>১০/১০/১৯৬৮</v>
      </c>
      <c r="H126" s="5" t="str">
        <f>IFERROR(__xludf.DUMMYFUNCTION("""COMPUTED_VALUE"""),"গৃহিনী")</f>
        <v>গৃহিনী</v>
      </c>
      <c r="I126" s="5" t="str">
        <f>IFERROR(__xludf.DUMMYFUNCTION("""COMPUTED_VALUE"""),"গাড়ীডোব")</f>
        <v>গাড়ীডোব</v>
      </c>
      <c r="J126" s="5" t="str">
        <f>IFERROR(__xludf.DUMMYFUNCTION("""COMPUTED_VALUE""")," গাংনী")</f>
        <v> গাংনী</v>
      </c>
      <c r="K126" s="5" t="str">
        <f>IFERROR(__xludf.DUMMYFUNCTION("""COMPUTED_VALUE""")," মেহেরপুর")</f>
        <v> মেহেরপুর</v>
      </c>
    </row>
    <row r="127" ht="15.75" customHeight="1">
      <c r="A127" s="6" t="s">
        <v>6995</v>
      </c>
      <c r="B127" s="5">
        <f>IFERROR(__xludf.DUMMYFUNCTION("SPLIT(A127,"","")"),1473.0)</f>
        <v>1473</v>
      </c>
      <c r="C127" s="5" t="str">
        <f>IFERROR(__xludf.DUMMYFUNCTION("""COMPUTED_VALUE"""),"মোছাঃ সাজেদা খাতুন")</f>
        <v>মোছাঃ সাজেদা খাতুন</v>
      </c>
      <c r="D127" s="5">
        <f>IFERROR(__xludf.DUMMYFUNCTION("""COMPUTED_VALUE"""),5.70038356463E11)</f>
        <v>570038356463</v>
      </c>
      <c r="E127" s="5" t="str">
        <f>IFERROR(__xludf.DUMMYFUNCTION("""COMPUTED_VALUE"""),"মোঃ খেদের আলী")</f>
        <v>মোঃ খেদের আলী</v>
      </c>
      <c r="F127" s="5" t="str">
        <f>IFERROR(__xludf.DUMMYFUNCTION("""COMPUTED_VALUE"""),"মোছাঃ শহিদা খাতুন")</f>
        <v>মোছাঃ শহিদা খাতুন</v>
      </c>
      <c r="G127" s="5" t="str">
        <f>IFERROR(__xludf.DUMMYFUNCTION("""COMPUTED_VALUE"""),"১০/০৬/১৯৮৮")</f>
        <v>১০/০৬/১৯৮৮</v>
      </c>
      <c r="H127" s="5" t="str">
        <f>IFERROR(__xludf.DUMMYFUNCTION("""COMPUTED_VALUE"""),"গৃহিনী")</f>
        <v>গৃহিনী</v>
      </c>
      <c r="I127" s="5" t="str">
        <f>IFERROR(__xludf.DUMMYFUNCTION("""COMPUTED_VALUE"""),"গাড়ীডোব")</f>
        <v>গাড়ীডোব</v>
      </c>
      <c r="J127" s="5" t="str">
        <f>IFERROR(__xludf.DUMMYFUNCTION("""COMPUTED_VALUE""")," গাংনী")</f>
        <v> গাংনী</v>
      </c>
      <c r="K127" s="5" t="str">
        <f>IFERROR(__xludf.DUMMYFUNCTION("""COMPUTED_VALUE""")," মেহেরপুর")</f>
        <v> মেহেরপুর</v>
      </c>
    </row>
    <row r="128" ht="15.75" customHeight="1">
      <c r="A128" s="6" t="s">
        <v>6996</v>
      </c>
      <c r="B128" s="5">
        <f>IFERROR(__xludf.DUMMYFUNCTION("SPLIT(A128,"","")"),1474.0)</f>
        <v>1474</v>
      </c>
      <c r="C128" s="5" t="str">
        <f>IFERROR(__xludf.DUMMYFUNCTION("""COMPUTED_VALUE"""),"মোছাঃ শিখা খাতুন")</f>
        <v>মোছাঃ শিখা খাতুন</v>
      </c>
      <c r="D128" s="5">
        <f>IFERROR(__xludf.DUMMYFUNCTION("""COMPUTED_VALUE"""),5.70038356464E11)</f>
        <v>570038356464</v>
      </c>
      <c r="E128" s="5" t="str">
        <f>IFERROR(__xludf.DUMMYFUNCTION("""COMPUTED_VALUE"""),"মোঃ শওকত আলী")</f>
        <v>মোঃ শওকত আলী</v>
      </c>
      <c r="F128" s="5" t="str">
        <f>IFERROR(__xludf.DUMMYFUNCTION("""COMPUTED_VALUE"""),"মোছাঃ হাজেরা খাতুন")</f>
        <v>মোছাঃ হাজেরা খাতুন</v>
      </c>
      <c r="G128" s="5" t="str">
        <f>IFERROR(__xludf.DUMMYFUNCTION("""COMPUTED_VALUE"""),"১৫/১০/১৯৮৮")</f>
        <v>১৫/১০/১৯৮৮</v>
      </c>
      <c r="H128" s="5" t="str">
        <f>IFERROR(__xludf.DUMMYFUNCTION("""COMPUTED_VALUE"""),"গৃহিনী")</f>
        <v>গৃহিনী</v>
      </c>
      <c r="I128" s="5" t="str">
        <f>IFERROR(__xludf.DUMMYFUNCTION("""COMPUTED_VALUE"""),"গাড়ীডোব")</f>
        <v>গাড়ীডোব</v>
      </c>
      <c r="J128" s="5" t="str">
        <f>IFERROR(__xludf.DUMMYFUNCTION("""COMPUTED_VALUE""")," গাংনী")</f>
        <v> গাংনী</v>
      </c>
      <c r="K128" s="5" t="str">
        <f>IFERROR(__xludf.DUMMYFUNCTION("""COMPUTED_VALUE""")," মেহেরপুর")</f>
        <v> মেহেরপুর</v>
      </c>
    </row>
    <row r="129" ht="15.75" customHeight="1">
      <c r="A129" s="6" t="s">
        <v>6997</v>
      </c>
      <c r="B129" s="5">
        <f>IFERROR(__xludf.DUMMYFUNCTION("SPLIT(A129,"","")"),1475.0)</f>
        <v>1475</v>
      </c>
      <c r="C129" s="5" t="str">
        <f>IFERROR(__xludf.DUMMYFUNCTION("""COMPUTED_VALUE"""),"মোছাঃ সোনা ভানু")</f>
        <v>মোছাঃ সোনা ভানু</v>
      </c>
      <c r="D129" s="5">
        <f>IFERROR(__xludf.DUMMYFUNCTION("""COMPUTED_VALUE"""),5.7003835647E11)</f>
        <v>570038356470</v>
      </c>
      <c r="E129" s="5" t="str">
        <f>IFERROR(__xludf.DUMMYFUNCTION("""COMPUTED_VALUE"""),"মোঃ ইকরাম উদ্দীন শেখ")</f>
        <v>মোঃ ইকরাম উদ্দীন শেখ</v>
      </c>
      <c r="F129" s="5" t="str">
        <f>IFERROR(__xludf.DUMMYFUNCTION("""COMPUTED_VALUE"""),"মোছাঃ মজিরন নেছা")</f>
        <v>মোছাঃ মজিরন নেছা</v>
      </c>
      <c r="G129" s="5" t="str">
        <f>IFERROR(__xludf.DUMMYFUNCTION("""COMPUTED_VALUE"""),"১০/১২/১৯৭৭")</f>
        <v>১০/১২/১৯৭৭</v>
      </c>
      <c r="H129" s="5" t="str">
        <f>IFERROR(__xludf.DUMMYFUNCTION("""COMPUTED_VALUE"""),"গৃহিনী")</f>
        <v>গৃহিনী</v>
      </c>
      <c r="I129" s="5" t="str">
        <f>IFERROR(__xludf.DUMMYFUNCTION("""COMPUTED_VALUE"""),"গাড়ীডোব")</f>
        <v>গাড়ীডোব</v>
      </c>
      <c r="J129" s="5" t="str">
        <f>IFERROR(__xludf.DUMMYFUNCTION("""COMPUTED_VALUE""")," গাংনী")</f>
        <v> গাংনী</v>
      </c>
      <c r="K129" s="5" t="str">
        <f>IFERROR(__xludf.DUMMYFUNCTION("""COMPUTED_VALUE""")," মেহেরপুর")</f>
        <v> মেহেরপুর</v>
      </c>
    </row>
    <row r="130" ht="15.75" customHeight="1">
      <c r="A130" s="6" t="s">
        <v>6998</v>
      </c>
      <c r="B130" s="5">
        <f>IFERROR(__xludf.DUMMYFUNCTION("SPLIT(A130,"","")"),1476.0)</f>
        <v>1476</v>
      </c>
      <c r="C130" s="5" t="str">
        <f>IFERROR(__xludf.DUMMYFUNCTION("""COMPUTED_VALUE"""),"মোছাঃ রওশান আরা")</f>
        <v>মোছাঃ রওশান আরা</v>
      </c>
      <c r="D130" s="5">
        <f>IFERROR(__xludf.DUMMYFUNCTION("""COMPUTED_VALUE"""),5.70038356471E11)</f>
        <v>570038356471</v>
      </c>
      <c r="E130" s="5" t="str">
        <f>IFERROR(__xludf.DUMMYFUNCTION("""COMPUTED_VALUE"""),"আইন উদ্দীন শেখ")</f>
        <v>আইন উদ্দীন শেখ</v>
      </c>
      <c r="F130" s="5" t="str">
        <f>IFERROR(__xludf.DUMMYFUNCTION("""COMPUTED_VALUE"""),"মালজান শেখ")</f>
        <v>মালজান শেখ</v>
      </c>
      <c r="G130" s="5" t="str">
        <f>IFERROR(__xludf.DUMMYFUNCTION("""COMPUTED_VALUE"""),"১০/১০/১৯২৫")</f>
        <v>১০/১০/১৯২৫</v>
      </c>
      <c r="H130" s="5" t="str">
        <f>IFERROR(__xludf.DUMMYFUNCTION("""COMPUTED_VALUE"""),"গৃহিনী")</f>
        <v>গৃহিনী</v>
      </c>
      <c r="I130" s="5" t="str">
        <f>IFERROR(__xludf.DUMMYFUNCTION("""COMPUTED_VALUE"""),"গাড়ীডোব")</f>
        <v>গাড়ীডোব</v>
      </c>
      <c r="J130" s="5" t="str">
        <f>IFERROR(__xludf.DUMMYFUNCTION("""COMPUTED_VALUE""")," গাংনী")</f>
        <v> গাংনী</v>
      </c>
      <c r="K130" s="5" t="str">
        <f>IFERROR(__xludf.DUMMYFUNCTION("""COMPUTED_VALUE""")," মেহেরপুর")</f>
        <v> মেহেরপুর</v>
      </c>
    </row>
    <row r="131" ht="15.75" customHeight="1">
      <c r="A131" s="6" t="s">
        <v>6999</v>
      </c>
      <c r="B131" s="5">
        <f>IFERROR(__xludf.DUMMYFUNCTION("SPLIT(A131,"","")"),1477.0)</f>
        <v>1477</v>
      </c>
      <c r="C131" s="5" t="str">
        <f>IFERROR(__xludf.DUMMYFUNCTION("""COMPUTED_VALUE"""),"মোছাঃ গোলজান")</f>
        <v>মোছাঃ গোলজান</v>
      </c>
      <c r="D131" s="5">
        <f>IFERROR(__xludf.DUMMYFUNCTION("""COMPUTED_VALUE"""),5.7003835648E11)</f>
        <v>570038356480</v>
      </c>
      <c r="E131" s="5" t="str">
        <f>IFERROR(__xludf.DUMMYFUNCTION("""COMPUTED_VALUE"""),"মোঃ সুলতান হোসেন")</f>
        <v>মোঃ সুলতান হোসেন</v>
      </c>
      <c r="F131" s="5" t="str">
        <f>IFERROR(__xludf.DUMMYFUNCTION("""COMPUTED_VALUE"""),"মোছাঃ কুলসুম")</f>
        <v>মোছাঃ কুলসুম</v>
      </c>
      <c r="G131" s="5" t="str">
        <f>IFERROR(__xludf.DUMMYFUNCTION("""COMPUTED_VALUE"""),"২১/০৬/১৯৫৯")</f>
        <v>২১/০৬/১৯৫৯</v>
      </c>
      <c r="H131" s="5" t="str">
        <f>IFERROR(__xludf.DUMMYFUNCTION("""COMPUTED_VALUE"""),"গৃহিনী")</f>
        <v>গৃহিনী</v>
      </c>
      <c r="I131" s="5" t="str">
        <f>IFERROR(__xludf.DUMMYFUNCTION("""COMPUTED_VALUE"""),"গাড়ীডোব")</f>
        <v>গাড়ীডোব</v>
      </c>
      <c r="J131" s="5" t="str">
        <f>IFERROR(__xludf.DUMMYFUNCTION("""COMPUTED_VALUE""")," গাংনী")</f>
        <v> গাংনী</v>
      </c>
      <c r="K131" s="5" t="str">
        <f>IFERROR(__xludf.DUMMYFUNCTION("""COMPUTED_VALUE""")," মেহেরপুর")</f>
        <v> মেহেরপুর</v>
      </c>
    </row>
    <row r="132" ht="15.75" customHeight="1">
      <c r="A132" s="6" t="s">
        <v>7000</v>
      </c>
      <c r="B132" s="5">
        <f>IFERROR(__xludf.DUMMYFUNCTION("SPLIT(A132,"","")"),1478.0)</f>
        <v>1478</v>
      </c>
      <c r="C132" s="5" t="str">
        <f>IFERROR(__xludf.DUMMYFUNCTION("""COMPUTED_VALUE"""),"মোছাঃ শিউলি খাতুন")</f>
        <v>মোছাঃ শিউলি খাতুন</v>
      </c>
      <c r="D132" s="5">
        <f>IFERROR(__xludf.DUMMYFUNCTION("""COMPUTED_VALUE"""),5.70038356482E11)</f>
        <v>570038356482</v>
      </c>
      <c r="E132" s="5" t="str">
        <f>IFERROR(__xludf.DUMMYFUNCTION("""COMPUTED_VALUE"""),"মোঃ আব্দুল সাত্তার")</f>
        <v>মোঃ আব্দুল সাত্তার</v>
      </c>
      <c r="F132" s="5" t="str">
        <f>IFERROR(__xludf.DUMMYFUNCTION("""COMPUTED_VALUE"""),"মোছাঃ সায়রা খাতুন")</f>
        <v>মোছাঃ সায়রা খাতুন</v>
      </c>
      <c r="G132" s="5" t="str">
        <f>IFERROR(__xludf.DUMMYFUNCTION("""COMPUTED_VALUE"""),"১৫/০৮/১৯৭৫")</f>
        <v>১৫/০৮/১৯৭৫</v>
      </c>
      <c r="H132" s="5" t="str">
        <f>IFERROR(__xludf.DUMMYFUNCTION("""COMPUTED_VALUE"""),"গৃহিনী")</f>
        <v>গৃহিনী</v>
      </c>
      <c r="I132" s="5" t="str">
        <f>IFERROR(__xludf.DUMMYFUNCTION("""COMPUTED_VALUE"""),"গাড়ীডোব")</f>
        <v>গাড়ীডোব</v>
      </c>
      <c r="J132" s="5" t="str">
        <f>IFERROR(__xludf.DUMMYFUNCTION("""COMPUTED_VALUE""")," গাংনী")</f>
        <v> গাংনী</v>
      </c>
      <c r="K132" s="5" t="str">
        <f>IFERROR(__xludf.DUMMYFUNCTION("""COMPUTED_VALUE""")," মেহেরপুর")</f>
        <v> মেহেরপুর</v>
      </c>
    </row>
    <row r="133" ht="15.75" customHeight="1">
      <c r="A133" s="6" t="s">
        <v>7001</v>
      </c>
      <c r="B133" s="5">
        <f>IFERROR(__xludf.DUMMYFUNCTION("SPLIT(A133,"","")"),1479.0)</f>
        <v>1479</v>
      </c>
      <c r="C133" s="5" t="str">
        <f>IFERROR(__xludf.DUMMYFUNCTION("""COMPUTED_VALUE"""),"মোছাঃ শুকজান নেছা")</f>
        <v>মোছাঃ শুকজান নেছা</v>
      </c>
      <c r="D133" s="5">
        <f>IFERROR(__xludf.DUMMYFUNCTION("""COMPUTED_VALUE"""),5.70038356483E11)</f>
        <v>570038356483</v>
      </c>
      <c r="E133" s="5" t="str">
        <f>IFERROR(__xludf.DUMMYFUNCTION("""COMPUTED_VALUE"""),"মোঃ শুকুর আলী")</f>
        <v>মোঃ শুকুর আলী</v>
      </c>
      <c r="F133" s="5" t="str">
        <f>IFERROR(__xludf.DUMMYFUNCTION("""COMPUTED_VALUE"""),"মোছাঃ ফজিলা খাতুন")</f>
        <v>মোছাঃ ফজিলা খাতুন</v>
      </c>
      <c r="G133" s="5" t="str">
        <f>IFERROR(__xludf.DUMMYFUNCTION("""COMPUTED_VALUE"""),"১২/১০/১৯৮৫")</f>
        <v>১২/১০/১৯৮৫</v>
      </c>
      <c r="H133" s="5" t="str">
        <f>IFERROR(__xludf.DUMMYFUNCTION("""COMPUTED_VALUE"""),"গৃহিনী")</f>
        <v>গৃহিনী</v>
      </c>
      <c r="I133" s="5" t="str">
        <f>IFERROR(__xludf.DUMMYFUNCTION("""COMPUTED_VALUE"""),"গাড়ীডোব")</f>
        <v>গাড়ীডোব</v>
      </c>
      <c r="J133" s="5" t="str">
        <f>IFERROR(__xludf.DUMMYFUNCTION("""COMPUTED_VALUE""")," গাংনী")</f>
        <v> গাংনী</v>
      </c>
      <c r="K133" s="5" t="str">
        <f>IFERROR(__xludf.DUMMYFUNCTION("""COMPUTED_VALUE""")," মেহেরপুর")</f>
        <v> মেহেরপুর</v>
      </c>
    </row>
    <row r="134" ht="15.75" customHeight="1">
      <c r="A134" s="6" t="s">
        <v>7002</v>
      </c>
      <c r="B134" s="5">
        <f>IFERROR(__xludf.DUMMYFUNCTION("SPLIT(A134,"","")"),1480.0)</f>
        <v>1480</v>
      </c>
      <c r="C134" s="5" t="str">
        <f>IFERROR(__xludf.DUMMYFUNCTION("""COMPUTED_VALUE"""),"মোছাঃ সামেনা খাতুন")</f>
        <v>মোছাঃ সামেনা খাতুন</v>
      </c>
      <c r="D134" s="5">
        <f>IFERROR(__xludf.DUMMYFUNCTION("""COMPUTED_VALUE"""),5.70038356484E11)</f>
        <v>570038356484</v>
      </c>
      <c r="E134" s="5" t="str">
        <f>IFERROR(__xludf.DUMMYFUNCTION("""COMPUTED_VALUE"""),"আব্দুল কাদের")</f>
        <v>আব্দুল কাদের</v>
      </c>
      <c r="F134" s="5" t="str">
        <f>IFERROR(__xludf.DUMMYFUNCTION("""COMPUTED_VALUE"""),"মোছাঃ সাহেরা খাতুন")</f>
        <v>মোছাঃ সাহেরা খাতুন</v>
      </c>
      <c r="G134" s="5" t="str">
        <f>IFERROR(__xludf.DUMMYFUNCTION("""COMPUTED_VALUE"""),"১০/১১/১৯৬৫")</f>
        <v>১০/১১/১৯৬৫</v>
      </c>
      <c r="H134" s="5" t="str">
        <f>IFERROR(__xludf.DUMMYFUNCTION("""COMPUTED_VALUE"""),"গৃহিনী")</f>
        <v>গৃহিনী</v>
      </c>
      <c r="I134" s="5" t="str">
        <f>IFERROR(__xludf.DUMMYFUNCTION("""COMPUTED_VALUE"""),"গাড়ীডোব")</f>
        <v>গাড়ীডোব</v>
      </c>
      <c r="J134" s="5" t="str">
        <f>IFERROR(__xludf.DUMMYFUNCTION("""COMPUTED_VALUE""")," গাংনী")</f>
        <v> গাংনী</v>
      </c>
      <c r="K134" s="5" t="str">
        <f>IFERROR(__xludf.DUMMYFUNCTION("""COMPUTED_VALUE""")," মেহেরপুর")</f>
        <v> মেহেরপুর</v>
      </c>
    </row>
    <row r="135" ht="15.75" customHeight="1">
      <c r="A135" s="6" t="s">
        <v>7003</v>
      </c>
      <c r="B135" s="5">
        <f>IFERROR(__xludf.DUMMYFUNCTION("SPLIT(A135,"","")"),1481.0)</f>
        <v>1481</v>
      </c>
      <c r="C135" s="5" t="str">
        <f>IFERROR(__xludf.DUMMYFUNCTION("""COMPUTED_VALUE"""),"মোছাঃ রিজিয়া খাতুন")</f>
        <v>মোছাঃ রিজিয়া খাতুন</v>
      </c>
      <c r="D135" s="5">
        <f>IFERROR(__xludf.DUMMYFUNCTION("""COMPUTED_VALUE"""),5.70038356486E11)</f>
        <v>570038356486</v>
      </c>
      <c r="E135" s="5" t="str">
        <f>IFERROR(__xludf.DUMMYFUNCTION("""COMPUTED_VALUE"""),"আব্দুল মজিদ")</f>
        <v>আব্দুল মজিদ</v>
      </c>
      <c r="F135" s="5" t="str">
        <f>IFERROR(__xludf.DUMMYFUNCTION("""COMPUTED_VALUE"""),"মোছাঃ সালেহার")</f>
        <v>মোছাঃ সালেহার</v>
      </c>
      <c r="G135" s="5" t="str">
        <f>IFERROR(__xludf.DUMMYFUNCTION("""COMPUTED_VALUE"""),"২৫/১০/১৯৭৫")</f>
        <v>২৫/১০/১৯৭৫</v>
      </c>
      <c r="H135" s="5" t="str">
        <f>IFERROR(__xludf.DUMMYFUNCTION("""COMPUTED_VALUE"""),"গৃহিনী")</f>
        <v>গৃহিনী</v>
      </c>
      <c r="I135" s="5" t="str">
        <f>IFERROR(__xludf.DUMMYFUNCTION("""COMPUTED_VALUE"""),"গাড়ীডোব")</f>
        <v>গাড়ীডোব</v>
      </c>
      <c r="J135" s="5" t="str">
        <f>IFERROR(__xludf.DUMMYFUNCTION("""COMPUTED_VALUE""")," গাংনী")</f>
        <v> গাংনী</v>
      </c>
      <c r="K135" s="5" t="str">
        <f>IFERROR(__xludf.DUMMYFUNCTION("""COMPUTED_VALUE""")," মেহেরপুর")</f>
        <v> মেহেরপুর</v>
      </c>
    </row>
    <row r="136" ht="15.75" customHeight="1">
      <c r="A136" s="6" t="s">
        <v>7004</v>
      </c>
      <c r="B136" s="5">
        <f>IFERROR(__xludf.DUMMYFUNCTION("SPLIT(A136,"","")"),1482.0)</f>
        <v>1482</v>
      </c>
      <c r="C136" s="5" t="str">
        <f>IFERROR(__xludf.DUMMYFUNCTION("""COMPUTED_VALUE"""),"মোছাঃ রত্না খাতুন")</f>
        <v>মোছাঃ রত্না খাতুন</v>
      </c>
      <c r="D136" s="5">
        <f>IFERROR(__xludf.DUMMYFUNCTION("""COMPUTED_VALUE"""),5.70038356489E11)</f>
        <v>570038356489</v>
      </c>
      <c r="E136" s="5" t="str">
        <f>IFERROR(__xludf.DUMMYFUNCTION("""COMPUTED_VALUE"""),"আমির আলী")</f>
        <v>আমির আলী</v>
      </c>
      <c r="F136" s="5" t="str">
        <f>IFERROR(__xludf.DUMMYFUNCTION("""COMPUTED_VALUE"""),"মোছাঃ জেলেহার")</f>
        <v>মোছাঃ জেলেহার</v>
      </c>
      <c r="G136" s="5" t="str">
        <f>IFERROR(__xludf.DUMMYFUNCTION("""COMPUTED_VALUE"""),"১২/১১/১৯৮৭")</f>
        <v>১২/১১/১৯৮৭</v>
      </c>
      <c r="H136" s="5" t="str">
        <f>IFERROR(__xludf.DUMMYFUNCTION("""COMPUTED_VALUE"""),"গৃহিনী")</f>
        <v>গৃহিনী</v>
      </c>
      <c r="I136" s="5" t="str">
        <f>IFERROR(__xludf.DUMMYFUNCTION("""COMPUTED_VALUE"""),"গাড়ীডোব")</f>
        <v>গাড়ীডোব</v>
      </c>
      <c r="J136" s="5" t="str">
        <f>IFERROR(__xludf.DUMMYFUNCTION("""COMPUTED_VALUE""")," গাংনী")</f>
        <v> গাংনী</v>
      </c>
      <c r="K136" s="5" t="str">
        <f>IFERROR(__xludf.DUMMYFUNCTION("""COMPUTED_VALUE""")," মেহেরপুর")</f>
        <v> মেহেরপুর</v>
      </c>
    </row>
    <row r="137" ht="15.75" customHeight="1">
      <c r="A137" s="6" t="s">
        <v>7005</v>
      </c>
      <c r="B137" s="5">
        <f>IFERROR(__xludf.DUMMYFUNCTION("SPLIT(A137,"","")"),1483.0)</f>
        <v>1483</v>
      </c>
      <c r="C137" s="5" t="str">
        <f>IFERROR(__xludf.DUMMYFUNCTION("""COMPUTED_VALUE"""),"মোছাঃ ফজিলা খাতুন")</f>
        <v>মোছাঃ ফজিলা খাতুন</v>
      </c>
      <c r="D137" s="5">
        <f>IFERROR(__xludf.DUMMYFUNCTION("""COMPUTED_VALUE"""),5.7003835649E11)</f>
        <v>570038356490</v>
      </c>
      <c r="E137" s="5" t="str">
        <f>IFERROR(__xludf.DUMMYFUNCTION("""COMPUTED_VALUE"""),"মোঃ মোহাব আলী")</f>
        <v>মোঃ মোহাব আলী</v>
      </c>
      <c r="F137" s="5" t="str">
        <f>IFERROR(__xludf.DUMMYFUNCTION("""COMPUTED_VALUE"""),"মোছাঃ খোদেজা")</f>
        <v>মোছাঃ খোদেজা</v>
      </c>
      <c r="G137" s="5" t="str">
        <f>IFERROR(__xludf.DUMMYFUNCTION("""COMPUTED_VALUE"""),"১০/১২/১৯৬০")</f>
        <v>১০/১২/১৯৬০</v>
      </c>
      <c r="H137" s="5" t="str">
        <f>IFERROR(__xludf.DUMMYFUNCTION("""COMPUTED_VALUE"""),"গৃহিনী")</f>
        <v>গৃহিনী</v>
      </c>
      <c r="I137" s="5" t="str">
        <f>IFERROR(__xludf.DUMMYFUNCTION("""COMPUTED_VALUE"""),"গাড়ীডোব")</f>
        <v>গাড়ীডোব</v>
      </c>
      <c r="J137" s="5" t="str">
        <f>IFERROR(__xludf.DUMMYFUNCTION("""COMPUTED_VALUE""")," গাংনী")</f>
        <v> গাংনী</v>
      </c>
      <c r="K137" s="5" t="str">
        <f>IFERROR(__xludf.DUMMYFUNCTION("""COMPUTED_VALUE""")," মেহেরপুর")</f>
        <v> মেহেরপুর</v>
      </c>
    </row>
    <row r="138" ht="15.75" customHeight="1">
      <c r="A138" s="6" t="s">
        <v>7006</v>
      </c>
      <c r="B138" s="5">
        <f>IFERROR(__xludf.DUMMYFUNCTION("SPLIT(A138,"","")"),1484.0)</f>
        <v>1484</v>
      </c>
      <c r="C138" s="5" t="str">
        <f>IFERROR(__xludf.DUMMYFUNCTION("""COMPUTED_VALUE"""),"মোছাঃ সাহেলা খাতুন")</f>
        <v>মোছাঃ সাহেলা খাতুন</v>
      </c>
      <c r="D138" s="5">
        <f>IFERROR(__xludf.DUMMYFUNCTION("""COMPUTED_VALUE"""),5.70038356493E11)</f>
        <v>570038356493</v>
      </c>
      <c r="E138" s="5" t="str">
        <f>IFERROR(__xludf.DUMMYFUNCTION("""COMPUTED_VALUE"""),"মোঃ হেদায়েতউল্লা")</f>
        <v>মোঃ হেদায়েতউল্লা</v>
      </c>
      <c r="F138" s="5" t="str">
        <f>IFERROR(__xludf.DUMMYFUNCTION("""COMPUTED_VALUE"""),"মোছাঃ খোদেজান")</f>
        <v>মোছাঃ খোদেজান</v>
      </c>
      <c r="G138" s="5" t="str">
        <f>IFERROR(__xludf.DUMMYFUNCTION("""COMPUTED_VALUE"""),"১২/১০/১৯৭৭")</f>
        <v>১২/১০/১৯৭৭</v>
      </c>
      <c r="H138" s="5" t="str">
        <f>IFERROR(__xludf.DUMMYFUNCTION("""COMPUTED_VALUE"""),"গৃহিনী")</f>
        <v>গৃহিনী</v>
      </c>
      <c r="I138" s="5" t="str">
        <f>IFERROR(__xludf.DUMMYFUNCTION("""COMPUTED_VALUE"""),"গাড়ীডোব")</f>
        <v>গাড়ীডোব</v>
      </c>
      <c r="J138" s="5" t="str">
        <f>IFERROR(__xludf.DUMMYFUNCTION("""COMPUTED_VALUE""")," গাংনী")</f>
        <v> গাংনী</v>
      </c>
      <c r="K138" s="5" t="str">
        <f>IFERROR(__xludf.DUMMYFUNCTION("""COMPUTED_VALUE""")," মেহেরপুর")</f>
        <v> মেহেরপুর</v>
      </c>
    </row>
    <row r="139" ht="15.75" customHeight="1">
      <c r="A139" s="6" t="s">
        <v>7007</v>
      </c>
      <c r="B139" s="5">
        <f>IFERROR(__xludf.DUMMYFUNCTION("SPLIT(A139,"","")"),1485.0)</f>
        <v>1485</v>
      </c>
      <c r="C139" s="5" t="str">
        <f>IFERROR(__xludf.DUMMYFUNCTION("""COMPUTED_VALUE"""),"মোছাঃ নাজমা খাতুন")</f>
        <v>মোছাঃ নাজমা খাতুন</v>
      </c>
      <c r="D139" s="5">
        <f>IFERROR(__xludf.DUMMYFUNCTION("""COMPUTED_VALUE"""),5.70038356495E11)</f>
        <v>570038356495</v>
      </c>
      <c r="E139" s="5" t="str">
        <f>IFERROR(__xludf.DUMMYFUNCTION("""COMPUTED_VALUE"""),"মোঃ শহিদুল ইসলাম")</f>
        <v>মোঃ শহিদুল ইসলাম</v>
      </c>
      <c r="F139" s="5" t="str">
        <f>IFERROR(__xludf.DUMMYFUNCTION("""COMPUTED_VALUE"""),"মোছাঃ তাসলিমা")</f>
        <v>মোছাঃ তাসলিমা</v>
      </c>
      <c r="G139" s="5" t="str">
        <f>IFERROR(__xludf.DUMMYFUNCTION("""COMPUTED_VALUE"""),"১৫/০৮/১৯৮৭")</f>
        <v>১৫/০৮/১৯৮৭</v>
      </c>
      <c r="H139" s="5" t="str">
        <f>IFERROR(__xludf.DUMMYFUNCTION("""COMPUTED_VALUE"""),"গৃহিনী")</f>
        <v>গৃহিনী</v>
      </c>
      <c r="I139" s="5" t="str">
        <f>IFERROR(__xludf.DUMMYFUNCTION("""COMPUTED_VALUE"""),"গাড়ীডোব")</f>
        <v>গাড়ীডোব</v>
      </c>
      <c r="J139" s="5" t="str">
        <f>IFERROR(__xludf.DUMMYFUNCTION("""COMPUTED_VALUE""")," গাংনী")</f>
        <v> গাংনী</v>
      </c>
      <c r="K139" s="5" t="str">
        <f>IFERROR(__xludf.DUMMYFUNCTION("""COMPUTED_VALUE""")," মেহেরপুর")</f>
        <v> মেহেরপুর</v>
      </c>
    </row>
    <row r="140" ht="15.75" customHeight="1">
      <c r="A140" s="6" t="s">
        <v>7008</v>
      </c>
      <c r="B140" s="5">
        <f>IFERROR(__xludf.DUMMYFUNCTION("SPLIT(A140,"","")"),1486.0)</f>
        <v>1486</v>
      </c>
      <c r="C140" s="5" t="str">
        <f>IFERROR(__xludf.DUMMYFUNCTION("""COMPUTED_VALUE"""),"মোছাঃ চিন্তা খাতুন")</f>
        <v>মোছাঃ চিন্তা খাতুন</v>
      </c>
      <c r="D140" s="5">
        <f>IFERROR(__xludf.DUMMYFUNCTION("""COMPUTED_VALUE"""),5.70038356496E11)</f>
        <v>570038356496</v>
      </c>
      <c r="E140" s="5" t="str">
        <f>IFERROR(__xludf.DUMMYFUNCTION("""COMPUTED_VALUE"""),"লিয়াকত হোসেন")</f>
        <v>লিয়াকত হোসেন</v>
      </c>
      <c r="F140" s="5" t="str">
        <f>IFERROR(__xludf.DUMMYFUNCTION("""COMPUTED_VALUE"""),"মোছাঃ মনোয়ারা বেগম")</f>
        <v>মোছাঃ মনোয়ারা বেগম</v>
      </c>
      <c r="G140" s="5" t="str">
        <f>IFERROR(__xludf.DUMMYFUNCTION("""COMPUTED_VALUE"""),"২০/১১/১৯৭৫")</f>
        <v>২০/১১/১৯৭৫</v>
      </c>
      <c r="H140" s="5" t="str">
        <f>IFERROR(__xludf.DUMMYFUNCTION("""COMPUTED_VALUE"""),"গৃহিনী")</f>
        <v>গৃহিনী</v>
      </c>
      <c r="I140" s="5" t="str">
        <f>IFERROR(__xludf.DUMMYFUNCTION("""COMPUTED_VALUE"""),"গাড়ীডোব")</f>
        <v>গাড়ীডোব</v>
      </c>
      <c r="J140" s="5" t="str">
        <f>IFERROR(__xludf.DUMMYFUNCTION("""COMPUTED_VALUE""")," গাংনী")</f>
        <v> গাংনী</v>
      </c>
      <c r="K140" s="5" t="str">
        <f>IFERROR(__xludf.DUMMYFUNCTION("""COMPUTED_VALUE""")," মেহেরপুর")</f>
        <v> মেহেরপুর</v>
      </c>
    </row>
    <row r="141" ht="15.75" customHeight="1">
      <c r="A141" s="6" t="s">
        <v>7009</v>
      </c>
      <c r="B141" s="5">
        <f>IFERROR(__xludf.DUMMYFUNCTION("SPLIT(A141,"","")"),1487.0)</f>
        <v>1487</v>
      </c>
      <c r="C141" s="5" t="str">
        <f>IFERROR(__xludf.DUMMYFUNCTION("""COMPUTED_VALUE"""),"মোছাঃ রন্না খাতুন")</f>
        <v>মোছাঃ রন্না খাতুন</v>
      </c>
      <c r="D141" s="5">
        <f>IFERROR(__xludf.DUMMYFUNCTION("""COMPUTED_VALUE"""),5.70038356497E11)</f>
        <v>570038356497</v>
      </c>
      <c r="E141" s="5" t="str">
        <f>IFERROR(__xludf.DUMMYFUNCTION("""COMPUTED_VALUE"""),"কাজিমদ্দিন")</f>
        <v>কাজিমদ্দিন</v>
      </c>
      <c r="F141" s="5" t="str">
        <f>IFERROR(__xludf.DUMMYFUNCTION("""COMPUTED_VALUE"""),"মোছাঃ জাহারন")</f>
        <v>মোছাঃ জাহারন</v>
      </c>
      <c r="G141" s="5" t="str">
        <f>IFERROR(__xludf.DUMMYFUNCTION("""COMPUTED_VALUE"""),"১২/০৬/১৯৭৪")</f>
        <v>১২/০৬/১৯৭৪</v>
      </c>
      <c r="H141" s="5" t="str">
        <f>IFERROR(__xludf.DUMMYFUNCTION("""COMPUTED_VALUE"""),"গৃহিনী")</f>
        <v>গৃহিনী</v>
      </c>
      <c r="I141" s="5" t="str">
        <f>IFERROR(__xludf.DUMMYFUNCTION("""COMPUTED_VALUE"""),"গাড়ীডোব")</f>
        <v>গাড়ীডোব</v>
      </c>
      <c r="J141" s="5" t="str">
        <f>IFERROR(__xludf.DUMMYFUNCTION("""COMPUTED_VALUE""")," গাংনী")</f>
        <v> গাংনী</v>
      </c>
      <c r="K141" s="5" t="str">
        <f>IFERROR(__xludf.DUMMYFUNCTION("""COMPUTED_VALUE""")," মেহেরপুর")</f>
        <v> মেহেরপুর</v>
      </c>
    </row>
    <row r="142" ht="15.75" customHeight="1">
      <c r="A142" s="6" t="s">
        <v>7010</v>
      </c>
      <c r="B142" s="5">
        <f>IFERROR(__xludf.DUMMYFUNCTION("SPLIT(A142,"","")"),1488.0)</f>
        <v>1488</v>
      </c>
      <c r="C142" s="5" t="str">
        <f>IFERROR(__xludf.DUMMYFUNCTION("""COMPUTED_VALUE"""),"মোছাঃ সুফিয়া খাতুন")</f>
        <v>মোছাঃ সুফিয়া খাতুন</v>
      </c>
      <c r="D142" s="5">
        <f>IFERROR(__xludf.DUMMYFUNCTION("""COMPUTED_VALUE"""),5.700383565E11)</f>
        <v>570038356500</v>
      </c>
      <c r="E142" s="5" t="str">
        <f>IFERROR(__xludf.DUMMYFUNCTION("""COMPUTED_VALUE"""),"মোঃ নকিমিদ্দিন")</f>
        <v>মোঃ নকিমিদ্দিন</v>
      </c>
      <c r="F142" s="5" t="str">
        <f>IFERROR(__xludf.DUMMYFUNCTION("""COMPUTED_VALUE"""),"মোছাঃ ফাতেমা খাতুন")</f>
        <v>মোছাঃ ফাতেমা খাতুন</v>
      </c>
      <c r="G142" s="5" t="str">
        <f>IFERROR(__xludf.DUMMYFUNCTION("""COMPUTED_VALUE"""),"১২/১২/১৯৬৭")</f>
        <v>১২/১২/১৯৬৭</v>
      </c>
      <c r="H142" s="5" t="str">
        <f>IFERROR(__xludf.DUMMYFUNCTION("""COMPUTED_VALUE"""),"গৃহিনী")</f>
        <v>গৃহিনী</v>
      </c>
      <c r="I142" s="5" t="str">
        <f>IFERROR(__xludf.DUMMYFUNCTION("""COMPUTED_VALUE"""),"গাড়ীডোব")</f>
        <v>গাড়ীডোব</v>
      </c>
      <c r="J142" s="5" t="str">
        <f>IFERROR(__xludf.DUMMYFUNCTION("""COMPUTED_VALUE""")," গাংনী")</f>
        <v> গাংনী</v>
      </c>
      <c r="K142" s="5" t="str">
        <f>IFERROR(__xludf.DUMMYFUNCTION("""COMPUTED_VALUE""")," মেহেরপুর")</f>
        <v> মেহেরপুর</v>
      </c>
    </row>
    <row r="143" ht="15.75" customHeight="1">
      <c r="A143" s="6" t="s">
        <v>7011</v>
      </c>
      <c r="B143" s="5">
        <f>IFERROR(__xludf.DUMMYFUNCTION("SPLIT(A143,"","")"),1489.0)</f>
        <v>1489</v>
      </c>
      <c r="C143" s="5" t="str">
        <f>IFERROR(__xludf.DUMMYFUNCTION("""COMPUTED_VALUE"""),"মোছাঃ বেলিনা খাতুন")</f>
        <v>মোছাঃ বেলিনা খাতুন</v>
      </c>
      <c r="D143" s="5">
        <f>IFERROR(__xludf.DUMMYFUNCTION("""COMPUTED_VALUE"""),5.70038356501E11)</f>
        <v>570038356501</v>
      </c>
      <c r="E143" s="5" t="str">
        <f>IFERROR(__xludf.DUMMYFUNCTION("""COMPUTED_VALUE"""),"মোঃ কলিম উদ্দীন")</f>
        <v>মোঃ কলিম উদ্দীন</v>
      </c>
      <c r="F143" s="5" t="str">
        <f>IFERROR(__xludf.DUMMYFUNCTION("""COMPUTED_VALUE"""),"মোছাঃ সাহারবানু")</f>
        <v>মোছাঃ সাহারবানু</v>
      </c>
      <c r="G143" s="5" t="str">
        <f>IFERROR(__xludf.DUMMYFUNCTION("""COMPUTED_VALUE"""),"১২/০৮/১৯৮৭")</f>
        <v>১২/০৮/১৯৮৭</v>
      </c>
      <c r="H143" s="5" t="str">
        <f>IFERROR(__xludf.DUMMYFUNCTION("""COMPUTED_VALUE"""),"গৃহিনী")</f>
        <v>গৃহিনী</v>
      </c>
      <c r="I143" s="5" t="str">
        <f>IFERROR(__xludf.DUMMYFUNCTION("""COMPUTED_VALUE"""),"গাড়ীডোব")</f>
        <v>গাড়ীডোব</v>
      </c>
      <c r="J143" s="5" t="str">
        <f>IFERROR(__xludf.DUMMYFUNCTION("""COMPUTED_VALUE""")," গাংনী")</f>
        <v> গাংনী</v>
      </c>
      <c r="K143" s="5" t="str">
        <f>IFERROR(__xludf.DUMMYFUNCTION("""COMPUTED_VALUE""")," মেহেরপুর")</f>
        <v> মেহেরপুর</v>
      </c>
    </row>
    <row r="144" ht="15.75" customHeight="1">
      <c r="A144" s="6" t="s">
        <v>7012</v>
      </c>
      <c r="B144" s="5">
        <f>IFERROR(__xludf.DUMMYFUNCTION("SPLIT(A144,"","")"),1490.0)</f>
        <v>1490</v>
      </c>
      <c r="C144" s="5" t="str">
        <f>IFERROR(__xludf.DUMMYFUNCTION("""COMPUTED_VALUE"""),"মোছাঃ নুরনাহার")</f>
        <v>মোছাঃ নুরনাহার</v>
      </c>
      <c r="D144" s="5">
        <f>IFERROR(__xludf.DUMMYFUNCTION("""COMPUTED_VALUE"""),5.70038356506E11)</f>
        <v>570038356506</v>
      </c>
      <c r="E144" s="5" t="str">
        <f>IFERROR(__xludf.DUMMYFUNCTION("""COMPUTED_VALUE"""),"মোঃ ওয়াজেদ শেখ")</f>
        <v>মোঃ ওয়াজেদ শেখ</v>
      </c>
      <c r="F144" s="5" t="str">
        <f>IFERROR(__xludf.DUMMYFUNCTION("""COMPUTED_VALUE"""),"মোছাঃ আছিয়া খাতুন")</f>
        <v>মোছাঃ আছিয়া খাতুন</v>
      </c>
      <c r="G144" s="5" t="str">
        <f>IFERROR(__xludf.DUMMYFUNCTION("""COMPUTED_VALUE"""),"১২/১১/১৯৬০")</f>
        <v>১২/১১/১৯৬০</v>
      </c>
      <c r="H144" s="5" t="str">
        <f>IFERROR(__xludf.DUMMYFUNCTION("""COMPUTED_VALUE"""),"গৃহিনী")</f>
        <v>গৃহিনী</v>
      </c>
      <c r="I144" s="5" t="str">
        <f>IFERROR(__xludf.DUMMYFUNCTION("""COMPUTED_VALUE"""),"গাড়ীডোব")</f>
        <v>গাড়ীডোব</v>
      </c>
      <c r="J144" s="5" t="str">
        <f>IFERROR(__xludf.DUMMYFUNCTION("""COMPUTED_VALUE""")," গাংনী")</f>
        <v> গাংনী</v>
      </c>
      <c r="K144" s="5" t="str">
        <f>IFERROR(__xludf.DUMMYFUNCTION("""COMPUTED_VALUE""")," মেহেরপুর")</f>
        <v> মেহেরপুর</v>
      </c>
    </row>
    <row r="145" ht="15.75" customHeight="1">
      <c r="A145" s="6" t="s">
        <v>7013</v>
      </c>
      <c r="B145" s="5">
        <f>IFERROR(__xludf.DUMMYFUNCTION("SPLIT(A145,"","")"),1491.0)</f>
        <v>1491</v>
      </c>
      <c r="C145" s="5" t="str">
        <f>IFERROR(__xludf.DUMMYFUNCTION("""COMPUTED_VALUE"""),"মোছাঃ রহিমা খাতুন")</f>
        <v>মোছাঃ রহিমা খাতুন</v>
      </c>
      <c r="D145" s="5">
        <f>IFERROR(__xludf.DUMMYFUNCTION("""COMPUTED_VALUE"""),5.70038356508E11)</f>
        <v>570038356508</v>
      </c>
      <c r="E145" s="5" t="str">
        <f>IFERROR(__xludf.DUMMYFUNCTION("""COMPUTED_VALUE"""),"আবুল হোসেন")</f>
        <v>আবুল হোসেন</v>
      </c>
      <c r="F145" s="5" t="str">
        <f>IFERROR(__xludf.DUMMYFUNCTION("""COMPUTED_VALUE"""),"মোছাঃ কহিনুর")</f>
        <v>মোছাঃ কহিনুর</v>
      </c>
      <c r="G145" s="5" t="str">
        <f>IFERROR(__xludf.DUMMYFUNCTION("""COMPUTED_VALUE"""),"০১/০৮/১৯৬৭")</f>
        <v>০১/০৮/১৯৬৭</v>
      </c>
      <c r="H145" s="5" t="str">
        <f>IFERROR(__xludf.DUMMYFUNCTION("""COMPUTED_VALUE"""),"গৃহিনী")</f>
        <v>গৃহিনী</v>
      </c>
      <c r="I145" s="5" t="str">
        <f>IFERROR(__xludf.DUMMYFUNCTION("""COMPUTED_VALUE"""),"গাড়ীডোব")</f>
        <v>গাড়ীডোব</v>
      </c>
      <c r="J145" s="5" t="str">
        <f>IFERROR(__xludf.DUMMYFUNCTION("""COMPUTED_VALUE""")," গাংনী")</f>
        <v> গাংনী</v>
      </c>
      <c r="K145" s="5" t="str">
        <f>IFERROR(__xludf.DUMMYFUNCTION("""COMPUTED_VALUE""")," মেহেরপুর")</f>
        <v> মেহেরপুর</v>
      </c>
    </row>
    <row r="146" ht="15.75" customHeight="1">
      <c r="A146" s="6" t="s">
        <v>7014</v>
      </c>
      <c r="B146" s="5">
        <f>IFERROR(__xludf.DUMMYFUNCTION("SPLIT(A146,"","")"),1492.0)</f>
        <v>1492</v>
      </c>
      <c r="C146" s="5" t="str">
        <f>IFERROR(__xludf.DUMMYFUNCTION("""COMPUTED_VALUE"""),"মোছাঃ জমেলা খাতুন")</f>
        <v>মোছাঃ জমেলা খাতুন</v>
      </c>
      <c r="D146" s="5">
        <f>IFERROR(__xludf.DUMMYFUNCTION("""COMPUTED_VALUE"""),5.70038356512E11)</f>
        <v>570038356512</v>
      </c>
      <c r="E146" s="5" t="str">
        <f>IFERROR(__xludf.DUMMYFUNCTION("""COMPUTED_VALUE"""),"পাচু শেখ")</f>
        <v>পাচু শেখ</v>
      </c>
      <c r="F146" s="5" t="str">
        <f>IFERROR(__xludf.DUMMYFUNCTION("""COMPUTED_VALUE"""),"সায়রা খাতুন")</f>
        <v>সায়রা খাতুন</v>
      </c>
      <c r="G146" s="5" t="str">
        <f>IFERROR(__xludf.DUMMYFUNCTION("""COMPUTED_VALUE"""),"১৯/১১/১৯৬৭")</f>
        <v>১৯/১১/১৯৬৭</v>
      </c>
      <c r="H146" s="5" t="str">
        <f>IFERROR(__xludf.DUMMYFUNCTION("""COMPUTED_VALUE"""),"গৃহিনী")</f>
        <v>গৃহিনী</v>
      </c>
      <c r="I146" s="5" t="str">
        <f>IFERROR(__xludf.DUMMYFUNCTION("""COMPUTED_VALUE"""),"গাড়ীডোব")</f>
        <v>গাড়ীডোব</v>
      </c>
      <c r="J146" s="5" t="str">
        <f>IFERROR(__xludf.DUMMYFUNCTION("""COMPUTED_VALUE""")," গাংনী")</f>
        <v> গাংনী</v>
      </c>
      <c r="K146" s="5" t="str">
        <f>IFERROR(__xludf.DUMMYFUNCTION("""COMPUTED_VALUE""")," মেহেরপুর")</f>
        <v> মেহেরপুর</v>
      </c>
    </row>
    <row r="147" ht="15.75" customHeight="1">
      <c r="A147" s="6" t="s">
        <v>7015</v>
      </c>
      <c r="B147" s="5">
        <f>IFERROR(__xludf.DUMMYFUNCTION("SPLIT(A147,"","")"),1493.0)</f>
        <v>1493</v>
      </c>
      <c r="C147" s="5" t="str">
        <f>IFERROR(__xludf.DUMMYFUNCTION("""COMPUTED_VALUE"""),"মোছাঃ আকলিমা খাতুন")</f>
        <v>মোছাঃ আকলিমা খাতুন</v>
      </c>
      <c r="D147" s="5">
        <f>IFERROR(__xludf.DUMMYFUNCTION("""COMPUTED_VALUE"""),5.70038356521E11)</f>
        <v>570038356521</v>
      </c>
      <c r="E147" s="5" t="str">
        <f>IFERROR(__xludf.DUMMYFUNCTION("""COMPUTED_VALUE"""),"মোশারেফ হোসেন")</f>
        <v>মোশারেফ হোসেন</v>
      </c>
      <c r="F147" s="5" t="str">
        <f>IFERROR(__xludf.DUMMYFUNCTION("""COMPUTED_VALUE"""),"মোছাঃ রিজিয়া খাতুন")</f>
        <v>মোছাঃ রিজিয়া খাতুন</v>
      </c>
      <c r="G147" s="5" t="str">
        <f>IFERROR(__xludf.DUMMYFUNCTION("""COMPUTED_VALUE"""),"১০/১২/১৯৬৫")</f>
        <v>১০/১২/১৯৬৫</v>
      </c>
      <c r="H147" s="5" t="str">
        <f>IFERROR(__xludf.DUMMYFUNCTION("""COMPUTED_VALUE"""),"গৃহিনী")</f>
        <v>গৃহিনী</v>
      </c>
      <c r="I147" s="5" t="str">
        <f>IFERROR(__xludf.DUMMYFUNCTION("""COMPUTED_VALUE"""),"গাড়ীডোব")</f>
        <v>গাড়ীডোব</v>
      </c>
      <c r="J147" s="5" t="str">
        <f>IFERROR(__xludf.DUMMYFUNCTION("""COMPUTED_VALUE""")," গাংনী")</f>
        <v> গাংনী</v>
      </c>
      <c r="K147" s="5" t="str">
        <f>IFERROR(__xludf.DUMMYFUNCTION("""COMPUTED_VALUE""")," মেহেরপুর")</f>
        <v> মেহেরপুর</v>
      </c>
    </row>
    <row r="148" ht="15.75" customHeight="1">
      <c r="A148" s="6" t="s">
        <v>7016</v>
      </c>
      <c r="B148" s="5">
        <f>IFERROR(__xludf.DUMMYFUNCTION("SPLIT(A148,"","")"),1494.0)</f>
        <v>1494</v>
      </c>
      <c r="C148" s="5" t="str">
        <f>IFERROR(__xludf.DUMMYFUNCTION("""COMPUTED_VALUE"""),"মোছাঃ মুসলিমা খাতুন")</f>
        <v>মোছাঃ মুসলিমা খাতুন</v>
      </c>
      <c r="D148" s="5">
        <f>IFERROR(__xludf.DUMMYFUNCTION("""COMPUTED_VALUE"""),5.70038356522E11)</f>
        <v>570038356522</v>
      </c>
      <c r="E148" s="5" t="str">
        <f>IFERROR(__xludf.DUMMYFUNCTION("""COMPUTED_VALUE"""),"মোশারেফ হোসেন")</f>
        <v>মোশারেফ হোসেন</v>
      </c>
      <c r="F148" s="5" t="str">
        <f>IFERROR(__xludf.DUMMYFUNCTION("""COMPUTED_VALUE"""),"মোছাঃ রিজিয়া খাতুন")</f>
        <v>মোছাঃ রিজিয়া খাতুন</v>
      </c>
      <c r="G148" s="5" t="str">
        <f>IFERROR(__xludf.DUMMYFUNCTION("""COMPUTED_VALUE"""),"১৫/০৮/১৯৬৫")</f>
        <v>১৫/০৮/১৯৬৫</v>
      </c>
      <c r="H148" s="5" t="str">
        <f>IFERROR(__xludf.DUMMYFUNCTION("""COMPUTED_VALUE"""),"গৃহিনী")</f>
        <v>গৃহিনী</v>
      </c>
      <c r="I148" s="5" t="str">
        <f>IFERROR(__xludf.DUMMYFUNCTION("""COMPUTED_VALUE"""),"গাড়ীডোব")</f>
        <v>গাড়ীডোব</v>
      </c>
      <c r="J148" s="5" t="str">
        <f>IFERROR(__xludf.DUMMYFUNCTION("""COMPUTED_VALUE""")," গাংনী")</f>
        <v> গাংনী</v>
      </c>
      <c r="K148" s="5" t="str">
        <f>IFERROR(__xludf.DUMMYFUNCTION("""COMPUTED_VALUE""")," মেহেরপুর")</f>
        <v> মেহেরপুর</v>
      </c>
    </row>
    <row r="149" ht="15.75" customHeight="1">
      <c r="A149" s="6" t="s">
        <v>7017</v>
      </c>
      <c r="B149" s="5">
        <f>IFERROR(__xludf.DUMMYFUNCTION("SPLIT(A149,"","")"),1495.0)</f>
        <v>1495</v>
      </c>
      <c r="C149" s="5" t="str">
        <f>IFERROR(__xludf.DUMMYFUNCTION("""COMPUTED_VALUE"""),"মোছাঃ রেবেকা খাতুন")</f>
        <v>মোছাঃ রেবেকা খাতুন</v>
      </c>
      <c r="D149" s="5">
        <f>IFERROR(__xludf.DUMMYFUNCTION("""COMPUTED_VALUE"""),5.70038356525E11)</f>
        <v>570038356525</v>
      </c>
      <c r="E149" s="5" t="str">
        <f>IFERROR(__xludf.DUMMYFUNCTION("""COMPUTED_VALUE"""),"মোঃ শাকের আলী")</f>
        <v>মোঃ শাকের আলী</v>
      </c>
      <c r="F149" s="5" t="str">
        <f>IFERROR(__xludf.DUMMYFUNCTION("""COMPUTED_VALUE"""),"মোছাঃ সানোয়ারা")</f>
        <v>মোছাঃ সানোয়ারা</v>
      </c>
      <c r="G149" s="5" t="str">
        <f>IFERROR(__xludf.DUMMYFUNCTION("""COMPUTED_VALUE"""),"১২/০৮/১৯৮০")</f>
        <v>১২/০৮/১৯৮০</v>
      </c>
      <c r="H149" s="5" t="str">
        <f>IFERROR(__xludf.DUMMYFUNCTION("""COMPUTED_VALUE"""),"গৃহিনী")</f>
        <v>গৃহিনী</v>
      </c>
      <c r="I149" s="5" t="str">
        <f>IFERROR(__xludf.DUMMYFUNCTION("""COMPUTED_VALUE"""),"গাড়ীডোব")</f>
        <v>গাড়ীডোব</v>
      </c>
      <c r="J149" s="5" t="str">
        <f>IFERROR(__xludf.DUMMYFUNCTION("""COMPUTED_VALUE""")," গাংনী")</f>
        <v> গাংনী</v>
      </c>
      <c r="K149" s="5" t="str">
        <f>IFERROR(__xludf.DUMMYFUNCTION("""COMPUTED_VALUE""")," মেহেরপুর")</f>
        <v> মেহেরপুর</v>
      </c>
    </row>
    <row r="150" ht="15.75" customHeight="1">
      <c r="A150" s="6" t="s">
        <v>7018</v>
      </c>
      <c r="B150" s="5">
        <f>IFERROR(__xludf.DUMMYFUNCTION("SPLIT(A150,"","")"),1496.0)</f>
        <v>1496</v>
      </c>
      <c r="C150" s="5" t="str">
        <f>IFERROR(__xludf.DUMMYFUNCTION("""COMPUTED_VALUE"""),"মোছাঃ বিলকিস খাতুন")</f>
        <v>মোছাঃ বিলকিস খাতুন</v>
      </c>
      <c r="D150" s="5">
        <f>IFERROR(__xludf.DUMMYFUNCTION("""COMPUTED_VALUE"""),5.70038356526E11)</f>
        <v>570038356526</v>
      </c>
      <c r="E150" s="5" t="str">
        <f>IFERROR(__xludf.DUMMYFUNCTION("""COMPUTED_VALUE"""),"মোঃ ইকরাম হোসেন")</f>
        <v>মোঃ ইকরাম হোসেন</v>
      </c>
      <c r="F150" s="5" t="str">
        <f>IFERROR(__xludf.DUMMYFUNCTION("""COMPUTED_VALUE"""),"মোছাঃ জিজান")</f>
        <v>মোছাঃ জিজান</v>
      </c>
      <c r="G150" s="5" t="str">
        <f>IFERROR(__xludf.DUMMYFUNCTION("""COMPUTED_VALUE"""),"১২/১২/১৯৮২")</f>
        <v>১২/১২/১৯৮২</v>
      </c>
      <c r="H150" s="5" t="str">
        <f>IFERROR(__xludf.DUMMYFUNCTION("""COMPUTED_VALUE"""),"গৃহিনী")</f>
        <v>গৃহিনী</v>
      </c>
      <c r="I150" s="5" t="str">
        <f>IFERROR(__xludf.DUMMYFUNCTION("""COMPUTED_VALUE"""),"গাড়ীডোব")</f>
        <v>গাড়ীডোব</v>
      </c>
      <c r="J150" s="5" t="str">
        <f>IFERROR(__xludf.DUMMYFUNCTION("""COMPUTED_VALUE""")," গাংনী")</f>
        <v> গাংনী</v>
      </c>
      <c r="K150" s="5" t="str">
        <f>IFERROR(__xludf.DUMMYFUNCTION("""COMPUTED_VALUE""")," মেহেরপুর")</f>
        <v> মেহেরপুর</v>
      </c>
    </row>
    <row r="151" ht="15.75" customHeight="1">
      <c r="A151" s="6" t="s">
        <v>7019</v>
      </c>
      <c r="B151" s="5">
        <f>IFERROR(__xludf.DUMMYFUNCTION("SPLIT(A151,"","")"),1497.0)</f>
        <v>1497</v>
      </c>
      <c r="C151" s="5" t="str">
        <f>IFERROR(__xludf.DUMMYFUNCTION("""COMPUTED_VALUE"""),"মোছাঃ উজিলা খাতুন")</f>
        <v>মোছাঃ উজিলা খাতুন</v>
      </c>
      <c r="D151" s="5">
        <f>IFERROR(__xludf.DUMMYFUNCTION("""COMPUTED_VALUE"""),5.70038356527E11)</f>
        <v>570038356527</v>
      </c>
      <c r="E151" s="5" t="str">
        <f>IFERROR(__xludf.DUMMYFUNCTION("""COMPUTED_VALUE"""),"মোঃ কাওসার আলী")</f>
        <v>মোঃ কাওসার আলী</v>
      </c>
      <c r="F151" s="5" t="str">
        <f>IFERROR(__xludf.DUMMYFUNCTION("""COMPUTED_VALUE"""),"মোছাঃ রাহেনা খাতুন")</f>
        <v>মোছাঃ রাহেনা খাতুন</v>
      </c>
      <c r="G151" s="5" t="str">
        <f>IFERROR(__xludf.DUMMYFUNCTION("""COMPUTED_VALUE"""),"১৭/০৭/১৯৮১")</f>
        <v>১৭/০৭/১৯৮১</v>
      </c>
      <c r="H151" s="5" t="str">
        <f>IFERROR(__xludf.DUMMYFUNCTION("""COMPUTED_VALUE"""),"গৃহিনী")</f>
        <v>গৃহিনী</v>
      </c>
      <c r="I151" s="5" t="str">
        <f>IFERROR(__xludf.DUMMYFUNCTION("""COMPUTED_VALUE"""),"গাড়ীডোব")</f>
        <v>গাড়ীডোব</v>
      </c>
      <c r="J151" s="5" t="str">
        <f>IFERROR(__xludf.DUMMYFUNCTION("""COMPUTED_VALUE""")," গাংনী")</f>
        <v> গাংনী</v>
      </c>
      <c r="K151" s="5" t="str">
        <f>IFERROR(__xludf.DUMMYFUNCTION("""COMPUTED_VALUE""")," মেহেরপুর")</f>
        <v> মেহেরপুর</v>
      </c>
    </row>
    <row r="152" ht="15.75" customHeight="1">
      <c r="A152" s="6" t="s">
        <v>7020</v>
      </c>
      <c r="B152" s="5">
        <f>IFERROR(__xludf.DUMMYFUNCTION("SPLIT(A152,"","")"),1498.0)</f>
        <v>1498</v>
      </c>
      <c r="C152" s="5" t="str">
        <f>IFERROR(__xludf.DUMMYFUNCTION("""COMPUTED_VALUE"""),"মোছাঃ আছিয়া খাতুন")</f>
        <v>মোছাঃ আছিয়া খাতুন</v>
      </c>
      <c r="D152" s="5">
        <f>IFERROR(__xludf.DUMMYFUNCTION("""COMPUTED_VALUE"""),5.70038356529E11)</f>
        <v>570038356529</v>
      </c>
      <c r="E152" s="5" t="str">
        <f>IFERROR(__xludf.DUMMYFUNCTION("""COMPUTED_VALUE"""),"মোছাব খাঁ")</f>
        <v>মোছাব খাঁ</v>
      </c>
      <c r="F152" s="5" t="str">
        <f>IFERROR(__xludf.DUMMYFUNCTION("""COMPUTED_VALUE"""),"লুৎফন নেছা")</f>
        <v>লুৎফন নেছা</v>
      </c>
      <c r="G152" s="5" t="str">
        <f>IFERROR(__xludf.DUMMYFUNCTION("""COMPUTED_VALUE"""),"১৫/০৮/১৯৫২")</f>
        <v>১৫/০৮/১৯৫২</v>
      </c>
      <c r="H152" s="5" t="str">
        <f>IFERROR(__xludf.DUMMYFUNCTION("""COMPUTED_VALUE"""),"গৃহিনী")</f>
        <v>গৃহিনী</v>
      </c>
      <c r="I152" s="5" t="str">
        <f>IFERROR(__xludf.DUMMYFUNCTION("""COMPUTED_VALUE"""),"গাড়ীডোব")</f>
        <v>গাড়ীডোব</v>
      </c>
      <c r="J152" s="5" t="str">
        <f>IFERROR(__xludf.DUMMYFUNCTION("""COMPUTED_VALUE""")," গাংনী")</f>
        <v> গাংনী</v>
      </c>
      <c r="K152" s="5" t="str">
        <f>IFERROR(__xludf.DUMMYFUNCTION("""COMPUTED_VALUE""")," মেহেরপুর")</f>
        <v> মেহেরপুর</v>
      </c>
    </row>
    <row r="153" ht="15.75" customHeight="1">
      <c r="A153" s="6" t="s">
        <v>7021</v>
      </c>
      <c r="B153" s="5">
        <f>IFERROR(__xludf.DUMMYFUNCTION("SPLIT(A153,"","")"),1499.0)</f>
        <v>1499</v>
      </c>
      <c r="C153" s="5" t="str">
        <f>IFERROR(__xludf.DUMMYFUNCTION("""COMPUTED_VALUE"""),"মোছাঃ আনার কলি")</f>
        <v>মোছাঃ আনার কলি</v>
      </c>
      <c r="D153" s="5">
        <f>IFERROR(__xludf.DUMMYFUNCTION("""COMPUTED_VALUE"""),5.70038356532E11)</f>
        <v>570038356532</v>
      </c>
      <c r="E153" s="5" t="str">
        <f>IFERROR(__xludf.DUMMYFUNCTION("""COMPUTED_VALUE"""),"মোঃ আব্দুর রহমান")</f>
        <v>মোঃ আব্দুর রহমান</v>
      </c>
      <c r="F153" s="5" t="str">
        <f>IFERROR(__xludf.DUMMYFUNCTION("""COMPUTED_VALUE"""),"মোছাঃ হামিরন নেছা")</f>
        <v>মোছাঃ হামিরন নেছা</v>
      </c>
      <c r="G153" s="5" t="str">
        <f>IFERROR(__xludf.DUMMYFUNCTION("""COMPUTED_VALUE"""),"২৫/০৩/১৯৭৫")</f>
        <v>২৫/০৩/১৯৭৫</v>
      </c>
      <c r="H153" s="5" t="str">
        <f>IFERROR(__xludf.DUMMYFUNCTION("""COMPUTED_VALUE"""),"গৃহিনী")</f>
        <v>গৃহিনী</v>
      </c>
      <c r="I153" s="5" t="str">
        <f>IFERROR(__xludf.DUMMYFUNCTION("""COMPUTED_VALUE"""),"গাড়ীডোব")</f>
        <v>গাড়ীডোব</v>
      </c>
      <c r="J153" s="5" t="str">
        <f>IFERROR(__xludf.DUMMYFUNCTION("""COMPUTED_VALUE""")," গাংনী")</f>
        <v> গাংনী</v>
      </c>
      <c r="K153" s="5" t="str">
        <f>IFERROR(__xludf.DUMMYFUNCTION("""COMPUTED_VALUE""")," মেহেরপুর")</f>
        <v> মেহেরপুর</v>
      </c>
    </row>
    <row r="154" ht="15.75" customHeight="1">
      <c r="A154" s="6" t="s">
        <v>7022</v>
      </c>
      <c r="B154" s="5">
        <f>IFERROR(__xludf.DUMMYFUNCTION("SPLIT(A154,"","")"),1500.0)</f>
        <v>1500</v>
      </c>
      <c r="C154" s="5" t="str">
        <f>IFERROR(__xludf.DUMMYFUNCTION("""COMPUTED_VALUE"""),"মোছাঃ হাসিনা খাতুন")</f>
        <v>মোছাঃ হাসিনা খাতুন</v>
      </c>
      <c r="D154" s="5">
        <f>IFERROR(__xludf.DUMMYFUNCTION("""COMPUTED_VALUE"""),5.70038356533E11)</f>
        <v>570038356533</v>
      </c>
      <c r="E154" s="5" t="str">
        <f>IFERROR(__xludf.DUMMYFUNCTION("""COMPUTED_VALUE"""),"মোঃ মহসিন শেখ")</f>
        <v>মোঃ মহসিন শেখ</v>
      </c>
      <c r="F154" s="5" t="str">
        <f>IFERROR(__xludf.DUMMYFUNCTION("""COMPUTED_VALUE"""),"মোছাঃ জরিনা খাতুন")</f>
        <v>মোছাঃ জরিনা খাতুন</v>
      </c>
      <c r="G154" s="5" t="str">
        <f>IFERROR(__xludf.DUMMYFUNCTION("""COMPUTED_VALUE"""),"২৮/০৮/১৯৮০")</f>
        <v>২৮/০৮/১৯৮০</v>
      </c>
      <c r="H154" s="5" t="str">
        <f>IFERROR(__xludf.DUMMYFUNCTION("""COMPUTED_VALUE"""),"গৃহিনী")</f>
        <v>গৃহিনী</v>
      </c>
      <c r="I154" s="5" t="str">
        <f>IFERROR(__xludf.DUMMYFUNCTION("""COMPUTED_VALUE"""),"গাড়ীডোব")</f>
        <v>গাড়ীডোব</v>
      </c>
      <c r="J154" s="5" t="str">
        <f>IFERROR(__xludf.DUMMYFUNCTION("""COMPUTED_VALUE""")," গাংনী")</f>
        <v> গাংনী</v>
      </c>
      <c r="K154" s="5" t="str">
        <f>IFERROR(__xludf.DUMMYFUNCTION("""COMPUTED_VALUE""")," মেহেরপুর")</f>
        <v> মেহেরপুর</v>
      </c>
    </row>
    <row r="155" ht="15.75" customHeight="1">
      <c r="A155" s="6" t="s">
        <v>7023</v>
      </c>
      <c r="B155" s="5">
        <f>IFERROR(__xludf.DUMMYFUNCTION("SPLIT(A155,"","")"),1501.0)</f>
        <v>1501</v>
      </c>
      <c r="C155" s="5" t="str">
        <f>IFERROR(__xludf.DUMMYFUNCTION("""COMPUTED_VALUE"""),"মোছাঃ রহিলা খাতুন")</f>
        <v>মোছাঃ রহিলা খাতুন</v>
      </c>
      <c r="D155" s="5">
        <f>IFERROR(__xludf.DUMMYFUNCTION("""COMPUTED_VALUE"""),5.70038356534E11)</f>
        <v>570038356534</v>
      </c>
      <c r="E155" s="5" t="str">
        <f>IFERROR(__xludf.DUMMYFUNCTION("""COMPUTED_VALUE"""),"মোঃ শরিফুদ্দিন শেখ")</f>
        <v>মোঃ শরিফুদ্দিন শেখ</v>
      </c>
      <c r="F155" s="5" t="str">
        <f>IFERROR(__xludf.DUMMYFUNCTION("""COMPUTED_VALUE"""),"মোছাঃ জাহানারা খাতুন")</f>
        <v>মোছাঃ জাহানারা খাতুন</v>
      </c>
      <c r="G155" s="5" t="str">
        <f>IFERROR(__xludf.DUMMYFUNCTION("""COMPUTED_VALUE"""),"১৭/০৭/১৯৮৪")</f>
        <v>১৭/০৭/১৯৮৪</v>
      </c>
      <c r="H155" s="5" t="str">
        <f>IFERROR(__xludf.DUMMYFUNCTION("""COMPUTED_VALUE"""),"গৃহিনী")</f>
        <v>গৃহিনী</v>
      </c>
      <c r="I155" s="5" t="str">
        <f>IFERROR(__xludf.DUMMYFUNCTION("""COMPUTED_VALUE"""),"গাড়ীডোব")</f>
        <v>গাড়ীডোব</v>
      </c>
      <c r="J155" s="5" t="str">
        <f>IFERROR(__xludf.DUMMYFUNCTION("""COMPUTED_VALUE""")," গাংনী")</f>
        <v> গাংনী</v>
      </c>
      <c r="K155" s="5" t="str">
        <f>IFERROR(__xludf.DUMMYFUNCTION("""COMPUTED_VALUE""")," মেহেরপুর")</f>
        <v> মেহেরপুর</v>
      </c>
    </row>
    <row r="156" ht="15.75" customHeight="1">
      <c r="A156" s="6" t="s">
        <v>7024</v>
      </c>
      <c r="B156" s="5">
        <f>IFERROR(__xludf.DUMMYFUNCTION("SPLIT(A156,"","")"),1502.0)</f>
        <v>1502</v>
      </c>
      <c r="C156" s="5" t="str">
        <f>IFERROR(__xludf.DUMMYFUNCTION("""COMPUTED_VALUE"""),"মোছাঃ খোদেজা খাতুন")</f>
        <v>মোছাঃ খোদেজা খাতুন</v>
      </c>
      <c r="D156" s="5">
        <f>IFERROR(__xludf.DUMMYFUNCTION("""COMPUTED_VALUE"""),5.70038356539E11)</f>
        <v>570038356539</v>
      </c>
      <c r="E156" s="5" t="str">
        <f>IFERROR(__xludf.DUMMYFUNCTION("""COMPUTED_VALUE"""),"খেদের মাহমুদ")</f>
        <v>খেদের মাহমুদ</v>
      </c>
      <c r="F156" s="5" t="str">
        <f>IFERROR(__xludf.DUMMYFUNCTION("""COMPUTED_VALUE"""),"মোছাঃ রহিমা খাতুন")</f>
        <v>মোছাঃ রহিমা খাতুন</v>
      </c>
      <c r="G156" s="5" t="str">
        <f>IFERROR(__xludf.DUMMYFUNCTION("""COMPUTED_VALUE"""),"১১/০২/১৯৫২")</f>
        <v>১১/০২/১৯৫২</v>
      </c>
      <c r="H156" s="5" t="str">
        <f>IFERROR(__xludf.DUMMYFUNCTION("""COMPUTED_VALUE"""),"গৃহিনী")</f>
        <v>গৃহিনী</v>
      </c>
      <c r="I156" s="5" t="str">
        <f>IFERROR(__xludf.DUMMYFUNCTION("""COMPUTED_VALUE"""),"গাড়ীডোব")</f>
        <v>গাড়ীডোব</v>
      </c>
      <c r="J156" s="5" t="str">
        <f>IFERROR(__xludf.DUMMYFUNCTION("""COMPUTED_VALUE""")," গাংনী")</f>
        <v> গাংনী</v>
      </c>
      <c r="K156" s="5" t="str">
        <f>IFERROR(__xludf.DUMMYFUNCTION("""COMPUTED_VALUE""")," মেহেরপুর")</f>
        <v> মেহেরপুর</v>
      </c>
    </row>
    <row r="157" ht="15.75" customHeight="1">
      <c r="A157" s="6" t="s">
        <v>7025</v>
      </c>
      <c r="B157" s="5">
        <f>IFERROR(__xludf.DUMMYFUNCTION("SPLIT(A157,"","")"),1503.0)</f>
        <v>1503</v>
      </c>
      <c r="C157" s="5" t="str">
        <f>IFERROR(__xludf.DUMMYFUNCTION("""COMPUTED_VALUE"""),"মোছাঃ শেফালী খাতুন")</f>
        <v>মোছাঃ শেফালী খাতুন</v>
      </c>
      <c r="D157" s="5">
        <f>IFERROR(__xludf.DUMMYFUNCTION("""COMPUTED_VALUE"""),5.70038356541E11)</f>
        <v>570038356541</v>
      </c>
      <c r="E157" s="5" t="str">
        <f>IFERROR(__xludf.DUMMYFUNCTION("""COMPUTED_VALUE"""),"মোঃ মজনু হোসেন")</f>
        <v>মোঃ মজনু হোসেন</v>
      </c>
      <c r="F157" s="5" t="str">
        <f>IFERROR(__xludf.DUMMYFUNCTION("""COMPUTED_VALUE"""),"মোছাঃ হালিমা খাতুন")</f>
        <v>মোছাঃ হালিমা খাতুন</v>
      </c>
      <c r="G157" s="5" t="str">
        <f>IFERROR(__xludf.DUMMYFUNCTION("""COMPUTED_VALUE"""),"১৬/১০/১৯৭৮")</f>
        <v>১৬/১০/১৯৭৮</v>
      </c>
      <c r="H157" s="5" t="str">
        <f>IFERROR(__xludf.DUMMYFUNCTION("""COMPUTED_VALUE"""),"গৃহিনী")</f>
        <v>গৃহিনী</v>
      </c>
      <c r="I157" s="5" t="str">
        <f>IFERROR(__xludf.DUMMYFUNCTION("""COMPUTED_VALUE"""),"গাড়ীডোব")</f>
        <v>গাড়ীডোব</v>
      </c>
      <c r="J157" s="5" t="str">
        <f>IFERROR(__xludf.DUMMYFUNCTION("""COMPUTED_VALUE""")," গাংনী")</f>
        <v> গাংনী</v>
      </c>
      <c r="K157" s="5" t="str">
        <f>IFERROR(__xludf.DUMMYFUNCTION("""COMPUTED_VALUE""")," মেহেরপুর")</f>
        <v> মেহেরপুর</v>
      </c>
    </row>
    <row r="158" ht="15.75" customHeight="1">
      <c r="A158" s="6" t="s">
        <v>7026</v>
      </c>
      <c r="B158" s="5">
        <f>IFERROR(__xludf.DUMMYFUNCTION("SPLIT(A158,"","")"),1504.0)</f>
        <v>1504</v>
      </c>
      <c r="C158" s="5" t="str">
        <f>IFERROR(__xludf.DUMMYFUNCTION("""COMPUTED_VALUE"""),"মোছাঃ আনজিরা খাতুন")</f>
        <v>মোছাঃ আনজিরা খাতুন</v>
      </c>
      <c r="D158" s="5">
        <f>IFERROR(__xludf.DUMMYFUNCTION("""COMPUTED_VALUE"""),5.70038356544E11)</f>
        <v>570038356544</v>
      </c>
      <c r="E158" s="5" t="str">
        <f>IFERROR(__xludf.DUMMYFUNCTION("""COMPUTED_VALUE"""),"জোনাব মন্ডল")</f>
        <v>জোনাব মন্ডল</v>
      </c>
      <c r="F158" s="5" t="str">
        <f>IFERROR(__xludf.DUMMYFUNCTION("""COMPUTED_VALUE"""),"মোছাঃ রূপিয়া খাতুন")</f>
        <v>মোছাঃ রূপিয়া খাতুন</v>
      </c>
      <c r="G158" s="5" t="str">
        <f>IFERROR(__xludf.DUMMYFUNCTION("""COMPUTED_VALUE"""),"১৬/০৩/১৯৮২")</f>
        <v>১৬/০৩/১৯৮২</v>
      </c>
      <c r="H158" s="5" t="str">
        <f>IFERROR(__xludf.DUMMYFUNCTION("""COMPUTED_VALUE"""),"গৃহিনী")</f>
        <v>গৃহিনী</v>
      </c>
      <c r="I158" s="5" t="str">
        <f>IFERROR(__xludf.DUMMYFUNCTION("""COMPUTED_VALUE"""),"গাড়ীডোব")</f>
        <v>গাড়ীডোব</v>
      </c>
      <c r="J158" s="5" t="str">
        <f>IFERROR(__xludf.DUMMYFUNCTION("""COMPUTED_VALUE""")," গাংনী")</f>
        <v> গাংনী</v>
      </c>
      <c r="K158" s="5" t="str">
        <f>IFERROR(__xludf.DUMMYFUNCTION("""COMPUTED_VALUE""")," মেহেরপুর")</f>
        <v> মেহেরপুর</v>
      </c>
    </row>
    <row r="159" ht="15.75" customHeight="1">
      <c r="A159" s="6" t="s">
        <v>7027</v>
      </c>
      <c r="B159" s="5">
        <f>IFERROR(__xludf.DUMMYFUNCTION("SPLIT(A159,"","")"),1505.0)</f>
        <v>1505</v>
      </c>
      <c r="C159" s="5" t="str">
        <f>IFERROR(__xludf.DUMMYFUNCTION("""COMPUTED_VALUE"""),"মোছাঃ দুলু খাতুন")</f>
        <v>মোছাঃ দুলু খাতুন</v>
      </c>
      <c r="D159" s="5">
        <f>IFERROR(__xludf.DUMMYFUNCTION("""COMPUTED_VALUE"""),5.70038356545E11)</f>
        <v>570038356545</v>
      </c>
      <c r="E159" s="5" t="str">
        <f>IFERROR(__xludf.DUMMYFUNCTION("""COMPUTED_VALUE"""),"ইতবার শেখ")</f>
        <v>ইতবার শেখ</v>
      </c>
      <c r="F159" s="5" t="str">
        <f>IFERROR(__xludf.DUMMYFUNCTION("""COMPUTED_VALUE"""),"দাসীমন খাতুন")</f>
        <v>দাসীমন খাতুন</v>
      </c>
      <c r="G159" s="5" t="str">
        <f>IFERROR(__xludf.DUMMYFUNCTION("""COMPUTED_VALUE"""),"১৬/০৫/১৯৫২")</f>
        <v>১৬/০৫/১৯৫২</v>
      </c>
      <c r="H159" s="5" t="str">
        <f>IFERROR(__xludf.DUMMYFUNCTION("""COMPUTED_VALUE"""),"গৃহিনী")</f>
        <v>গৃহিনী</v>
      </c>
      <c r="I159" s="5" t="str">
        <f>IFERROR(__xludf.DUMMYFUNCTION("""COMPUTED_VALUE"""),"গাড়ীডোব")</f>
        <v>গাড়ীডোব</v>
      </c>
      <c r="J159" s="5" t="str">
        <f>IFERROR(__xludf.DUMMYFUNCTION("""COMPUTED_VALUE""")," ধানখোলা")</f>
        <v> ধানখোলা</v>
      </c>
      <c r="K159" s="5" t="str">
        <f>IFERROR(__xludf.DUMMYFUNCTION("""COMPUTED_VALUE""")," গাংনী")</f>
        <v> গাংনী</v>
      </c>
      <c r="L159" s="5" t="str">
        <f>IFERROR(__xludf.DUMMYFUNCTION("""COMPUTED_VALUE""")," মেহেরপুর")</f>
        <v> মেহেরপুর</v>
      </c>
    </row>
    <row r="160" ht="15.75" customHeight="1">
      <c r="A160" s="6" t="s">
        <v>7028</v>
      </c>
      <c r="B160" s="5">
        <f>IFERROR(__xludf.DUMMYFUNCTION("SPLIT(A160,"","")"),1506.0)</f>
        <v>1506</v>
      </c>
      <c r="C160" s="5" t="str">
        <f>IFERROR(__xludf.DUMMYFUNCTION("""COMPUTED_VALUE"""),"মোছাঃ সালেহার খাতুন")</f>
        <v>মোছাঃ সালেহার খাতুন</v>
      </c>
      <c r="D160" s="5">
        <f>IFERROR(__xludf.DUMMYFUNCTION("""COMPUTED_VALUE"""),5.70038356547E11)</f>
        <v>570038356547</v>
      </c>
      <c r="E160" s="5" t="str">
        <f>IFERROR(__xludf.DUMMYFUNCTION("""COMPUTED_VALUE"""),"মোঃ সামসুল ইসলাম")</f>
        <v>মোঃ সামসুল ইসলাম</v>
      </c>
      <c r="F160" s="5" t="str">
        <f>IFERROR(__xludf.DUMMYFUNCTION("""COMPUTED_VALUE"""),"মোছাঃ তাহেরা খাতুন")</f>
        <v>মোছাঃ তাহেরা খাতুন</v>
      </c>
      <c r="G160" s="5" t="str">
        <f>IFERROR(__xludf.DUMMYFUNCTION("""COMPUTED_VALUE"""),"১৮/০৭/১৯৮৭")</f>
        <v>১৮/০৭/১৯৮৭</v>
      </c>
      <c r="H160" s="5" t="str">
        <f>IFERROR(__xludf.DUMMYFUNCTION("""COMPUTED_VALUE"""),"গৃহিনী")</f>
        <v>গৃহিনী</v>
      </c>
      <c r="I160" s="5" t="str">
        <f>IFERROR(__xludf.DUMMYFUNCTION("""COMPUTED_VALUE"""),"গাড়ীডোব")</f>
        <v>গাড়ীডোব</v>
      </c>
      <c r="J160" s="5" t="str">
        <f>IFERROR(__xludf.DUMMYFUNCTION("""COMPUTED_VALUE""")," গাংনী")</f>
        <v> গাংনী</v>
      </c>
      <c r="K160" s="5" t="str">
        <f>IFERROR(__xludf.DUMMYFUNCTION("""COMPUTED_VALUE""")," মেহেরপুর")</f>
        <v> মেহেরপুর</v>
      </c>
    </row>
    <row r="161" ht="15.75" customHeight="1">
      <c r="A161" s="6" t="s">
        <v>7029</v>
      </c>
      <c r="B161" s="5">
        <f>IFERROR(__xludf.DUMMYFUNCTION("SPLIT(A161,"","")"),1507.0)</f>
        <v>1507</v>
      </c>
      <c r="C161" s="5" t="str">
        <f>IFERROR(__xludf.DUMMYFUNCTION("""COMPUTED_VALUE"""),"মোছাঃ নাছিমা খাতুন")</f>
        <v>মোছাঃ নাছিমা খাতুন</v>
      </c>
      <c r="D161" s="5">
        <f>IFERROR(__xludf.DUMMYFUNCTION("""COMPUTED_VALUE"""),5.70038356549E11)</f>
        <v>570038356549</v>
      </c>
      <c r="E161" s="5" t="str">
        <f>IFERROR(__xludf.DUMMYFUNCTION("""COMPUTED_VALUE"""),"রজব আলী")</f>
        <v>রজব আলী</v>
      </c>
      <c r="F161" s="5" t="str">
        <f>IFERROR(__xludf.DUMMYFUNCTION("""COMPUTED_VALUE"""),"মোছাঃ টুনি খাতুন")</f>
        <v>মোছাঃ টুনি খাতুন</v>
      </c>
      <c r="G161" s="5" t="str">
        <f>IFERROR(__xludf.DUMMYFUNCTION("""COMPUTED_VALUE"""),"১৪/০৪/১৯৭২")</f>
        <v>১৪/০৪/১৯৭২</v>
      </c>
      <c r="H161" s="5" t="str">
        <f>IFERROR(__xludf.DUMMYFUNCTION("""COMPUTED_VALUE"""),"গৃহিনী")</f>
        <v>গৃহিনী</v>
      </c>
      <c r="I161" s="5" t="str">
        <f>IFERROR(__xludf.DUMMYFUNCTION("""COMPUTED_VALUE"""),"গাড়ীডোব")</f>
        <v>গাড়ীডোব</v>
      </c>
      <c r="J161" s="5" t="str">
        <f>IFERROR(__xludf.DUMMYFUNCTION("""COMPUTED_VALUE""")," গাংনী")</f>
        <v> গাংনী</v>
      </c>
      <c r="K161" s="5" t="str">
        <f>IFERROR(__xludf.DUMMYFUNCTION("""COMPUTED_VALUE""")," মেহেরপুর")</f>
        <v> মেহেরপুর</v>
      </c>
    </row>
    <row r="162" ht="15.75" customHeight="1">
      <c r="A162" s="6" t="s">
        <v>7030</v>
      </c>
      <c r="B162" s="5">
        <f>IFERROR(__xludf.DUMMYFUNCTION("SPLIT(A162,"","")"),1508.0)</f>
        <v>1508</v>
      </c>
      <c r="C162" s="5" t="str">
        <f>IFERROR(__xludf.DUMMYFUNCTION("""COMPUTED_VALUE"""),"মোছাঃ উজিলা খাতুন")</f>
        <v>মোছাঃ উজিলা খাতুন</v>
      </c>
      <c r="D162" s="5">
        <f>IFERROR(__xludf.DUMMYFUNCTION("""COMPUTED_VALUE"""),5.70038356551E11)</f>
        <v>570038356551</v>
      </c>
      <c r="E162" s="5" t="str">
        <f>IFERROR(__xludf.DUMMYFUNCTION("""COMPUTED_VALUE"""),"মোঃ মোহার আলী")</f>
        <v>মোঃ মোহার আলী</v>
      </c>
      <c r="F162" s="5" t="str">
        <f>IFERROR(__xludf.DUMMYFUNCTION("""COMPUTED_VALUE"""),"মোছাঃ খোদেজা খাতুন")</f>
        <v>মোছাঃ খোদেজা খাতুন</v>
      </c>
      <c r="G162" s="5" t="str">
        <f>IFERROR(__xludf.DUMMYFUNCTION("""COMPUTED_VALUE"""),"১৯/০৯/১৯৭০")</f>
        <v>১৯/০৯/১৯৭০</v>
      </c>
      <c r="H162" s="5" t="str">
        <f>IFERROR(__xludf.DUMMYFUNCTION("""COMPUTED_VALUE"""),"গৃহিনী")</f>
        <v>গৃহিনী</v>
      </c>
      <c r="I162" s="5" t="str">
        <f>IFERROR(__xludf.DUMMYFUNCTION("""COMPUTED_VALUE"""),"গাড়ীডোব")</f>
        <v>গাড়ীডোব</v>
      </c>
      <c r="J162" s="5" t="str">
        <f>IFERROR(__xludf.DUMMYFUNCTION("""COMPUTED_VALUE""")," গাংনী")</f>
        <v> গাংনী</v>
      </c>
      <c r="K162" s="5" t="str">
        <f>IFERROR(__xludf.DUMMYFUNCTION("""COMPUTED_VALUE""")," মেহেরপুর")</f>
        <v> মেহেরপুর</v>
      </c>
    </row>
    <row r="163" ht="15.75" customHeight="1">
      <c r="A163" s="6" t="s">
        <v>7031</v>
      </c>
      <c r="B163" s="5">
        <f>IFERROR(__xludf.DUMMYFUNCTION("SPLIT(A163,"","")"),1509.0)</f>
        <v>1509</v>
      </c>
      <c r="C163" s="5" t="str">
        <f>IFERROR(__xludf.DUMMYFUNCTION("""COMPUTED_VALUE"""),"মোছাঃ লালভানু")</f>
        <v>মোছাঃ লালভানু</v>
      </c>
      <c r="D163" s="5">
        <f>IFERROR(__xludf.DUMMYFUNCTION("""COMPUTED_VALUE"""),5.70038356552E11)</f>
        <v>570038356552</v>
      </c>
      <c r="E163" s="5" t="str">
        <f>IFERROR(__xludf.DUMMYFUNCTION("""COMPUTED_VALUE"""),"শুকুর মন্ডল")</f>
        <v>শুকুর মন্ডল</v>
      </c>
      <c r="F163" s="5" t="str">
        <f>IFERROR(__xludf.DUMMYFUNCTION("""COMPUTED_VALUE"""),"মোছাঃ নাইমন নেছা")</f>
        <v>মোছাঃ নাইমন নেছা</v>
      </c>
      <c r="G163" s="5" t="str">
        <f>IFERROR(__xludf.DUMMYFUNCTION("""COMPUTED_VALUE"""),"২৫/০৫/১৯৭২")</f>
        <v>২৫/০৫/১৯৭২</v>
      </c>
      <c r="H163" s="5" t="str">
        <f>IFERROR(__xludf.DUMMYFUNCTION("""COMPUTED_VALUE"""),"গৃহিনী")</f>
        <v>গৃহিনী</v>
      </c>
      <c r="I163" s="5" t="str">
        <f>IFERROR(__xludf.DUMMYFUNCTION("""COMPUTED_VALUE"""),"গাড়ীডোব")</f>
        <v>গাড়ীডোব</v>
      </c>
      <c r="J163" s="5" t="str">
        <f>IFERROR(__xludf.DUMMYFUNCTION("""COMPUTED_VALUE""")," গাংনী")</f>
        <v> গাংনী</v>
      </c>
      <c r="K163" s="5" t="str">
        <f>IFERROR(__xludf.DUMMYFUNCTION("""COMPUTED_VALUE""")," মেহেরপুর")</f>
        <v> মেহেরপুর</v>
      </c>
    </row>
    <row r="164" ht="15.75" customHeight="1">
      <c r="A164" s="6" t="s">
        <v>7032</v>
      </c>
      <c r="B164" s="5">
        <f>IFERROR(__xludf.DUMMYFUNCTION("SPLIT(A164,"","")"),1492.0)</f>
        <v>1492</v>
      </c>
      <c r="C164" s="5" t="str">
        <f>IFERROR(__xludf.DUMMYFUNCTION("""COMPUTED_VALUE"""),"মোছাঃ রোজিনা খাতুন")</f>
        <v>মোছাঃ রোজিনা খাতুন</v>
      </c>
      <c r="D164" s="5">
        <f>IFERROR(__xludf.DUMMYFUNCTION("""COMPUTED_VALUE"""),5.70038356556E11)</f>
        <v>570038356556</v>
      </c>
      <c r="E164" s="5" t="str">
        <f>IFERROR(__xludf.DUMMYFUNCTION("""COMPUTED_VALUE"""),"মোঃ কবিরুদ্দিন")</f>
        <v>মোঃ কবিরুদ্দিন</v>
      </c>
      <c r="F164" s="5" t="str">
        <f>IFERROR(__xludf.DUMMYFUNCTION("""COMPUTED_VALUE"""),"মোছাঃ অঞ্জনা খাতুন")</f>
        <v>মোছাঃ অঞ্জনা খাতুন</v>
      </c>
      <c r="G164" s="5" t="str">
        <f>IFERROR(__xludf.DUMMYFUNCTION("""COMPUTED_VALUE"""),"১৬/০৮/১৯৮৫")</f>
        <v>১৬/০৮/১৯৮৫</v>
      </c>
      <c r="H164" s="5" t="str">
        <f>IFERROR(__xludf.DUMMYFUNCTION("""COMPUTED_VALUE"""),"গৃহিনী")</f>
        <v>গৃহিনী</v>
      </c>
      <c r="I164" s="5" t="str">
        <f>IFERROR(__xludf.DUMMYFUNCTION("""COMPUTED_VALUE"""),"গাড়ীডোব")</f>
        <v>গাড়ীডোব</v>
      </c>
      <c r="J164" s="5" t="str">
        <f>IFERROR(__xludf.DUMMYFUNCTION("""COMPUTED_VALUE""")," গাংনী")</f>
        <v> গাংনী</v>
      </c>
      <c r="K164" s="5" t="str">
        <f>IFERROR(__xludf.DUMMYFUNCTION("""COMPUTED_VALUE""")," মেহেরপুর")</f>
        <v> মেহেরপুর</v>
      </c>
    </row>
    <row r="165" ht="15.75" customHeight="1">
      <c r="A165" s="6" t="s">
        <v>7033</v>
      </c>
      <c r="B165" s="5">
        <f>IFERROR(__xludf.DUMMYFUNCTION("SPLIT(A165,"","")"),1493.0)</f>
        <v>1493</v>
      </c>
      <c r="C165" s="5" t="str">
        <f>IFERROR(__xludf.DUMMYFUNCTION("""COMPUTED_VALUE"""),"মোছাঃ জোসনা খাতুন")</f>
        <v>মোছাঃ জোসনা খাতুন</v>
      </c>
      <c r="D165" s="5">
        <f>IFERROR(__xludf.DUMMYFUNCTION("""COMPUTED_VALUE"""),5.70038356557E11)</f>
        <v>570038356557</v>
      </c>
      <c r="E165" s="5" t="str">
        <f>IFERROR(__xludf.DUMMYFUNCTION("""COMPUTED_VALUE"""),"মোঃ আজিজুল হক")</f>
        <v>মোঃ আজিজুল হক</v>
      </c>
      <c r="F165" s="5" t="str">
        <f>IFERROR(__xludf.DUMMYFUNCTION("""COMPUTED_VALUE"""),"মোছাঃ মর্জিনা খাতুন")</f>
        <v>মোছাঃ মর্জিনা খাতুন</v>
      </c>
      <c r="G165" s="5" t="str">
        <f>IFERROR(__xludf.DUMMYFUNCTION("""COMPUTED_VALUE"""),"১২/০৯/১৯৭৬")</f>
        <v>১২/০৯/১৯৭৬</v>
      </c>
      <c r="H165" s="5" t="str">
        <f>IFERROR(__xludf.DUMMYFUNCTION("""COMPUTED_VALUE"""),"গৃহিনী")</f>
        <v>গৃহিনী</v>
      </c>
      <c r="I165" s="5" t="str">
        <f>IFERROR(__xludf.DUMMYFUNCTION("""COMPUTED_VALUE"""),"গাড়ীডোব")</f>
        <v>গাড়ীডোব</v>
      </c>
      <c r="J165" s="5" t="str">
        <f>IFERROR(__xludf.DUMMYFUNCTION("""COMPUTED_VALUE""")," গাংনী")</f>
        <v> গাংনী</v>
      </c>
      <c r="K165" s="5" t="str">
        <f>IFERROR(__xludf.DUMMYFUNCTION("""COMPUTED_VALUE""")," মেহেরপুর")</f>
        <v> মেহেরপুর</v>
      </c>
    </row>
    <row r="166" ht="15.75" customHeight="1">
      <c r="A166" s="6" t="s">
        <v>7034</v>
      </c>
      <c r="B166" s="5">
        <f>IFERROR(__xludf.DUMMYFUNCTION("SPLIT(A166,"","")"),1494.0)</f>
        <v>1494</v>
      </c>
      <c r="C166" s="5" t="str">
        <f>IFERROR(__xludf.DUMMYFUNCTION("""COMPUTED_VALUE"""),"মোছাঃ রাশিদা খাতুন")</f>
        <v>মোছাঃ রাশিদা খাতুন</v>
      </c>
      <c r="D166" s="5">
        <f>IFERROR(__xludf.DUMMYFUNCTION("""COMPUTED_VALUE"""),5.70038356558E11)</f>
        <v>570038356558</v>
      </c>
      <c r="E166" s="5" t="str">
        <f>IFERROR(__xludf.DUMMYFUNCTION("""COMPUTED_VALUE"""),"মোঃ রজব আলী")</f>
        <v>মোঃ রজব আলী</v>
      </c>
      <c r="F166" s="5" t="str">
        <f>IFERROR(__xludf.DUMMYFUNCTION("""COMPUTED_VALUE"""),"মোছাঃ কুরছিয়া খাতুন")</f>
        <v>মোছাঃ কুরছিয়া খাতুন</v>
      </c>
      <c r="G166" s="5" t="str">
        <f>IFERROR(__xludf.DUMMYFUNCTION("""COMPUTED_VALUE"""),"১৪/০৪/১৯৮২")</f>
        <v>১৪/০৪/১৯৮২</v>
      </c>
      <c r="H166" s="5" t="str">
        <f>IFERROR(__xludf.DUMMYFUNCTION("""COMPUTED_VALUE"""),"গৃহিনী")</f>
        <v>গৃহিনী</v>
      </c>
      <c r="I166" s="5" t="str">
        <f>IFERROR(__xludf.DUMMYFUNCTION("""COMPUTED_VALUE"""),"গাড়ীডোব")</f>
        <v>গাড়ীডোব</v>
      </c>
      <c r="J166" s="5" t="str">
        <f>IFERROR(__xludf.DUMMYFUNCTION("""COMPUTED_VALUE""")," গাংনী")</f>
        <v> গাংনী</v>
      </c>
      <c r="K166" s="5" t="str">
        <f>IFERROR(__xludf.DUMMYFUNCTION("""COMPUTED_VALUE""")," মেহেরপুর")</f>
        <v> মেহেরপুর</v>
      </c>
    </row>
    <row r="167" ht="15.75" customHeight="1">
      <c r="A167" s="6" t="s">
        <v>7035</v>
      </c>
      <c r="B167" s="5">
        <f>IFERROR(__xludf.DUMMYFUNCTION("SPLIT(A167,"","")"),1495.0)</f>
        <v>1495</v>
      </c>
      <c r="C167" s="5" t="str">
        <f>IFERROR(__xludf.DUMMYFUNCTION("""COMPUTED_VALUE"""),"মোছাঃ কুরছিয়া খাতুন")</f>
        <v>মোছাঃ কুরছিয়া খাতুন</v>
      </c>
      <c r="D167" s="5">
        <f>IFERROR(__xludf.DUMMYFUNCTION("""COMPUTED_VALUE"""),5.70038356559E11)</f>
        <v>570038356559</v>
      </c>
      <c r="E167" s="5" t="str">
        <f>IFERROR(__xludf.DUMMYFUNCTION("""COMPUTED_VALUE"""),"নুর মোহাম্মদ")</f>
        <v>নুর মোহাম্মদ</v>
      </c>
      <c r="F167" s="5" t="str">
        <f>IFERROR(__xludf.DUMMYFUNCTION("""COMPUTED_VALUE"""),"মোছাঃ ছামেনা খাতুন")</f>
        <v>মোছাঃ ছামেনা খাতুন</v>
      </c>
      <c r="G167" s="5" t="str">
        <f>IFERROR(__xludf.DUMMYFUNCTION("""COMPUTED_VALUE"""),"১০/১২/১৯৮২")</f>
        <v>১০/১২/১৯৮২</v>
      </c>
      <c r="H167" s="5" t="str">
        <f>IFERROR(__xludf.DUMMYFUNCTION("""COMPUTED_VALUE"""),"গৃহিনী")</f>
        <v>গৃহিনী</v>
      </c>
      <c r="I167" s="5" t="str">
        <f>IFERROR(__xludf.DUMMYFUNCTION("""COMPUTED_VALUE"""),"গাড়ীডোব")</f>
        <v>গাড়ীডোব</v>
      </c>
      <c r="J167" s="5" t="str">
        <f>IFERROR(__xludf.DUMMYFUNCTION("""COMPUTED_VALUE""")," গাংনী")</f>
        <v> গাংনী</v>
      </c>
      <c r="K167" s="5" t="str">
        <f>IFERROR(__xludf.DUMMYFUNCTION("""COMPUTED_VALUE""")," মেহেরপুর")</f>
        <v> মেহেরপুর</v>
      </c>
    </row>
    <row r="168" ht="15.75" customHeight="1">
      <c r="A168" s="6" t="s">
        <v>7036</v>
      </c>
      <c r="B168" s="5">
        <f>IFERROR(__xludf.DUMMYFUNCTION("SPLIT(A168,"","")"),1496.0)</f>
        <v>1496</v>
      </c>
      <c r="C168" s="5" t="str">
        <f>IFERROR(__xludf.DUMMYFUNCTION("""COMPUTED_VALUE"""),"মোছাঃ বেলি খাতুন")</f>
        <v>মোছাঃ বেলি খাতুন</v>
      </c>
      <c r="D168" s="5">
        <f>IFERROR(__xludf.DUMMYFUNCTION("""COMPUTED_VALUE"""),5.70038356561E11)</f>
        <v>570038356561</v>
      </c>
      <c r="E168" s="5" t="str">
        <f>IFERROR(__xludf.DUMMYFUNCTION("""COMPUTED_VALUE"""),"মোঃ তাহাজউদ্দীন")</f>
        <v>মোঃ তাহাজউদ্দীন</v>
      </c>
      <c r="F168" s="5" t="str">
        <f>IFERROR(__xludf.DUMMYFUNCTION("""COMPUTED_VALUE"""),"মোছাঃ ফজিলা খাতুন")</f>
        <v>মোছাঃ ফজিলা খাতুন</v>
      </c>
      <c r="G168" s="5" t="str">
        <f>IFERROR(__xludf.DUMMYFUNCTION("""COMPUTED_VALUE"""),"১৬/০৮/১৯৭৪")</f>
        <v>১৬/০৮/১৯৭৪</v>
      </c>
      <c r="H168" s="5" t="str">
        <f>IFERROR(__xludf.DUMMYFUNCTION("""COMPUTED_VALUE"""),"গৃহিনী")</f>
        <v>গৃহিনী</v>
      </c>
      <c r="I168" s="5" t="str">
        <f>IFERROR(__xludf.DUMMYFUNCTION("""COMPUTED_VALUE"""),"গাড়ীডোব")</f>
        <v>গাড়ীডোব</v>
      </c>
      <c r="J168" s="5" t="str">
        <f>IFERROR(__xludf.DUMMYFUNCTION("""COMPUTED_VALUE""")," গাংনী")</f>
        <v> গাংনী</v>
      </c>
      <c r="K168" s="5" t="str">
        <f>IFERROR(__xludf.DUMMYFUNCTION("""COMPUTED_VALUE""")," মেহেরপুর")</f>
        <v> মেহেরপুর</v>
      </c>
    </row>
    <row r="169" ht="15.75" customHeight="1">
      <c r="A169" s="6" t="s">
        <v>7037</v>
      </c>
      <c r="B169" s="5">
        <f>IFERROR(__xludf.DUMMYFUNCTION("SPLIT(A169,"","")"),1497.0)</f>
        <v>1497</v>
      </c>
      <c r="C169" s="5" t="str">
        <f>IFERROR(__xludf.DUMMYFUNCTION("""COMPUTED_VALUE"""),"মোছাঃ সুমিতা খাতুন")</f>
        <v>মোছাঃ সুমিতা খাতুন</v>
      </c>
      <c r="D169" s="5">
        <f>IFERROR(__xludf.DUMMYFUNCTION("""COMPUTED_VALUE"""),5.70038356562E11)</f>
        <v>570038356562</v>
      </c>
      <c r="E169" s="5" t="str">
        <f>IFERROR(__xludf.DUMMYFUNCTION("""COMPUTED_VALUE"""),"মোঃ শুকুর আলী")</f>
        <v>মোঃ শুকুর আলী</v>
      </c>
      <c r="F169" s="5" t="str">
        <f>IFERROR(__xludf.DUMMYFUNCTION("""COMPUTED_VALUE"""),"মোছাঃ দাখিলা খাতুন")</f>
        <v>মোছাঃ দাখিলা খাতুন</v>
      </c>
      <c r="G169" s="5" t="str">
        <f>IFERROR(__xludf.DUMMYFUNCTION("""COMPUTED_VALUE"""),"১৮/০৯/১৯৭২")</f>
        <v>১৮/০৯/১৯৭২</v>
      </c>
      <c r="H169" s="5" t="str">
        <f>IFERROR(__xludf.DUMMYFUNCTION("""COMPUTED_VALUE"""),"গৃহিনী")</f>
        <v>গৃহিনী</v>
      </c>
      <c r="I169" s="5" t="str">
        <f>IFERROR(__xludf.DUMMYFUNCTION("""COMPUTED_VALUE"""),"গাড়ীডোব")</f>
        <v>গাড়ীডোব</v>
      </c>
      <c r="J169" s="5" t="str">
        <f>IFERROR(__xludf.DUMMYFUNCTION("""COMPUTED_VALUE""")," গাংনী")</f>
        <v> গাংনী</v>
      </c>
      <c r="K169" s="5" t="str">
        <f>IFERROR(__xludf.DUMMYFUNCTION("""COMPUTED_VALUE""")," মেহেরপুর")</f>
        <v> মেহেরপুর</v>
      </c>
    </row>
    <row r="170" ht="15.75" customHeight="1">
      <c r="A170" s="6" t="s">
        <v>7038</v>
      </c>
      <c r="B170" s="5">
        <f>IFERROR(__xludf.DUMMYFUNCTION("SPLIT(A170,"","")"),1498.0)</f>
        <v>1498</v>
      </c>
      <c r="C170" s="5" t="str">
        <f>IFERROR(__xludf.DUMMYFUNCTION("""COMPUTED_VALUE"""),"মোছাঃ রমেছা খাতুন")</f>
        <v>মোছাঃ রমেছা খাতুন</v>
      </c>
      <c r="D170" s="5">
        <f>IFERROR(__xludf.DUMMYFUNCTION("""COMPUTED_VALUE"""),5.70038356563E11)</f>
        <v>570038356563</v>
      </c>
      <c r="E170" s="5" t="str">
        <f>IFERROR(__xludf.DUMMYFUNCTION("""COMPUTED_VALUE"""),"মোঃ রহমান মোল্লা")</f>
        <v>মোঃ রহমান মোল্লা</v>
      </c>
      <c r="F170" s="5" t="str">
        <f>IFERROR(__xludf.DUMMYFUNCTION("""COMPUTED_VALUE"""),"মোছাঃ বানোয়ারা")</f>
        <v>মোছাঃ বানোয়ারা</v>
      </c>
      <c r="G170" s="5" t="str">
        <f>IFERROR(__xludf.DUMMYFUNCTION("""COMPUTED_VALUE"""),"১৫/০৮/১৯৭২")</f>
        <v>১৫/০৮/১৯৭২</v>
      </c>
      <c r="H170" s="5" t="str">
        <f>IFERROR(__xludf.DUMMYFUNCTION("""COMPUTED_VALUE"""),"গৃহিনী")</f>
        <v>গৃহিনী</v>
      </c>
      <c r="I170" s="5" t="str">
        <f>IFERROR(__xludf.DUMMYFUNCTION("""COMPUTED_VALUE"""),"গাড়ীডোব")</f>
        <v>গাড়ীডোব</v>
      </c>
      <c r="J170" s="5" t="str">
        <f>IFERROR(__xludf.DUMMYFUNCTION("""COMPUTED_VALUE""")," গাংনী")</f>
        <v> গাংনী</v>
      </c>
      <c r="K170" s="5" t="str">
        <f>IFERROR(__xludf.DUMMYFUNCTION("""COMPUTED_VALUE""")," মেহেরপুর")</f>
        <v> মেহেরপুর</v>
      </c>
    </row>
    <row r="171" ht="15.75" customHeight="1">
      <c r="A171" s="6" t="s">
        <v>7039</v>
      </c>
      <c r="B171" s="5">
        <f>IFERROR(__xludf.DUMMYFUNCTION("SPLIT(A171,"","")"),1499.0)</f>
        <v>1499</v>
      </c>
      <c r="C171" s="5" t="str">
        <f>IFERROR(__xludf.DUMMYFUNCTION("""COMPUTED_VALUE"""),"মোছাঃ রোকেয়া খাতুন")</f>
        <v>মোছাঃ রোকেয়া খাতুন</v>
      </c>
      <c r="D171" s="5">
        <f>IFERROR(__xludf.DUMMYFUNCTION("""COMPUTED_VALUE"""),5.70038356567E11)</f>
        <v>570038356567</v>
      </c>
      <c r="E171" s="5" t="str">
        <f>IFERROR(__xludf.DUMMYFUNCTION("""COMPUTED_VALUE"""),"ইসমাইল হোসেন")</f>
        <v>ইসমাইল হোসেন</v>
      </c>
      <c r="F171" s="5" t="str">
        <f>IFERROR(__xludf.DUMMYFUNCTION("""COMPUTED_VALUE"""),"মোছাঃ হাসিনা খাতুন")</f>
        <v>মোছাঃ হাসিনা খাতুন</v>
      </c>
      <c r="G171" s="5" t="str">
        <f>IFERROR(__xludf.DUMMYFUNCTION("""COMPUTED_VALUE"""),"১৮/১০/১৯৭৭")</f>
        <v>১৮/১০/১৯৭৭</v>
      </c>
      <c r="H171" s="5" t="str">
        <f>IFERROR(__xludf.DUMMYFUNCTION("""COMPUTED_VALUE"""),"গৃহিনী")</f>
        <v>গৃহিনী</v>
      </c>
      <c r="I171" s="5" t="str">
        <f>IFERROR(__xludf.DUMMYFUNCTION("""COMPUTED_VALUE"""),"গাড়ীডোব")</f>
        <v>গাড়ীডোব</v>
      </c>
      <c r="J171" s="5" t="str">
        <f>IFERROR(__xludf.DUMMYFUNCTION("""COMPUTED_VALUE""")," গাংনী")</f>
        <v> গাংনী</v>
      </c>
      <c r="K171" s="5" t="str">
        <f>IFERROR(__xludf.DUMMYFUNCTION("""COMPUTED_VALUE""")," মেহেরপুর")</f>
        <v> মেহেরপুর</v>
      </c>
    </row>
    <row r="172" ht="15.75" customHeight="1">
      <c r="A172" s="6" t="s">
        <v>7040</v>
      </c>
      <c r="B172" s="5">
        <f>IFERROR(__xludf.DUMMYFUNCTION("SPLIT(A172,"","")"),1500.0)</f>
        <v>1500</v>
      </c>
      <c r="C172" s="5" t="str">
        <f>IFERROR(__xludf.DUMMYFUNCTION("""COMPUTED_VALUE"""),"মোছাঃ বানোয়ারা খাতুন")</f>
        <v>মোছাঃ বানোয়ারা খাতুন</v>
      </c>
      <c r="D172" s="5">
        <f>IFERROR(__xludf.DUMMYFUNCTION("""COMPUTED_VALUE"""),5.70038356568E11)</f>
        <v>570038356568</v>
      </c>
      <c r="E172" s="5" t="str">
        <f>IFERROR(__xludf.DUMMYFUNCTION("""COMPUTED_VALUE"""),"নিজামুদ্দীন খাঁ")</f>
        <v>নিজামুদ্দীন খাঁ</v>
      </c>
      <c r="F172" s="5" t="str">
        <f>IFERROR(__xludf.DUMMYFUNCTION("""COMPUTED_VALUE"""),"মোছাঃ জমিরন")</f>
        <v>মোছাঃ জমিরন</v>
      </c>
      <c r="G172" s="5" t="str">
        <f>IFERROR(__xludf.DUMMYFUNCTION("""COMPUTED_VALUE"""),"১২/১১/১৯৬৭")</f>
        <v>১২/১১/১৯৬৭</v>
      </c>
      <c r="H172" s="5" t="str">
        <f>IFERROR(__xludf.DUMMYFUNCTION("""COMPUTED_VALUE"""),"গৃহিনী")</f>
        <v>গৃহিনী</v>
      </c>
      <c r="I172" s="5" t="str">
        <f>IFERROR(__xludf.DUMMYFUNCTION("""COMPUTED_VALUE"""),"গাড়ীডোব")</f>
        <v>গাড়ীডোব</v>
      </c>
      <c r="J172" s="5" t="str">
        <f>IFERROR(__xludf.DUMMYFUNCTION("""COMPUTED_VALUE""")," গাংনী")</f>
        <v> গাংনী</v>
      </c>
      <c r="K172" s="5" t="str">
        <f>IFERROR(__xludf.DUMMYFUNCTION("""COMPUTED_VALUE""")," মেহেরপুর")</f>
        <v> মেহেরপুর</v>
      </c>
    </row>
    <row r="173" ht="15.75" customHeight="1">
      <c r="A173" s="6" t="s">
        <v>7041</v>
      </c>
      <c r="B173" s="5">
        <f>IFERROR(__xludf.DUMMYFUNCTION("SPLIT(A173,"","")"),1501.0)</f>
        <v>1501</v>
      </c>
      <c r="C173" s="5" t="str">
        <f>IFERROR(__xludf.DUMMYFUNCTION("""COMPUTED_VALUE"""),"মোছাঃ জান্নাতুন")</f>
        <v>মোছাঃ জান্নাতুন</v>
      </c>
      <c r="D173" s="5">
        <f>IFERROR(__xludf.DUMMYFUNCTION("""COMPUTED_VALUE"""),5.70038356573E11)</f>
        <v>570038356573</v>
      </c>
      <c r="E173" s="5" t="str">
        <f>IFERROR(__xludf.DUMMYFUNCTION("""COMPUTED_VALUE"""),"মোঃ হাম্মাদ খাঁ")</f>
        <v>মোঃ হাম্মাদ খাঁ</v>
      </c>
      <c r="F173" s="5" t="str">
        <f>IFERROR(__xludf.DUMMYFUNCTION("""COMPUTED_VALUE"""),"মোছাঃ মোর্শেদা খাতুন")</f>
        <v>মোছাঃ মোর্শেদা খাতুন</v>
      </c>
      <c r="G173" s="5" t="str">
        <f>IFERROR(__xludf.DUMMYFUNCTION("""COMPUTED_VALUE"""),"১৯/০৯/১৯৭২")</f>
        <v>১৯/০৯/১৯৭২</v>
      </c>
      <c r="H173" s="5" t="str">
        <f>IFERROR(__xludf.DUMMYFUNCTION("""COMPUTED_VALUE"""),"গৃহিনী")</f>
        <v>গৃহিনী</v>
      </c>
      <c r="I173" s="5" t="str">
        <f>IFERROR(__xludf.DUMMYFUNCTION("""COMPUTED_VALUE"""),"গাড়ীডোব")</f>
        <v>গাড়ীডোব</v>
      </c>
      <c r="J173" s="5" t="str">
        <f>IFERROR(__xludf.DUMMYFUNCTION("""COMPUTED_VALUE""")," গাংনী")</f>
        <v> গাংনী</v>
      </c>
      <c r="K173" s="5" t="str">
        <f>IFERROR(__xludf.DUMMYFUNCTION("""COMPUTED_VALUE""")," মেহেরপুর")</f>
        <v> মেহেরপুর</v>
      </c>
    </row>
    <row r="174" ht="15.75" customHeight="1">
      <c r="A174" s="6" t="s">
        <v>7042</v>
      </c>
      <c r="B174" s="5">
        <f>IFERROR(__xludf.DUMMYFUNCTION("SPLIT(A174,"","")"),1502.0)</f>
        <v>1502</v>
      </c>
      <c r="C174" s="5" t="str">
        <f>IFERROR(__xludf.DUMMYFUNCTION("""COMPUTED_VALUE"""),"মোছাঃ আনজুমান আরা")</f>
        <v>মোছাঃ আনজুমান আরা</v>
      </c>
      <c r="D174" s="5">
        <f>IFERROR(__xludf.DUMMYFUNCTION("""COMPUTED_VALUE"""),5.70038356575E11)</f>
        <v>570038356575</v>
      </c>
      <c r="E174" s="5" t="str">
        <f>IFERROR(__xludf.DUMMYFUNCTION("""COMPUTED_VALUE"""),"আরজেল হক")</f>
        <v>আরজেল হক</v>
      </c>
      <c r="F174" s="5" t="str">
        <f>IFERROR(__xludf.DUMMYFUNCTION("""COMPUTED_VALUE"""),"মোছাঃ শাহেরা খাতুন")</f>
        <v>মোছাঃ শাহেরা খাতুন</v>
      </c>
      <c r="G174" s="5" t="str">
        <f>IFERROR(__xludf.DUMMYFUNCTION("""COMPUTED_VALUE"""),"২৫/০৫/১৯৮২")</f>
        <v>২৫/০৫/১৯৮২</v>
      </c>
      <c r="H174" s="5" t="str">
        <f>IFERROR(__xludf.DUMMYFUNCTION("""COMPUTED_VALUE"""),"গৃহিনী")</f>
        <v>গৃহিনী</v>
      </c>
      <c r="I174" s="5" t="str">
        <f>IFERROR(__xludf.DUMMYFUNCTION("""COMPUTED_VALUE"""),"গাড়ীডোব")</f>
        <v>গাড়ীডোব</v>
      </c>
      <c r="J174" s="5" t="str">
        <f>IFERROR(__xludf.DUMMYFUNCTION("""COMPUTED_VALUE""")," গাংনী")</f>
        <v> গাংনী</v>
      </c>
      <c r="K174" s="5" t="str">
        <f>IFERROR(__xludf.DUMMYFUNCTION("""COMPUTED_VALUE""")," মেহেরপুর")</f>
        <v> মেহেরপুর</v>
      </c>
    </row>
    <row r="175" ht="15.75" customHeight="1">
      <c r="A175" s="6" t="s">
        <v>7043</v>
      </c>
      <c r="B175" s="5">
        <f>IFERROR(__xludf.DUMMYFUNCTION("SPLIT(A175,"","")"),1503.0)</f>
        <v>1503</v>
      </c>
      <c r="C175" s="5" t="str">
        <f>IFERROR(__xludf.DUMMYFUNCTION("""COMPUTED_VALUE"""),"মোছাঃ রাশিদা খাতুন")</f>
        <v>মোছাঃ রাশিদা খাতুন</v>
      </c>
      <c r="D175" s="5">
        <f>IFERROR(__xludf.DUMMYFUNCTION("""COMPUTED_VALUE"""),5.70038356579E11)</f>
        <v>570038356579</v>
      </c>
      <c r="E175" s="5" t="str">
        <f>IFERROR(__xludf.DUMMYFUNCTION("""COMPUTED_VALUE"""),"মোঃ কাবাতুল্লাহ")</f>
        <v>মোঃ কাবাতুল্লাহ</v>
      </c>
      <c r="F175" s="5" t="str">
        <f>IFERROR(__xludf.DUMMYFUNCTION("""COMPUTED_VALUE"""),"মোছাঃ কহিনুর")</f>
        <v>মোছাঃ কহিনুর</v>
      </c>
      <c r="G175" s="5" t="str">
        <f>IFERROR(__xludf.DUMMYFUNCTION("""COMPUTED_VALUE"""),"১৮/০৮/১৯৮১")</f>
        <v>১৮/০৮/১৯৮১</v>
      </c>
      <c r="H175" s="5" t="str">
        <f>IFERROR(__xludf.DUMMYFUNCTION("""COMPUTED_VALUE"""),"গৃহিনী")</f>
        <v>গৃহিনী</v>
      </c>
      <c r="I175" s="5" t="str">
        <f>IFERROR(__xludf.DUMMYFUNCTION("""COMPUTED_VALUE"""),"গাড়ীডোব")</f>
        <v>গাড়ীডোব</v>
      </c>
      <c r="J175" s="5" t="str">
        <f>IFERROR(__xludf.DUMMYFUNCTION("""COMPUTED_VALUE""")," গাংনী")</f>
        <v> গাংনী</v>
      </c>
      <c r="K175" s="5" t="str">
        <f>IFERROR(__xludf.DUMMYFUNCTION("""COMPUTED_VALUE""")," মেহেরপুর")</f>
        <v> মেহেরপুর</v>
      </c>
    </row>
    <row r="176" ht="15.75" customHeight="1">
      <c r="A176" s="6" t="s">
        <v>7044</v>
      </c>
      <c r="B176" s="5">
        <f>IFERROR(__xludf.DUMMYFUNCTION("SPLIT(A176,"","")"),1504.0)</f>
        <v>1504</v>
      </c>
      <c r="C176" s="5" t="str">
        <f>IFERROR(__xludf.DUMMYFUNCTION("""COMPUTED_VALUE"""),"মোছাঃ আলিয়া খাতুন")</f>
        <v>মোছাঃ আলিয়া খাতুন</v>
      </c>
      <c r="D176" s="5">
        <f>IFERROR(__xludf.DUMMYFUNCTION("""COMPUTED_VALUE"""),5.70038356581E11)</f>
        <v>570038356581</v>
      </c>
      <c r="E176" s="5" t="str">
        <f>IFERROR(__xludf.DUMMYFUNCTION("""COMPUTED_VALUE"""),"মফিজ উদ্দীন শেখ")</f>
        <v>মফিজ উদ্দীন শেখ</v>
      </c>
      <c r="F176" s="5" t="str">
        <f>IFERROR(__xludf.DUMMYFUNCTION("""COMPUTED_VALUE"""),"ফজিলা খাতুন")</f>
        <v>ফজিলা খাতুন</v>
      </c>
      <c r="G176" s="5" t="str">
        <f>IFERROR(__xludf.DUMMYFUNCTION("""COMPUTED_VALUE"""),"২২/১০/১৯৬৭")</f>
        <v>২২/১০/১৯৬৭</v>
      </c>
      <c r="H176" s="5" t="str">
        <f>IFERROR(__xludf.DUMMYFUNCTION("""COMPUTED_VALUE"""),"গৃহিনী")</f>
        <v>গৃহিনী</v>
      </c>
      <c r="I176" s="5" t="str">
        <f>IFERROR(__xludf.DUMMYFUNCTION("""COMPUTED_VALUE"""),"গাড়ীডোব")</f>
        <v>গাড়ীডোব</v>
      </c>
      <c r="J176" s="5" t="str">
        <f>IFERROR(__xludf.DUMMYFUNCTION("""COMPUTED_VALUE""")," গাংনী")</f>
        <v> গাংনী</v>
      </c>
      <c r="K176" s="5" t="str">
        <f>IFERROR(__xludf.DUMMYFUNCTION("""COMPUTED_VALUE""")," মেহেরপুর")</f>
        <v> মেহেরপুর</v>
      </c>
    </row>
    <row r="177" ht="15.75" customHeight="1">
      <c r="A177" s="6" t="s">
        <v>7045</v>
      </c>
      <c r="B177" s="5">
        <f>IFERROR(__xludf.DUMMYFUNCTION("SPLIT(A177,"","")"),1505.0)</f>
        <v>1505</v>
      </c>
      <c r="C177" s="5" t="str">
        <f>IFERROR(__xludf.DUMMYFUNCTION("""COMPUTED_VALUE"""),"মোছাঃ রওশন আরা বেগম")</f>
        <v>মোছাঃ রওশন আরা বেগম</v>
      </c>
      <c r="D177" s="5">
        <f>IFERROR(__xludf.DUMMYFUNCTION("""COMPUTED_VALUE"""),5.70038356543E11)</f>
        <v>570038356543</v>
      </c>
      <c r="E177" s="5" t="str">
        <f>IFERROR(__xludf.DUMMYFUNCTION("""COMPUTED_VALUE"""),"মীর আব্দুর রউফ")</f>
        <v>মীর আব্দুর রউফ</v>
      </c>
      <c r="F177" s="5" t="str">
        <f>IFERROR(__xludf.DUMMYFUNCTION("""COMPUTED_VALUE"""),"মোছাঃ আছিয়া খাতুন")</f>
        <v>মোছাঃ আছিয়া খাতুন</v>
      </c>
      <c r="G177" s="5" t="str">
        <f>IFERROR(__xludf.DUMMYFUNCTION("""COMPUTED_VALUE"""),"১৩/০৬/১৯৫৩")</f>
        <v>১৩/০৬/১৯৫৩</v>
      </c>
      <c r="H177" s="5" t="str">
        <f>IFERROR(__xludf.DUMMYFUNCTION("""COMPUTED_VALUE"""),"গৃহিনী")</f>
        <v>গৃহিনী</v>
      </c>
      <c r="I177" s="5" t="str">
        <f>IFERROR(__xludf.DUMMYFUNCTION("""COMPUTED_VALUE"""),"গাড়ীডোব")</f>
        <v>গাড়ীডোব</v>
      </c>
      <c r="J177" s="5" t="str">
        <f>IFERROR(__xludf.DUMMYFUNCTION("""COMPUTED_VALUE""")," গাংনী")</f>
        <v> গাংনী</v>
      </c>
      <c r="K177" s="5" t="str">
        <f>IFERROR(__xludf.DUMMYFUNCTION("""COMPUTED_VALUE""")," মেহেরপুর")</f>
        <v> মেহেরপুর</v>
      </c>
    </row>
    <row r="178" ht="15.75" customHeight="1">
      <c r="A178" s="6" t="s">
        <v>7046</v>
      </c>
      <c r="B178" s="5">
        <f>IFERROR(__xludf.DUMMYFUNCTION("SPLIT(A178,"","")"),1506.0)</f>
        <v>1506</v>
      </c>
      <c r="C178" s="5" t="str">
        <f>IFERROR(__xludf.DUMMYFUNCTION("""COMPUTED_VALUE"""),"মোছাঃ সুরজিয়া খানম")</f>
        <v>মোছাঃ সুরজিয়া খানম</v>
      </c>
      <c r="D178" s="5">
        <f>IFERROR(__xludf.DUMMYFUNCTION("""COMPUTED_VALUE"""),5.70038356545E11)</f>
        <v>570038356545</v>
      </c>
      <c r="E178" s="5" t="str">
        <f>IFERROR(__xludf.DUMMYFUNCTION("""COMPUTED_VALUE"""),"মোঃ শামসুল আলম খান")</f>
        <v>মোঃ শামসুল আলম খান</v>
      </c>
      <c r="F178" s="5" t="str">
        <f>IFERROR(__xludf.DUMMYFUNCTION("""COMPUTED_VALUE"""),"মোছাঃ সুফিয়া খাতুন")</f>
        <v>মোছাঃ সুফিয়া খাতুন</v>
      </c>
      <c r="G178" s="5" t="str">
        <f>IFERROR(__xludf.DUMMYFUNCTION("""COMPUTED_VALUE"""),"২৯/১১/১৯৭৫")</f>
        <v>২৯/১১/১৯৭৫</v>
      </c>
      <c r="H178" s="5" t="str">
        <f>IFERROR(__xludf.DUMMYFUNCTION("""COMPUTED_VALUE"""),"গৃহিনী")</f>
        <v>গৃহিনী</v>
      </c>
      <c r="I178" s="5" t="str">
        <f>IFERROR(__xludf.DUMMYFUNCTION("""COMPUTED_VALUE"""),"গাড়ীডোব")</f>
        <v>গাড়ীডোব</v>
      </c>
      <c r="J178" s="5" t="str">
        <f>IFERROR(__xludf.DUMMYFUNCTION("""COMPUTED_VALUE""")," গাংনী")</f>
        <v> গাংনী</v>
      </c>
      <c r="K178" s="5" t="str">
        <f>IFERROR(__xludf.DUMMYFUNCTION("""COMPUTED_VALUE""")," মেহেরপুর")</f>
        <v> মেহেরপুর</v>
      </c>
    </row>
    <row r="179" ht="15.75" customHeight="1">
      <c r="A179" s="6" t="s">
        <v>7047</v>
      </c>
      <c r="B179" s="5">
        <f>IFERROR(__xludf.DUMMYFUNCTION("SPLIT(A179,"","")"),1507.0)</f>
        <v>1507</v>
      </c>
      <c r="C179" s="5" t="str">
        <f>IFERROR(__xludf.DUMMYFUNCTION("""COMPUTED_VALUE"""),"মোছাঃ সাহারা বেগম")</f>
        <v>মোছাঃ সাহারা বেগম</v>
      </c>
      <c r="D179" s="5">
        <f>IFERROR(__xludf.DUMMYFUNCTION("""COMPUTED_VALUE"""),5.70038356548E11)</f>
        <v>570038356548</v>
      </c>
      <c r="E179" s="5" t="str">
        <f>IFERROR(__xludf.DUMMYFUNCTION("""COMPUTED_VALUE"""),"ছফিরুদ্দিন খান")</f>
        <v>ছফিরুদ্দিন খান</v>
      </c>
      <c r="F179" s="5" t="str">
        <f>IFERROR(__xludf.DUMMYFUNCTION("""COMPUTED_VALUE"""),"মোছাঃ নুরজাহান")</f>
        <v>মোছাঃ নুরজাহান</v>
      </c>
      <c r="G179" s="5" t="str">
        <f>IFERROR(__xludf.DUMMYFUNCTION("""COMPUTED_VALUE"""),"১২/১২/১৯৬১")</f>
        <v>১২/১২/১৯৬১</v>
      </c>
      <c r="H179" s="5" t="str">
        <f>IFERROR(__xludf.DUMMYFUNCTION("""COMPUTED_VALUE"""),"গৃহিনী")</f>
        <v>গৃহিনী</v>
      </c>
      <c r="I179" s="5" t="str">
        <f>IFERROR(__xludf.DUMMYFUNCTION("""COMPUTED_VALUE"""),"গাড়ীডোব")</f>
        <v>গাড়ীডোব</v>
      </c>
      <c r="J179" s="5" t="str">
        <f>IFERROR(__xludf.DUMMYFUNCTION("""COMPUTED_VALUE""")," গাংনী")</f>
        <v> গাংনী</v>
      </c>
      <c r="K179" s="5" t="str">
        <f>IFERROR(__xludf.DUMMYFUNCTION("""COMPUTED_VALUE""")," মেহেরপুর")</f>
        <v> মেহেরপুর</v>
      </c>
    </row>
    <row r="180" ht="15.75" customHeight="1">
      <c r="A180" s="6" t="s">
        <v>7048</v>
      </c>
      <c r="B180" s="5">
        <f>IFERROR(__xludf.DUMMYFUNCTION("SPLIT(A180,"","")"),1508.0)</f>
        <v>1508</v>
      </c>
      <c r="C180" s="5" t="str">
        <f>IFERROR(__xludf.DUMMYFUNCTION("""COMPUTED_VALUE"""),"মোছাঃ মরিয়ম খাতুন")</f>
        <v>মোছাঃ মরিয়ম খাতুন</v>
      </c>
      <c r="D180" s="5">
        <f>IFERROR(__xludf.DUMMYFUNCTION("""COMPUTED_VALUE"""),5.7003835659E11)</f>
        <v>570038356590</v>
      </c>
      <c r="E180" s="5" t="str">
        <f>IFERROR(__xludf.DUMMYFUNCTION("""COMPUTED_VALUE"""),"মোঃ মসলেম উদ্দীন")</f>
        <v>মোঃ মসলেম উদ্দীন</v>
      </c>
      <c r="F180" s="5" t="str">
        <f>IFERROR(__xludf.DUMMYFUNCTION("""COMPUTED_VALUE"""),"মোছাঃ নিহারন বিবি")</f>
        <v>মোছাঃ নিহারন বিবি</v>
      </c>
      <c r="G180" s="5" t="str">
        <f>IFERROR(__xludf.DUMMYFUNCTION("""COMPUTED_VALUE"""),"১৪/১১/১৯৭৭")</f>
        <v>১৪/১১/১৯৭৭</v>
      </c>
      <c r="H180" s="5" t="str">
        <f>IFERROR(__xludf.DUMMYFUNCTION("""COMPUTED_VALUE"""),"গৃহিনী")</f>
        <v>গৃহিনী</v>
      </c>
      <c r="I180" s="5" t="str">
        <f>IFERROR(__xludf.DUMMYFUNCTION("""COMPUTED_VALUE"""),"গাড়ীডোব")</f>
        <v>গাড়ীডোব</v>
      </c>
      <c r="J180" s="5" t="str">
        <f>IFERROR(__xludf.DUMMYFUNCTION("""COMPUTED_VALUE""")," গাংনী")</f>
        <v> গাংনী</v>
      </c>
      <c r="K180" s="5" t="str">
        <f>IFERROR(__xludf.DUMMYFUNCTION("""COMPUTED_VALUE""")," মেহেরপুর")</f>
        <v> মেহেরপুর</v>
      </c>
    </row>
    <row r="181" ht="15.75" customHeight="1">
      <c r="A181" s="6" t="s">
        <v>7049</v>
      </c>
      <c r="B181" s="5">
        <f>IFERROR(__xludf.DUMMYFUNCTION("SPLIT(A181,"","")"),1509.0)</f>
        <v>1509</v>
      </c>
      <c r="C181" s="5" t="str">
        <f>IFERROR(__xludf.DUMMYFUNCTION("""COMPUTED_VALUE"""),"মোছাঃ নাসরিন খাতুন")</f>
        <v>মোছাঃ নাসরিন খাতুন</v>
      </c>
      <c r="D181" s="5">
        <f>IFERROR(__xludf.DUMMYFUNCTION("""COMPUTED_VALUE"""),5.70038356594E11)</f>
        <v>570038356594</v>
      </c>
      <c r="E181" s="5" t="str">
        <f>IFERROR(__xludf.DUMMYFUNCTION("""COMPUTED_VALUE"""),"মোঃ আহাম্মাদ আলী")</f>
        <v>মোঃ আহাম্মাদ আলী</v>
      </c>
      <c r="F181" s="5" t="str">
        <f>IFERROR(__xludf.DUMMYFUNCTION("""COMPUTED_VALUE"""),"মোছাঃ সোনাভানু")</f>
        <v>মোছাঃ সোনাভানু</v>
      </c>
      <c r="G181" s="5" t="str">
        <f>IFERROR(__xludf.DUMMYFUNCTION("""COMPUTED_VALUE"""),"১৯/০৮/১৯৮০")</f>
        <v>১৯/০৮/১৯৮০</v>
      </c>
      <c r="H181" s="5" t="str">
        <f>IFERROR(__xludf.DUMMYFUNCTION("""COMPUTED_VALUE"""),"গৃহিনী")</f>
        <v>গৃহিনী</v>
      </c>
      <c r="I181" s="5" t="str">
        <f>IFERROR(__xludf.DUMMYFUNCTION("""COMPUTED_VALUE"""),"গাড়ীডোব")</f>
        <v>গাড়ীডোব</v>
      </c>
      <c r="J181" s="5" t="str">
        <f>IFERROR(__xludf.DUMMYFUNCTION("""COMPUTED_VALUE""")," গাংনী")</f>
        <v> গাংনী</v>
      </c>
      <c r="K181" s="5" t="str">
        <f>IFERROR(__xludf.DUMMYFUNCTION("""COMPUTED_VALUE""")," মেহেরপুর")</f>
        <v> মেহেরপুর</v>
      </c>
    </row>
    <row r="182" ht="15.75" customHeight="1">
      <c r="A182" s="6" t="s">
        <v>7050</v>
      </c>
      <c r="B182" s="5">
        <f>IFERROR(__xludf.DUMMYFUNCTION("SPLIT(A182,"","")"),1528.0)</f>
        <v>1528</v>
      </c>
      <c r="C182" s="5" t="str">
        <f>IFERROR(__xludf.DUMMYFUNCTION("""COMPUTED_VALUE"""),"মোছাঃ ফাতেমা খাতুন")</f>
        <v>মোছাঃ ফাতেমা খাতুন</v>
      </c>
      <c r="D182" s="5">
        <f>IFERROR(__xludf.DUMMYFUNCTION("""COMPUTED_VALUE"""),5.70038356595E11)</f>
        <v>570038356595</v>
      </c>
      <c r="E182" s="5" t="str">
        <f>IFERROR(__xludf.DUMMYFUNCTION("""COMPUTED_VALUE"""),"মোঃ নজরুল ইসলাম")</f>
        <v>মোঃ নজরুল ইসলাম</v>
      </c>
      <c r="F182" s="5" t="str">
        <f>IFERROR(__xludf.DUMMYFUNCTION("""COMPUTED_VALUE"""),"মোছাঃ ফজিলা বেগম")</f>
        <v>মোছাঃ ফজিলা বেগম</v>
      </c>
      <c r="G182" s="5" t="str">
        <f>IFERROR(__xludf.DUMMYFUNCTION("""COMPUTED_VALUE"""),"১৮/১০/১৯৭৬")</f>
        <v>১৮/১০/১৯৭৬</v>
      </c>
      <c r="H182" s="5" t="str">
        <f>IFERROR(__xludf.DUMMYFUNCTION("""COMPUTED_VALUE"""),"গৃহিনী")</f>
        <v>গৃহিনী</v>
      </c>
      <c r="I182" s="5" t="str">
        <f>IFERROR(__xludf.DUMMYFUNCTION("""COMPUTED_VALUE"""),"গাড়ীডোব")</f>
        <v>গাড়ীডোব</v>
      </c>
      <c r="J182" s="5" t="str">
        <f>IFERROR(__xludf.DUMMYFUNCTION("""COMPUTED_VALUE""")," গাংনী")</f>
        <v> গাংনী</v>
      </c>
      <c r="K182" s="5" t="str">
        <f>IFERROR(__xludf.DUMMYFUNCTION("""COMPUTED_VALUE""")," মেহেরপুর")</f>
        <v> মেহেরপুর</v>
      </c>
    </row>
    <row r="183" ht="15.75" customHeight="1">
      <c r="A183" s="6" t="s">
        <v>7051</v>
      </c>
      <c r="B183" s="5">
        <f>IFERROR(__xludf.DUMMYFUNCTION("SPLIT(A183,"","")"),1529.0)</f>
        <v>1529</v>
      </c>
      <c r="C183" s="5" t="str">
        <f>IFERROR(__xludf.DUMMYFUNCTION("""COMPUTED_VALUE"""),"মোছাঃ সারজিনা খাতুন")</f>
        <v>মোছাঃ সারজিনা খাতুন</v>
      </c>
      <c r="D183" s="5">
        <f>IFERROR(__xludf.DUMMYFUNCTION("""COMPUTED_VALUE"""),5.70038356598E11)</f>
        <v>570038356598</v>
      </c>
      <c r="E183" s="5" t="str">
        <f>IFERROR(__xludf.DUMMYFUNCTION("""COMPUTED_VALUE"""),"মোঃ শাহজাহান আলী")</f>
        <v>মোঃ শাহজাহান আলী</v>
      </c>
      <c r="F183" s="5" t="str">
        <f>IFERROR(__xludf.DUMMYFUNCTION("""COMPUTED_VALUE"""),"মোছাঃ আলিয়া খাতুন")</f>
        <v>মোছাঃ আলিয়া খাতুন</v>
      </c>
      <c r="G183" s="5" t="str">
        <f>IFERROR(__xludf.DUMMYFUNCTION("""COMPUTED_VALUE"""),"১৫/০৮/১৯৮০")</f>
        <v>১৫/০৮/১৯৮০</v>
      </c>
      <c r="H183" s="5" t="str">
        <f>IFERROR(__xludf.DUMMYFUNCTION("""COMPUTED_VALUE"""),"গৃহিনী")</f>
        <v>গৃহিনী</v>
      </c>
      <c r="I183" s="5" t="str">
        <f>IFERROR(__xludf.DUMMYFUNCTION("""COMPUTED_VALUE"""),"গাড়ীডোব")</f>
        <v>গাড়ীডোব</v>
      </c>
      <c r="J183" s="5" t="str">
        <f>IFERROR(__xludf.DUMMYFUNCTION("""COMPUTED_VALUE""")," গাংনী")</f>
        <v> গাংনী</v>
      </c>
      <c r="K183" s="5" t="str">
        <f>IFERROR(__xludf.DUMMYFUNCTION("""COMPUTED_VALUE""")," মেহেরপুর")</f>
        <v> মেহেরপুর</v>
      </c>
    </row>
    <row r="184" ht="15.75" customHeight="1">
      <c r="A184" s="6" t="s">
        <v>7052</v>
      </c>
      <c r="B184" s="5">
        <f>IFERROR(__xludf.DUMMYFUNCTION("SPLIT(A184,"","")"),1530.0)</f>
        <v>1530</v>
      </c>
      <c r="C184" s="5" t="str">
        <f>IFERROR(__xludf.DUMMYFUNCTION("""COMPUTED_VALUE"""),"মোছাঃ আফরোজা খাতুন")</f>
        <v>মোছাঃ আফরোজা খাতুন</v>
      </c>
      <c r="D184" s="5">
        <f>IFERROR(__xludf.DUMMYFUNCTION("""COMPUTED_VALUE"""),5.70038356599E11)</f>
        <v>570038356599</v>
      </c>
      <c r="E184" s="5" t="str">
        <f>IFERROR(__xludf.DUMMYFUNCTION("""COMPUTED_VALUE"""),"মোঃ জয়নাল হোসেন")</f>
        <v>মোঃ জয়নাল হোসেন</v>
      </c>
      <c r="F184" s="5" t="str">
        <f>IFERROR(__xludf.DUMMYFUNCTION("""COMPUTED_VALUE"""),"মোছাঃ হামেদা খাতুন")</f>
        <v>মোছাঃ হামেদা খাতুন</v>
      </c>
      <c r="G184" s="5" t="str">
        <f>IFERROR(__xludf.DUMMYFUNCTION("""COMPUTED_VALUE"""),"১০/১১/১৯৮৬")</f>
        <v>১০/১১/১৯৮৬</v>
      </c>
      <c r="H184" s="5" t="str">
        <f>IFERROR(__xludf.DUMMYFUNCTION("""COMPUTED_VALUE"""),"গৃহিনী")</f>
        <v>গৃহিনী</v>
      </c>
      <c r="I184" s="5" t="str">
        <f>IFERROR(__xludf.DUMMYFUNCTION("""COMPUTED_VALUE"""),"গাড়ীডোব")</f>
        <v>গাড়ীডোব</v>
      </c>
      <c r="J184" s="5" t="str">
        <f>IFERROR(__xludf.DUMMYFUNCTION("""COMPUTED_VALUE""")," গাংনী")</f>
        <v> গাংনী</v>
      </c>
      <c r="K184" s="5" t="str">
        <f>IFERROR(__xludf.DUMMYFUNCTION("""COMPUTED_VALUE""")," মেহেরপুর")</f>
        <v> মেহেরপুর</v>
      </c>
    </row>
    <row r="185" ht="15.75" customHeight="1">
      <c r="A185" s="6" t="s">
        <v>7053</v>
      </c>
      <c r="B185" s="5">
        <f>IFERROR(__xludf.DUMMYFUNCTION("SPLIT(A185,"","")"),1531.0)</f>
        <v>1531</v>
      </c>
      <c r="C185" s="5" t="str">
        <f>IFERROR(__xludf.DUMMYFUNCTION("""COMPUTED_VALUE"""),"মোছাঃ সাবিরন খাতুন")</f>
        <v>মোছাঃ সাবিরন খাতুন</v>
      </c>
      <c r="D185" s="5">
        <f>IFERROR(__xludf.DUMMYFUNCTION("""COMPUTED_VALUE"""),5.700383566E11)</f>
        <v>570038356600</v>
      </c>
      <c r="E185" s="5" t="str">
        <f>IFERROR(__xludf.DUMMYFUNCTION("""COMPUTED_VALUE"""),"খয়ের উদ্দীন")</f>
        <v>খয়ের উদ্দীন</v>
      </c>
      <c r="F185" s="5" t="str">
        <f>IFERROR(__xludf.DUMMYFUNCTION("""COMPUTED_VALUE"""),"মোছাঃ রাবিয়া খাতুন")</f>
        <v>মোছাঃ রাবিয়া খাতুন</v>
      </c>
      <c r="G185" s="5" t="str">
        <f>IFERROR(__xludf.DUMMYFUNCTION("""COMPUTED_VALUE"""),"১১/০৮/১৯৭২")</f>
        <v>১১/০৮/১৯৭২</v>
      </c>
      <c r="H185" s="5" t="str">
        <f>IFERROR(__xludf.DUMMYFUNCTION("""COMPUTED_VALUE"""),"গৃহিনী")</f>
        <v>গৃহিনী</v>
      </c>
      <c r="I185" s="5" t="str">
        <f>IFERROR(__xludf.DUMMYFUNCTION("""COMPUTED_VALUE"""),"গাড়ীডোব")</f>
        <v>গাড়ীডোব</v>
      </c>
      <c r="J185" s="5" t="str">
        <f>IFERROR(__xludf.DUMMYFUNCTION("""COMPUTED_VALUE""")," গাংনী")</f>
        <v> গাংনী</v>
      </c>
      <c r="K185" s="5" t="str">
        <f>IFERROR(__xludf.DUMMYFUNCTION("""COMPUTED_VALUE""")," মেহেরপুর")</f>
        <v> মেহেরপুর</v>
      </c>
    </row>
    <row r="186" ht="15.75" customHeight="1">
      <c r="A186" s="6" t="s">
        <v>7054</v>
      </c>
      <c r="B186" s="5">
        <f>IFERROR(__xludf.DUMMYFUNCTION("SPLIT(A186,"","")"),1532.0)</f>
        <v>1532</v>
      </c>
      <c r="C186" s="5" t="str">
        <f>IFERROR(__xludf.DUMMYFUNCTION("""COMPUTED_VALUE"""),"মোছাঃ নাছিমা খাতুন")</f>
        <v>মোছাঃ নাছিমা খাতুন</v>
      </c>
      <c r="D186" s="5">
        <f>IFERROR(__xludf.DUMMYFUNCTION("""COMPUTED_VALUE"""),5.70038356601E11)</f>
        <v>570038356601</v>
      </c>
      <c r="E186" s="5" t="str">
        <f>IFERROR(__xludf.DUMMYFUNCTION("""COMPUTED_VALUE"""),"মোঃ শাবর হক")</f>
        <v>মোঃ শাবর হক</v>
      </c>
      <c r="F186" s="5" t="str">
        <f>IFERROR(__xludf.DUMMYFUNCTION("""COMPUTED_VALUE"""),"মোছাঃ সোনাভানু")</f>
        <v>মোছাঃ সোনাভানু</v>
      </c>
      <c r="G186" s="5" t="str">
        <f>IFERROR(__xludf.DUMMYFUNCTION("""COMPUTED_VALUE"""),"১০/০৬/১৯৭৭")</f>
        <v>১০/০৬/১৯৭৭</v>
      </c>
      <c r="H186" s="5" t="str">
        <f>IFERROR(__xludf.DUMMYFUNCTION("""COMPUTED_VALUE"""),"গৃহিনী")</f>
        <v>গৃহিনী</v>
      </c>
      <c r="I186" s="5" t="str">
        <f>IFERROR(__xludf.DUMMYFUNCTION("""COMPUTED_VALUE"""),"গাড়ীডোব")</f>
        <v>গাড়ীডোব</v>
      </c>
      <c r="J186" s="5" t="str">
        <f>IFERROR(__xludf.DUMMYFUNCTION("""COMPUTED_VALUE""")," গাংনী")</f>
        <v> গাংনী</v>
      </c>
      <c r="K186" s="5" t="str">
        <f>IFERROR(__xludf.DUMMYFUNCTION("""COMPUTED_VALUE""")," মেহেরপুর")</f>
        <v> মেহেরপুর</v>
      </c>
    </row>
    <row r="187" ht="15.75" customHeight="1">
      <c r="A187" s="6" t="s">
        <v>7055</v>
      </c>
      <c r="B187" s="5">
        <f>IFERROR(__xludf.DUMMYFUNCTION("SPLIT(A187,"","")"),1533.0)</f>
        <v>1533</v>
      </c>
      <c r="C187" s="5" t="str">
        <f>IFERROR(__xludf.DUMMYFUNCTION("""COMPUTED_VALUE"""),"আনজুমানয়ারা")</f>
        <v>আনজুমানয়ারা</v>
      </c>
      <c r="D187" s="5">
        <f>IFERROR(__xludf.DUMMYFUNCTION("""COMPUTED_VALUE"""),5.70038356606E11)</f>
        <v>570038356606</v>
      </c>
      <c r="E187" s="5" t="str">
        <f>IFERROR(__xludf.DUMMYFUNCTION("""COMPUTED_VALUE"""),"আসমত আলী")</f>
        <v>আসমত আলী</v>
      </c>
      <c r="F187" s="5" t="str">
        <f>IFERROR(__xludf.DUMMYFUNCTION("""COMPUTED_VALUE"""),"মোছাঃ রওশন আরা বেগম")</f>
        <v>মোছাঃ রওশন আরা বেগম</v>
      </c>
      <c r="G187" s="5" t="str">
        <f>IFERROR(__xludf.DUMMYFUNCTION("""COMPUTED_VALUE"""),"০৬/০৮/১৯৭২")</f>
        <v>০৬/০৮/১৯৭২</v>
      </c>
      <c r="H187" s="5" t="str">
        <f>IFERROR(__xludf.DUMMYFUNCTION("""COMPUTED_VALUE"""),"গৃহিনী")</f>
        <v>গৃহিনী</v>
      </c>
      <c r="I187" s="5" t="str">
        <f>IFERROR(__xludf.DUMMYFUNCTION("""COMPUTED_VALUE"""),"গাড়ীডোব")</f>
        <v>গাড়ীডোব</v>
      </c>
      <c r="J187" s="5" t="str">
        <f>IFERROR(__xludf.DUMMYFUNCTION("""COMPUTED_VALUE""")," গাংনী")</f>
        <v> গাংনী</v>
      </c>
      <c r="K187" s="5" t="str">
        <f>IFERROR(__xludf.DUMMYFUNCTION("""COMPUTED_VALUE""")," মেহেরপুর")</f>
        <v> মেহেরপুর</v>
      </c>
    </row>
    <row r="188" ht="15.75" customHeight="1">
      <c r="A188" s="6" t="s">
        <v>7056</v>
      </c>
      <c r="B188" s="5">
        <f>IFERROR(__xludf.DUMMYFUNCTION("SPLIT(A188,"","")"),1534.0)</f>
        <v>1534</v>
      </c>
      <c r="C188" s="5" t="str">
        <f>IFERROR(__xludf.DUMMYFUNCTION("""COMPUTED_VALUE"""),"মোছাঃ সেলিনা খাতুন")</f>
        <v>মোছাঃ সেলিনা খাতুন</v>
      </c>
      <c r="D188" s="5">
        <f>IFERROR(__xludf.DUMMYFUNCTION("""COMPUTED_VALUE"""),5.7003835661E11)</f>
        <v>570038356610</v>
      </c>
      <c r="E188" s="5" t="str">
        <f>IFERROR(__xludf.DUMMYFUNCTION("""COMPUTED_VALUE"""),"গরীব শা")</f>
        <v>গরীব শা</v>
      </c>
      <c r="F188" s="5" t="str">
        <f>IFERROR(__xludf.DUMMYFUNCTION("""COMPUTED_VALUE"""),"মোছাঃ নিহারন নেছা")</f>
        <v>মোছাঃ নিহারন নেছা</v>
      </c>
      <c r="G188" s="5" t="str">
        <f>IFERROR(__xludf.DUMMYFUNCTION("""COMPUTED_VALUE"""),"১২/১০/১৯৭৭")</f>
        <v>১২/১০/১৯৭৭</v>
      </c>
      <c r="H188" s="5" t="str">
        <f>IFERROR(__xludf.DUMMYFUNCTION("""COMPUTED_VALUE"""),"গৃহিনী")</f>
        <v>গৃহিনী</v>
      </c>
      <c r="I188" s="5" t="str">
        <f>IFERROR(__xludf.DUMMYFUNCTION("""COMPUTED_VALUE"""),"গাড়ীডোব")</f>
        <v>গাড়ীডোব</v>
      </c>
      <c r="J188" s="5" t="str">
        <f>IFERROR(__xludf.DUMMYFUNCTION("""COMPUTED_VALUE""")," গাংনী")</f>
        <v> গাংনী</v>
      </c>
      <c r="K188" s="5" t="str">
        <f>IFERROR(__xludf.DUMMYFUNCTION("""COMPUTED_VALUE""")," মেহেরপুর")</f>
        <v> মেহেরপুর</v>
      </c>
    </row>
    <row r="189" ht="15.75" customHeight="1">
      <c r="A189" s="6" t="s">
        <v>7057</v>
      </c>
      <c r="B189" s="5">
        <f>IFERROR(__xludf.DUMMYFUNCTION("SPLIT(A189,"","")"),1535.0)</f>
        <v>1535</v>
      </c>
      <c r="C189" s="5" t="str">
        <f>IFERROR(__xludf.DUMMYFUNCTION("""COMPUTED_VALUE"""),"মোছাঃ আকলিমা খাতুন")</f>
        <v>মোছাঃ আকলিমা খাতুন</v>
      </c>
      <c r="D189" s="5">
        <f>IFERROR(__xludf.DUMMYFUNCTION("""COMPUTED_VALUE"""),5.70038356611E11)</f>
        <v>570038356611</v>
      </c>
      <c r="E189" s="5" t="str">
        <f>IFERROR(__xludf.DUMMYFUNCTION("""COMPUTED_VALUE"""),"কাসেম খাতুন")</f>
        <v>কাসেম খাতুন</v>
      </c>
      <c r="F189" s="5" t="str">
        <f>IFERROR(__xludf.DUMMYFUNCTION("""COMPUTED_VALUE"""),"নুরজাহান")</f>
        <v>নুরজাহান</v>
      </c>
      <c r="G189" s="5" t="str">
        <f>IFERROR(__xludf.DUMMYFUNCTION("""COMPUTED_VALUE"""),"১৩/০৮/১৯৭২")</f>
        <v>১৩/০৮/১৯৭২</v>
      </c>
      <c r="H189" s="5" t="str">
        <f>IFERROR(__xludf.DUMMYFUNCTION("""COMPUTED_VALUE"""),"গৃহিনী")</f>
        <v>গৃহিনী</v>
      </c>
      <c r="I189" s="5" t="str">
        <f>IFERROR(__xludf.DUMMYFUNCTION("""COMPUTED_VALUE"""),"গাড়ীডোব")</f>
        <v>গাড়ীডোব</v>
      </c>
      <c r="J189" s="5" t="str">
        <f>IFERROR(__xludf.DUMMYFUNCTION("""COMPUTED_VALUE""")," গাংনী")</f>
        <v> গাংনী</v>
      </c>
      <c r="K189" s="5" t="str">
        <f>IFERROR(__xludf.DUMMYFUNCTION("""COMPUTED_VALUE""")," মেহেরপুর")</f>
        <v> মেহেরপুর</v>
      </c>
    </row>
    <row r="190" ht="15.75" customHeight="1">
      <c r="A190" s="6" t="s">
        <v>7058</v>
      </c>
      <c r="B190" s="5">
        <f>IFERROR(__xludf.DUMMYFUNCTION("SPLIT(A190,"","")"),1536.0)</f>
        <v>1536</v>
      </c>
      <c r="C190" s="5" t="str">
        <f>IFERROR(__xludf.DUMMYFUNCTION("""COMPUTED_VALUE"""),"মোছাঃ ইসমত আরা")</f>
        <v>মোছাঃ ইসমত আরা</v>
      </c>
      <c r="D190" s="5">
        <f>IFERROR(__xludf.DUMMYFUNCTION("""COMPUTED_VALUE"""),5.70038356613E11)</f>
        <v>570038356613</v>
      </c>
      <c r="E190" s="5" t="str">
        <f>IFERROR(__xludf.DUMMYFUNCTION("""COMPUTED_VALUE"""),"মোঃ আশরাফুল ইসলাম")</f>
        <v>মোঃ আশরাফুল ইসলাম</v>
      </c>
      <c r="F190" s="5" t="str">
        <f>IFERROR(__xludf.DUMMYFUNCTION("""COMPUTED_VALUE"""),"মোছাঃ বানোয়ারা")</f>
        <v>মোছাঃ বানোয়ারা</v>
      </c>
      <c r="G190" s="5" t="str">
        <f>IFERROR(__xludf.DUMMYFUNCTION("""COMPUTED_VALUE"""),"১২/০৫/১৯৮২")</f>
        <v>১২/০৫/১৯৮২</v>
      </c>
      <c r="H190" s="5" t="str">
        <f>IFERROR(__xludf.DUMMYFUNCTION("""COMPUTED_VALUE"""),"গৃহিনী")</f>
        <v>গৃহিনী</v>
      </c>
      <c r="I190" s="5" t="str">
        <f>IFERROR(__xludf.DUMMYFUNCTION("""COMPUTED_VALUE"""),"গাড়ীডোব")</f>
        <v>গাড়ীডোব</v>
      </c>
      <c r="J190" s="5" t="str">
        <f>IFERROR(__xludf.DUMMYFUNCTION("""COMPUTED_VALUE""")," গাংনী")</f>
        <v> গাংনী</v>
      </c>
      <c r="K190" s="5" t="str">
        <f>IFERROR(__xludf.DUMMYFUNCTION("""COMPUTED_VALUE""")," মেহেরপুর")</f>
        <v> মেহেরপুর</v>
      </c>
    </row>
    <row r="191" ht="15.75" customHeight="1">
      <c r="A191" s="6" t="s">
        <v>7059</v>
      </c>
      <c r="B191" s="5">
        <f>IFERROR(__xludf.DUMMYFUNCTION("SPLIT(A191,"","")"),1537.0)</f>
        <v>1537</v>
      </c>
      <c r="C191" s="5" t="str">
        <f>IFERROR(__xludf.DUMMYFUNCTION("""COMPUTED_VALUE"""),"মোছাঃ আমবিয়া খাতুন")</f>
        <v>মোছাঃ আমবিয়া খাতুন</v>
      </c>
      <c r="D191" s="5">
        <f>IFERROR(__xludf.DUMMYFUNCTION("""COMPUTED_VALUE"""),5.70038356614E11)</f>
        <v>570038356614</v>
      </c>
      <c r="E191" s="5" t="str">
        <f>IFERROR(__xludf.DUMMYFUNCTION("""COMPUTED_VALUE"""),"আহম্মদ শেখ")</f>
        <v>আহম্মদ শেখ</v>
      </c>
      <c r="F191" s="5" t="str">
        <f>IFERROR(__xludf.DUMMYFUNCTION("""COMPUTED_VALUE"""),"মোছাঃ খাদিজা খাতুন")</f>
        <v>মোছাঃ খাদিজা খাতুন</v>
      </c>
      <c r="G191" s="5" t="str">
        <f>IFERROR(__xludf.DUMMYFUNCTION("""COMPUTED_VALUE"""),"২১/০৮/১৯৬৭")</f>
        <v>২১/০৮/১৯৬৭</v>
      </c>
      <c r="H191" s="5" t="str">
        <f>IFERROR(__xludf.DUMMYFUNCTION("""COMPUTED_VALUE"""),"গৃহিনী")</f>
        <v>গৃহিনী</v>
      </c>
      <c r="I191" s="5" t="str">
        <f>IFERROR(__xludf.DUMMYFUNCTION("""COMPUTED_VALUE"""),"গাড়ীডোব")</f>
        <v>গাড়ীডোব</v>
      </c>
      <c r="J191" s="5" t="str">
        <f>IFERROR(__xludf.DUMMYFUNCTION("""COMPUTED_VALUE""")," গাংনী")</f>
        <v> গাংনী</v>
      </c>
      <c r="K191" s="5" t="str">
        <f>IFERROR(__xludf.DUMMYFUNCTION("""COMPUTED_VALUE""")," মেহেরপুর")</f>
        <v> মেহেরপুর</v>
      </c>
    </row>
    <row r="192" ht="15.75" customHeight="1">
      <c r="A192" s="6" t="s">
        <v>7060</v>
      </c>
      <c r="B192" s="5">
        <f>IFERROR(__xludf.DUMMYFUNCTION("SPLIT(A192,"","")"),1538.0)</f>
        <v>1538</v>
      </c>
      <c r="C192" s="5" t="str">
        <f>IFERROR(__xludf.DUMMYFUNCTION("""COMPUTED_VALUE"""),"মোছাঃ দেলোয়ারা খাতুন")</f>
        <v>মোছাঃ দেলোয়ারা খাতুন</v>
      </c>
      <c r="D192" s="5">
        <f>IFERROR(__xludf.DUMMYFUNCTION("""COMPUTED_VALUE"""),5.70038356615E11)</f>
        <v>570038356615</v>
      </c>
      <c r="E192" s="5" t="str">
        <f>IFERROR(__xludf.DUMMYFUNCTION("""COMPUTED_VALUE"""),"মোঃ বাবর আলী")</f>
        <v>মোঃ বাবর আলী</v>
      </c>
      <c r="F192" s="5" t="str">
        <f>IFERROR(__xludf.DUMMYFUNCTION("""COMPUTED_VALUE"""),"মোছাঃ মদিনা খাতুন")</f>
        <v>মোছাঃ মদিনা খাতুন</v>
      </c>
      <c r="G192" s="5" t="str">
        <f>IFERROR(__xludf.DUMMYFUNCTION("""COMPUTED_VALUE"""),"২৬/০৮/১৯৮২")</f>
        <v>২৬/০৮/১৯৮২</v>
      </c>
      <c r="H192" s="5" t="str">
        <f>IFERROR(__xludf.DUMMYFUNCTION("""COMPUTED_VALUE"""),"গৃহিনী")</f>
        <v>গৃহিনী</v>
      </c>
      <c r="I192" s="5" t="str">
        <f>IFERROR(__xludf.DUMMYFUNCTION("""COMPUTED_VALUE"""),"গাড়ীডোব")</f>
        <v>গাড়ীডোব</v>
      </c>
      <c r="J192" s="5" t="str">
        <f>IFERROR(__xludf.DUMMYFUNCTION("""COMPUTED_VALUE""")," গাংনী")</f>
        <v> গাংনী</v>
      </c>
      <c r="K192" s="5" t="str">
        <f>IFERROR(__xludf.DUMMYFUNCTION("""COMPUTED_VALUE""")," মেহেরপুর")</f>
        <v> মেহেরপুর</v>
      </c>
    </row>
    <row r="193" ht="15.75" customHeight="1">
      <c r="A193" s="6" t="s">
        <v>7061</v>
      </c>
      <c r="B193" s="5">
        <f>IFERROR(__xludf.DUMMYFUNCTION("SPLIT(A193,"","")"),1539.0)</f>
        <v>1539</v>
      </c>
      <c r="C193" s="5" t="str">
        <f>IFERROR(__xludf.DUMMYFUNCTION("""COMPUTED_VALUE"""),"মোছাঃ রাশেদা খাতুন")</f>
        <v>মোছাঃ রাশেদা খাতুন</v>
      </c>
      <c r="D193" s="5">
        <f>IFERROR(__xludf.DUMMYFUNCTION("""COMPUTED_VALUE"""),5.70038356617E11)</f>
        <v>570038356617</v>
      </c>
      <c r="E193" s="5" t="str">
        <f>IFERROR(__xludf.DUMMYFUNCTION("""COMPUTED_VALUE"""),"আমিরুদ্দিন")</f>
        <v>আমিরুদ্দিন</v>
      </c>
      <c r="F193" s="5" t="str">
        <f>IFERROR(__xludf.DUMMYFUNCTION("""COMPUTED_VALUE"""),"মোছাঃ আছিয়া খাতুন")</f>
        <v>মোছাঃ আছিয়া খাতুন</v>
      </c>
      <c r="G193" s="5" t="str">
        <f>IFERROR(__xludf.DUMMYFUNCTION("""COMPUTED_VALUE"""),"১৫/০৫/১৯৬৭")</f>
        <v>১৫/০৫/১৯৬৭</v>
      </c>
      <c r="H193" s="5" t="str">
        <f>IFERROR(__xludf.DUMMYFUNCTION("""COMPUTED_VALUE"""),"গৃহিনী")</f>
        <v>গৃহিনী</v>
      </c>
      <c r="I193" s="5" t="str">
        <f>IFERROR(__xludf.DUMMYFUNCTION("""COMPUTED_VALUE"""),"গাড়ীডোব")</f>
        <v>গাড়ীডোব</v>
      </c>
      <c r="J193" s="5" t="str">
        <f>IFERROR(__xludf.DUMMYFUNCTION("""COMPUTED_VALUE""")," গাংনী")</f>
        <v> গাংনী</v>
      </c>
      <c r="K193" s="5" t="str">
        <f>IFERROR(__xludf.DUMMYFUNCTION("""COMPUTED_VALUE""")," মেহেরপুর")</f>
        <v> মেহেরপুর</v>
      </c>
    </row>
    <row r="194" ht="15.75" customHeight="1">
      <c r="A194" s="6" t="s">
        <v>7062</v>
      </c>
      <c r="B194" s="5">
        <f>IFERROR(__xludf.DUMMYFUNCTION("SPLIT(A194,"","")"),1540.0)</f>
        <v>1540</v>
      </c>
      <c r="C194" s="5" t="str">
        <f>IFERROR(__xludf.DUMMYFUNCTION("""COMPUTED_VALUE"""),"মোছাঃ রহিলা খাতুন")</f>
        <v>মোছাঃ রহিলা খাতুন</v>
      </c>
      <c r="D194" s="5">
        <f>IFERROR(__xludf.DUMMYFUNCTION("""COMPUTED_VALUE"""),5.70038356618E11)</f>
        <v>570038356618</v>
      </c>
      <c r="E194" s="5" t="str">
        <f>IFERROR(__xludf.DUMMYFUNCTION("""COMPUTED_VALUE"""),"মোঃ খেদের আলী")</f>
        <v>মোঃ খেদের আলী</v>
      </c>
      <c r="F194" s="5" t="str">
        <f>IFERROR(__xludf.DUMMYFUNCTION("""COMPUTED_VALUE"""),"মোছাঃ ছকিনা খাতুন")</f>
        <v>মোছাঃ ছকিনা খাতুন</v>
      </c>
      <c r="G194" s="5" t="str">
        <f>IFERROR(__xludf.DUMMYFUNCTION("""COMPUTED_VALUE"""),"১৮/০৭/১৯৮১")</f>
        <v>১৮/০৭/১৯৮১</v>
      </c>
      <c r="H194" s="5" t="str">
        <f>IFERROR(__xludf.DUMMYFUNCTION("""COMPUTED_VALUE"""),"গৃহিনী")</f>
        <v>গৃহিনী</v>
      </c>
      <c r="I194" s="5" t="str">
        <f>IFERROR(__xludf.DUMMYFUNCTION("""COMPUTED_VALUE"""),"গাড়ীডোব")</f>
        <v>গাড়ীডোব</v>
      </c>
      <c r="J194" s="5" t="str">
        <f>IFERROR(__xludf.DUMMYFUNCTION("""COMPUTED_VALUE""")," গাংনী")</f>
        <v> গাংনী</v>
      </c>
      <c r="K194" s="5" t="str">
        <f>IFERROR(__xludf.DUMMYFUNCTION("""COMPUTED_VALUE""")," মেহেরপুর")</f>
        <v> মেহেরপুর</v>
      </c>
    </row>
    <row r="195" ht="15.75" customHeight="1">
      <c r="A195" s="6" t="s">
        <v>7063</v>
      </c>
      <c r="B195" s="5">
        <f>IFERROR(__xludf.DUMMYFUNCTION("SPLIT(A195,"","")"),1541.0)</f>
        <v>1541</v>
      </c>
      <c r="C195" s="5" t="str">
        <f>IFERROR(__xludf.DUMMYFUNCTION("""COMPUTED_VALUE"""),"মোছাঃ নাছরিনা খাতুন")</f>
        <v>মোছাঃ নাছরিনা খাতুন</v>
      </c>
      <c r="D195" s="5">
        <f>IFERROR(__xludf.DUMMYFUNCTION("""COMPUTED_VALUE"""),5.7003835662E11)</f>
        <v>570038356620</v>
      </c>
      <c r="E195" s="5" t="str">
        <f>IFERROR(__xludf.DUMMYFUNCTION("""COMPUTED_VALUE"""),"মোঃ নবির উদ্দীন")</f>
        <v>মোঃ নবির উদ্দীন</v>
      </c>
      <c r="F195" s="5" t="str">
        <f>IFERROR(__xludf.DUMMYFUNCTION("""COMPUTED_VALUE"""),"মোছাঃ শিরিনা আকতার")</f>
        <v>মোছাঃ শিরিনা আকতার</v>
      </c>
      <c r="G195" s="5" t="str">
        <f>IFERROR(__xludf.DUMMYFUNCTION("""COMPUTED_VALUE"""),"১২/০৩/১৯৬৫")</f>
        <v>১২/০৩/১৯৬৫</v>
      </c>
      <c r="H195" s="5" t="str">
        <f>IFERROR(__xludf.DUMMYFUNCTION("""COMPUTED_VALUE"""),"গৃহিনী")</f>
        <v>গৃহিনী</v>
      </c>
      <c r="I195" s="5" t="str">
        <f>IFERROR(__xludf.DUMMYFUNCTION("""COMPUTED_VALUE"""),"গাড়ীডোব")</f>
        <v>গাড়ীডোব</v>
      </c>
      <c r="J195" s="5" t="str">
        <f>IFERROR(__xludf.DUMMYFUNCTION("""COMPUTED_VALUE""")," গাংনী")</f>
        <v> গাংনী</v>
      </c>
      <c r="K195" s="5" t="str">
        <f>IFERROR(__xludf.DUMMYFUNCTION("""COMPUTED_VALUE""")," মেহেরপুর")</f>
        <v> মেহেরপুর</v>
      </c>
    </row>
    <row r="196" ht="15.75" customHeight="1">
      <c r="A196" s="6" t="s">
        <v>7064</v>
      </c>
      <c r="B196" s="5">
        <f>IFERROR(__xludf.DUMMYFUNCTION("SPLIT(A196,"","")"),1542.0)</f>
        <v>1542</v>
      </c>
      <c r="C196" s="5" t="str">
        <f>IFERROR(__xludf.DUMMYFUNCTION("""COMPUTED_VALUE"""),"মোছাঃ রশিদা খাতুন")</f>
        <v>মোছাঃ রশিদা খাতুন</v>
      </c>
      <c r="D196" s="5">
        <f>IFERROR(__xludf.DUMMYFUNCTION("""COMPUTED_VALUE"""),5.70038356621E11)</f>
        <v>570038356621</v>
      </c>
      <c r="E196" s="5" t="str">
        <f>IFERROR(__xludf.DUMMYFUNCTION("""COMPUTED_VALUE"""),"মোঃ আনোয়ার হোসেন")</f>
        <v>মোঃ আনোয়ার হোসেন</v>
      </c>
      <c r="F196" s="5" t="str">
        <f>IFERROR(__xludf.DUMMYFUNCTION("""COMPUTED_VALUE"""),"জামেলা খাতুন")</f>
        <v>জামেলা খাতুন</v>
      </c>
      <c r="G196" s="5" t="str">
        <f>IFERROR(__xludf.DUMMYFUNCTION("""COMPUTED_VALUE"""),"১৯/০৭/১৯৭৪")</f>
        <v>১৯/০৭/১৯৭৪</v>
      </c>
      <c r="H196" s="5" t="str">
        <f>IFERROR(__xludf.DUMMYFUNCTION("""COMPUTED_VALUE"""),"গৃহিনী")</f>
        <v>গৃহিনী</v>
      </c>
      <c r="I196" s="5" t="str">
        <f>IFERROR(__xludf.DUMMYFUNCTION("""COMPUTED_VALUE"""),"গাড়ীডোব")</f>
        <v>গাড়ীডোব</v>
      </c>
      <c r="J196" s="5" t="str">
        <f>IFERROR(__xludf.DUMMYFUNCTION("""COMPUTED_VALUE""")," গাংনী")</f>
        <v> গাংনী</v>
      </c>
      <c r="K196" s="5" t="str">
        <f>IFERROR(__xludf.DUMMYFUNCTION("""COMPUTED_VALUE""")," মেহেরপুর")</f>
        <v> মেহেরপুর</v>
      </c>
    </row>
    <row r="197" ht="15.75" customHeight="1">
      <c r="A197" s="6" t="s">
        <v>7065</v>
      </c>
      <c r="B197" s="5">
        <f>IFERROR(__xludf.DUMMYFUNCTION("SPLIT(A197,"","")"),1543.0)</f>
        <v>1543</v>
      </c>
      <c r="C197" s="5" t="str">
        <f>IFERROR(__xludf.DUMMYFUNCTION("""COMPUTED_VALUE"""),"মোছাঃ সাহেরা খাতুন")</f>
        <v>মোছাঃ সাহেরা খাতুন</v>
      </c>
      <c r="D197" s="5">
        <f>IFERROR(__xludf.DUMMYFUNCTION("""COMPUTED_VALUE"""),5.70038356622E11)</f>
        <v>570038356622</v>
      </c>
      <c r="E197" s="5" t="str">
        <f>IFERROR(__xludf.DUMMYFUNCTION("""COMPUTED_VALUE"""),"বরকত জোয়ার্দার")</f>
        <v>বরকত জোয়ার্দার</v>
      </c>
      <c r="F197" s="5" t="str">
        <f>IFERROR(__xludf.DUMMYFUNCTION("""COMPUTED_VALUE"""),"মোছাঃ মমতাজ")</f>
        <v>মোছাঃ মমতাজ</v>
      </c>
      <c r="G197" s="5" t="str">
        <f>IFERROR(__xludf.DUMMYFUNCTION("""COMPUTED_VALUE"""),"১৬/০৮/১৯৫৭")</f>
        <v>১৬/০৮/১৯৫৭</v>
      </c>
      <c r="H197" s="5" t="str">
        <f>IFERROR(__xludf.DUMMYFUNCTION("""COMPUTED_VALUE"""),"গৃহিনী")</f>
        <v>গৃহিনী</v>
      </c>
      <c r="I197" s="5" t="str">
        <f>IFERROR(__xludf.DUMMYFUNCTION("""COMPUTED_VALUE"""),"গাড়ীডোব")</f>
        <v>গাড়ীডোব</v>
      </c>
      <c r="J197" s="5" t="str">
        <f>IFERROR(__xludf.DUMMYFUNCTION("""COMPUTED_VALUE""")," গাংনী")</f>
        <v> গাংনী</v>
      </c>
      <c r="K197" s="5" t="str">
        <f>IFERROR(__xludf.DUMMYFUNCTION("""COMPUTED_VALUE""")," মেহেরপুর")</f>
        <v> মেহেরপুর</v>
      </c>
    </row>
    <row r="198" ht="15.75" customHeight="1">
      <c r="A198" s="6" t="s">
        <v>7066</v>
      </c>
      <c r="B198" s="5">
        <f>IFERROR(__xludf.DUMMYFUNCTION("SPLIT(A198,"","")"),1544.0)</f>
        <v>1544</v>
      </c>
      <c r="C198" s="5" t="str">
        <f>IFERROR(__xludf.DUMMYFUNCTION("""COMPUTED_VALUE"""),"মোছাঃ রেণুকা খাতুন")</f>
        <v>মোছাঃ রেণুকা খাতুন</v>
      </c>
      <c r="D198" s="5">
        <f>IFERROR(__xludf.DUMMYFUNCTION("""COMPUTED_VALUE"""),5.70038356623E11)</f>
        <v>570038356623</v>
      </c>
      <c r="E198" s="5" t="str">
        <f>IFERROR(__xludf.DUMMYFUNCTION("""COMPUTED_VALUE"""),"মোঃ আতিয়ার রহমান")</f>
        <v>মোঃ আতিয়ার রহমান</v>
      </c>
      <c r="F198" s="5" t="str">
        <f>IFERROR(__xludf.DUMMYFUNCTION("""COMPUTED_VALUE"""),"মোছাঃ জরিনা খাতুন")</f>
        <v>মোছাঃ জরিনা খাতুন</v>
      </c>
      <c r="G198" s="5" t="str">
        <f>IFERROR(__xludf.DUMMYFUNCTION("""COMPUTED_VALUE"""),"২৬/০৫/১৯৬৭")</f>
        <v>২৬/০৫/১৯৬৭</v>
      </c>
      <c r="H198" s="5" t="str">
        <f>IFERROR(__xludf.DUMMYFUNCTION("""COMPUTED_VALUE"""),"গৃহিনী")</f>
        <v>গৃহিনী</v>
      </c>
      <c r="I198" s="5" t="str">
        <f>IFERROR(__xludf.DUMMYFUNCTION("""COMPUTED_VALUE"""),"গাড়ীডোব")</f>
        <v>গাড়ীডোব</v>
      </c>
      <c r="J198" s="5" t="str">
        <f>IFERROR(__xludf.DUMMYFUNCTION("""COMPUTED_VALUE""")," গাংনী")</f>
        <v> গাংনী</v>
      </c>
      <c r="K198" s="5" t="str">
        <f>IFERROR(__xludf.DUMMYFUNCTION("""COMPUTED_VALUE""")," মেহেরপুর")</f>
        <v> মেহেরপুর</v>
      </c>
    </row>
    <row r="199" ht="15.75" customHeight="1">
      <c r="A199" s="6" t="s">
        <v>7067</v>
      </c>
      <c r="B199" s="5">
        <f>IFERROR(__xludf.DUMMYFUNCTION("SPLIT(A199,"","")"),1545.0)</f>
        <v>1545</v>
      </c>
      <c r="C199" s="5" t="str">
        <f>IFERROR(__xludf.DUMMYFUNCTION("""COMPUTED_VALUE"""),"মোছাঃ মর্জিনা খাতুন")</f>
        <v>মোছাঃ মর্জিনা খাতুন</v>
      </c>
      <c r="D199" s="5">
        <f>IFERROR(__xludf.DUMMYFUNCTION("""COMPUTED_VALUE"""),5.70038356631E11)</f>
        <v>570038356631</v>
      </c>
      <c r="E199" s="5" t="str">
        <f>IFERROR(__xludf.DUMMYFUNCTION("""COMPUTED_VALUE"""),"মোকছাদ আলী")</f>
        <v>মোকছাদ আলী</v>
      </c>
      <c r="F199" s="5" t="str">
        <f>IFERROR(__xludf.DUMMYFUNCTION("""COMPUTED_VALUE"""),"মোছাঃ মনোয়ারা খাতুন")</f>
        <v>মোছাঃ মনোয়ারা খাতুন</v>
      </c>
      <c r="G199" s="5" t="str">
        <f>IFERROR(__xludf.DUMMYFUNCTION("""COMPUTED_VALUE"""),"২১/০৭/১৯৮৩")</f>
        <v>২১/০৭/১৯৮৩</v>
      </c>
      <c r="H199" s="5" t="str">
        <f>IFERROR(__xludf.DUMMYFUNCTION("""COMPUTED_VALUE"""),"গৃহিনী")</f>
        <v>গৃহিনী</v>
      </c>
      <c r="I199" s="5" t="str">
        <f>IFERROR(__xludf.DUMMYFUNCTION("""COMPUTED_VALUE"""),"গাড়ীডোব")</f>
        <v>গাড়ীডোব</v>
      </c>
      <c r="J199" s="5" t="str">
        <f>IFERROR(__xludf.DUMMYFUNCTION("""COMPUTED_VALUE""")," গাংনী")</f>
        <v> গাংনী</v>
      </c>
      <c r="K199" s="5" t="str">
        <f>IFERROR(__xludf.DUMMYFUNCTION("""COMPUTED_VALUE""")," মেহেরপুর")</f>
        <v> মেহেরপুর</v>
      </c>
    </row>
    <row r="200" ht="15.75" customHeight="1">
      <c r="A200" s="6" t="s">
        <v>7068</v>
      </c>
      <c r="B200" s="5">
        <f>IFERROR(__xludf.DUMMYFUNCTION("SPLIT(A200,"","")"),1546.0)</f>
        <v>1546</v>
      </c>
      <c r="C200" s="5" t="str">
        <f>IFERROR(__xludf.DUMMYFUNCTION("""COMPUTED_VALUE"""),"মোছাঃ শামিমা কুদ্দুস")</f>
        <v>মোছাঃ শামিমা কুদ্দুস</v>
      </c>
      <c r="D200" s="5">
        <f>IFERROR(__xludf.DUMMYFUNCTION("""COMPUTED_VALUE"""),5.70038356633E11)</f>
        <v>570038356633</v>
      </c>
      <c r="E200" s="5" t="str">
        <f>IFERROR(__xludf.DUMMYFUNCTION("""COMPUTED_VALUE"""),"মোঃ আবু তাহের")</f>
        <v>মোঃ আবু তাহের</v>
      </c>
      <c r="F200" s="5" t="str">
        <f>IFERROR(__xludf.DUMMYFUNCTION("""COMPUTED_VALUE"""),"মোছাঃ সালমা খাতুন")</f>
        <v>মোছাঃ সালমা খাতুন</v>
      </c>
      <c r="G200" s="5" t="str">
        <f>IFERROR(__xludf.DUMMYFUNCTION("""COMPUTED_VALUE"""),"২৫/১০/১৯৮২")</f>
        <v>২৫/১০/১৯৮২</v>
      </c>
      <c r="H200" s="5" t="str">
        <f>IFERROR(__xludf.DUMMYFUNCTION("""COMPUTED_VALUE"""),"গৃহিনী")</f>
        <v>গৃহিনী</v>
      </c>
      <c r="I200" s="5" t="str">
        <f>IFERROR(__xludf.DUMMYFUNCTION("""COMPUTED_VALUE"""),"গাড়ীডোব")</f>
        <v>গাড়ীডোব</v>
      </c>
      <c r="J200" s="5" t="str">
        <f>IFERROR(__xludf.DUMMYFUNCTION("""COMPUTED_VALUE""")," গাংনী")</f>
        <v> গাংনী</v>
      </c>
      <c r="K200" s="5" t="str">
        <f>IFERROR(__xludf.DUMMYFUNCTION("""COMPUTED_VALUE""")," মেহেরপুর")</f>
        <v> মেহেরপুর</v>
      </c>
    </row>
    <row r="201" ht="15.75" customHeight="1">
      <c r="A201" s="6" t="s">
        <v>7069</v>
      </c>
      <c r="B201" s="5">
        <f>IFERROR(__xludf.DUMMYFUNCTION("SPLIT(A201,"","")"),1547.0)</f>
        <v>1547</v>
      </c>
      <c r="C201" s="5" t="str">
        <f>IFERROR(__xludf.DUMMYFUNCTION("""COMPUTED_VALUE"""),"মোছাঃ ফেরদোস আরা")</f>
        <v>মোছাঃ ফেরদোস আরা</v>
      </c>
      <c r="D201" s="5">
        <f>IFERROR(__xludf.DUMMYFUNCTION("""COMPUTED_VALUE"""),5.70038356635E11)</f>
        <v>570038356635</v>
      </c>
      <c r="E201" s="5" t="str">
        <f>IFERROR(__xludf.DUMMYFUNCTION("""COMPUTED_VALUE"""),"ইছাহাক আলী")</f>
        <v>ইছাহাক আলী</v>
      </c>
      <c r="F201" s="5" t="str">
        <f>IFERROR(__xludf.DUMMYFUNCTION("""COMPUTED_VALUE"""),"মোছাঃ জহুরা খাতুন")</f>
        <v>মোছাঃ জহুরা খাতুন</v>
      </c>
      <c r="G201" s="5" t="str">
        <f>IFERROR(__xludf.DUMMYFUNCTION("""COMPUTED_VALUE"""),"১৯/০৮/১৯৭০")</f>
        <v>১৯/০৮/১৯৭০</v>
      </c>
      <c r="H201" s="5" t="str">
        <f>IFERROR(__xludf.DUMMYFUNCTION("""COMPUTED_VALUE"""),"গৃহিনী")</f>
        <v>গৃহিনী</v>
      </c>
      <c r="I201" s="5" t="str">
        <f>IFERROR(__xludf.DUMMYFUNCTION("""COMPUTED_VALUE"""),"গাড়ীডোব")</f>
        <v>গাড়ীডোব</v>
      </c>
      <c r="J201" s="5" t="str">
        <f>IFERROR(__xludf.DUMMYFUNCTION("""COMPUTED_VALUE""")," গাংনী")</f>
        <v> গাংনী</v>
      </c>
      <c r="K201" s="5" t="str">
        <f>IFERROR(__xludf.DUMMYFUNCTION("""COMPUTED_VALUE""")," মেহেরপুর")</f>
        <v> মেহেরপুর</v>
      </c>
    </row>
    <row r="202" ht="15.75" customHeight="1">
      <c r="A202" s="6" t="s">
        <v>7070</v>
      </c>
      <c r="B202" s="5">
        <f>IFERROR(__xludf.DUMMYFUNCTION("SPLIT(A202,"","")"),1548.0)</f>
        <v>1548</v>
      </c>
      <c r="C202" s="5" t="str">
        <f>IFERROR(__xludf.DUMMYFUNCTION("""COMPUTED_VALUE"""),"মোছাঃ জীবননারা")</f>
        <v>মোছাঃ জীবননারা</v>
      </c>
      <c r="D202" s="5">
        <f>IFERROR(__xludf.DUMMYFUNCTION("""COMPUTED_VALUE"""),5.70038356637E11)</f>
        <v>570038356637</v>
      </c>
      <c r="E202" s="5" t="str">
        <f>IFERROR(__xludf.DUMMYFUNCTION("""COMPUTED_VALUE"""),"মোঃ আব্দুল মজিদ")</f>
        <v>মোঃ আব্দুল মজিদ</v>
      </c>
      <c r="F202" s="5" t="str">
        <f>IFERROR(__xludf.DUMMYFUNCTION("""COMPUTED_VALUE"""),"মোছাঃ রমেলা খাতুন")</f>
        <v>মোছাঃ রমেলা খাতুন</v>
      </c>
      <c r="G202" s="5" t="str">
        <f>IFERROR(__xludf.DUMMYFUNCTION("""COMPUTED_VALUE"""),"১৮/১০/১৯৬৭")</f>
        <v>১৮/১০/১৯৬৭</v>
      </c>
      <c r="H202" s="5" t="str">
        <f>IFERROR(__xludf.DUMMYFUNCTION("""COMPUTED_VALUE"""),"গৃহিনী")</f>
        <v>গৃহিনী</v>
      </c>
      <c r="I202" s="5" t="str">
        <f>IFERROR(__xludf.DUMMYFUNCTION("""COMPUTED_VALUE"""),"গাড়ীডোব")</f>
        <v>গাড়ীডোব</v>
      </c>
      <c r="J202" s="5" t="str">
        <f>IFERROR(__xludf.DUMMYFUNCTION("""COMPUTED_VALUE""")," গাংনী")</f>
        <v> গাংনী</v>
      </c>
      <c r="K202" s="5" t="str">
        <f>IFERROR(__xludf.DUMMYFUNCTION("""COMPUTED_VALUE""")," মেহেরপুর")</f>
        <v> মেহেরপুর</v>
      </c>
    </row>
    <row r="203" ht="15.75" customHeight="1">
      <c r="A203" s="6" t="s">
        <v>7071</v>
      </c>
      <c r="B203" s="5">
        <f>IFERROR(__xludf.DUMMYFUNCTION("SPLIT(A203,"","")"),1549.0)</f>
        <v>1549</v>
      </c>
      <c r="C203" s="5" t="str">
        <f>IFERROR(__xludf.DUMMYFUNCTION("""COMPUTED_VALUE"""),"মোছাঃ সুলতানা খাতুন")</f>
        <v>মোছাঃ সুলতানা খাতুন</v>
      </c>
      <c r="D203" s="5">
        <f>IFERROR(__xludf.DUMMYFUNCTION("""COMPUTED_VALUE"""),5.70038356638E11)</f>
        <v>570038356638</v>
      </c>
      <c r="E203" s="5" t="str">
        <f>IFERROR(__xludf.DUMMYFUNCTION("""COMPUTED_VALUE"""),"মোঃ শাহাবুদ্দীন")</f>
        <v>মোঃ শাহাবুদ্দীন</v>
      </c>
      <c r="F203" s="5" t="str">
        <f>IFERROR(__xludf.DUMMYFUNCTION("""COMPUTED_VALUE"""),"মোছাঃ আয়েশা খাতুন")</f>
        <v>মোছাঃ আয়েশা খাতুন</v>
      </c>
      <c r="G203" s="5" t="str">
        <f>IFERROR(__xludf.DUMMYFUNCTION("""COMPUTED_VALUE"""),"১১/০৫/১৯৭৯")</f>
        <v>১১/০৫/১৯৭৯</v>
      </c>
      <c r="H203" s="5" t="str">
        <f>IFERROR(__xludf.DUMMYFUNCTION("""COMPUTED_VALUE"""),"গৃহিনী")</f>
        <v>গৃহিনী</v>
      </c>
      <c r="I203" s="5" t="str">
        <f>IFERROR(__xludf.DUMMYFUNCTION("""COMPUTED_VALUE"""),"গাড়ীডোব")</f>
        <v>গাড়ীডোব</v>
      </c>
      <c r="J203" s="5" t="str">
        <f>IFERROR(__xludf.DUMMYFUNCTION("""COMPUTED_VALUE""")," গাংনী")</f>
        <v> গাংনী</v>
      </c>
      <c r="K203" s="5" t="str">
        <f>IFERROR(__xludf.DUMMYFUNCTION("""COMPUTED_VALUE""")," মেহেরপুর")</f>
        <v> মেহেরপুর</v>
      </c>
    </row>
    <row r="204" ht="15.75" customHeight="1">
      <c r="A204" s="6" t="s">
        <v>7072</v>
      </c>
      <c r="B204" s="5">
        <f>IFERROR(__xludf.DUMMYFUNCTION("SPLIT(A204,"","")"),1550.0)</f>
        <v>1550</v>
      </c>
      <c r="C204" s="5" t="str">
        <f>IFERROR(__xludf.DUMMYFUNCTION("""COMPUTED_VALUE"""),"মোছাঃ খায়রুন নেছা")</f>
        <v>মোছাঃ খায়রুন নেছা</v>
      </c>
      <c r="D204" s="5">
        <f>IFERROR(__xludf.DUMMYFUNCTION("""COMPUTED_VALUE"""),5.70038356639E11)</f>
        <v>570038356639</v>
      </c>
      <c r="E204" s="5" t="str">
        <f>IFERROR(__xludf.DUMMYFUNCTION("""COMPUTED_VALUE"""),"মোঃ আবুল হোসেন")</f>
        <v>মোঃ আবুল হোসেন</v>
      </c>
      <c r="F204" s="5" t="str">
        <f>IFERROR(__xludf.DUMMYFUNCTION("""COMPUTED_VALUE"""),"মোছাঃ জৈগুন")</f>
        <v>মোছাঃ জৈগুন</v>
      </c>
      <c r="G204" s="5" t="str">
        <f>IFERROR(__xludf.DUMMYFUNCTION("""COMPUTED_VALUE"""),"১৪/০৭/১৯৬৫")</f>
        <v>১৪/০৭/১৯৬৫</v>
      </c>
      <c r="H204" s="5" t="str">
        <f>IFERROR(__xludf.DUMMYFUNCTION("""COMPUTED_VALUE"""),"গৃহিনী")</f>
        <v>গৃহিনী</v>
      </c>
      <c r="I204" s="5" t="str">
        <f>IFERROR(__xludf.DUMMYFUNCTION("""COMPUTED_VALUE"""),"গাড়ীডোব")</f>
        <v>গাড়ীডোব</v>
      </c>
      <c r="J204" s="5" t="str">
        <f>IFERROR(__xludf.DUMMYFUNCTION("""COMPUTED_VALUE""")," গাংনী")</f>
        <v> গাংনী</v>
      </c>
      <c r="K204" s="5" t="str">
        <f>IFERROR(__xludf.DUMMYFUNCTION("""COMPUTED_VALUE""")," মেহেরপুর")</f>
        <v> মেহেরপুর</v>
      </c>
    </row>
    <row r="205" ht="15.75" customHeight="1">
      <c r="A205" s="6" t="s">
        <v>7073</v>
      </c>
      <c r="B205" s="5">
        <f>IFERROR(__xludf.DUMMYFUNCTION("SPLIT(A205,"","")"),1551.0)</f>
        <v>1551</v>
      </c>
      <c r="C205" s="5" t="str">
        <f>IFERROR(__xludf.DUMMYFUNCTION("""COMPUTED_VALUE"""),"মোছাঃ আনেরা খাতুন")</f>
        <v>মোছাঃ আনেরা খাতুন</v>
      </c>
      <c r="D205" s="5">
        <f>IFERROR(__xludf.DUMMYFUNCTION("""COMPUTED_VALUE"""),5.70038356643E11)</f>
        <v>570038356643</v>
      </c>
      <c r="E205" s="5" t="str">
        <f>IFERROR(__xludf.DUMMYFUNCTION("""COMPUTED_VALUE"""),"মোঃ আবুতালেব")</f>
        <v>মোঃ আবুতালেব</v>
      </c>
      <c r="F205" s="5" t="str">
        <f>IFERROR(__xludf.DUMMYFUNCTION("""COMPUTED_VALUE"""),"মোছাঃ জাহেদা খাতুন")</f>
        <v>মোছাঃ জাহেদা খাতুন</v>
      </c>
      <c r="G205" s="5" t="str">
        <f>IFERROR(__xludf.DUMMYFUNCTION("""COMPUTED_VALUE"""),"১৪/০৭/১৯৬৯")</f>
        <v>১৪/০৭/১৯৬৯</v>
      </c>
      <c r="H205" s="5" t="str">
        <f>IFERROR(__xludf.DUMMYFUNCTION("""COMPUTED_VALUE"""),"গৃহিনী")</f>
        <v>গৃহিনী</v>
      </c>
      <c r="I205" s="5" t="str">
        <f>IFERROR(__xludf.DUMMYFUNCTION("""COMPUTED_VALUE"""),"গাড়ীডোব")</f>
        <v>গাড়ীডোব</v>
      </c>
      <c r="J205" s="5" t="str">
        <f>IFERROR(__xludf.DUMMYFUNCTION("""COMPUTED_VALUE""")," গাংনী")</f>
        <v> গাংনী</v>
      </c>
      <c r="K205" s="5" t="str">
        <f>IFERROR(__xludf.DUMMYFUNCTION("""COMPUTED_VALUE""")," মেহেরপুর")</f>
        <v> মেহেরপুর</v>
      </c>
    </row>
    <row r="206" ht="15.75" customHeight="1">
      <c r="A206" s="6" t="s">
        <v>7074</v>
      </c>
      <c r="B206" s="5">
        <f>IFERROR(__xludf.DUMMYFUNCTION("SPLIT(A206,"","")"),1552.0)</f>
        <v>1552</v>
      </c>
      <c r="C206" s="5" t="str">
        <f>IFERROR(__xludf.DUMMYFUNCTION("""COMPUTED_VALUE"""),"মোছাঃ আলতাফন")</f>
        <v>মোছাঃ আলতাফন</v>
      </c>
      <c r="D206" s="5">
        <f>IFERROR(__xludf.DUMMYFUNCTION("""COMPUTED_VALUE"""),5.70038356646E11)</f>
        <v>570038356646</v>
      </c>
      <c r="E206" s="5" t="str">
        <f>IFERROR(__xludf.DUMMYFUNCTION("""COMPUTED_VALUE"""),"আব্দুল লতিফ")</f>
        <v>আব্দুল লতিফ</v>
      </c>
      <c r="F206" s="5" t="str">
        <f>IFERROR(__xludf.DUMMYFUNCTION("""COMPUTED_VALUE"""),"মোছাঃ রহিমা খাতুন")</f>
        <v>মোছাঃ রহিমা খাতুন</v>
      </c>
      <c r="G206" s="5" t="str">
        <f>IFERROR(__xludf.DUMMYFUNCTION("""COMPUTED_VALUE"""),"১০/০৭/১৯৮২")</f>
        <v>১০/০৭/১৯৮২</v>
      </c>
      <c r="H206" s="5" t="str">
        <f>IFERROR(__xludf.DUMMYFUNCTION("""COMPUTED_VALUE"""),"গৃহিনী")</f>
        <v>গৃহিনী</v>
      </c>
      <c r="I206" s="5" t="str">
        <f>IFERROR(__xludf.DUMMYFUNCTION("""COMPUTED_VALUE"""),"গাড়ীডোব")</f>
        <v>গাড়ীডোব</v>
      </c>
      <c r="J206" s="5" t="str">
        <f>IFERROR(__xludf.DUMMYFUNCTION("""COMPUTED_VALUE""")," গাংনী")</f>
        <v> গাংনী</v>
      </c>
      <c r="K206" s="5" t="str">
        <f>IFERROR(__xludf.DUMMYFUNCTION("""COMPUTED_VALUE""")," মেহেরপুর")</f>
        <v> মেহেরপুর</v>
      </c>
    </row>
    <row r="207" ht="15.75" customHeight="1">
      <c r="A207" s="6" t="s">
        <v>7075</v>
      </c>
      <c r="B207" s="5">
        <f>IFERROR(__xludf.DUMMYFUNCTION("SPLIT(A207,"","")"),1553.0)</f>
        <v>1553</v>
      </c>
      <c r="C207" s="5" t="str">
        <f>IFERROR(__xludf.DUMMYFUNCTION("""COMPUTED_VALUE"""),"মোছাঃ রহিমা খাতুন")</f>
        <v>মোছাঃ রহিমা খাতুন</v>
      </c>
      <c r="D207" s="5">
        <f>IFERROR(__xludf.DUMMYFUNCTION("""COMPUTED_VALUE"""),5.70038356648E11)</f>
        <v>570038356648</v>
      </c>
      <c r="E207" s="5" t="str">
        <f>IFERROR(__xludf.DUMMYFUNCTION("""COMPUTED_VALUE"""),"খেদের আলী")</f>
        <v>খেদের আলী</v>
      </c>
      <c r="F207" s="5" t="str">
        <f>IFERROR(__xludf.DUMMYFUNCTION("""COMPUTED_VALUE"""),"মোছাঃ সুমি খাতুন")</f>
        <v>মোছাঃ সুমি খাতুন</v>
      </c>
      <c r="G207" s="5" t="str">
        <f>IFERROR(__xludf.DUMMYFUNCTION("""COMPUTED_VALUE"""),"১৫/১০/১৯৬৫")</f>
        <v>১৫/১০/১৯৬৫</v>
      </c>
      <c r="H207" s="5" t="str">
        <f>IFERROR(__xludf.DUMMYFUNCTION("""COMPUTED_VALUE"""),"গৃহিনী")</f>
        <v>গৃহিনী</v>
      </c>
      <c r="I207" s="5" t="str">
        <f>IFERROR(__xludf.DUMMYFUNCTION("""COMPUTED_VALUE"""),"গাড়ীডোব")</f>
        <v>গাড়ীডোব</v>
      </c>
      <c r="J207" s="5" t="str">
        <f>IFERROR(__xludf.DUMMYFUNCTION("""COMPUTED_VALUE""")," গাংনী")</f>
        <v> গাংনী</v>
      </c>
      <c r="K207" s="5" t="str">
        <f>IFERROR(__xludf.DUMMYFUNCTION("""COMPUTED_VALUE""")," মেহেরপুর")</f>
        <v> মেহেরপুর</v>
      </c>
    </row>
    <row r="208" ht="15.75" customHeight="1">
      <c r="A208" s="6" t="s">
        <v>7076</v>
      </c>
      <c r="B208" s="5">
        <f>IFERROR(__xludf.DUMMYFUNCTION("SPLIT(A208,"","")"),1554.0)</f>
        <v>1554</v>
      </c>
      <c r="C208" s="5" t="str">
        <f>IFERROR(__xludf.DUMMYFUNCTION("""COMPUTED_VALUE"""),"মোছাঃ শরিফন নেছা")</f>
        <v>মোছাঃ শরিফন নেছা</v>
      </c>
      <c r="D208" s="5">
        <f>IFERROR(__xludf.DUMMYFUNCTION("""COMPUTED_VALUE"""),5.7003835665E11)</f>
        <v>570038356650</v>
      </c>
      <c r="E208" s="5" t="str">
        <f>IFERROR(__xludf.DUMMYFUNCTION("""COMPUTED_VALUE"""),"সিফার উদ্দীন শেখ")</f>
        <v>সিফার উদ্দীন শেখ</v>
      </c>
      <c r="F208" s="5" t="str">
        <f>IFERROR(__xludf.DUMMYFUNCTION("""COMPUTED_VALUE"""),"নহেরুন")</f>
        <v>নহেরুন</v>
      </c>
      <c r="G208" s="5" t="str">
        <f>IFERROR(__xludf.DUMMYFUNCTION("""COMPUTED_VALUE"""),"১৫/১০/১৯৪৭")</f>
        <v>১৫/১০/১৯৪৭</v>
      </c>
      <c r="H208" s="5" t="str">
        <f>IFERROR(__xludf.DUMMYFUNCTION("""COMPUTED_VALUE"""),"গৃহিনী")</f>
        <v>গৃহিনী</v>
      </c>
      <c r="I208" s="5" t="str">
        <f>IFERROR(__xludf.DUMMYFUNCTION("""COMPUTED_VALUE"""),"গাড়ীডোব")</f>
        <v>গাড়ীডোব</v>
      </c>
      <c r="J208" s="5" t="str">
        <f>IFERROR(__xludf.DUMMYFUNCTION("""COMPUTED_VALUE""")," গাংনী")</f>
        <v> গাংনী</v>
      </c>
      <c r="K208" s="5" t="str">
        <f>IFERROR(__xludf.DUMMYFUNCTION("""COMPUTED_VALUE""")," মেহেরপুর")</f>
        <v> মেহেরপুর</v>
      </c>
    </row>
    <row r="209" ht="15.75" customHeight="1">
      <c r="A209" s="6" t="s">
        <v>7077</v>
      </c>
      <c r="B209" s="5">
        <f>IFERROR(__xludf.DUMMYFUNCTION("SPLIT(A209,"","")"),1555.0)</f>
        <v>1555</v>
      </c>
      <c r="C209" s="5" t="str">
        <f>IFERROR(__xludf.DUMMYFUNCTION("""COMPUTED_VALUE"""),"মোছাঃ জবেদা খাতুন")</f>
        <v>মোছাঃ জবেদা খাতুন</v>
      </c>
      <c r="D209" s="5">
        <f>IFERROR(__xludf.DUMMYFUNCTION("""COMPUTED_VALUE"""),5.70038356651E11)</f>
        <v>570038356651</v>
      </c>
      <c r="E209" s="5" t="str">
        <f>IFERROR(__xludf.DUMMYFUNCTION("""COMPUTED_VALUE"""),"মোঃ সনাতন")</f>
        <v>মোঃ সনাতন</v>
      </c>
      <c r="F209" s="5" t="str">
        <f>IFERROR(__xludf.DUMMYFUNCTION("""COMPUTED_VALUE"""),"মোছাঃ আশরাফন")</f>
        <v>মোছাঃ আশরাফন</v>
      </c>
      <c r="G209" s="5" t="str">
        <f>IFERROR(__xludf.DUMMYFUNCTION("""COMPUTED_VALUE"""),"১১/০৯/১৯৭০")</f>
        <v>১১/০৯/১৯৭০</v>
      </c>
      <c r="H209" s="5" t="str">
        <f>IFERROR(__xludf.DUMMYFUNCTION("""COMPUTED_VALUE"""),"গৃহিনী")</f>
        <v>গৃহিনী</v>
      </c>
      <c r="I209" s="5" t="str">
        <f>IFERROR(__xludf.DUMMYFUNCTION("""COMPUTED_VALUE"""),"গাড়ীডোব")</f>
        <v>গাড়ীডোব</v>
      </c>
      <c r="J209" s="5" t="str">
        <f>IFERROR(__xludf.DUMMYFUNCTION("""COMPUTED_VALUE""")," গাংনী")</f>
        <v> গাংনী</v>
      </c>
      <c r="K209" s="5" t="str">
        <f>IFERROR(__xludf.DUMMYFUNCTION("""COMPUTED_VALUE""")," মেহেরপুর")</f>
        <v> মেহেরপুর</v>
      </c>
    </row>
    <row r="210" ht="15.75" customHeight="1">
      <c r="A210" s="6" t="s">
        <v>7078</v>
      </c>
      <c r="B210" s="5">
        <f>IFERROR(__xludf.DUMMYFUNCTION("SPLIT(A210,"","")"),1556.0)</f>
        <v>1556</v>
      </c>
      <c r="C210" s="5" t="str">
        <f>IFERROR(__xludf.DUMMYFUNCTION("""COMPUTED_VALUE"""),"মোছাঃ শাবানা খাতুন")</f>
        <v>মোছাঃ শাবানা খাতুন</v>
      </c>
      <c r="D210" s="5">
        <f>IFERROR(__xludf.DUMMYFUNCTION("""COMPUTED_VALUE"""),5.70038356653E11)</f>
        <v>570038356653</v>
      </c>
      <c r="E210" s="5" t="str">
        <f>IFERROR(__xludf.DUMMYFUNCTION("""COMPUTED_VALUE"""),"মোঃ আলতাফ আলী")</f>
        <v>মোঃ আলতাফ আলী</v>
      </c>
      <c r="F210" s="5" t="str">
        <f>IFERROR(__xludf.DUMMYFUNCTION("""COMPUTED_VALUE"""),"মোছাঃ পারুলা খাতুন")</f>
        <v>মোছাঃ পারুলা খাতুন</v>
      </c>
      <c r="G210" s="5" t="str">
        <f>IFERROR(__xludf.DUMMYFUNCTION("""COMPUTED_VALUE"""),"১৬/০৯/১৯৮৪")</f>
        <v>১৬/০৯/১৯৮৪</v>
      </c>
      <c r="H210" s="5" t="str">
        <f>IFERROR(__xludf.DUMMYFUNCTION("""COMPUTED_VALUE"""),"গৃহিনী")</f>
        <v>গৃহিনী</v>
      </c>
      <c r="I210" s="5" t="str">
        <f>IFERROR(__xludf.DUMMYFUNCTION("""COMPUTED_VALUE"""),"গাড়ীডোব")</f>
        <v>গাড়ীডোব</v>
      </c>
      <c r="J210" s="5" t="str">
        <f>IFERROR(__xludf.DUMMYFUNCTION("""COMPUTED_VALUE""")," গাংনী")</f>
        <v> গাংনী</v>
      </c>
      <c r="K210" s="5" t="str">
        <f>IFERROR(__xludf.DUMMYFUNCTION("""COMPUTED_VALUE""")," মেহেরপুর")</f>
        <v> মেহেরপুর</v>
      </c>
    </row>
    <row r="211" ht="15.75" customHeight="1">
      <c r="A211" s="6" t="s">
        <v>7079</v>
      </c>
      <c r="B211" s="5">
        <f>IFERROR(__xludf.DUMMYFUNCTION("SPLIT(A211,"","")"),1557.0)</f>
        <v>1557</v>
      </c>
      <c r="C211" s="5" t="str">
        <f>IFERROR(__xludf.DUMMYFUNCTION("""COMPUTED_VALUE"""),"মোছাঃ আলিয়া খাতুন")</f>
        <v>মোছাঃ আলিয়া খাতুন</v>
      </c>
      <c r="D211" s="5">
        <f>IFERROR(__xludf.DUMMYFUNCTION("""COMPUTED_VALUE"""),5.70038356657E11)</f>
        <v>570038356657</v>
      </c>
      <c r="E211" s="5" t="str">
        <f>IFERROR(__xludf.DUMMYFUNCTION("""COMPUTED_VALUE"""),"মোঃ আইয়ুব আলী")</f>
        <v>মোঃ আইয়ুব আলী</v>
      </c>
      <c r="F211" s="5" t="str">
        <f>IFERROR(__xludf.DUMMYFUNCTION("""COMPUTED_VALUE"""),"মোছাঃ আনোয়ারা খাতুন")</f>
        <v>মোছাঃ আনোয়ারা খাতুন</v>
      </c>
      <c r="G211" s="5" t="str">
        <f>IFERROR(__xludf.DUMMYFUNCTION("""COMPUTED_VALUE"""),"১৭/০৮/১৯৭৩")</f>
        <v>১৭/০৮/১৯৭৩</v>
      </c>
      <c r="H211" s="5" t="str">
        <f>IFERROR(__xludf.DUMMYFUNCTION("""COMPUTED_VALUE"""),"গৃহিনী")</f>
        <v>গৃহিনী</v>
      </c>
      <c r="I211" s="5" t="str">
        <f>IFERROR(__xludf.DUMMYFUNCTION("""COMPUTED_VALUE"""),"গাড়ীডোব")</f>
        <v>গাড়ীডোব</v>
      </c>
      <c r="J211" s="5" t="str">
        <f>IFERROR(__xludf.DUMMYFUNCTION("""COMPUTED_VALUE""")," গাংনী")</f>
        <v> গাংনী</v>
      </c>
      <c r="K211" s="5" t="str">
        <f>IFERROR(__xludf.DUMMYFUNCTION("""COMPUTED_VALUE""")," মেহেরপুর")</f>
        <v> মেহেরপুর</v>
      </c>
    </row>
    <row r="212" ht="15.75" customHeight="1">
      <c r="A212" s="6" t="s">
        <v>7080</v>
      </c>
      <c r="B212" s="5">
        <f>IFERROR(__xludf.DUMMYFUNCTION("SPLIT(A212,"","")"),1558.0)</f>
        <v>1558</v>
      </c>
      <c r="C212" s="5" t="str">
        <f>IFERROR(__xludf.DUMMYFUNCTION("""COMPUTED_VALUE"""),"মোছাঃ হাসিনা খাতুন")</f>
        <v>মোছাঃ হাসিনা খাতুন</v>
      </c>
      <c r="D212" s="5">
        <f>IFERROR(__xludf.DUMMYFUNCTION("""COMPUTED_VALUE"""),5.70038356659E11)</f>
        <v>570038356659</v>
      </c>
      <c r="E212" s="5" t="str">
        <f>IFERROR(__xludf.DUMMYFUNCTION("""COMPUTED_VALUE"""),"মোঃ পীর বকস")</f>
        <v>মোঃ পীর বকস</v>
      </c>
      <c r="F212" s="5" t="str">
        <f>IFERROR(__xludf.DUMMYFUNCTION("""COMPUTED_VALUE"""),"মোছাঃ ফুলবতী")</f>
        <v>মোছাঃ ফুলবতী</v>
      </c>
      <c r="G212" s="5" t="str">
        <f>IFERROR(__xludf.DUMMYFUNCTION("""COMPUTED_VALUE"""),"১৩/০৩/১৯৫৭")</f>
        <v>১৩/০৩/১৯৫৭</v>
      </c>
      <c r="H212" s="5" t="str">
        <f>IFERROR(__xludf.DUMMYFUNCTION("""COMPUTED_VALUE"""),"গৃহিনী")</f>
        <v>গৃহিনী</v>
      </c>
      <c r="I212" s="5" t="str">
        <f>IFERROR(__xludf.DUMMYFUNCTION("""COMPUTED_VALUE"""),"গাড়ীডোব")</f>
        <v>গাড়ীডোব</v>
      </c>
      <c r="J212" s="5" t="str">
        <f>IFERROR(__xludf.DUMMYFUNCTION("""COMPUTED_VALUE""")," গাংনী")</f>
        <v> গাংনী</v>
      </c>
      <c r="K212" s="5" t="str">
        <f>IFERROR(__xludf.DUMMYFUNCTION("""COMPUTED_VALUE""")," মেহেরপুর")</f>
        <v> মেহেরপুর</v>
      </c>
    </row>
    <row r="213" ht="15.75" customHeight="1">
      <c r="A213" s="6" t="s">
        <v>7081</v>
      </c>
      <c r="B213" s="5">
        <f>IFERROR(__xludf.DUMMYFUNCTION("SPLIT(A213,"","")"),1559.0)</f>
        <v>1559</v>
      </c>
      <c r="C213" s="5" t="str">
        <f>IFERROR(__xludf.DUMMYFUNCTION("""COMPUTED_VALUE"""),"মোছাঃ নজেরা খাতুন")</f>
        <v>মোছাঃ নজেরা খাতুন</v>
      </c>
      <c r="D213" s="5">
        <f>IFERROR(__xludf.DUMMYFUNCTION("""COMPUTED_VALUE"""),5.70038356664E11)</f>
        <v>570038356664</v>
      </c>
      <c r="E213" s="5" t="str">
        <f>IFERROR(__xludf.DUMMYFUNCTION("""COMPUTED_VALUE"""),"মোঃ মারফত আলী")</f>
        <v>মোঃ মারফত আলী</v>
      </c>
      <c r="F213" s="5" t="str">
        <f>IFERROR(__xludf.DUMMYFUNCTION("""COMPUTED_VALUE"""),"মোছাঃ জাহানারা খাতুন")</f>
        <v>মোছাঃ জাহানারা খাতুন</v>
      </c>
      <c r="G213" s="5" t="str">
        <f>IFERROR(__xludf.DUMMYFUNCTION("""COMPUTED_VALUE"""),"১৪/০৩/১৯৮১")</f>
        <v>১৪/০৩/১৯৮১</v>
      </c>
      <c r="H213" s="5" t="str">
        <f>IFERROR(__xludf.DUMMYFUNCTION("""COMPUTED_VALUE"""),"গৃহিনী")</f>
        <v>গৃহিনী</v>
      </c>
      <c r="I213" s="5" t="str">
        <f>IFERROR(__xludf.DUMMYFUNCTION("""COMPUTED_VALUE"""),"গাড়ীডোব")</f>
        <v>গাড়ীডোব</v>
      </c>
      <c r="J213" s="5" t="str">
        <f>IFERROR(__xludf.DUMMYFUNCTION("""COMPUTED_VALUE""")," গাংনী")</f>
        <v> গাংনী</v>
      </c>
      <c r="K213" s="5" t="str">
        <f>IFERROR(__xludf.DUMMYFUNCTION("""COMPUTED_VALUE""")," মেহেরপুর")</f>
        <v> মেহেরপুর</v>
      </c>
    </row>
    <row r="214" ht="15.75" customHeight="1">
      <c r="A214" s="6" t="s">
        <v>7082</v>
      </c>
      <c r="B214" s="5">
        <f>IFERROR(__xludf.DUMMYFUNCTION("SPLIT(A214,"","")"),1560.0)</f>
        <v>1560</v>
      </c>
      <c r="C214" s="5" t="str">
        <f>IFERROR(__xludf.DUMMYFUNCTION("""COMPUTED_VALUE"""),"মোছাঃ তানজিরা খাতুন")</f>
        <v>মোছাঃ তানজিরা খাতুন</v>
      </c>
      <c r="D214" s="5">
        <f>IFERROR(__xludf.DUMMYFUNCTION("""COMPUTED_VALUE"""),5.70038356667E11)</f>
        <v>570038356667</v>
      </c>
      <c r="E214" s="5" t="str">
        <f>IFERROR(__xludf.DUMMYFUNCTION("""COMPUTED_VALUE"""),"মোঃ ইন্তাদুল হক")</f>
        <v>মোঃ ইন্তাদুল হক</v>
      </c>
      <c r="F214" s="5" t="str">
        <f>IFERROR(__xludf.DUMMYFUNCTION("""COMPUTED_VALUE"""),"মোছাঃ আছিয়া খাতুন")</f>
        <v>মোছাঃ আছিয়া খাতুন</v>
      </c>
      <c r="G214" s="5" t="str">
        <f>IFERROR(__xludf.DUMMYFUNCTION("""COMPUTED_VALUE"""),"১৮/০৪/১৯৭৭")</f>
        <v>১৮/০৪/১৯৭৭</v>
      </c>
      <c r="H214" s="5" t="str">
        <f>IFERROR(__xludf.DUMMYFUNCTION("""COMPUTED_VALUE"""),"গৃহিনী")</f>
        <v>গৃহিনী</v>
      </c>
      <c r="I214" s="5" t="str">
        <f>IFERROR(__xludf.DUMMYFUNCTION("""COMPUTED_VALUE"""),"গাড়ীডোব")</f>
        <v>গাড়ীডোব</v>
      </c>
      <c r="J214" s="5" t="str">
        <f>IFERROR(__xludf.DUMMYFUNCTION("""COMPUTED_VALUE""")," গাংনী")</f>
        <v> গাংনী</v>
      </c>
      <c r="K214" s="5" t="str">
        <f>IFERROR(__xludf.DUMMYFUNCTION("""COMPUTED_VALUE""")," মেহেরপুর")</f>
        <v> মেহেরপুর</v>
      </c>
    </row>
    <row r="215" ht="15.75" customHeight="1">
      <c r="A215" s="6" t="s">
        <v>7083</v>
      </c>
      <c r="B215" s="5">
        <f>IFERROR(__xludf.DUMMYFUNCTION("SPLIT(A215,"","")"),1561.0)</f>
        <v>1561</v>
      </c>
      <c r="C215" s="5" t="str">
        <f>IFERROR(__xludf.DUMMYFUNCTION("""COMPUTED_VALUE"""),"মোছাঃ রোজিনা খাতুন")</f>
        <v>মোছাঃ রোজিনা খাতুন</v>
      </c>
      <c r="D215" s="5">
        <f>IFERROR(__xludf.DUMMYFUNCTION("""COMPUTED_VALUE"""),5.70038356668E11)</f>
        <v>570038356668</v>
      </c>
      <c r="E215" s="5" t="str">
        <f>IFERROR(__xludf.DUMMYFUNCTION("""COMPUTED_VALUE"""),"মোঃ আলী হোসেন")</f>
        <v>মোঃ আলী হোসেন</v>
      </c>
      <c r="F215" s="5" t="str">
        <f>IFERROR(__xludf.DUMMYFUNCTION("""COMPUTED_VALUE"""),"মোছাঃ আজেদা খাতুন")</f>
        <v>মোছাঃ আজেদা খাতুন</v>
      </c>
      <c r="G215" s="5" t="str">
        <f>IFERROR(__xludf.DUMMYFUNCTION("""COMPUTED_VALUE"""),"১৯/০৭/১৯৮৮")</f>
        <v>১৯/০৭/১৯৮৮</v>
      </c>
      <c r="H215" s="5" t="str">
        <f>IFERROR(__xludf.DUMMYFUNCTION("""COMPUTED_VALUE"""),"গৃহিনী")</f>
        <v>গৃহিনী</v>
      </c>
      <c r="I215" s="5" t="str">
        <f>IFERROR(__xludf.DUMMYFUNCTION("""COMPUTED_VALUE"""),"গাড়ীডোব")</f>
        <v>গাড়ীডোব</v>
      </c>
      <c r="J215" s="5" t="str">
        <f>IFERROR(__xludf.DUMMYFUNCTION("""COMPUTED_VALUE""")," গাংনী")</f>
        <v> গাংনী</v>
      </c>
      <c r="K215" s="5" t="str">
        <f>IFERROR(__xludf.DUMMYFUNCTION("""COMPUTED_VALUE""")," মেহেরপুর")</f>
        <v> মেহেরপুর</v>
      </c>
    </row>
    <row r="216" ht="15.75" customHeight="1">
      <c r="A216" s="6" t="s">
        <v>7084</v>
      </c>
      <c r="B216" s="5">
        <f>IFERROR(__xludf.DUMMYFUNCTION("SPLIT(A216,"","")"),1562.0)</f>
        <v>1562</v>
      </c>
      <c r="C216" s="5" t="str">
        <f>IFERROR(__xludf.DUMMYFUNCTION("""COMPUTED_VALUE"""),"মোছাঃ শান্তনা খাতুন")</f>
        <v>মোছাঃ শান্তনা খাতুন</v>
      </c>
      <c r="D216" s="5">
        <f>IFERROR(__xludf.DUMMYFUNCTION("""COMPUTED_VALUE"""),5.70038356684E11)</f>
        <v>570038356684</v>
      </c>
      <c r="E216" s="5" t="str">
        <f>IFERROR(__xludf.DUMMYFUNCTION("""COMPUTED_VALUE"""),"মোঃ আকবর আলী")</f>
        <v>মোঃ আকবর আলী</v>
      </c>
      <c r="F216" s="5" t="str">
        <f>IFERROR(__xludf.DUMMYFUNCTION("""COMPUTED_VALUE"""),"মোছাঃ মেহেরুন নেছা")</f>
        <v>মোছাঃ মেহেরুন নেছা</v>
      </c>
      <c r="G216" s="5" t="str">
        <f>IFERROR(__xludf.DUMMYFUNCTION("""COMPUTED_VALUE"""),"২৩/০৪/১৯৮৪")</f>
        <v>২৩/০৪/১৯৮৪</v>
      </c>
      <c r="H216" s="5" t="str">
        <f>IFERROR(__xludf.DUMMYFUNCTION("""COMPUTED_VALUE"""),"গৃহিনী")</f>
        <v>গৃহিনী</v>
      </c>
      <c r="I216" s="5" t="str">
        <f>IFERROR(__xludf.DUMMYFUNCTION("""COMPUTED_VALUE"""),"গাড়ীডোব")</f>
        <v>গাড়ীডোব</v>
      </c>
      <c r="J216" s="5" t="str">
        <f>IFERROR(__xludf.DUMMYFUNCTION("""COMPUTED_VALUE""")," গাংনী")</f>
        <v> গাংনী</v>
      </c>
      <c r="K216" s="5" t="str">
        <f>IFERROR(__xludf.DUMMYFUNCTION("""COMPUTED_VALUE""")," মেহেরপুর")</f>
        <v> মেহেরপুর</v>
      </c>
    </row>
    <row r="217" ht="15.75" customHeight="1">
      <c r="A217" s="6" t="s">
        <v>7085</v>
      </c>
      <c r="B217" s="5">
        <f>IFERROR(__xludf.DUMMYFUNCTION("SPLIT(A217,"","")"),1563.0)</f>
        <v>1563</v>
      </c>
      <c r="C217" s="5" t="str">
        <f>IFERROR(__xludf.DUMMYFUNCTION("""COMPUTED_VALUE"""),"মোছাঃ ইসমোতারা")</f>
        <v>মোছাঃ ইসমোতারা</v>
      </c>
      <c r="D217" s="5">
        <f>IFERROR(__xludf.DUMMYFUNCTION("""COMPUTED_VALUE"""),5.70038356685E11)</f>
        <v>570038356685</v>
      </c>
      <c r="E217" s="5" t="str">
        <f>IFERROR(__xludf.DUMMYFUNCTION("""COMPUTED_VALUE"""),"কাওছার আলী")</f>
        <v>কাওছার আলী</v>
      </c>
      <c r="F217" s="5" t="str">
        <f>IFERROR(__xludf.DUMMYFUNCTION("""COMPUTED_VALUE"""),"মোছাঃ খুশি খাতুন")</f>
        <v>মোছাঃ খুশি খাতুন</v>
      </c>
      <c r="G217" s="5" t="str">
        <f>IFERROR(__xludf.DUMMYFUNCTION("""COMPUTED_VALUE"""),"২৭/০৯/১৯৮৩")</f>
        <v>২৭/০৯/১৯৮৩</v>
      </c>
      <c r="H217" s="5" t="str">
        <f>IFERROR(__xludf.DUMMYFUNCTION("""COMPUTED_VALUE"""),"গৃহিনী")</f>
        <v>গৃহিনী</v>
      </c>
      <c r="I217" s="5" t="str">
        <f>IFERROR(__xludf.DUMMYFUNCTION("""COMPUTED_VALUE"""),"গাড়ীডোব")</f>
        <v>গাড়ীডোব</v>
      </c>
      <c r="J217" s="5" t="str">
        <f>IFERROR(__xludf.DUMMYFUNCTION("""COMPUTED_VALUE""")," গাংনী")</f>
        <v> গাংনী</v>
      </c>
      <c r="K217" s="5" t="str">
        <f>IFERROR(__xludf.DUMMYFUNCTION("""COMPUTED_VALUE""")," মেহেরপুর")</f>
        <v> মেহেরপুর</v>
      </c>
    </row>
    <row r="218" ht="15.75" customHeight="1">
      <c r="A218" s="6" t="s">
        <v>7086</v>
      </c>
      <c r="B218" s="5">
        <f>IFERROR(__xludf.DUMMYFUNCTION("SPLIT(A218,"","")"),1564.0)</f>
        <v>1564</v>
      </c>
      <c r="C218" s="5" t="str">
        <f>IFERROR(__xludf.DUMMYFUNCTION("""COMPUTED_VALUE"""),"মোছাঃ নিহারন খাতুন")</f>
        <v>মোছাঃ নিহারন খাতুন</v>
      </c>
      <c r="D218" s="5">
        <f>IFERROR(__xludf.DUMMYFUNCTION("""COMPUTED_VALUE"""),5.70038356691E11)</f>
        <v>570038356691</v>
      </c>
      <c r="E218" s="5" t="str">
        <f>IFERROR(__xludf.DUMMYFUNCTION("""COMPUTED_VALUE"""),"খয়ের উদ্দীন")</f>
        <v>খয়ের উদ্দীন</v>
      </c>
      <c r="F218" s="5" t="str">
        <f>IFERROR(__xludf.DUMMYFUNCTION("""COMPUTED_VALUE"""),"মোছাঃ রাবেয়া খাতুন")</f>
        <v>মোছাঃ রাবেয়া খাতুন</v>
      </c>
      <c r="G218" s="5" t="str">
        <f>IFERROR(__xludf.DUMMYFUNCTION("""COMPUTED_VALUE"""),"১৫/০৮/১৯৮১")</f>
        <v>১৫/০৮/১৯৮১</v>
      </c>
      <c r="H218" s="5" t="str">
        <f>IFERROR(__xludf.DUMMYFUNCTION("""COMPUTED_VALUE"""),"শ্রমিক")</f>
        <v>শ্রমিক</v>
      </c>
      <c r="I218" s="5" t="str">
        <f>IFERROR(__xludf.DUMMYFUNCTION("""COMPUTED_VALUE"""),"গাড়ীডোব")</f>
        <v>গাড়ীডোব</v>
      </c>
      <c r="J218" s="5" t="str">
        <f>IFERROR(__xludf.DUMMYFUNCTION("""COMPUTED_VALUE""")," গাংনী")</f>
        <v> গাংনী</v>
      </c>
      <c r="K218" s="5" t="str">
        <f>IFERROR(__xludf.DUMMYFUNCTION("""COMPUTED_VALUE""")," মেহেরপুর")</f>
        <v> মেহেরপুর</v>
      </c>
    </row>
    <row r="219" ht="15.75" customHeight="1">
      <c r="A219" s="6" t="s">
        <v>7087</v>
      </c>
      <c r="B219" s="5">
        <f>IFERROR(__xludf.DUMMYFUNCTION("SPLIT(A219,"","")"),1565.0)</f>
        <v>1565</v>
      </c>
      <c r="C219" s="5" t="str">
        <f>IFERROR(__xludf.DUMMYFUNCTION("""COMPUTED_VALUE"""),"মোছাঃ রাজিয়া খাতুন")</f>
        <v>মোছাঃ রাজিয়া খাতুন</v>
      </c>
      <c r="D219" s="5">
        <f>IFERROR(__xludf.DUMMYFUNCTION("""COMPUTED_VALUE"""),5.70038356692E11)</f>
        <v>570038356692</v>
      </c>
      <c r="E219" s="5" t="str">
        <f>IFERROR(__xludf.DUMMYFUNCTION("""COMPUTED_VALUE"""),"মজিবর রহমান")</f>
        <v>মজিবর রহমান</v>
      </c>
      <c r="F219" s="5" t="str">
        <f>IFERROR(__xludf.DUMMYFUNCTION("""COMPUTED_VALUE"""),"মোছাঃ রাবেয়া খাতুন")</f>
        <v>মোছাঃ রাবেয়া খাতুন</v>
      </c>
      <c r="G219" s="5" t="str">
        <f>IFERROR(__xludf.DUMMYFUNCTION("""COMPUTED_VALUE"""),"১৫/০৯/১৯৬৭")</f>
        <v>১৫/০৯/১৯৬৭</v>
      </c>
      <c r="H219" s="5" t="str">
        <f>IFERROR(__xludf.DUMMYFUNCTION("""COMPUTED_VALUE"""),"গৃহিনী")</f>
        <v>গৃহিনী</v>
      </c>
      <c r="I219" s="5" t="str">
        <f>IFERROR(__xludf.DUMMYFUNCTION("""COMPUTED_VALUE"""),"গাড়ীডোব")</f>
        <v>গাড়ীডোব</v>
      </c>
      <c r="J219" s="5" t="str">
        <f>IFERROR(__xludf.DUMMYFUNCTION("""COMPUTED_VALUE""")," গাংনী")</f>
        <v> গাংনী</v>
      </c>
      <c r="K219" s="5" t="str">
        <f>IFERROR(__xludf.DUMMYFUNCTION("""COMPUTED_VALUE""")," মেহেরপুর")</f>
        <v> মেহেরপুর</v>
      </c>
    </row>
    <row r="220" ht="15.75" customHeight="1">
      <c r="A220" s="6" t="s">
        <v>7088</v>
      </c>
      <c r="B220" s="5">
        <f>IFERROR(__xludf.DUMMYFUNCTION("SPLIT(A220,"","")"),1566.0)</f>
        <v>1566</v>
      </c>
      <c r="C220" s="5" t="str">
        <f>IFERROR(__xludf.DUMMYFUNCTION("""COMPUTED_VALUE"""),"মোছাঃ হামিদা খাতুন")</f>
        <v>মোছাঃ হামিদা খাতুন</v>
      </c>
      <c r="D220" s="5">
        <f>IFERROR(__xludf.DUMMYFUNCTION("""COMPUTED_VALUE"""),5.70038356701E11)</f>
        <v>570038356701</v>
      </c>
      <c r="E220" s="5" t="str">
        <f>IFERROR(__xludf.DUMMYFUNCTION("""COMPUTED_VALUE"""),"মোঃ আজিজুল হক")</f>
        <v>মোঃ আজিজুল হক</v>
      </c>
      <c r="F220" s="5" t="str">
        <f>IFERROR(__xludf.DUMMYFUNCTION("""COMPUTED_VALUE"""),"মোছাঃ ছফেলা খাতুন")</f>
        <v>মোছাঃ ছফেলা খাতুন</v>
      </c>
      <c r="G220" s="5" t="str">
        <f>IFERROR(__xludf.DUMMYFUNCTION("""COMPUTED_VALUE"""),"২৫/০৭/১৯৭১")</f>
        <v>২৫/০৭/১৯৭১</v>
      </c>
      <c r="H220" s="5" t="str">
        <f>IFERROR(__xludf.DUMMYFUNCTION("""COMPUTED_VALUE"""),"গৃহিনী")</f>
        <v>গৃহিনী</v>
      </c>
      <c r="I220" s="5" t="str">
        <f>IFERROR(__xludf.DUMMYFUNCTION("""COMPUTED_VALUE"""),"গাড়ীডোব")</f>
        <v>গাড়ীডোব</v>
      </c>
      <c r="J220" s="5" t="str">
        <f>IFERROR(__xludf.DUMMYFUNCTION("""COMPUTED_VALUE""")," গাংনী")</f>
        <v> গাংনী</v>
      </c>
      <c r="K220" s="5" t="str">
        <f>IFERROR(__xludf.DUMMYFUNCTION("""COMPUTED_VALUE""")," মেহেরপুর")</f>
        <v> মেহেরপুর</v>
      </c>
    </row>
    <row r="221" ht="15.75" customHeight="1">
      <c r="A221" s="6" t="s">
        <v>7089</v>
      </c>
      <c r="B221" s="5">
        <f>IFERROR(__xludf.DUMMYFUNCTION("SPLIT(A221,"","")"),1567.0)</f>
        <v>1567</v>
      </c>
      <c r="C221" s="5" t="str">
        <f>IFERROR(__xludf.DUMMYFUNCTION("""COMPUTED_VALUE"""),"মোছাঃ বেদানা খাতুন")</f>
        <v>মোছাঃ বেদানা খাতুন</v>
      </c>
      <c r="D221" s="5">
        <f>IFERROR(__xludf.DUMMYFUNCTION("""COMPUTED_VALUE"""),5.70038356704E11)</f>
        <v>570038356704</v>
      </c>
      <c r="E221" s="5" t="str">
        <f>IFERROR(__xludf.DUMMYFUNCTION("""COMPUTED_VALUE"""),"আবু শ্যামা")</f>
        <v>আবু শ্যামা</v>
      </c>
      <c r="F221" s="5" t="str">
        <f>IFERROR(__xludf.DUMMYFUNCTION("""COMPUTED_VALUE"""),"মোছাঃ রাবেয়া খাতুন")</f>
        <v>মোছাঃ রাবেয়া খাতুন</v>
      </c>
      <c r="G221" s="5" t="str">
        <f>IFERROR(__xludf.DUMMYFUNCTION("""COMPUTED_VALUE"""),"২৩/০৭/১৯৪৫")</f>
        <v>২৩/০৭/১৯৪৫</v>
      </c>
      <c r="H221" s="5" t="str">
        <f>IFERROR(__xludf.DUMMYFUNCTION("""COMPUTED_VALUE"""),"গৃহিনী")</f>
        <v>গৃহিনী</v>
      </c>
      <c r="I221" s="5" t="str">
        <f>IFERROR(__xludf.DUMMYFUNCTION("""COMPUTED_VALUE"""),"গাড়ীডোব")</f>
        <v>গাড়ীডোব</v>
      </c>
      <c r="J221" s="5" t="str">
        <f>IFERROR(__xludf.DUMMYFUNCTION("""COMPUTED_VALUE""")," গাংনী")</f>
        <v> গাংনী</v>
      </c>
      <c r="K221" s="5" t="str">
        <f>IFERROR(__xludf.DUMMYFUNCTION("""COMPUTED_VALUE""")," মেহেরপুর")</f>
        <v> মেহেরপুর</v>
      </c>
    </row>
    <row r="222" ht="15.75" customHeight="1">
      <c r="A222" s="6" t="s">
        <v>7090</v>
      </c>
      <c r="B222" s="5">
        <f>IFERROR(__xludf.DUMMYFUNCTION("SPLIT(A222,"","")"),1568.0)</f>
        <v>1568</v>
      </c>
      <c r="C222" s="5" t="str">
        <f>IFERROR(__xludf.DUMMYFUNCTION("""COMPUTED_VALUE"""),"মোছাঃ মিনা বেগম")</f>
        <v>মোছাঃ মিনা বেগম</v>
      </c>
      <c r="D222" s="5">
        <f>IFERROR(__xludf.DUMMYFUNCTION("""COMPUTED_VALUE"""),5.70038356707E11)</f>
        <v>570038356707</v>
      </c>
      <c r="E222" s="5" t="str">
        <f>IFERROR(__xludf.DUMMYFUNCTION("""COMPUTED_VALUE"""),"আব্দুল আজিজ")</f>
        <v>আব্দুল আজিজ</v>
      </c>
      <c r="F222" s="5" t="str">
        <f>IFERROR(__xludf.DUMMYFUNCTION("""COMPUTED_VALUE"""),"মোছাঃ মেহেরন নেছা")</f>
        <v>মোছাঃ মেহেরন নেছা</v>
      </c>
      <c r="G222" s="5" t="str">
        <f>IFERROR(__xludf.DUMMYFUNCTION("""COMPUTED_VALUE"""),"০২/০৩/১৯৭৯")</f>
        <v>০২/০৩/১৯৭৯</v>
      </c>
      <c r="H222" s="5" t="str">
        <f>IFERROR(__xludf.DUMMYFUNCTION("""COMPUTED_VALUE"""),"গৃহিনী")</f>
        <v>গৃহিনী</v>
      </c>
      <c r="I222" s="5" t="str">
        <f>IFERROR(__xludf.DUMMYFUNCTION("""COMPUTED_VALUE"""),"গাড়ীডোব")</f>
        <v>গাড়ীডোব</v>
      </c>
      <c r="J222" s="5" t="str">
        <f>IFERROR(__xludf.DUMMYFUNCTION("""COMPUTED_VALUE""")," গাংনী")</f>
        <v> গাংনী</v>
      </c>
      <c r="K222" s="5" t="str">
        <f>IFERROR(__xludf.DUMMYFUNCTION("""COMPUTED_VALUE""")," মেহেরপুর")</f>
        <v> মেহেরপুর</v>
      </c>
    </row>
    <row r="223" ht="15.75" customHeight="1">
      <c r="A223" s="6" t="s">
        <v>7091</v>
      </c>
      <c r="B223" s="5">
        <f>IFERROR(__xludf.DUMMYFUNCTION("SPLIT(A223,"","")"),1569.0)</f>
        <v>1569</v>
      </c>
      <c r="C223" s="5" t="str">
        <f>IFERROR(__xludf.DUMMYFUNCTION("""COMPUTED_VALUE"""),"মোছাঃ ছয়েলা খাতুন")</f>
        <v>মোছাঃ ছয়েলা খাতুন</v>
      </c>
      <c r="D223" s="5">
        <f>IFERROR(__xludf.DUMMYFUNCTION("""COMPUTED_VALUE"""),5.70038356708E11)</f>
        <v>570038356708</v>
      </c>
      <c r="E223" s="5" t="str">
        <f>IFERROR(__xludf.DUMMYFUNCTION("""COMPUTED_VALUE"""),"ফাকের আলী")</f>
        <v>ফাকের আলী</v>
      </c>
      <c r="F223" s="5" t="str">
        <f>IFERROR(__xludf.DUMMYFUNCTION("""COMPUTED_VALUE"""),"জিজান খাতুন")</f>
        <v>জিজান খাতুন</v>
      </c>
      <c r="G223" s="5" t="str">
        <f>IFERROR(__xludf.DUMMYFUNCTION("""COMPUTED_VALUE"""),"১০/১০/১৯৪৫")</f>
        <v>১০/১০/১৯৪৫</v>
      </c>
      <c r="H223" s="5" t="str">
        <f>IFERROR(__xludf.DUMMYFUNCTION("""COMPUTED_VALUE"""),"গৃহিনী")</f>
        <v>গৃহিনী</v>
      </c>
      <c r="I223" s="5" t="str">
        <f>IFERROR(__xludf.DUMMYFUNCTION("""COMPUTED_VALUE"""),"গাড়ীডোব")</f>
        <v>গাড়ীডোব</v>
      </c>
      <c r="J223" s="5" t="str">
        <f>IFERROR(__xludf.DUMMYFUNCTION("""COMPUTED_VALUE""")," গাংনী")</f>
        <v> গাংনী</v>
      </c>
      <c r="K223" s="5" t="str">
        <f>IFERROR(__xludf.DUMMYFUNCTION("""COMPUTED_VALUE""")," মেহেরপুর")</f>
        <v> মেহেরপুর</v>
      </c>
    </row>
    <row r="224" ht="15.75" customHeight="1">
      <c r="A224" s="6" t="s">
        <v>7092</v>
      </c>
      <c r="B224" s="5">
        <f>IFERROR(__xludf.DUMMYFUNCTION("SPLIT(A224,"","")"),1570.0)</f>
        <v>1570</v>
      </c>
      <c r="C224" s="5" t="str">
        <f>IFERROR(__xludf.DUMMYFUNCTION("""COMPUTED_VALUE"""),"মোছাঃ ছেরেজান খাতুন")</f>
        <v>মোছাঃ ছেরেজান খাতুন</v>
      </c>
      <c r="D224" s="5">
        <f>IFERROR(__xludf.DUMMYFUNCTION("""COMPUTED_VALUE"""),5.7003835671E11)</f>
        <v>570038356710</v>
      </c>
      <c r="E224" s="5" t="str">
        <f>IFERROR(__xludf.DUMMYFUNCTION("""COMPUTED_VALUE"""),"রমজান আলী")</f>
        <v>রমজান আলী</v>
      </c>
      <c r="F224" s="5" t="str">
        <f>IFERROR(__xludf.DUMMYFUNCTION("""COMPUTED_VALUE"""),"মোছাঃ জাহারন খাতুন")</f>
        <v>মোছাঃ জাহারন খাতুন</v>
      </c>
      <c r="G224" s="5" t="str">
        <f>IFERROR(__xludf.DUMMYFUNCTION("""COMPUTED_VALUE"""),"০৬/০৫/১৯৬৭")</f>
        <v>০৬/০৫/১৯৬৭</v>
      </c>
      <c r="H224" s="5" t="str">
        <f>IFERROR(__xludf.DUMMYFUNCTION("""COMPUTED_VALUE"""),"গৃহিনী")</f>
        <v>গৃহিনী</v>
      </c>
      <c r="I224" s="5" t="str">
        <f>IFERROR(__xludf.DUMMYFUNCTION("""COMPUTED_VALUE"""),"গাড়ীডোব")</f>
        <v>গাড়ীডোব</v>
      </c>
      <c r="J224" s="5" t="str">
        <f>IFERROR(__xludf.DUMMYFUNCTION("""COMPUTED_VALUE""")," গাংনী")</f>
        <v> গাংনী</v>
      </c>
      <c r="K224" s="5" t="str">
        <f>IFERROR(__xludf.DUMMYFUNCTION("""COMPUTED_VALUE""")," মেহেরপুর")</f>
        <v> মেহেরপুর</v>
      </c>
    </row>
    <row r="225" ht="15.75" customHeight="1">
      <c r="A225" s="6" t="s">
        <v>7093</v>
      </c>
      <c r="B225" s="5">
        <f>IFERROR(__xludf.DUMMYFUNCTION("SPLIT(A225,"","")"),1571.0)</f>
        <v>1571</v>
      </c>
      <c r="C225" s="5" t="str">
        <f>IFERROR(__xludf.DUMMYFUNCTION("""COMPUTED_VALUE"""),"মোছাঃ নেকজান খাতুন")</f>
        <v>মোছাঃ নেকজান খাতুন</v>
      </c>
      <c r="D225" s="5">
        <f>IFERROR(__xludf.DUMMYFUNCTION("""COMPUTED_VALUE"""),5.70038356711E11)</f>
        <v>570038356711</v>
      </c>
      <c r="E225" s="5" t="str">
        <f>IFERROR(__xludf.DUMMYFUNCTION("""COMPUTED_VALUE"""),"হিরু শেখ")</f>
        <v>হিরু শেখ</v>
      </c>
      <c r="F225" s="5" t="str">
        <f>IFERROR(__xludf.DUMMYFUNCTION("""COMPUTED_VALUE"""),"আমেনা খাতুন")</f>
        <v>আমেনা খাতুন</v>
      </c>
      <c r="G225" s="5" t="str">
        <f>IFERROR(__xludf.DUMMYFUNCTION("""COMPUTED_VALUE"""),"০১/০১/১৯৬২")</f>
        <v>০১/০১/১৯৬২</v>
      </c>
      <c r="H225" s="5" t="str">
        <f>IFERROR(__xludf.DUMMYFUNCTION("""COMPUTED_VALUE"""),"গৃহিনী")</f>
        <v>গৃহিনী</v>
      </c>
      <c r="I225" s="5" t="str">
        <f>IFERROR(__xludf.DUMMYFUNCTION("""COMPUTED_VALUE"""),"গাড়ীডোব")</f>
        <v>গাড়ীডোব</v>
      </c>
      <c r="J225" s="5" t="str">
        <f>IFERROR(__xludf.DUMMYFUNCTION("""COMPUTED_VALUE""")," গাংনী")</f>
        <v> গাংনী</v>
      </c>
      <c r="K225" s="5" t="str">
        <f>IFERROR(__xludf.DUMMYFUNCTION("""COMPUTED_VALUE""")," মেহেরপুর")</f>
        <v> মেহেরপুর</v>
      </c>
    </row>
    <row r="226" ht="15.75" customHeight="1">
      <c r="A226" s="6" t="s">
        <v>7094</v>
      </c>
      <c r="B226" s="5">
        <f>IFERROR(__xludf.DUMMYFUNCTION("SPLIT(A226,"","")"),1572.0)</f>
        <v>1572</v>
      </c>
      <c r="C226" s="5" t="str">
        <f>IFERROR(__xludf.DUMMYFUNCTION("""COMPUTED_VALUE"""),"মোছাঃ চম্পা খাতুন")</f>
        <v>মোছাঃ চম্পা খাতুন</v>
      </c>
      <c r="D226" s="5">
        <f>IFERROR(__xludf.DUMMYFUNCTION("""COMPUTED_VALUE"""),5.70038356713E11)</f>
        <v>570038356713</v>
      </c>
      <c r="E226" s="5" t="str">
        <f>IFERROR(__xludf.DUMMYFUNCTION("""COMPUTED_VALUE"""),"মোহাঃ আবু বক্কর")</f>
        <v>মোহাঃ আবু বক্কর</v>
      </c>
      <c r="F226" s="5" t="str">
        <f>IFERROR(__xludf.DUMMYFUNCTION("""COMPUTED_VALUE"""),"মোছাঃ সাহেদা খাতুন")</f>
        <v>মোছাঃ সাহেদা খাতুন</v>
      </c>
      <c r="G226" s="5" t="str">
        <f>IFERROR(__xludf.DUMMYFUNCTION("""COMPUTED_VALUE"""),"১০/০৯/১৯৮৮")</f>
        <v>১০/০৯/১৯৮৮</v>
      </c>
      <c r="H226" s="5" t="str">
        <f>IFERROR(__xludf.DUMMYFUNCTION("""COMPUTED_VALUE"""),"গৃহিনী")</f>
        <v>গৃহিনী</v>
      </c>
      <c r="I226" s="5" t="str">
        <f>IFERROR(__xludf.DUMMYFUNCTION("""COMPUTED_VALUE"""),"গাড়ীডোব")</f>
        <v>গাড়ীডোব</v>
      </c>
      <c r="J226" s="5" t="str">
        <f>IFERROR(__xludf.DUMMYFUNCTION("""COMPUTED_VALUE""")," গাংনী")</f>
        <v> গাংনী</v>
      </c>
      <c r="K226" s="5" t="str">
        <f>IFERROR(__xludf.DUMMYFUNCTION("""COMPUTED_VALUE""")," মেহেরপুর")</f>
        <v> মেহেরপুর</v>
      </c>
    </row>
    <row r="227" ht="15.75" customHeight="1">
      <c r="A227" s="6" t="s">
        <v>7095</v>
      </c>
      <c r="B227" s="5">
        <f>IFERROR(__xludf.DUMMYFUNCTION("SPLIT(A227,"","")"),1573.0)</f>
        <v>1573</v>
      </c>
      <c r="C227" s="5" t="str">
        <f>IFERROR(__xludf.DUMMYFUNCTION("""COMPUTED_VALUE"""),"মোছাঃ মমতাজ খাতুন")</f>
        <v>মোছাঃ মমতাজ খাতুন</v>
      </c>
      <c r="D227" s="5">
        <f>IFERROR(__xludf.DUMMYFUNCTION("""COMPUTED_VALUE"""),5.70038356714E11)</f>
        <v>570038356714</v>
      </c>
      <c r="E227" s="5" t="str">
        <f>IFERROR(__xludf.DUMMYFUNCTION("""COMPUTED_VALUE"""),"মোঃ মসলেম উদ্দীন")</f>
        <v>মোঃ মসলেম উদ্দীন</v>
      </c>
      <c r="F227" s="5" t="str">
        <f>IFERROR(__xludf.DUMMYFUNCTION("""COMPUTED_VALUE"""),"মোছাঃ তামেসা খাতুন")</f>
        <v>মোছাঃ তামেসা খাতুন</v>
      </c>
      <c r="G227" s="5" t="str">
        <f>IFERROR(__xludf.DUMMYFUNCTION("""COMPUTED_VALUE"""),"৩১/১২/১৯৭৭")</f>
        <v>৩১/১২/১৯৭৭</v>
      </c>
      <c r="H227" s="5" t="str">
        <f>IFERROR(__xludf.DUMMYFUNCTION("""COMPUTED_VALUE"""),"গৃহিনী")</f>
        <v>গৃহিনী</v>
      </c>
      <c r="I227" s="5" t="str">
        <f>IFERROR(__xludf.DUMMYFUNCTION("""COMPUTED_VALUE"""),"গাড়ীডোব")</f>
        <v>গাড়ীডোব</v>
      </c>
      <c r="J227" s="5" t="str">
        <f>IFERROR(__xludf.DUMMYFUNCTION("""COMPUTED_VALUE""")," গাংনী")</f>
        <v> গাংনী</v>
      </c>
      <c r="K227" s="5" t="str">
        <f>IFERROR(__xludf.DUMMYFUNCTION("""COMPUTED_VALUE""")," মেহেরপুর")</f>
        <v> মেহেরপুর</v>
      </c>
    </row>
    <row r="228" ht="15.75" customHeight="1">
      <c r="A228" s="6" t="s">
        <v>7096</v>
      </c>
      <c r="B228" s="5">
        <f>IFERROR(__xludf.DUMMYFUNCTION("SPLIT(A228,"","")"),1574.0)</f>
        <v>1574</v>
      </c>
      <c r="C228" s="5" t="str">
        <f>IFERROR(__xludf.DUMMYFUNCTION("""COMPUTED_VALUE"""),"মোছাঃ হাসিনা খাতুন")</f>
        <v>মোছাঃ হাসিনা খাতুন</v>
      </c>
      <c r="D228" s="5">
        <f>IFERROR(__xludf.DUMMYFUNCTION("""COMPUTED_VALUE"""),5.70038356715E11)</f>
        <v>570038356715</v>
      </c>
      <c r="E228" s="5" t="str">
        <f>IFERROR(__xludf.DUMMYFUNCTION("""COMPUTED_VALUE"""),"মোঃ আতিয়ার রহমান")</f>
        <v>মোঃ আতিয়ার রহমান</v>
      </c>
      <c r="F228" s="5" t="str">
        <f>IFERROR(__xludf.DUMMYFUNCTION("""COMPUTED_VALUE"""),"মোছাঃ সামসুন্নাহার")</f>
        <v>মোছাঃ সামসুন্নাহার</v>
      </c>
      <c r="G228" s="5" t="str">
        <f>IFERROR(__xludf.DUMMYFUNCTION("""COMPUTED_VALUE"""),"২১/১২/১৯৭৬")</f>
        <v>২১/১২/১৯৭৬</v>
      </c>
      <c r="H228" s="5" t="str">
        <f>IFERROR(__xludf.DUMMYFUNCTION("""COMPUTED_VALUE"""),"গৃহিনী")</f>
        <v>গৃহিনী</v>
      </c>
      <c r="I228" s="5" t="str">
        <f>IFERROR(__xludf.DUMMYFUNCTION("""COMPUTED_VALUE"""),"গাড়ীডোব")</f>
        <v>গাড়ীডোব</v>
      </c>
      <c r="J228" s="5" t="str">
        <f>IFERROR(__xludf.DUMMYFUNCTION("""COMPUTED_VALUE""")," গাংনী")</f>
        <v> গাংনী</v>
      </c>
      <c r="K228" s="5" t="str">
        <f>IFERROR(__xludf.DUMMYFUNCTION("""COMPUTED_VALUE""")," মেহেরপুর")</f>
        <v> মেহেরপুর</v>
      </c>
    </row>
    <row r="229" ht="15.75" customHeight="1">
      <c r="A229" s="6" t="s">
        <v>7097</v>
      </c>
      <c r="B229" s="5">
        <f>IFERROR(__xludf.DUMMYFUNCTION("SPLIT(A229,"","")"),1575.0)</f>
        <v>1575</v>
      </c>
      <c r="C229" s="5" t="str">
        <f>IFERROR(__xludf.DUMMYFUNCTION("""COMPUTED_VALUE"""),"মোছাঃ সাহিদা খাতুন")</f>
        <v>মোছাঃ সাহিদা খাতুন</v>
      </c>
      <c r="D229" s="5">
        <f>IFERROR(__xludf.DUMMYFUNCTION("""COMPUTED_VALUE"""),5.70038356718E11)</f>
        <v>570038356718</v>
      </c>
      <c r="E229" s="5" t="str">
        <f>IFERROR(__xludf.DUMMYFUNCTION("""COMPUTED_VALUE"""),"দাউদ হোসেন")</f>
        <v>দাউদ হোসেন</v>
      </c>
      <c r="F229" s="5" t="str">
        <f>IFERROR(__xludf.DUMMYFUNCTION("""COMPUTED_VALUE"""),"মোছাঃ রাফিয়া খাতুন")</f>
        <v>মোছাঃ রাফিয়া খাতুন</v>
      </c>
      <c r="G229" s="5" t="str">
        <f>IFERROR(__xludf.DUMMYFUNCTION("""COMPUTED_VALUE"""),"২২/১০/১৯৫১")</f>
        <v>২২/১০/১৯৫১</v>
      </c>
      <c r="H229" s="5" t="str">
        <f>IFERROR(__xludf.DUMMYFUNCTION("""COMPUTED_VALUE"""),"গৃহিনী")</f>
        <v>গৃহিনী</v>
      </c>
      <c r="I229" s="5" t="str">
        <f>IFERROR(__xludf.DUMMYFUNCTION("""COMPUTED_VALUE"""),"গাড়ীডোব")</f>
        <v>গাড়ীডোব</v>
      </c>
      <c r="J229" s="5" t="str">
        <f>IFERROR(__xludf.DUMMYFUNCTION("""COMPUTED_VALUE""")," গাংনী")</f>
        <v> গাংনী</v>
      </c>
      <c r="K229" s="5" t="str">
        <f>IFERROR(__xludf.DUMMYFUNCTION("""COMPUTED_VALUE""")," মেহেরপুর")</f>
        <v> মেহেরপুর</v>
      </c>
    </row>
    <row r="230" ht="15.75" customHeight="1">
      <c r="A230" s="6" t="s">
        <v>7098</v>
      </c>
      <c r="B230" s="5">
        <f>IFERROR(__xludf.DUMMYFUNCTION("SPLIT(A230,"","")"),1576.0)</f>
        <v>1576</v>
      </c>
      <c r="C230" s="5" t="str">
        <f>IFERROR(__xludf.DUMMYFUNCTION("""COMPUTED_VALUE"""),"মোছাঃ ছকিনা খাতুন")</f>
        <v>মোছাঃ ছকিনা খাতুন</v>
      </c>
      <c r="D230" s="5">
        <f>IFERROR(__xludf.DUMMYFUNCTION("""COMPUTED_VALUE"""),5.7003835672E11)</f>
        <v>570038356720</v>
      </c>
      <c r="E230" s="5" t="str">
        <f>IFERROR(__xludf.DUMMYFUNCTION("""COMPUTED_VALUE"""),"জাকির হোসেন")</f>
        <v>জাকির হোসেন</v>
      </c>
      <c r="F230" s="5" t="str">
        <f>IFERROR(__xludf.DUMMYFUNCTION("""COMPUTED_VALUE"""),"জোহরা খাতুন")</f>
        <v>জোহরা খাতুন</v>
      </c>
      <c r="G230" s="5" t="str">
        <f>IFERROR(__xludf.DUMMYFUNCTION("""COMPUTED_VALUE"""),"০৩/০৭/১৯৬৮")</f>
        <v>০৩/০৭/১৯৬৮</v>
      </c>
      <c r="H230" s="5" t="str">
        <f>IFERROR(__xludf.DUMMYFUNCTION("""COMPUTED_VALUE"""),"গৃহিনী")</f>
        <v>গৃহিনী</v>
      </c>
      <c r="I230" s="5" t="str">
        <f>IFERROR(__xludf.DUMMYFUNCTION("""COMPUTED_VALUE"""),"গাড়ীডোব")</f>
        <v>গাড়ীডোব</v>
      </c>
      <c r="J230" s="5" t="str">
        <f>IFERROR(__xludf.DUMMYFUNCTION("""COMPUTED_VALUE""")," গাংনী")</f>
        <v> গাংনী</v>
      </c>
      <c r="K230" s="5" t="str">
        <f>IFERROR(__xludf.DUMMYFUNCTION("""COMPUTED_VALUE""")," মেহেরপুর")</f>
        <v> মেহেরপুর</v>
      </c>
    </row>
    <row r="231" ht="15.75" customHeight="1">
      <c r="A231" s="6" t="s">
        <v>7099</v>
      </c>
      <c r="B231" s="5">
        <f>IFERROR(__xludf.DUMMYFUNCTION("SPLIT(A231,"","")"),1577.0)</f>
        <v>1577</v>
      </c>
      <c r="C231" s="5" t="str">
        <f>IFERROR(__xludf.DUMMYFUNCTION("""COMPUTED_VALUE"""),"মোছাঃ নাজমীন নারা")</f>
        <v>মোছাঃ নাজমীন নারা</v>
      </c>
      <c r="D231" s="5">
        <f>IFERROR(__xludf.DUMMYFUNCTION("""COMPUTED_VALUE"""),5.70038356722E11)</f>
        <v>570038356722</v>
      </c>
      <c r="E231" s="5" t="str">
        <f>IFERROR(__xludf.DUMMYFUNCTION("""COMPUTED_VALUE"""),"মোঃ আলিউল ইসলাম")</f>
        <v>মোঃ আলিউল ইসলাম</v>
      </c>
      <c r="F231" s="5" t="str">
        <f>IFERROR(__xludf.DUMMYFUNCTION("""COMPUTED_VALUE"""),"মোছাঃ সমিরন নেছা")</f>
        <v>মোছাঃ সমিরন নেছা</v>
      </c>
      <c r="G231" s="5" t="str">
        <f>IFERROR(__xludf.DUMMYFUNCTION("""COMPUTED_VALUE"""),"২২/০৮/১৯৭৪")</f>
        <v>২২/০৮/১৯৭৪</v>
      </c>
      <c r="H231" s="5" t="str">
        <f>IFERROR(__xludf.DUMMYFUNCTION("""COMPUTED_VALUE"""),"গৃহিনী")</f>
        <v>গৃহিনী</v>
      </c>
      <c r="I231" s="5" t="str">
        <f>IFERROR(__xludf.DUMMYFUNCTION("""COMPUTED_VALUE"""),"গাড়ীডোব")</f>
        <v>গাড়ীডোব</v>
      </c>
      <c r="J231" s="5" t="str">
        <f>IFERROR(__xludf.DUMMYFUNCTION("""COMPUTED_VALUE""")," গাংনী")</f>
        <v> গাংনী</v>
      </c>
      <c r="K231" s="5" t="str">
        <f>IFERROR(__xludf.DUMMYFUNCTION("""COMPUTED_VALUE""")," মেহেরপুর")</f>
        <v> মেহেরপুর</v>
      </c>
    </row>
    <row r="232" ht="15.75" customHeight="1">
      <c r="A232" s="6" t="s">
        <v>7100</v>
      </c>
      <c r="B232" s="5">
        <f>IFERROR(__xludf.DUMMYFUNCTION("SPLIT(A232,"","")"),1578.0)</f>
        <v>1578</v>
      </c>
      <c r="C232" s="5" t="str">
        <f>IFERROR(__xludf.DUMMYFUNCTION("""COMPUTED_VALUE"""),"মোছাঃ রাশিরা বেগম")</f>
        <v>মোছাঃ রাশিরা বেগম</v>
      </c>
      <c r="D232" s="5">
        <f>IFERROR(__xludf.DUMMYFUNCTION("""COMPUTED_VALUE"""),5.70038356723E11)</f>
        <v>570038356723</v>
      </c>
      <c r="E232" s="5" t="str">
        <f>IFERROR(__xludf.DUMMYFUNCTION("""COMPUTED_VALUE"""),"ইরফান আলী")</f>
        <v>ইরফান আলী</v>
      </c>
      <c r="F232" s="5" t="str">
        <f>IFERROR(__xludf.DUMMYFUNCTION("""COMPUTED_VALUE"""),"একাতন বেগম")</f>
        <v>একাতন বেগম</v>
      </c>
      <c r="G232" s="5" t="str">
        <f>IFERROR(__xludf.DUMMYFUNCTION("""COMPUTED_VALUE"""),"২০/০৪/১৯৪৮")</f>
        <v>২০/০৪/১৯৪৮</v>
      </c>
      <c r="H232" s="5" t="str">
        <f>IFERROR(__xludf.DUMMYFUNCTION("""COMPUTED_VALUE"""),"গৃহিনী")</f>
        <v>গৃহিনী</v>
      </c>
      <c r="I232" s="5" t="str">
        <f>IFERROR(__xludf.DUMMYFUNCTION("""COMPUTED_VALUE"""),"গাড়ীডোব")</f>
        <v>গাড়ীডোব</v>
      </c>
      <c r="J232" s="5" t="str">
        <f>IFERROR(__xludf.DUMMYFUNCTION("""COMPUTED_VALUE""")," গাংনী")</f>
        <v> গাংনী</v>
      </c>
      <c r="K232" s="5" t="str">
        <f>IFERROR(__xludf.DUMMYFUNCTION("""COMPUTED_VALUE""")," মেহেরপুর")</f>
        <v> মেহেরপুর</v>
      </c>
    </row>
    <row r="233" ht="15.75" customHeight="1">
      <c r="A233" s="6" t="s">
        <v>7101</v>
      </c>
      <c r="B233" s="5">
        <f>IFERROR(__xludf.DUMMYFUNCTION("SPLIT(A233,"","")"),1579.0)</f>
        <v>1579</v>
      </c>
      <c r="C233" s="5" t="str">
        <f>IFERROR(__xludf.DUMMYFUNCTION("""COMPUTED_VALUE"""),"মোছাঃ ফরিদা ইয়াসমিন")</f>
        <v>মোছাঃ ফরিদা ইয়াসমিন</v>
      </c>
      <c r="D233" s="5">
        <f>IFERROR(__xludf.DUMMYFUNCTION("""COMPUTED_VALUE"""),5.70038356725E11)</f>
        <v>570038356725</v>
      </c>
      <c r="E233" s="5" t="str">
        <f>IFERROR(__xludf.DUMMYFUNCTION("""COMPUTED_VALUE"""),"সামসুল আলম")</f>
        <v>সামসুল আলম</v>
      </c>
      <c r="F233" s="5" t="str">
        <f>IFERROR(__xludf.DUMMYFUNCTION("""COMPUTED_VALUE"""),"মোছাঃ ফিরোজা বেগম")</f>
        <v>মোছাঃ ফিরোজা বেগম</v>
      </c>
      <c r="G233" s="5" t="str">
        <f>IFERROR(__xludf.DUMMYFUNCTION("""COMPUTED_VALUE"""),"০১/০৩/১৯৭১")</f>
        <v>০১/০৩/১৯৭১</v>
      </c>
      <c r="H233" s="5" t="str">
        <f>IFERROR(__xludf.DUMMYFUNCTION("""COMPUTED_VALUE"""),"গৃহিনী")</f>
        <v>গৃহিনী</v>
      </c>
      <c r="I233" s="5" t="str">
        <f>IFERROR(__xludf.DUMMYFUNCTION("""COMPUTED_VALUE"""),"গাড়ীডোব")</f>
        <v>গাড়ীডোব</v>
      </c>
      <c r="J233" s="5" t="str">
        <f>IFERROR(__xludf.DUMMYFUNCTION("""COMPUTED_VALUE""")," গাংনী")</f>
        <v> গাংনী</v>
      </c>
      <c r="K233" s="5" t="str">
        <f>IFERROR(__xludf.DUMMYFUNCTION("""COMPUTED_VALUE""")," মেহেরপুর")</f>
        <v> মেহেরপুর</v>
      </c>
    </row>
    <row r="234" ht="15.75" customHeight="1">
      <c r="A234" s="6" t="s">
        <v>7102</v>
      </c>
      <c r="B234" s="5">
        <f>IFERROR(__xludf.DUMMYFUNCTION("SPLIT(A234,"","")"),1580.0)</f>
        <v>1580</v>
      </c>
      <c r="C234" s="5" t="str">
        <f>IFERROR(__xludf.DUMMYFUNCTION("""COMPUTED_VALUE"""),"মোছাঃ ফিরোজা বেগম")</f>
        <v>মোছাঃ ফিরোজা বেগম</v>
      </c>
      <c r="D234" s="5">
        <f>IFERROR(__xludf.DUMMYFUNCTION("""COMPUTED_VALUE"""),5.70038356726E11)</f>
        <v>570038356726</v>
      </c>
      <c r="E234" s="5" t="str">
        <f>IFERROR(__xludf.DUMMYFUNCTION("""COMPUTED_VALUE"""),"মোঃ নাজিমদ্দিন")</f>
        <v>মোঃ নাজিমদ্দিন</v>
      </c>
      <c r="F234" s="5" t="str">
        <f>IFERROR(__xludf.DUMMYFUNCTION("""COMPUTED_VALUE"""),"মোছাঃ আসুরা খাতুন")</f>
        <v>মোছাঃ আসুরা খাতুন</v>
      </c>
      <c r="G234" s="5" t="str">
        <f>IFERROR(__xludf.DUMMYFUNCTION("""COMPUTED_VALUE"""),"২৬/০৬/১৯৭৫")</f>
        <v>২৬/০৬/১৯৭৫</v>
      </c>
      <c r="H234" s="5" t="str">
        <f>IFERROR(__xludf.DUMMYFUNCTION("""COMPUTED_VALUE"""),"গৃহিনী")</f>
        <v>গৃহিনী</v>
      </c>
      <c r="I234" s="5" t="str">
        <f>IFERROR(__xludf.DUMMYFUNCTION("""COMPUTED_VALUE"""),"গাড়ীডোব")</f>
        <v>গাড়ীডোব</v>
      </c>
      <c r="J234" s="5" t="str">
        <f>IFERROR(__xludf.DUMMYFUNCTION("""COMPUTED_VALUE""")," গাংনী")</f>
        <v> গাংনী</v>
      </c>
      <c r="K234" s="5" t="str">
        <f>IFERROR(__xludf.DUMMYFUNCTION("""COMPUTED_VALUE""")," মেহেরপুর")</f>
        <v> মেহেরপুর</v>
      </c>
    </row>
    <row r="235" ht="15.75" customHeight="1">
      <c r="A235" s="6" t="s">
        <v>7103</v>
      </c>
      <c r="B235" s="5">
        <f>IFERROR(__xludf.DUMMYFUNCTION("SPLIT(A235,"","")"),1581.0)</f>
        <v>1581</v>
      </c>
      <c r="C235" s="5" t="str">
        <f>IFERROR(__xludf.DUMMYFUNCTION("""COMPUTED_VALUE"""),"মোছাঃ জোহরা খাতুন")</f>
        <v>মোছাঃ জোহরা খাতুন</v>
      </c>
      <c r="D235" s="5">
        <f>IFERROR(__xludf.DUMMYFUNCTION("""COMPUTED_VALUE"""),5.70038356727E11)</f>
        <v>570038356727</v>
      </c>
      <c r="E235" s="5" t="str">
        <f>IFERROR(__xludf.DUMMYFUNCTION("""COMPUTED_VALUE"""),"বেনি মন্ডল")</f>
        <v>বেনি মন্ডল</v>
      </c>
      <c r="F235" s="5" t="str">
        <f>IFERROR(__xludf.DUMMYFUNCTION("""COMPUTED_VALUE"""),"মোছাঃ সোহাগি")</f>
        <v>মোছাঃ সোহাগি</v>
      </c>
      <c r="G235" s="5" t="str">
        <f>IFERROR(__xludf.DUMMYFUNCTION("""COMPUTED_VALUE"""),"২৯/০৯/১৯৩৩")</f>
        <v>২৯/০৯/১৯৩৩</v>
      </c>
      <c r="H235" s="5" t="str">
        <f>IFERROR(__xludf.DUMMYFUNCTION("""COMPUTED_VALUE"""),"গৃহিনী")</f>
        <v>গৃহিনী</v>
      </c>
      <c r="I235" s="5" t="str">
        <f>IFERROR(__xludf.DUMMYFUNCTION("""COMPUTED_VALUE"""),"গাড়ীডোব")</f>
        <v>গাড়ীডোব</v>
      </c>
      <c r="J235" s="5" t="str">
        <f>IFERROR(__xludf.DUMMYFUNCTION("""COMPUTED_VALUE""")," গাংনী")</f>
        <v> গাংনী</v>
      </c>
      <c r="K235" s="5" t="str">
        <f>IFERROR(__xludf.DUMMYFUNCTION("""COMPUTED_VALUE""")," মেহেরপুর")</f>
        <v> মেহেরপুর</v>
      </c>
    </row>
    <row r="236" ht="15.75" customHeight="1">
      <c r="B236" s="5" t="str">
        <f>IFERROR(__xludf.DUMMYFUNCTION("SPLIT(A236,"","")"),"#VALUE!")</f>
        <v>#VALUE!</v>
      </c>
    </row>
    <row r="237" ht="15.75" customHeight="1">
      <c r="B237" s="5" t="str">
        <f>IFERROR(__xludf.DUMMYFUNCTION("SPLIT(A237,"","")"),"#VALUE!")</f>
        <v>#VALUE!</v>
      </c>
    </row>
    <row r="238" ht="15.75" customHeight="1">
      <c r="A238" s="7" t="s">
        <v>6869</v>
      </c>
      <c r="B238" s="5" t="str">
        <f>IFERROR(__xludf.DUMMYFUNCTION("SPLIT(A238,"","")"),"ক্রমিক নং")</f>
        <v>ক্রমিক নং</v>
      </c>
      <c r="C238" s="5" t="str">
        <f>IFERROR(__xludf.DUMMYFUNCTION("""COMPUTED_VALUE"""),"নাম")</f>
        <v>নাম</v>
      </c>
      <c r="D238" s="5" t="str">
        <f>IFERROR(__xludf.DUMMYFUNCTION("""COMPUTED_VALUE"""),"ভোটার নং")</f>
        <v>ভোটার নং</v>
      </c>
      <c r="E238" s="5" t="str">
        <f>IFERROR(__xludf.DUMMYFUNCTION("""COMPUTED_VALUE"""),"পিতা")</f>
        <v>পিতা</v>
      </c>
      <c r="F238" s="5" t="str">
        <f>IFERROR(__xludf.DUMMYFUNCTION("""COMPUTED_VALUE"""),"মাতা")</f>
        <v>মাতা</v>
      </c>
      <c r="G238" s="5" t="str">
        <f>IFERROR(__xludf.DUMMYFUNCTION("""COMPUTED_VALUE"""),"জন্ম তারিখ")</f>
        <v>জন্ম তারিখ</v>
      </c>
      <c r="H238" s="5" t="str">
        <f>IFERROR(__xludf.DUMMYFUNCTION("""COMPUTED_VALUE"""),"পেশা")</f>
        <v>পেশা</v>
      </c>
      <c r="I238" s="5" t="str">
        <f>IFERROR(__xludf.DUMMYFUNCTION("""COMPUTED_VALUE"""),"ঠিকানা")</f>
        <v>ঠিকানা</v>
      </c>
    </row>
    <row r="239" ht="15.75" customHeight="1">
      <c r="A239" s="7" t="s">
        <v>7104</v>
      </c>
      <c r="B239" s="5">
        <f>IFERROR(__xludf.DUMMYFUNCTION("SPLIT(A239,"","")"),2374.0)</f>
        <v>2374</v>
      </c>
      <c r="C239" s="5" t="str">
        <f>IFERROR(__xludf.DUMMYFUNCTION("""COMPUTED_VALUE"""),"মোছাঃ কাঞ্চন পারভীন")</f>
        <v>মোছাঃ কাঞ্চন পারভীন</v>
      </c>
      <c r="D239" s="5">
        <f>IFERROR(__xludf.DUMMYFUNCTION("""COMPUTED_VALUE"""),5.70038001478E11)</f>
        <v>570038001478</v>
      </c>
      <c r="E239" s="5" t="str">
        <f>IFERROR(__xludf.DUMMYFUNCTION("""COMPUTED_VALUE"""),"মোঃ আনারুল ইসলাম")</f>
        <v>মোঃ আনারুল ইসলাম</v>
      </c>
      <c r="F239" s="5" t="str">
        <f>IFERROR(__xludf.DUMMYFUNCTION("""COMPUTED_VALUE"""),"মোছাঃ আম্বিয়া খাতুন")</f>
        <v>মোছাঃ আম্বিয়া খাতুন</v>
      </c>
      <c r="G239" s="5" t="str">
        <f>IFERROR(__xludf.DUMMYFUNCTION("""COMPUTED_VALUE"""),"০১/০১/২০০০")</f>
        <v>০১/০১/২০০০</v>
      </c>
      <c r="H239" s="5" t="str">
        <f>IFERROR(__xludf.DUMMYFUNCTION("""COMPUTED_VALUE"""),"ছাত্র/ছাত্রী")</f>
        <v>ছাত্র/ছাত্রী</v>
      </c>
      <c r="I239" s="5" t="str">
        <f>IFERROR(__xludf.DUMMYFUNCTION("""COMPUTED_VALUE"""),"গাড়াডোব")</f>
        <v>গাড়াডোব</v>
      </c>
      <c r="J239" s="5" t="str">
        <f>IFERROR(__xludf.DUMMYFUNCTION("""COMPUTED_VALUE""")," গাংনী")</f>
        <v> গাংনী</v>
      </c>
      <c r="K239" s="5" t="str">
        <f>IFERROR(__xludf.DUMMYFUNCTION("""COMPUTED_VALUE""")," মেহেরপুর")</f>
        <v> মেহেরপুর</v>
      </c>
    </row>
    <row r="240" ht="15.75" customHeight="1">
      <c r="A240" s="7" t="s">
        <v>7105</v>
      </c>
      <c r="B240" s="5">
        <f>IFERROR(__xludf.DUMMYFUNCTION("SPLIT(A240,"","")"),2375.0)</f>
        <v>2375</v>
      </c>
      <c r="C240" s="5" t="str">
        <f>IFERROR(__xludf.DUMMYFUNCTION("""COMPUTED_VALUE"""),"মোছাঃ চানদীনা খাতুন")</f>
        <v>মোছাঃ চানদীনা খাতুন</v>
      </c>
      <c r="D240" s="5">
        <f>IFERROR(__xludf.DUMMYFUNCTION("""COMPUTED_VALUE"""),5.7003800148E11)</f>
        <v>570038001480</v>
      </c>
      <c r="E240" s="5" t="str">
        <f>IFERROR(__xludf.DUMMYFUNCTION("""COMPUTED_VALUE"""),"মোঃ আঃ ওহাব আলী")</f>
        <v>মোঃ আঃ ওহাব আলী</v>
      </c>
      <c r="F240" s="5" t="str">
        <f>IFERROR(__xludf.DUMMYFUNCTION("""COMPUTED_VALUE"""),"মোছাঃ শুকজাহান")</f>
        <v>মোছাঃ শুকজাহান</v>
      </c>
      <c r="G240" s="5" t="str">
        <f>IFERROR(__xludf.DUMMYFUNCTION("""COMPUTED_VALUE"""),"১২/০৩/২০০০")</f>
        <v>১২/০৩/২০০০</v>
      </c>
      <c r="H240" s="5" t="str">
        <f>IFERROR(__xludf.DUMMYFUNCTION("""COMPUTED_VALUE"""),"গৃহিনী")</f>
        <v>গৃহিনী</v>
      </c>
      <c r="I240" s="5" t="str">
        <f>IFERROR(__xludf.DUMMYFUNCTION("""COMPUTED_VALUE"""),"গাড়াডোব")</f>
        <v>গাড়াডোব</v>
      </c>
      <c r="J240" s="5" t="str">
        <f>IFERROR(__xludf.DUMMYFUNCTION("""COMPUTED_VALUE""")," গাংনী")</f>
        <v> গাংনী</v>
      </c>
      <c r="K240" s="5" t="str">
        <f>IFERROR(__xludf.DUMMYFUNCTION("""COMPUTED_VALUE""")," মেহেরপুর")</f>
        <v> মেহেরপুর</v>
      </c>
    </row>
    <row r="241" ht="15.75" customHeight="1">
      <c r="A241" s="7" t="s">
        <v>7106</v>
      </c>
      <c r="B241" s="5">
        <f>IFERROR(__xludf.DUMMYFUNCTION("SPLIT(A241,"","")"),2376.0)</f>
        <v>2376</v>
      </c>
      <c r="C241" s="5" t="str">
        <f>IFERROR(__xludf.DUMMYFUNCTION("""COMPUTED_VALUE"""),"মোছাঃ রজনী খাতুন")</f>
        <v>মোছাঃ রজনী খাতুন</v>
      </c>
      <c r="D241" s="5">
        <f>IFERROR(__xludf.DUMMYFUNCTION("""COMPUTED_VALUE"""),5.70038001482E11)</f>
        <v>570038001482</v>
      </c>
      <c r="E241" s="5" t="str">
        <f>IFERROR(__xludf.DUMMYFUNCTION("""COMPUTED_VALUE"""),"মোঃ আতর আলী")</f>
        <v>মোঃ আতর আলী</v>
      </c>
      <c r="F241" s="5" t="str">
        <f>IFERROR(__xludf.DUMMYFUNCTION("""COMPUTED_VALUE"""),"মোছাঃ খালেছা খাতুন")</f>
        <v>মোছাঃ খালেছা খাতুন</v>
      </c>
      <c r="G241" s="5" t="str">
        <f>IFERROR(__xludf.DUMMYFUNCTION("""COMPUTED_VALUE"""),"০৭/০১/২০০১")</f>
        <v>০৭/০১/২০০১</v>
      </c>
      <c r="H241" s="5" t="str">
        <f>IFERROR(__xludf.DUMMYFUNCTION("""COMPUTED_VALUE"""),"গৃহিনী")</f>
        <v>গৃহিনী</v>
      </c>
      <c r="I241" s="5" t="str">
        <f>IFERROR(__xludf.DUMMYFUNCTION("""COMPUTED_VALUE"""),"গাড়াডোব")</f>
        <v>গাড়াডোব</v>
      </c>
      <c r="J241" s="5" t="str">
        <f>IFERROR(__xludf.DUMMYFUNCTION("""COMPUTED_VALUE""")," গাংনী")</f>
        <v> গাংনী</v>
      </c>
      <c r="K241" s="5" t="str">
        <f>IFERROR(__xludf.DUMMYFUNCTION("""COMPUTED_VALUE""")," মেহেরপুর")</f>
        <v> মেহেরপুর</v>
      </c>
    </row>
    <row r="242" ht="15.75" customHeight="1">
      <c r="A242" s="7" t="s">
        <v>7107</v>
      </c>
      <c r="B242" s="5">
        <f>IFERROR(__xludf.DUMMYFUNCTION("SPLIT(A242,"","")"),2377.0)</f>
        <v>2377</v>
      </c>
      <c r="C242" s="5" t="str">
        <f>IFERROR(__xludf.DUMMYFUNCTION("""COMPUTED_VALUE"""),"মোছাঃ রেবেকা খাতুন")</f>
        <v>মোছাঃ রেবেকা খাতুন</v>
      </c>
      <c r="D242" s="5">
        <f>IFERROR(__xludf.DUMMYFUNCTION("""COMPUTED_VALUE"""),5.70038001483E11)</f>
        <v>570038001483</v>
      </c>
      <c r="E242" s="5" t="str">
        <f>IFERROR(__xludf.DUMMYFUNCTION("""COMPUTED_VALUE"""),"মোঃ খায়রুল ইসলাম")</f>
        <v>মোঃ খায়রুল ইসলাম</v>
      </c>
      <c r="F242" s="5" t="str">
        <f>IFERROR(__xludf.DUMMYFUNCTION("""COMPUTED_VALUE"""),"মোছাঃ সাজেদা খাতুন")</f>
        <v>মোছাঃ সাজেদা খাতুন</v>
      </c>
      <c r="G242" s="5" t="str">
        <f>IFERROR(__xludf.DUMMYFUNCTION("""COMPUTED_VALUE"""),"০১/০৫/১৯৮৭")</f>
        <v>০১/০৫/১৯৮৭</v>
      </c>
      <c r="H242" s="5" t="str">
        <f>IFERROR(__xludf.DUMMYFUNCTION("""COMPUTED_VALUE"""),"গৃহিনী")</f>
        <v>গৃহিনী</v>
      </c>
      <c r="I242" s="5" t="str">
        <f>IFERROR(__xludf.DUMMYFUNCTION("""COMPUTED_VALUE"""),"গাড়াডোব")</f>
        <v>গাড়াডোব</v>
      </c>
      <c r="J242" s="5" t="str">
        <f>IFERROR(__xludf.DUMMYFUNCTION("""COMPUTED_VALUE""")," গাংনী")</f>
        <v> গাংনী</v>
      </c>
      <c r="K242" s="5" t="str">
        <f>IFERROR(__xludf.DUMMYFUNCTION("""COMPUTED_VALUE""")," মেহেরপুর")</f>
        <v> মেহেরপুর</v>
      </c>
    </row>
    <row r="243" ht="15.75" customHeight="1">
      <c r="A243" s="7" t="s">
        <v>7108</v>
      </c>
      <c r="B243" s="5">
        <f>IFERROR(__xludf.DUMMYFUNCTION("SPLIT(A243,"","")"),2378.0)</f>
        <v>2378</v>
      </c>
      <c r="C243" s="5" t="str">
        <f>IFERROR(__xludf.DUMMYFUNCTION("""COMPUTED_VALUE"""),"নাম: ছাবরিনা খাতুন")</f>
        <v>নাম: ছাবরিনা খাতুন</v>
      </c>
      <c r="D243" s="5">
        <f>IFERROR(__xludf.DUMMYFUNCTION("""COMPUTED_VALUE"""),5.70038001489E11)</f>
        <v>570038001489</v>
      </c>
      <c r="E243" s="5" t="str">
        <f>IFERROR(__xludf.DUMMYFUNCTION("""COMPUTED_VALUE"""),"মোঃ আঃ রহিম")</f>
        <v>মোঃ আঃ রহিম</v>
      </c>
      <c r="F243" s="5" t="str">
        <f>IFERROR(__xludf.DUMMYFUNCTION("""COMPUTED_VALUE"""),"মাতা: নুরজাহান খাতুন")</f>
        <v>মাতা: নুরজাহান খাতুন</v>
      </c>
      <c r="G243" s="5" t="str">
        <f>IFERROR(__xludf.DUMMYFUNCTION("""COMPUTED_VALUE"""),"১৫/০৩/১৯৯২")</f>
        <v>১৫/০৩/১৯৯২</v>
      </c>
      <c r="H243" s="5" t="str">
        <f>IFERROR(__xludf.DUMMYFUNCTION("""COMPUTED_VALUE"""),"গৃহিনী")</f>
        <v>গৃহিনী</v>
      </c>
      <c r="I243" s="5" t="str">
        <f>IFERROR(__xludf.DUMMYFUNCTION("""COMPUTED_VALUE"""),"গাড়াডোব")</f>
        <v>গাড়াডোব</v>
      </c>
      <c r="J243" s="5" t="str">
        <f>IFERROR(__xludf.DUMMYFUNCTION("""COMPUTED_VALUE""")," গাংনী")</f>
        <v> গাংনী</v>
      </c>
      <c r="K243" s="5" t="str">
        <f>IFERROR(__xludf.DUMMYFUNCTION("""COMPUTED_VALUE""")," মেহেরপুর")</f>
        <v> মেহেরপুর</v>
      </c>
    </row>
    <row r="244" ht="15.75" customHeight="1">
      <c r="A244" s="7" t="s">
        <v>7109</v>
      </c>
      <c r="B244" s="5">
        <f>IFERROR(__xludf.DUMMYFUNCTION("SPLIT(A244,"","")"),2379.0)</f>
        <v>2379</v>
      </c>
      <c r="C244" s="5" t="str">
        <f>IFERROR(__xludf.DUMMYFUNCTION("""COMPUTED_VALUE"""),"মোছাঃ বানিয়ারা খাতুন")</f>
        <v>মোছাঃ বানিয়ারা খাতুন</v>
      </c>
      <c r="D244" s="5">
        <f>IFERROR(__xludf.DUMMYFUNCTION("""COMPUTED_VALUE"""),5.7003800149E11)</f>
        <v>570038001490</v>
      </c>
      <c r="E244" s="5" t="str">
        <f>IFERROR(__xludf.DUMMYFUNCTION("""COMPUTED_VALUE"""),"মোঃ বাবু মিয়া")</f>
        <v>মোঃ বাবু মিয়া</v>
      </c>
      <c r="F244" s="5" t="str">
        <f>IFERROR(__xludf.DUMMYFUNCTION("""COMPUTED_VALUE"""),"মোছাঃ ফিরোজা খাতুন")</f>
        <v>মোছাঃ ফিরোজা খাতুন</v>
      </c>
      <c r="G244" s="5" t="str">
        <f>IFERROR(__xludf.DUMMYFUNCTION("""COMPUTED_VALUE"""),"০৩/০৪/২০০৩")</f>
        <v>০৩/০৪/২০০৩</v>
      </c>
      <c r="H244" s="5" t="str">
        <f>IFERROR(__xludf.DUMMYFUNCTION("""COMPUTED_VALUE"""),"ছাত্র/ছাত্রী")</f>
        <v>ছাত্র/ছাত্রী</v>
      </c>
      <c r="I244" s="5" t="str">
        <f>IFERROR(__xludf.DUMMYFUNCTION("""COMPUTED_VALUE"""),"গাড়াডোব")</f>
        <v>গাড়াডোব</v>
      </c>
      <c r="J244" s="5" t="str">
        <f>IFERROR(__xludf.DUMMYFUNCTION("""COMPUTED_VALUE""")," গাংনী")</f>
        <v> গাংনী</v>
      </c>
      <c r="K244" s="5" t="str">
        <f>IFERROR(__xludf.DUMMYFUNCTION("""COMPUTED_VALUE""")," মেহেরপুর")</f>
        <v> মেহেরপুর</v>
      </c>
    </row>
    <row r="245" ht="15.75" customHeight="1">
      <c r="A245" s="7" t="s">
        <v>7110</v>
      </c>
      <c r="B245" s="5">
        <f>IFERROR(__xludf.DUMMYFUNCTION("SPLIT(A245,"","")"),2380.0)</f>
        <v>2380</v>
      </c>
      <c r="C245" s="5" t="str">
        <f>IFERROR(__xludf.DUMMYFUNCTION("""COMPUTED_VALUE"""),"মোছাঃ নিলুফা খাতুন")</f>
        <v>মোছাঃ নিলুফা খাতুন</v>
      </c>
      <c r="D245" s="5">
        <f>IFERROR(__xludf.DUMMYFUNCTION("""COMPUTED_VALUE"""),5.70038001492E11)</f>
        <v>570038001492</v>
      </c>
      <c r="E245" s="5" t="str">
        <f>IFERROR(__xludf.DUMMYFUNCTION("""COMPUTED_VALUE"""),"মোঃ আব্বাস আলী")</f>
        <v>মোঃ আব্বাস আলী</v>
      </c>
      <c r="F245" s="5" t="str">
        <f>IFERROR(__xludf.DUMMYFUNCTION("""COMPUTED_VALUE"""),"মোছাঃ সোনাভানু")</f>
        <v>মোছাঃ সোনাভানু</v>
      </c>
      <c r="G245" s="5" t="str">
        <f>IFERROR(__xludf.DUMMYFUNCTION("""COMPUTED_VALUE"""),"০২/০৪/১৯৯৫")</f>
        <v>০২/০৪/১৯৯৫</v>
      </c>
      <c r="H245" s="5" t="str">
        <f>IFERROR(__xludf.DUMMYFUNCTION("""COMPUTED_VALUE"""),"গৃহিনী")</f>
        <v>গৃহিনী</v>
      </c>
      <c r="I245" s="5" t="str">
        <f>IFERROR(__xludf.DUMMYFUNCTION("""COMPUTED_VALUE"""),"গাড়াডোব")</f>
        <v>গাড়াডোব</v>
      </c>
      <c r="J245" s="5" t="str">
        <f>IFERROR(__xludf.DUMMYFUNCTION("""COMPUTED_VALUE""")," গাংনী")</f>
        <v> গাংনী</v>
      </c>
      <c r="K245" s="5" t="str">
        <f>IFERROR(__xludf.DUMMYFUNCTION("""COMPUTED_VALUE""")," মেহেরপুর")</f>
        <v> মেহেরপুর</v>
      </c>
    </row>
    <row r="246" ht="15.75" customHeight="1">
      <c r="A246" s="7" t="s">
        <v>7111</v>
      </c>
      <c r="B246" s="5">
        <f>IFERROR(__xludf.DUMMYFUNCTION("SPLIT(A246,"","")"),2381.0)</f>
        <v>2381</v>
      </c>
      <c r="C246" s="5" t="str">
        <f>IFERROR(__xludf.DUMMYFUNCTION("""COMPUTED_VALUE"""),"মোছাঃ টিয়া খাতুন")</f>
        <v>মোছাঃ টিয়া খাতুন</v>
      </c>
      <c r="D246" s="5">
        <f>IFERROR(__xludf.DUMMYFUNCTION("""COMPUTED_VALUE"""),5.70038001495E11)</f>
        <v>570038001495</v>
      </c>
      <c r="E246" s="5" t="str">
        <f>IFERROR(__xludf.DUMMYFUNCTION("""COMPUTED_VALUE"""),"মোঃ জিবন আলী")</f>
        <v>মোঃ জিবন আলী</v>
      </c>
      <c r="F246" s="5" t="str">
        <f>IFERROR(__xludf.DUMMYFUNCTION("""COMPUTED_VALUE"""),"মোছাঃ আজিড়ন")</f>
        <v>মোছাঃ আজিড়ন</v>
      </c>
      <c r="G246" s="5" t="str">
        <f>IFERROR(__xludf.DUMMYFUNCTION("""COMPUTED_VALUE"""),"০১/০১/২০০১")</f>
        <v>০১/০১/২০০১</v>
      </c>
      <c r="H246" s="5" t="str">
        <f>IFERROR(__xludf.DUMMYFUNCTION("""COMPUTED_VALUE"""),"গৃহিনী")</f>
        <v>গৃহিনী</v>
      </c>
      <c r="I246" s="5" t="str">
        <f>IFERROR(__xludf.DUMMYFUNCTION("""COMPUTED_VALUE"""),"গাড়াডোব")</f>
        <v>গাড়াডোব</v>
      </c>
      <c r="J246" s="5" t="str">
        <f>IFERROR(__xludf.DUMMYFUNCTION("""COMPUTED_VALUE""")," গাংনী")</f>
        <v> গাংনী</v>
      </c>
      <c r="K246" s="5" t="str">
        <f>IFERROR(__xludf.DUMMYFUNCTION("""COMPUTED_VALUE""")," মেহেরপুর")</f>
        <v> মেহেরপুর</v>
      </c>
    </row>
    <row r="247" ht="15.75" customHeight="1">
      <c r="A247" s="7" t="s">
        <v>7112</v>
      </c>
      <c r="B247" s="5">
        <f>IFERROR(__xludf.DUMMYFUNCTION("SPLIT(A247,"","")"),2382.0)</f>
        <v>2382</v>
      </c>
      <c r="C247" s="5" t="str">
        <f>IFERROR(__xludf.DUMMYFUNCTION("""COMPUTED_VALUE"""),"মোছাঃ সুমাইয়া আক্তার")</f>
        <v>মোছাঃ সুমাইয়া আক্তার</v>
      </c>
      <c r="D247" s="5">
        <f>IFERROR(__xludf.DUMMYFUNCTION("""COMPUTED_VALUE"""),5.70038001496E11)</f>
        <v>570038001496</v>
      </c>
      <c r="E247" s="5" t="str">
        <f>IFERROR(__xludf.DUMMYFUNCTION("""COMPUTED_VALUE"""),"মোঃ সামছুল আলম")</f>
        <v>মোঃ সামছুল আলম</v>
      </c>
      <c r="F247" s="5" t="str">
        <f>IFERROR(__xludf.DUMMYFUNCTION("""COMPUTED_VALUE"""),"মোছাঃ আনজিরা খাতুন")</f>
        <v>মোছাঃ আনজিরা খাতুন</v>
      </c>
      <c r="G247" s="5" t="str">
        <f>IFERROR(__xludf.DUMMYFUNCTION("""COMPUTED_VALUE"""),"২৮/০৭/১৯৯৫")</f>
        <v>২৮/০৭/১৯৯৫</v>
      </c>
      <c r="H247" s="5" t="str">
        <f>IFERROR(__xludf.DUMMYFUNCTION("""COMPUTED_VALUE"""),"গৃহিনী")</f>
        <v>গৃহিনী</v>
      </c>
      <c r="I247" s="5" t="str">
        <f>IFERROR(__xludf.DUMMYFUNCTION("""COMPUTED_VALUE"""),"গাড়াডোব")</f>
        <v>গাড়াডোব</v>
      </c>
      <c r="J247" s="5" t="str">
        <f>IFERROR(__xludf.DUMMYFUNCTION("""COMPUTED_VALUE""")," গাংনী")</f>
        <v> গাংনী</v>
      </c>
      <c r="K247" s="5" t="str">
        <f>IFERROR(__xludf.DUMMYFUNCTION("""COMPUTED_VALUE""")," মেহেরপুর")</f>
        <v> মেহেরপুর</v>
      </c>
    </row>
    <row r="248" ht="15.75" customHeight="1">
      <c r="A248" s="7" t="s">
        <v>7113</v>
      </c>
      <c r="B248" s="5">
        <f>IFERROR(__xludf.DUMMYFUNCTION("SPLIT(A248,"","")"),2383.0)</f>
        <v>2383</v>
      </c>
      <c r="C248" s="5" t="str">
        <f>IFERROR(__xludf.DUMMYFUNCTION("""COMPUTED_VALUE"""),"মোছাঃ শিলা খাতুন")</f>
        <v>মোছাঃ শিলা খাতুন</v>
      </c>
      <c r="D248" s="5">
        <f>IFERROR(__xludf.DUMMYFUNCTION("""COMPUTED_VALUE"""),5.70038001502E11)</f>
        <v>570038001502</v>
      </c>
      <c r="E248" s="5" t="str">
        <f>IFERROR(__xludf.DUMMYFUNCTION("""COMPUTED_VALUE"""),"মোঃ পিয়ার আলী")</f>
        <v>মোঃ পিয়ার আলী</v>
      </c>
      <c r="F248" s="5" t="str">
        <f>IFERROR(__xludf.DUMMYFUNCTION("""COMPUTED_VALUE"""),"মোছাঃ নুরজাহান বেগম")</f>
        <v>মোছাঃ নুরজাহান বেগম</v>
      </c>
      <c r="G248" s="5" t="str">
        <f>IFERROR(__xludf.DUMMYFUNCTION("""COMPUTED_VALUE"""),"১৮/০৬/১৯৯৯")</f>
        <v>১৮/০৬/১৯৯৯</v>
      </c>
      <c r="H248" s="5" t="str">
        <f>IFERROR(__xludf.DUMMYFUNCTION("""COMPUTED_VALUE"""),"গৃহিনী")</f>
        <v>গৃহিনী</v>
      </c>
      <c r="I248" s="5" t="str">
        <f>IFERROR(__xludf.DUMMYFUNCTION("""COMPUTED_VALUE"""),"গাড়াডোব")</f>
        <v>গাড়াডোব</v>
      </c>
      <c r="J248" s="5" t="str">
        <f>IFERROR(__xludf.DUMMYFUNCTION("""COMPUTED_VALUE""")," গাংনী")</f>
        <v> গাংনী</v>
      </c>
      <c r="K248" s="5" t="str">
        <f>IFERROR(__xludf.DUMMYFUNCTION("""COMPUTED_VALUE""")," মেহেরপুর")</f>
        <v> মেহেরপুর</v>
      </c>
    </row>
    <row r="249" ht="15.75" customHeight="1">
      <c r="A249" s="7" t="s">
        <v>7114</v>
      </c>
      <c r="B249" s="5">
        <f>IFERROR(__xludf.DUMMYFUNCTION("SPLIT(A249,"","")"),2384.0)</f>
        <v>2384</v>
      </c>
      <c r="C249" s="5" t="str">
        <f>IFERROR(__xludf.DUMMYFUNCTION("""COMPUTED_VALUE"""),"মোছাঃ হিরা")</f>
        <v>মোছাঃ হিরা</v>
      </c>
      <c r="D249" s="5">
        <f>IFERROR(__xludf.DUMMYFUNCTION("""COMPUTED_VALUE"""),5.70038001503E11)</f>
        <v>570038001503</v>
      </c>
      <c r="E249" s="5" t="str">
        <f>IFERROR(__xludf.DUMMYFUNCTION("""COMPUTED_VALUE"""),"মোঃ জহির উদ্দিন বাবর")</f>
        <v>মোঃ জহির উদ্দিন বাবর</v>
      </c>
      <c r="F249" s="5" t="str">
        <f>IFERROR(__xludf.DUMMYFUNCTION("""COMPUTED_VALUE"""),"মোছাঃ আইনা খাতুন")</f>
        <v>মোছাঃ আইনা খাতুন</v>
      </c>
      <c r="G249" s="5" t="str">
        <f>IFERROR(__xludf.DUMMYFUNCTION("""COMPUTED_VALUE"""),"০২/০৩/১৯৯৭")</f>
        <v>০২/০৩/১৯৯৭</v>
      </c>
      <c r="H249" s="5" t="str">
        <f>IFERROR(__xludf.DUMMYFUNCTION("""COMPUTED_VALUE"""),"গৃহিনী")</f>
        <v>গৃহিনী</v>
      </c>
      <c r="I249" s="5" t="str">
        <f>IFERROR(__xludf.DUMMYFUNCTION("""COMPUTED_VALUE"""),"গাড়াডোব")</f>
        <v>গাড়াডোব</v>
      </c>
      <c r="J249" s="5" t="str">
        <f>IFERROR(__xludf.DUMMYFUNCTION("""COMPUTED_VALUE""")," গাংনী")</f>
        <v> গাংনী</v>
      </c>
      <c r="K249" s="5" t="str">
        <f>IFERROR(__xludf.DUMMYFUNCTION("""COMPUTED_VALUE""")," মেহেরপুর")</f>
        <v> মেহেরপুর</v>
      </c>
    </row>
    <row r="250" ht="15.75" customHeight="1">
      <c r="A250" s="7" t="s">
        <v>7115</v>
      </c>
      <c r="B250" s="5">
        <f>IFERROR(__xludf.DUMMYFUNCTION("SPLIT(A250,"","")"),2385.0)</f>
        <v>2385</v>
      </c>
      <c r="C250" s="5" t="str">
        <f>IFERROR(__xludf.DUMMYFUNCTION("""COMPUTED_VALUE"""),"মোছাঃ মৌসুমী খাতুন")</f>
        <v>মোছাঃ মৌসুমী খাতুন</v>
      </c>
      <c r="D250" s="5">
        <f>IFERROR(__xludf.DUMMYFUNCTION("""COMPUTED_VALUE"""),5.70038001504E11)</f>
        <v>570038001504</v>
      </c>
      <c r="E250" s="5" t="str">
        <f>IFERROR(__xludf.DUMMYFUNCTION("""COMPUTED_VALUE"""),"মোঃ মোশারেফ")</f>
        <v>মোঃ মোশারেফ</v>
      </c>
      <c r="F250" s="5" t="str">
        <f>IFERROR(__xludf.DUMMYFUNCTION("""COMPUTED_VALUE"""),"মোছাঃ জায়েদা খাতুন")</f>
        <v>মোছাঃ জায়েদা খাতুন</v>
      </c>
      <c r="G250" s="5" t="str">
        <f>IFERROR(__xludf.DUMMYFUNCTION("""COMPUTED_VALUE"""),"১৪/০১/১৯৯৭")</f>
        <v>১৪/০১/১৯৯৭</v>
      </c>
      <c r="H250" s="5" t="str">
        <f>IFERROR(__xludf.DUMMYFUNCTION("""COMPUTED_VALUE"""),"গৃহিনী")</f>
        <v>গৃহিনী</v>
      </c>
      <c r="I250" s="5" t="str">
        <f>IFERROR(__xludf.DUMMYFUNCTION("""COMPUTED_VALUE"""),"গাড়াডোব")</f>
        <v>গাড়াডোব</v>
      </c>
      <c r="J250" s="5" t="str">
        <f>IFERROR(__xludf.DUMMYFUNCTION("""COMPUTED_VALUE""")," গাংনী")</f>
        <v> গাংনী</v>
      </c>
      <c r="K250" s="5" t="str">
        <f>IFERROR(__xludf.DUMMYFUNCTION("""COMPUTED_VALUE""")," মেহেরপুর")</f>
        <v> মেহেরপুর</v>
      </c>
    </row>
    <row r="251" ht="15.75" customHeight="1">
      <c r="A251" s="7" t="s">
        <v>7116</v>
      </c>
      <c r="B251" s="5">
        <f>IFERROR(__xludf.DUMMYFUNCTION("SPLIT(A251,"","")"),2386.0)</f>
        <v>2386</v>
      </c>
      <c r="C251" s="5" t="str">
        <f>IFERROR(__xludf.DUMMYFUNCTION("""COMPUTED_VALUE"""),"মোছাঃ রিজিয়া সুলতানা")</f>
        <v>মোছাঃ রিজিয়া সুলতানা</v>
      </c>
      <c r="D251" s="5">
        <f>IFERROR(__xludf.DUMMYFUNCTION("""COMPUTED_VALUE"""),5.70038001505E11)</f>
        <v>570038001505</v>
      </c>
      <c r="E251" s="5" t="str">
        <f>IFERROR(__xludf.DUMMYFUNCTION("""COMPUTED_VALUE"""),"মোঃ আবু জাহিদ হিরো")</f>
        <v>মোঃ আবু জাহিদ হিরো</v>
      </c>
      <c r="F251" s="5" t="str">
        <f>IFERROR(__xludf.DUMMYFUNCTION("""COMPUTED_VALUE"""),"মোছাঃ বেদানা খাতুন")</f>
        <v>মোছাঃ বেদানা খাতুন</v>
      </c>
      <c r="G251" s="5" t="str">
        <f>IFERROR(__xludf.DUMMYFUNCTION("""COMPUTED_VALUE"""),"২০/০৯/২০০৩")</f>
        <v>২০/০৯/২০০৩</v>
      </c>
      <c r="H251" s="5" t="str">
        <f>IFERROR(__xludf.DUMMYFUNCTION("""COMPUTED_VALUE"""),"ছাত্র/ছাত্রী")</f>
        <v>ছাত্র/ছাত্রী</v>
      </c>
      <c r="I251" s="5" t="str">
        <f>IFERROR(__xludf.DUMMYFUNCTION("""COMPUTED_VALUE"""),"গাড়াডোব")</f>
        <v>গাড়াডোব</v>
      </c>
      <c r="J251" s="5" t="str">
        <f>IFERROR(__xludf.DUMMYFUNCTION("""COMPUTED_VALUE""")," গাংনী")</f>
        <v> গাংনী</v>
      </c>
      <c r="K251" s="5" t="str">
        <f>IFERROR(__xludf.DUMMYFUNCTION("""COMPUTED_VALUE""")," মেহেরপুর")</f>
        <v> মেহেরপুর</v>
      </c>
    </row>
    <row r="252" ht="15.75" customHeight="1">
      <c r="A252" s="7" t="s">
        <v>7117</v>
      </c>
      <c r="B252" s="5">
        <f>IFERROR(__xludf.DUMMYFUNCTION("SPLIT(A252,"","")"),2387.0)</f>
        <v>2387</v>
      </c>
      <c r="C252" s="5" t="str">
        <f>IFERROR(__xludf.DUMMYFUNCTION("""COMPUTED_VALUE"""),"মোছাঃ বিথি খাতুন")</f>
        <v>মোছাঃ বিথি খাতুন</v>
      </c>
      <c r="D252" s="5">
        <f>IFERROR(__xludf.DUMMYFUNCTION("""COMPUTED_VALUE"""),5.70038001507E11)</f>
        <v>570038001507</v>
      </c>
      <c r="E252" s="5" t="str">
        <f>IFERROR(__xludf.DUMMYFUNCTION("""COMPUTED_VALUE"""),"মোঃ মনিরুল ইসলাম")</f>
        <v>মোঃ মনিরুল ইসলাম</v>
      </c>
      <c r="F252" s="5" t="str">
        <f>IFERROR(__xludf.DUMMYFUNCTION("""COMPUTED_VALUE"""),"মোছাঃ আলেমা খাতুন")</f>
        <v>মোছাঃ আলেমা খাতুন</v>
      </c>
      <c r="G252" s="5" t="str">
        <f>IFERROR(__xludf.DUMMYFUNCTION("""COMPUTED_VALUE"""),"১০/০২/২০০০")</f>
        <v>১০/০২/২০০০</v>
      </c>
      <c r="H252" s="5" t="str">
        <f>IFERROR(__xludf.DUMMYFUNCTION("""COMPUTED_VALUE"""),"ছাত্র/ছাত্রী")</f>
        <v>ছাত্র/ছাত্রী</v>
      </c>
      <c r="I252" s="5" t="str">
        <f>IFERROR(__xludf.DUMMYFUNCTION("""COMPUTED_VALUE"""),"গাড়াডোব")</f>
        <v>গাড়াডোব</v>
      </c>
      <c r="J252" s="5" t="str">
        <f>IFERROR(__xludf.DUMMYFUNCTION("""COMPUTED_VALUE""")," গাংনী")</f>
        <v> গাংনী</v>
      </c>
      <c r="K252" s="5" t="str">
        <f>IFERROR(__xludf.DUMMYFUNCTION("""COMPUTED_VALUE""")," মেহেরপুর")</f>
        <v> মেহেরপুর</v>
      </c>
    </row>
    <row r="253" ht="15.75" customHeight="1">
      <c r="A253" s="7" t="s">
        <v>7118</v>
      </c>
      <c r="B253" s="5">
        <f>IFERROR(__xludf.DUMMYFUNCTION("SPLIT(A253,"","")"),2388.0)</f>
        <v>2388</v>
      </c>
      <c r="C253" s="5" t="str">
        <f>IFERROR(__xludf.DUMMYFUNCTION("""COMPUTED_VALUE"""),"মোছাঃ সকিনা খাতুন আঁখি")</f>
        <v>মোছাঃ সকিনা খাতুন আঁখি</v>
      </c>
      <c r="D253" s="5">
        <f>IFERROR(__xludf.DUMMYFUNCTION("""COMPUTED_VALUE"""),5.70038001508E11)</f>
        <v>570038001508</v>
      </c>
      <c r="E253" s="5" t="str">
        <f>IFERROR(__xludf.DUMMYFUNCTION("""COMPUTED_VALUE"""),"মোঃ আসাদুল ইসলাম")</f>
        <v>মোঃ আসাদুল ইসলাম</v>
      </c>
      <c r="F253" s="5" t="str">
        <f>IFERROR(__xludf.DUMMYFUNCTION("""COMPUTED_VALUE"""),"মোছাঃ বুলু নেছা")</f>
        <v>মোছাঃ বুলু নেছা</v>
      </c>
      <c r="G253" s="5" t="str">
        <f>IFERROR(__xludf.DUMMYFUNCTION("""COMPUTED_VALUE"""),"১০/০৫/১৯৯৯")</f>
        <v>১০/০৫/১৯৯৯</v>
      </c>
      <c r="H253" s="5" t="str">
        <f>IFERROR(__xludf.DUMMYFUNCTION("""COMPUTED_VALUE"""),"গৃহিনী")</f>
        <v>গৃহিনী</v>
      </c>
      <c r="I253" s="5" t="str">
        <f>IFERROR(__xludf.DUMMYFUNCTION("""COMPUTED_VALUE"""),"গাড়াডোব")</f>
        <v>গাড়াডোব</v>
      </c>
      <c r="J253" s="5" t="str">
        <f>IFERROR(__xludf.DUMMYFUNCTION("""COMPUTED_VALUE""")," গাংনী")</f>
        <v> গাংনী</v>
      </c>
      <c r="K253" s="5" t="str">
        <f>IFERROR(__xludf.DUMMYFUNCTION("""COMPUTED_VALUE""")," মেহেরপুর")</f>
        <v> মেহেরপুর</v>
      </c>
    </row>
    <row r="254" ht="15.75" customHeight="1">
      <c r="A254" s="7" t="s">
        <v>7119</v>
      </c>
      <c r="B254" s="5">
        <f>IFERROR(__xludf.DUMMYFUNCTION("SPLIT(A254,"","")"),2389.0)</f>
        <v>2389</v>
      </c>
      <c r="C254" s="5" t="str">
        <f>IFERROR(__xludf.DUMMYFUNCTION("""COMPUTED_VALUE"""),"মোছাঃ রিক্তা খাতুন")</f>
        <v>মোছাঃ রিক্তা খাতুন</v>
      </c>
      <c r="D254" s="5">
        <f>IFERROR(__xludf.DUMMYFUNCTION("""COMPUTED_VALUE"""),5.70038001515E11)</f>
        <v>570038001515</v>
      </c>
      <c r="E254" s="5" t="str">
        <f>IFERROR(__xludf.DUMMYFUNCTION("""COMPUTED_VALUE"""),"মোঃ আঃ রাজ্জাক")</f>
        <v>মোঃ আঃ রাজ্জাক</v>
      </c>
      <c r="F254" s="5" t="str">
        <f>IFERROR(__xludf.DUMMYFUNCTION("""COMPUTED_VALUE"""),"মোছাঃ ফাতেমা খাতুন")</f>
        <v>মোছাঃ ফাতেমা খাতুন</v>
      </c>
      <c r="G254" s="5" t="str">
        <f>IFERROR(__xludf.DUMMYFUNCTION("""COMPUTED_VALUE"""),"০২/১২/২০০২")</f>
        <v>০২/১২/২০০২</v>
      </c>
      <c r="H254" s="5" t="str">
        <f>IFERROR(__xludf.DUMMYFUNCTION("""COMPUTED_VALUE"""),"গৃহিনী")</f>
        <v>গৃহিনী</v>
      </c>
      <c r="I254" s="5" t="str">
        <f>IFERROR(__xludf.DUMMYFUNCTION("""COMPUTED_VALUE"""),"গাড়াডোব")</f>
        <v>গাড়াডোব</v>
      </c>
      <c r="J254" s="5" t="str">
        <f>IFERROR(__xludf.DUMMYFUNCTION("""COMPUTED_VALUE""")," গাংনী")</f>
        <v> গাংনী</v>
      </c>
      <c r="K254" s="5" t="str">
        <f>IFERROR(__xludf.DUMMYFUNCTION("""COMPUTED_VALUE""")," মেহেরপুর")</f>
        <v> মেহেরপুর</v>
      </c>
    </row>
    <row r="255" ht="15.75" customHeight="1">
      <c r="A255" s="7" t="s">
        <v>7120</v>
      </c>
      <c r="B255" s="5">
        <f>IFERROR(__xludf.DUMMYFUNCTION("SPLIT(A255,"","")"),2390.0)</f>
        <v>2390</v>
      </c>
      <c r="C255" s="5" t="str">
        <f>IFERROR(__xludf.DUMMYFUNCTION("""COMPUTED_VALUE"""),"মোছাঃ ববিতা খাতুন")</f>
        <v>মোছাঃ ববিতা খাতুন</v>
      </c>
      <c r="D255" s="5">
        <f>IFERROR(__xludf.DUMMYFUNCTION("""COMPUTED_VALUE"""),5.70038001517E11)</f>
        <v>570038001517</v>
      </c>
      <c r="E255" s="5" t="str">
        <f>IFERROR(__xludf.DUMMYFUNCTION("""COMPUTED_VALUE"""),"মোঃ বককর আলী")</f>
        <v>মোঃ বককর আলী</v>
      </c>
      <c r="F255" s="5" t="str">
        <f>IFERROR(__xludf.DUMMYFUNCTION("""COMPUTED_VALUE"""),"মোছাঃ মমতাজ খাতুন")</f>
        <v>মোছাঃ মমতাজ খাতুন</v>
      </c>
      <c r="G255" s="5" t="str">
        <f>IFERROR(__xludf.DUMMYFUNCTION("""COMPUTED_VALUE"""),"২৭/০৯/১৯৯৮")</f>
        <v>২৭/০৯/১৯৯৮</v>
      </c>
      <c r="H255" s="5" t="str">
        <f>IFERROR(__xludf.DUMMYFUNCTION("""COMPUTED_VALUE"""),"গৃহিনী")</f>
        <v>গৃহিনী</v>
      </c>
      <c r="I255" s="5" t="str">
        <f>IFERROR(__xludf.DUMMYFUNCTION("""COMPUTED_VALUE"""),"গাড়াডোব")</f>
        <v>গাড়াডোব</v>
      </c>
      <c r="J255" s="5" t="str">
        <f>IFERROR(__xludf.DUMMYFUNCTION("""COMPUTED_VALUE""")," গাংনী")</f>
        <v> গাংনী</v>
      </c>
      <c r="K255" s="5" t="str">
        <f>IFERROR(__xludf.DUMMYFUNCTION("""COMPUTED_VALUE""")," মেহেরপুর")</f>
        <v> মেহেরপুর</v>
      </c>
    </row>
    <row r="256" ht="15.75" customHeight="1">
      <c r="A256" s="7" t="s">
        <v>7121</v>
      </c>
      <c r="B256" s="5">
        <f>IFERROR(__xludf.DUMMYFUNCTION("SPLIT(A256,"","")"),2391.0)</f>
        <v>2391</v>
      </c>
      <c r="C256" s="5" t="str">
        <f>IFERROR(__xludf.DUMMYFUNCTION("""COMPUTED_VALUE"""),"মোছাঃ পলি খাতুন")</f>
        <v>মোছাঃ পলি খাতুন</v>
      </c>
      <c r="D256" s="5">
        <f>IFERROR(__xludf.DUMMYFUNCTION("""COMPUTED_VALUE"""),5.7003800152E11)</f>
        <v>570038001520</v>
      </c>
      <c r="E256" s="5" t="str">
        <f>IFERROR(__xludf.DUMMYFUNCTION("""COMPUTED_VALUE"""),"মোঃ ডালিম হোসেন")</f>
        <v>মোঃ ডালিম হোসেন</v>
      </c>
      <c r="F256" s="5" t="str">
        <f>IFERROR(__xludf.DUMMYFUNCTION("""COMPUTED_VALUE"""),"মোছাঃ রাশেদা খাতুন")</f>
        <v>মোছাঃ রাশেদা খাতুন</v>
      </c>
      <c r="G256" s="5" t="str">
        <f>IFERROR(__xludf.DUMMYFUNCTION("""COMPUTED_VALUE"""),"০২/০৪/২০০২")</f>
        <v>০২/০৪/২০০২</v>
      </c>
      <c r="H256" s="5" t="str">
        <f>IFERROR(__xludf.DUMMYFUNCTION("""COMPUTED_VALUE"""),"ছাত্র/ছাত্রী")</f>
        <v>ছাত্র/ছাত্রী</v>
      </c>
      <c r="I256" s="5" t="str">
        <f>IFERROR(__xludf.DUMMYFUNCTION("""COMPUTED_VALUE"""),"গাড়াডোব")</f>
        <v>গাড়াডোব</v>
      </c>
      <c r="J256" s="5" t="str">
        <f>IFERROR(__xludf.DUMMYFUNCTION("""COMPUTED_VALUE""")," গাংনী")</f>
        <v> গাংনী</v>
      </c>
      <c r="K256" s="5" t="str">
        <f>IFERROR(__xludf.DUMMYFUNCTION("""COMPUTED_VALUE""")," মেহেরপুর")</f>
        <v> মেহেরপুর</v>
      </c>
    </row>
    <row r="257" ht="15.75" customHeight="1">
      <c r="A257" s="7" t="s">
        <v>7122</v>
      </c>
      <c r="B257" s="5">
        <f>IFERROR(__xludf.DUMMYFUNCTION("SPLIT(A257,"","")"),2392.0)</f>
        <v>2392</v>
      </c>
      <c r="C257" s="5" t="str">
        <f>IFERROR(__xludf.DUMMYFUNCTION("""COMPUTED_VALUE"""),"মোছাঃ মিম খাতুন")</f>
        <v>মোছাঃ মিম খাতুন</v>
      </c>
      <c r="D257" s="5">
        <f>IFERROR(__xludf.DUMMYFUNCTION("""COMPUTED_VALUE"""),5.70038001531E11)</f>
        <v>570038001531</v>
      </c>
      <c r="E257" s="5" t="str">
        <f>IFERROR(__xludf.DUMMYFUNCTION("""COMPUTED_VALUE"""),"মোঃ জাহারুল ইসলাম")</f>
        <v>মোঃ জাহারুল ইসলাম</v>
      </c>
      <c r="F257" s="5" t="str">
        <f>IFERROR(__xludf.DUMMYFUNCTION("""COMPUTED_VALUE"""),"মোছাঃ সেলিনা খাতুন")</f>
        <v>মোছাঃ সেলিনা খাতুন</v>
      </c>
      <c r="G257" s="5" t="str">
        <f>IFERROR(__xludf.DUMMYFUNCTION("""COMPUTED_VALUE"""),"১৩/০৩/২০০৩")</f>
        <v>১৩/০৩/২০০৩</v>
      </c>
      <c r="H257" s="5" t="str">
        <f>IFERROR(__xludf.DUMMYFUNCTION("""COMPUTED_VALUE"""),"ছাত্র/ছাত্রী")</f>
        <v>ছাত্র/ছাত্রী</v>
      </c>
      <c r="I257" s="5" t="str">
        <f>IFERROR(__xludf.DUMMYFUNCTION("""COMPUTED_VALUE"""),"গাড়াডোব")</f>
        <v>গাড়াডোব</v>
      </c>
      <c r="J257" s="5" t="str">
        <f>IFERROR(__xludf.DUMMYFUNCTION("""COMPUTED_VALUE""")," গাংনী")</f>
        <v> গাংনী</v>
      </c>
      <c r="K257" s="5" t="str">
        <f>IFERROR(__xludf.DUMMYFUNCTION("""COMPUTED_VALUE""")," মেহেরপুর")</f>
        <v> মেহেরপুর</v>
      </c>
    </row>
    <row r="258" ht="15.75" customHeight="1">
      <c r="A258" s="7" t="s">
        <v>7123</v>
      </c>
      <c r="B258" s="5">
        <f>IFERROR(__xludf.DUMMYFUNCTION("SPLIT(A258,"","")"),2393.0)</f>
        <v>2393</v>
      </c>
      <c r="C258" s="5" t="str">
        <f>IFERROR(__xludf.DUMMYFUNCTION("""COMPUTED_VALUE"""),"মোছাঃ হাসি খাতুন")</f>
        <v>মোছাঃ হাসি খাতুন</v>
      </c>
      <c r="D258" s="5">
        <f>IFERROR(__xludf.DUMMYFUNCTION("""COMPUTED_VALUE"""),5.70038001532E11)</f>
        <v>570038001532</v>
      </c>
      <c r="E258" s="5" t="str">
        <f>IFERROR(__xludf.DUMMYFUNCTION("""COMPUTED_VALUE"""),"মোঃ আমজাদ আলী")</f>
        <v>মোঃ আমজাদ আলী</v>
      </c>
      <c r="F258" s="5" t="str">
        <f>IFERROR(__xludf.DUMMYFUNCTION("""COMPUTED_VALUE"""),"মোছাঃ আনজিরা খাতুন")</f>
        <v>মোছাঃ আনজিরা খাতুন</v>
      </c>
      <c r="G258" s="5" t="str">
        <f>IFERROR(__xludf.DUMMYFUNCTION("""COMPUTED_VALUE"""),"০৮/০১/২০০১")</f>
        <v>০৮/০১/২০০১</v>
      </c>
      <c r="H258" s="5" t="str">
        <f>IFERROR(__xludf.DUMMYFUNCTION("""COMPUTED_VALUE"""),"ছাত্র/ছাত্রী")</f>
        <v>ছাত্র/ছাত্রী</v>
      </c>
      <c r="I258" s="5" t="str">
        <f>IFERROR(__xludf.DUMMYFUNCTION("""COMPUTED_VALUE"""),"গাড়াডোব")</f>
        <v>গাড়াডোব</v>
      </c>
      <c r="J258" s="5" t="str">
        <f>IFERROR(__xludf.DUMMYFUNCTION("""COMPUTED_VALUE""")," গাংনী")</f>
        <v> গাংনী</v>
      </c>
      <c r="K258" s="5" t="str">
        <f>IFERROR(__xludf.DUMMYFUNCTION("""COMPUTED_VALUE""")," মেহেরপুর")</f>
        <v> মেহেরপুর</v>
      </c>
    </row>
    <row r="259" ht="15.75" customHeight="1">
      <c r="A259" s="7" t="s">
        <v>7124</v>
      </c>
      <c r="B259" s="5">
        <f>IFERROR(__xludf.DUMMYFUNCTION("SPLIT(A259,"","")"),2394.0)</f>
        <v>2394</v>
      </c>
      <c r="C259" s="5" t="str">
        <f>IFERROR(__xludf.DUMMYFUNCTION("""COMPUTED_VALUE"""),"মোছাঃ রানি আক্তার")</f>
        <v>মোছাঃ রানি আক্তার</v>
      </c>
      <c r="D259" s="5">
        <f>IFERROR(__xludf.DUMMYFUNCTION("""COMPUTED_VALUE"""),5.70038001536E11)</f>
        <v>570038001536</v>
      </c>
      <c r="E259" s="5" t="str">
        <f>IFERROR(__xludf.DUMMYFUNCTION("""COMPUTED_VALUE"""),"মোঃ আমজাদ হোসেন")</f>
        <v>মোঃ আমজাদ হোসেন</v>
      </c>
      <c r="F259" s="5" t="str">
        <f>IFERROR(__xludf.DUMMYFUNCTION("""COMPUTED_VALUE"""),"মোছাঃ নিলুফা খাতুন")</f>
        <v>মোছাঃ নিলুফা খাতুন</v>
      </c>
      <c r="G259" s="5" t="str">
        <f>IFERROR(__xludf.DUMMYFUNCTION("""COMPUTED_VALUE"""),"২৫/০২/২০০৩")</f>
        <v>২৫/০২/২০০৩</v>
      </c>
      <c r="H259" s="5" t="str">
        <f>IFERROR(__xludf.DUMMYFUNCTION("""COMPUTED_VALUE"""),"গৃহিনী")</f>
        <v>গৃহিনী</v>
      </c>
      <c r="I259" s="5" t="str">
        <f>IFERROR(__xludf.DUMMYFUNCTION("""COMPUTED_VALUE"""),"গাড়াডোব")</f>
        <v>গাড়াডোব</v>
      </c>
      <c r="J259" s="5" t="str">
        <f>IFERROR(__xludf.DUMMYFUNCTION("""COMPUTED_VALUE""")," গাংনী")</f>
        <v> গাংনী</v>
      </c>
      <c r="K259" s="5" t="str">
        <f>IFERROR(__xludf.DUMMYFUNCTION("""COMPUTED_VALUE""")," মেহেরপুর")</f>
        <v> মেহেরপুর</v>
      </c>
    </row>
    <row r="260" ht="15.75" customHeight="1">
      <c r="A260" s="7" t="s">
        <v>7125</v>
      </c>
      <c r="B260" s="5">
        <f>IFERROR(__xludf.DUMMYFUNCTION("SPLIT(A260,"","")"),2395.0)</f>
        <v>2395</v>
      </c>
      <c r="C260" s="5" t="str">
        <f>IFERROR(__xludf.DUMMYFUNCTION("""COMPUTED_VALUE"""),"মোছাঃ নিলুফা খাতুন")</f>
        <v>মোছাঃ নিলুফা খাতুন</v>
      </c>
      <c r="D260" s="5">
        <f>IFERROR(__xludf.DUMMYFUNCTION("""COMPUTED_VALUE"""),5.70038001537E11)</f>
        <v>570038001537</v>
      </c>
      <c r="E260" s="5" t="str">
        <f>IFERROR(__xludf.DUMMYFUNCTION("""COMPUTED_VALUE"""),"মোঃ লালু হোসেন")</f>
        <v>মোঃ লালু হোসেন</v>
      </c>
      <c r="F260" s="5" t="str">
        <f>IFERROR(__xludf.DUMMYFUNCTION("""COMPUTED_VALUE"""),"মোছাঃ রিবা খাতুন")</f>
        <v>মোছাঃ রিবা খাতুন</v>
      </c>
      <c r="G260" s="5" t="str">
        <f>IFERROR(__xludf.DUMMYFUNCTION("""COMPUTED_VALUE"""),"২০/০৪/১৯৯৯")</f>
        <v>২০/০৪/১৯৯৯</v>
      </c>
      <c r="H260" s="5" t="str">
        <f>IFERROR(__xludf.DUMMYFUNCTION("""COMPUTED_VALUE"""),"গৃহিনী")</f>
        <v>গৃহিনী</v>
      </c>
      <c r="I260" s="5" t="str">
        <f>IFERROR(__xludf.DUMMYFUNCTION("""COMPUTED_VALUE"""),"গাড়াডোব")</f>
        <v>গাড়াডোব</v>
      </c>
      <c r="J260" s="5" t="str">
        <f>IFERROR(__xludf.DUMMYFUNCTION("""COMPUTED_VALUE""")," গাংনী")</f>
        <v> গাংনী</v>
      </c>
      <c r="K260" s="5" t="str">
        <f>IFERROR(__xludf.DUMMYFUNCTION("""COMPUTED_VALUE""")," মেহেরপুর")</f>
        <v> মেহেরপুর</v>
      </c>
    </row>
    <row r="261" ht="15.75" customHeight="1">
      <c r="A261" s="7" t="s">
        <v>7126</v>
      </c>
      <c r="B261" s="5">
        <f>IFERROR(__xludf.DUMMYFUNCTION("SPLIT(A261,"","")"),2396.0)</f>
        <v>2396</v>
      </c>
      <c r="C261" s="5" t="str">
        <f>IFERROR(__xludf.DUMMYFUNCTION("""COMPUTED_VALUE"""),"মোছাঃ সিনা খাতুন")</f>
        <v>মোছাঃ সিনা খাতুন</v>
      </c>
      <c r="D261" s="5">
        <f>IFERROR(__xludf.DUMMYFUNCTION("""COMPUTED_VALUE"""),5.70038001538E11)</f>
        <v>570038001538</v>
      </c>
      <c r="E261" s="5" t="str">
        <f>IFERROR(__xludf.DUMMYFUNCTION("""COMPUTED_VALUE"""),"মোঃ সোহরাব")</f>
        <v>মোঃ সোহরাব</v>
      </c>
      <c r="F261" s="5" t="str">
        <f>IFERROR(__xludf.DUMMYFUNCTION("""COMPUTED_VALUE"""),"মোছাঃ মলি খাতুন")</f>
        <v>মোছাঃ মলি খাতুন</v>
      </c>
      <c r="G261" s="5" t="str">
        <f>IFERROR(__xludf.DUMMYFUNCTION("""COMPUTED_VALUE"""),"০৩/০৮/২০০২")</f>
        <v>০৩/০৮/২০০২</v>
      </c>
      <c r="H261" s="5" t="str">
        <f>IFERROR(__xludf.DUMMYFUNCTION("""COMPUTED_VALUE"""),"গৃহিনী")</f>
        <v>গৃহিনী</v>
      </c>
      <c r="I261" s="5" t="str">
        <f>IFERROR(__xludf.DUMMYFUNCTION("""COMPUTED_VALUE"""),"গাড়াডোব")</f>
        <v>গাড়াডোব</v>
      </c>
      <c r="J261" s="5" t="str">
        <f>IFERROR(__xludf.DUMMYFUNCTION("""COMPUTED_VALUE""")," গাংনী")</f>
        <v> গাংনী</v>
      </c>
      <c r="K261" s="5" t="str">
        <f>IFERROR(__xludf.DUMMYFUNCTION("""COMPUTED_VALUE""")," মেহেরপুর")</f>
        <v> মেহেরপুর</v>
      </c>
    </row>
    <row r="262" ht="15.75" customHeight="1">
      <c r="A262" s="7" t="s">
        <v>7127</v>
      </c>
      <c r="B262" s="5">
        <f>IFERROR(__xludf.DUMMYFUNCTION("SPLIT(A262,"","")"),2397.0)</f>
        <v>2397</v>
      </c>
      <c r="C262" s="5" t="str">
        <f>IFERROR(__xludf.DUMMYFUNCTION("""COMPUTED_VALUE"""),"মোছাঃ শাহানার সাথী")</f>
        <v>মোছাঃ শাহানার সাথী</v>
      </c>
      <c r="D262" s="5">
        <f>IFERROR(__xludf.DUMMYFUNCTION("""COMPUTED_VALUE"""),5.70038001539E11)</f>
        <v>570038001539</v>
      </c>
      <c r="E262" s="5" t="str">
        <f>IFERROR(__xludf.DUMMYFUNCTION("""COMPUTED_VALUE"""),"মোঃ শাহিন খাঁ")</f>
        <v>মোঃ শাহিন খাঁ</v>
      </c>
      <c r="F262" s="5" t="str">
        <f>IFERROR(__xludf.DUMMYFUNCTION("""COMPUTED_VALUE"""),"মোছাঃ ছালেহার")</f>
        <v>মোছাঃ ছালেহার</v>
      </c>
      <c r="G262" s="5" t="str">
        <f>IFERROR(__xludf.DUMMYFUNCTION("""COMPUTED_VALUE"""),"০৫/১১/২০০১")</f>
        <v>০৫/১১/২০০১</v>
      </c>
      <c r="H262" s="5" t="str">
        <f>IFERROR(__xludf.DUMMYFUNCTION("""COMPUTED_VALUE"""),"গৃহিনী")</f>
        <v>গৃহিনী</v>
      </c>
      <c r="I262" s="5" t="str">
        <f>IFERROR(__xludf.DUMMYFUNCTION("""COMPUTED_VALUE"""),"গাড়াডোব")</f>
        <v>গাড়াডোব</v>
      </c>
      <c r="J262" s="5" t="str">
        <f>IFERROR(__xludf.DUMMYFUNCTION("""COMPUTED_VALUE""")," গাংনী")</f>
        <v> গাংনী</v>
      </c>
      <c r="K262" s="5" t="str">
        <f>IFERROR(__xludf.DUMMYFUNCTION("""COMPUTED_VALUE""")," মেহেরপুর")</f>
        <v> মেহেরপুর</v>
      </c>
    </row>
    <row r="263" ht="15.75" customHeight="1">
      <c r="A263" s="7" t="s">
        <v>7128</v>
      </c>
      <c r="B263" s="5">
        <f>IFERROR(__xludf.DUMMYFUNCTION("SPLIT(A263,"","")"),2398.0)</f>
        <v>2398</v>
      </c>
      <c r="C263" s="5" t="str">
        <f>IFERROR(__xludf.DUMMYFUNCTION("""COMPUTED_VALUE"""),"মোছাঃ রাজিয়া খাতুন")</f>
        <v>মোছাঃ রাজিয়া খাতুন</v>
      </c>
      <c r="D263" s="5">
        <f>IFERROR(__xludf.DUMMYFUNCTION("""COMPUTED_VALUE"""),5.7003800154E11)</f>
        <v>570038001540</v>
      </c>
      <c r="E263" s="5" t="str">
        <f>IFERROR(__xludf.DUMMYFUNCTION("""COMPUTED_VALUE"""),"মোঃ আব্দুর রশিদ")</f>
        <v>মোঃ আব্দুর রশিদ</v>
      </c>
      <c r="F263" s="5" t="str">
        <f>IFERROR(__xludf.DUMMYFUNCTION("""COMPUTED_VALUE"""),"মোছাঃ শিরিনা খাতুন")</f>
        <v>মোছাঃ শিরিনা খাতুন</v>
      </c>
      <c r="G263" s="5" t="str">
        <f>IFERROR(__xludf.DUMMYFUNCTION("""COMPUTED_VALUE"""),"২৫/০৫/২০০০")</f>
        <v>২৫/০৫/২০০০</v>
      </c>
      <c r="H263" s="5" t="str">
        <f>IFERROR(__xludf.DUMMYFUNCTION("""COMPUTED_VALUE"""),"গৃহিনী")</f>
        <v>গৃহিনী</v>
      </c>
      <c r="I263" s="5" t="str">
        <f>IFERROR(__xludf.DUMMYFUNCTION("""COMPUTED_VALUE"""),"গাড়াডোব")</f>
        <v>গাড়াডোব</v>
      </c>
      <c r="J263" s="5" t="str">
        <f>IFERROR(__xludf.DUMMYFUNCTION("""COMPUTED_VALUE""")," গাংনী")</f>
        <v> গাংনী</v>
      </c>
      <c r="K263" s="5" t="str">
        <f>IFERROR(__xludf.DUMMYFUNCTION("""COMPUTED_VALUE""")," মেহেরপুর")</f>
        <v> মেহেরপুর</v>
      </c>
    </row>
    <row r="264" ht="15.75" customHeight="1">
      <c r="A264" s="7" t="s">
        <v>7129</v>
      </c>
      <c r="B264" s="5">
        <f>IFERROR(__xludf.DUMMYFUNCTION("SPLIT(A264,"","")"),2399.0)</f>
        <v>2399</v>
      </c>
      <c r="C264" s="5" t="str">
        <f>IFERROR(__xludf.DUMMYFUNCTION("""COMPUTED_VALUE"""),"মোছাঃ জাকিয়া সুলতানা")</f>
        <v>মোছাঃ জাকিয়া সুলতানা</v>
      </c>
      <c r="D264" s="5">
        <f>IFERROR(__xludf.DUMMYFUNCTION("""COMPUTED_VALUE"""),5.70038001544E11)</f>
        <v>570038001544</v>
      </c>
      <c r="E264" s="5" t="str">
        <f>IFERROR(__xludf.DUMMYFUNCTION("""COMPUTED_VALUE"""),"মোঃ জাফর আলী")</f>
        <v>মোঃ জাফর আলী</v>
      </c>
      <c r="F264" s="5" t="str">
        <f>IFERROR(__xludf.DUMMYFUNCTION("""COMPUTED_VALUE"""),"মোছাঃ মঞ্জুরা খাতুন")</f>
        <v>মোছাঃ মঞ্জুরা খাতুন</v>
      </c>
      <c r="G264" s="5" t="str">
        <f>IFERROR(__xludf.DUMMYFUNCTION("""COMPUTED_VALUE"""),"২০/০১/২০০২")</f>
        <v>২০/০১/২০০২</v>
      </c>
      <c r="H264" s="5" t="str">
        <f>IFERROR(__xludf.DUMMYFUNCTION("""COMPUTED_VALUE"""),"ছাত্র/ছাত্রী")</f>
        <v>ছাত্র/ছাত্রী</v>
      </c>
      <c r="I264" s="5" t="str">
        <f>IFERROR(__xludf.DUMMYFUNCTION("""COMPUTED_VALUE"""),"গাড়াডোব")</f>
        <v>গাড়াডোব</v>
      </c>
      <c r="J264" s="5" t="str">
        <f>IFERROR(__xludf.DUMMYFUNCTION("""COMPUTED_VALUE""")," গাংনী")</f>
        <v> গাংনী</v>
      </c>
      <c r="K264" s="5" t="str">
        <f>IFERROR(__xludf.DUMMYFUNCTION("""COMPUTED_VALUE""")," মেহেরপুর")</f>
        <v> মেহেরপুর</v>
      </c>
    </row>
    <row r="265" ht="15.75" customHeight="1">
      <c r="A265" s="7" t="s">
        <v>7130</v>
      </c>
      <c r="B265" s="5">
        <f>IFERROR(__xludf.DUMMYFUNCTION("SPLIT(A265,"","")"),2400.0)</f>
        <v>2400</v>
      </c>
      <c r="C265" s="5" t="str">
        <f>IFERROR(__xludf.DUMMYFUNCTION("""COMPUTED_VALUE"""),"মোছাঃ রিজিয়া খাতুন")</f>
        <v>মোছাঃ রিজিয়া খাতুন</v>
      </c>
      <c r="D265" s="5">
        <f>IFERROR(__xludf.DUMMYFUNCTION("""COMPUTED_VALUE"""),5.70038001546E11)</f>
        <v>570038001546</v>
      </c>
      <c r="E265" s="5" t="str">
        <f>IFERROR(__xludf.DUMMYFUNCTION("""COMPUTED_VALUE"""),"মোঃ মহিবুল ইসলাম")</f>
        <v>মোঃ মহিবুল ইসলাম</v>
      </c>
      <c r="F265" s="5" t="str">
        <f>IFERROR(__xludf.DUMMYFUNCTION("""COMPUTED_VALUE"""),"মোছাঃ সেলিনা খাতুন")</f>
        <v>মোছাঃ সেলিনা খাতুন</v>
      </c>
      <c r="G265" s="5" t="str">
        <f>IFERROR(__xludf.DUMMYFUNCTION("""COMPUTED_VALUE"""),"০৮/০৭/২০০১")</f>
        <v>০৮/০৭/২০০১</v>
      </c>
      <c r="H265" s="5" t="str">
        <f>IFERROR(__xludf.DUMMYFUNCTION("""COMPUTED_VALUE"""),"গৃহিনী")</f>
        <v>গৃহিনী</v>
      </c>
      <c r="I265" s="5" t="str">
        <f>IFERROR(__xludf.DUMMYFUNCTION("""COMPUTED_VALUE"""),"গাড়াডোব")</f>
        <v>গাড়াডোব</v>
      </c>
      <c r="J265" s="5" t="str">
        <f>IFERROR(__xludf.DUMMYFUNCTION("""COMPUTED_VALUE""")," গাংনী")</f>
        <v> গাংনী</v>
      </c>
      <c r="K265" s="5" t="str">
        <f>IFERROR(__xludf.DUMMYFUNCTION("""COMPUTED_VALUE""")," মেহেরপুর")</f>
        <v> মেহেরপুর</v>
      </c>
    </row>
    <row r="266" ht="15.75" customHeight="1">
      <c r="A266" s="7" t="s">
        <v>7131</v>
      </c>
      <c r="B266" s="5">
        <f>IFERROR(__xludf.DUMMYFUNCTION("SPLIT(A266,"","")"),2401.0)</f>
        <v>2401</v>
      </c>
      <c r="C266" s="5" t="str">
        <f>IFERROR(__xludf.DUMMYFUNCTION("""COMPUTED_VALUE"""),"মোছাঃ মেরিনা সুলতানা")</f>
        <v>মোছাঃ মেরিনা সুলতানা</v>
      </c>
      <c r="D266" s="5">
        <f>IFERROR(__xludf.DUMMYFUNCTION("""COMPUTED_VALUE"""),5.70038001547E11)</f>
        <v>570038001547</v>
      </c>
      <c r="E266" s="5" t="str">
        <f>IFERROR(__xludf.DUMMYFUNCTION("""COMPUTED_VALUE"""),"মোঃ মজাল হোসেন")</f>
        <v>মোঃ মজাল হোসেন</v>
      </c>
      <c r="F266" s="5" t="str">
        <f>IFERROR(__xludf.DUMMYFUNCTION("""COMPUTED_VALUE"""),"মোছাঃ ফুলজান নেছা")</f>
        <v>মোছাঃ ফুলজান নেছা</v>
      </c>
      <c r="G266" s="5" t="str">
        <f>IFERROR(__xludf.DUMMYFUNCTION("""COMPUTED_VALUE"""),"২০/০৩/২০০০")</f>
        <v>২০/০৩/২০০০</v>
      </c>
      <c r="H266" s="5" t="str">
        <f>IFERROR(__xludf.DUMMYFUNCTION("""COMPUTED_VALUE"""),"গৃহিনী")</f>
        <v>গৃহিনী</v>
      </c>
      <c r="I266" s="5" t="str">
        <f>IFERROR(__xludf.DUMMYFUNCTION("""COMPUTED_VALUE"""),"গাড়াডোব")</f>
        <v>গাড়াডোব</v>
      </c>
      <c r="J266" s="5" t="str">
        <f>IFERROR(__xludf.DUMMYFUNCTION("""COMPUTED_VALUE""")," গাংনী")</f>
        <v> গাংনী</v>
      </c>
      <c r="K266" s="5" t="str">
        <f>IFERROR(__xludf.DUMMYFUNCTION("""COMPUTED_VALUE""")," মেহেরপুর")</f>
        <v> মেহেরপুর</v>
      </c>
    </row>
    <row r="267" ht="15.75" customHeight="1">
      <c r="A267" s="7" t="s">
        <v>7132</v>
      </c>
      <c r="B267" s="5">
        <f>IFERROR(__xludf.DUMMYFUNCTION("SPLIT(A267,"","")"),2402.0)</f>
        <v>2402</v>
      </c>
      <c r="C267" s="5" t="str">
        <f>IFERROR(__xludf.DUMMYFUNCTION("""COMPUTED_VALUE"""),"নাম: আখি")</f>
        <v>নাম: আখি</v>
      </c>
      <c r="D267" s="5">
        <f>IFERROR(__xludf.DUMMYFUNCTION("""COMPUTED_VALUE"""),5.70038001548E11)</f>
        <v>570038001548</v>
      </c>
      <c r="E267" s="5" t="str">
        <f>IFERROR(__xludf.DUMMYFUNCTION("""COMPUTED_VALUE"""),"মোঃ আলম")</f>
        <v>মোঃ আলম</v>
      </c>
      <c r="F267" s="5" t="str">
        <f>IFERROR(__xludf.DUMMYFUNCTION("""COMPUTED_VALUE"""),"মোছাঃ এচমিনা খাতুন")</f>
        <v>মোছাঃ এচমিনা খাতুন</v>
      </c>
      <c r="G267" s="5" t="str">
        <f>IFERROR(__xludf.DUMMYFUNCTION("""COMPUTED_VALUE"""),"০১/০৭/২০০১")</f>
        <v>০১/০৭/২০০১</v>
      </c>
      <c r="H267" s="5" t="str">
        <f>IFERROR(__xludf.DUMMYFUNCTION("""COMPUTED_VALUE"""),"গৃহিনী")</f>
        <v>গৃহিনী</v>
      </c>
      <c r="I267" s="5" t="str">
        <f>IFERROR(__xludf.DUMMYFUNCTION("""COMPUTED_VALUE"""),"গাড়াডোব")</f>
        <v>গাড়াডোব</v>
      </c>
      <c r="J267" s="5" t="str">
        <f>IFERROR(__xludf.DUMMYFUNCTION("""COMPUTED_VALUE""")," গাংনী")</f>
        <v> গাংনী</v>
      </c>
      <c r="K267" s="5" t="str">
        <f>IFERROR(__xludf.DUMMYFUNCTION("""COMPUTED_VALUE""")," মেহেরপুর")</f>
        <v> মেহেরপুর</v>
      </c>
    </row>
    <row r="268" ht="15.75" customHeight="1">
      <c r="A268" s="7" t="s">
        <v>7133</v>
      </c>
      <c r="B268" s="5">
        <f>IFERROR(__xludf.DUMMYFUNCTION("SPLIT(A268,"","")"),2403.0)</f>
        <v>2403</v>
      </c>
      <c r="C268" s="5" t="str">
        <f>IFERROR(__xludf.DUMMYFUNCTION("""COMPUTED_VALUE"""),"মোছাঃ সানজিদা শামীম")</f>
        <v>মোছাঃ সানজিদা শামীম</v>
      </c>
      <c r="D268" s="5">
        <f>IFERROR(__xludf.DUMMYFUNCTION("""COMPUTED_VALUE"""),5.70038001549E11)</f>
        <v>570038001549</v>
      </c>
      <c r="E268" s="5" t="str">
        <f>IFERROR(__xludf.DUMMYFUNCTION("""COMPUTED_VALUE"""),"মোঃ শামীম আনোয়ার")</f>
        <v>মোঃ শামীম আনোয়ার</v>
      </c>
      <c r="F268" s="5" t="str">
        <f>IFERROR(__xludf.DUMMYFUNCTION("""COMPUTED_VALUE"""),"মাতা: মৌসুমী সুলতানা")</f>
        <v>মাতা: মৌসুমী সুলতানা</v>
      </c>
      <c r="G268" s="5" t="str">
        <f>IFERROR(__xludf.DUMMYFUNCTION("""COMPUTED_VALUE"""),"১৩/০৮/১৯৯৯")</f>
        <v>১৩/০৮/১৯৯৯</v>
      </c>
      <c r="H268" s="5" t="str">
        <f>IFERROR(__xludf.DUMMYFUNCTION("""COMPUTED_VALUE"""),"ছাত্র/ছাত্রী")</f>
        <v>ছাত্র/ছাত্রী</v>
      </c>
      <c r="I268" s="5" t="str">
        <f>IFERROR(__xludf.DUMMYFUNCTION("""COMPUTED_VALUE"""),"গাড়াডোব")</f>
        <v>গাড়াডোব</v>
      </c>
      <c r="J268" s="5" t="str">
        <f>IFERROR(__xludf.DUMMYFUNCTION("""COMPUTED_VALUE""")," গাংনী")</f>
        <v> গাংনী</v>
      </c>
      <c r="K268" s="5" t="str">
        <f>IFERROR(__xludf.DUMMYFUNCTION("""COMPUTED_VALUE""")," মেহেরপুর")</f>
        <v> মেহেরপুর</v>
      </c>
    </row>
    <row r="269" ht="15.75" customHeight="1">
      <c r="A269" s="7" t="s">
        <v>7134</v>
      </c>
      <c r="B269" s="5">
        <f>IFERROR(__xludf.DUMMYFUNCTION("SPLIT(A269,"","")"),2404.0)</f>
        <v>2404</v>
      </c>
      <c r="C269" s="5" t="str">
        <f>IFERROR(__xludf.DUMMYFUNCTION("""COMPUTED_VALUE"""),"মোছাঃ বিথী ইয়াসমিন")</f>
        <v>মোছাঃ বিথী ইয়াসমিন</v>
      </c>
      <c r="D269" s="5">
        <f>IFERROR(__xludf.DUMMYFUNCTION("""COMPUTED_VALUE"""),5.70038001552E11)</f>
        <v>570038001552</v>
      </c>
      <c r="E269" s="5" t="str">
        <f>IFERROR(__xludf.DUMMYFUNCTION("""COMPUTED_VALUE"""),"মোঃ আনারুল ইসলাম")</f>
        <v>মোঃ আনারুল ইসলাম</v>
      </c>
      <c r="F269" s="5" t="str">
        <f>IFERROR(__xludf.DUMMYFUNCTION("""COMPUTED_VALUE"""),"মোছাঃ পারুলা খাতুন")</f>
        <v>মোছাঃ পারুলা খাতুন</v>
      </c>
      <c r="G269" s="5" t="str">
        <f>IFERROR(__xludf.DUMMYFUNCTION("""COMPUTED_VALUE"""),"১৮/০২/২০০২")</f>
        <v>১৮/০২/২০০২</v>
      </c>
      <c r="H269" s="5" t="str">
        <f>IFERROR(__xludf.DUMMYFUNCTION("""COMPUTED_VALUE"""),"ছাত্র/ছাত্রী")</f>
        <v>ছাত্র/ছাত্রী</v>
      </c>
      <c r="I269" s="5" t="str">
        <f>IFERROR(__xludf.DUMMYFUNCTION("""COMPUTED_VALUE"""),"গাড়াডোব")</f>
        <v>গাড়াডোব</v>
      </c>
      <c r="J269" s="5" t="str">
        <f>IFERROR(__xludf.DUMMYFUNCTION("""COMPUTED_VALUE""")," গাংনী")</f>
        <v> গাংনী</v>
      </c>
      <c r="K269" s="5" t="str">
        <f>IFERROR(__xludf.DUMMYFUNCTION("""COMPUTED_VALUE""")," মেহেরপুর")</f>
        <v> মেহেরপুর</v>
      </c>
    </row>
    <row r="270" ht="15.75" customHeight="1">
      <c r="A270" s="7" t="s">
        <v>7135</v>
      </c>
      <c r="B270" s="5">
        <f>IFERROR(__xludf.DUMMYFUNCTION("SPLIT(A270,"","")"),2405.0)</f>
        <v>2405</v>
      </c>
      <c r="C270" s="5" t="str">
        <f>IFERROR(__xludf.DUMMYFUNCTION("""COMPUTED_VALUE"""),"মোছাঃ রতনা খাতুন")</f>
        <v>মোছাঃ রতনা খাতুন</v>
      </c>
      <c r="D270" s="5">
        <f>IFERROR(__xludf.DUMMYFUNCTION("""COMPUTED_VALUE"""),5.70038001554E11)</f>
        <v>570038001554</v>
      </c>
      <c r="E270" s="5" t="str">
        <f>IFERROR(__xludf.DUMMYFUNCTION("""COMPUTED_VALUE"""),"মোঃ মুকুল")</f>
        <v>মোঃ মুকুল</v>
      </c>
      <c r="F270" s="5" t="str">
        <f>IFERROR(__xludf.DUMMYFUNCTION("""COMPUTED_VALUE"""),"মোছাঃ রোজিনা")</f>
        <v>মোছাঃ রোজিনা</v>
      </c>
      <c r="G270" s="5" t="str">
        <f>IFERROR(__xludf.DUMMYFUNCTION("""COMPUTED_VALUE"""),"১০/০৫/২০০৩")</f>
        <v>১০/০৫/২০০৩</v>
      </c>
      <c r="H270" s="5" t="str">
        <f>IFERROR(__xludf.DUMMYFUNCTION("""COMPUTED_VALUE"""),"গৃহিনী")</f>
        <v>গৃহিনী</v>
      </c>
      <c r="I270" s="5" t="str">
        <f>IFERROR(__xludf.DUMMYFUNCTION("""COMPUTED_VALUE"""),"গাড়াডোব")</f>
        <v>গাড়াডোব</v>
      </c>
      <c r="J270" s="5" t="str">
        <f>IFERROR(__xludf.DUMMYFUNCTION("""COMPUTED_VALUE""")," গাংনী")</f>
        <v> গাংনী</v>
      </c>
      <c r="K270" s="5" t="str">
        <f>IFERROR(__xludf.DUMMYFUNCTION("""COMPUTED_VALUE""")," মেহেরপুর")</f>
        <v> মেহেরপুর</v>
      </c>
    </row>
    <row r="271" ht="15.75" customHeight="1">
      <c r="A271" s="7" t="s">
        <v>7136</v>
      </c>
      <c r="B271" s="5">
        <f>IFERROR(__xludf.DUMMYFUNCTION("SPLIT(A271,"","")"),2406.0)</f>
        <v>2406</v>
      </c>
      <c r="C271" s="5" t="str">
        <f>IFERROR(__xludf.DUMMYFUNCTION("""COMPUTED_VALUE"""),"মোছাঃ আছমা নূরী")</f>
        <v>মোছাঃ আছমা নূরী</v>
      </c>
      <c r="D271" s="5">
        <f>IFERROR(__xludf.DUMMYFUNCTION("""COMPUTED_VALUE"""),5.70038001556E11)</f>
        <v>570038001556</v>
      </c>
      <c r="E271" s="5" t="str">
        <f>IFERROR(__xludf.DUMMYFUNCTION("""COMPUTED_VALUE"""),"মোঃ আসলাম শেখ")</f>
        <v>মোঃ আসলাম শেখ</v>
      </c>
      <c r="F271" s="5" t="str">
        <f>IFERROR(__xludf.DUMMYFUNCTION("""COMPUTED_VALUE"""),"মোছাঃ ছালমা খাতুন")</f>
        <v>মোছাঃ ছালমা খাতুন</v>
      </c>
      <c r="G271" s="5" t="str">
        <f>IFERROR(__xludf.DUMMYFUNCTION("""COMPUTED_VALUE"""),"০২/০৯/১৯৯৯")</f>
        <v>০২/০৯/১৯৯৯</v>
      </c>
      <c r="H271" s="5" t="str">
        <f>IFERROR(__xludf.DUMMYFUNCTION("""COMPUTED_VALUE"""),"গৃহিনী")</f>
        <v>গৃহিনী</v>
      </c>
      <c r="I271" s="5" t="str">
        <f>IFERROR(__xludf.DUMMYFUNCTION("""COMPUTED_VALUE"""),"গাড়াডোব")</f>
        <v>গাড়াডোব</v>
      </c>
      <c r="J271" s="5" t="str">
        <f>IFERROR(__xludf.DUMMYFUNCTION("""COMPUTED_VALUE""")," গাংনী")</f>
        <v> গাংনী</v>
      </c>
      <c r="K271" s="5" t="str">
        <f>IFERROR(__xludf.DUMMYFUNCTION("""COMPUTED_VALUE""")," মেহেরপুর")</f>
        <v> মেহেরপুর</v>
      </c>
    </row>
    <row r="272" ht="15.75" customHeight="1">
      <c r="A272" s="7" t="s">
        <v>7137</v>
      </c>
      <c r="B272" s="5">
        <f>IFERROR(__xludf.DUMMYFUNCTION("SPLIT(A272,"","")"),2407.0)</f>
        <v>2407</v>
      </c>
      <c r="C272" s="5" t="str">
        <f>IFERROR(__xludf.DUMMYFUNCTION("""COMPUTED_VALUE"""),"মোছাঃ মাহমুদা আক্তার রত্না")</f>
        <v>মোছাঃ মাহমুদা আক্তার রত্না</v>
      </c>
      <c r="D272" s="5">
        <f>IFERROR(__xludf.DUMMYFUNCTION("""COMPUTED_VALUE"""),5.70038001557E11)</f>
        <v>570038001557</v>
      </c>
      <c r="E272" s="5" t="str">
        <f>IFERROR(__xludf.DUMMYFUNCTION("""COMPUTED_VALUE"""),"মোঃ রফিকুল ইসলাম")</f>
        <v>মোঃ রফিকুল ইসলাম</v>
      </c>
      <c r="F272" s="5" t="str">
        <f>IFERROR(__xludf.DUMMYFUNCTION("""COMPUTED_VALUE"""),"মোছাঃ লুৎফা খাতুন")</f>
        <v>মোছাঃ লুৎফা খাতুন</v>
      </c>
      <c r="G272" s="5" t="str">
        <f>IFERROR(__xludf.DUMMYFUNCTION("""COMPUTED_VALUE"""),"০১/০১/২০০৩")</f>
        <v>০১/০১/২০০৩</v>
      </c>
      <c r="H272" s="5" t="str">
        <f>IFERROR(__xludf.DUMMYFUNCTION("""COMPUTED_VALUE"""),"ছাত্র/ছাত্রী")</f>
        <v>ছাত্র/ছাত্রী</v>
      </c>
      <c r="I272" s="5" t="str">
        <f>IFERROR(__xludf.DUMMYFUNCTION("""COMPUTED_VALUE"""),"গাড়াডোব")</f>
        <v>গাড়াডোব</v>
      </c>
      <c r="J272" s="5" t="str">
        <f>IFERROR(__xludf.DUMMYFUNCTION("""COMPUTED_VALUE""")," গাংনী")</f>
        <v> গাংনী</v>
      </c>
      <c r="K272" s="5" t="str">
        <f>IFERROR(__xludf.DUMMYFUNCTION("""COMPUTED_VALUE""")," মেহেরপুর")</f>
        <v> মেহেরপুর</v>
      </c>
    </row>
    <row r="273" ht="15.75" customHeight="1">
      <c r="A273" s="7" t="s">
        <v>7138</v>
      </c>
      <c r="B273" s="5">
        <f>IFERROR(__xludf.DUMMYFUNCTION("SPLIT(A273,"","")"),2408.0)</f>
        <v>2408</v>
      </c>
      <c r="C273" s="5" t="str">
        <f>IFERROR(__xludf.DUMMYFUNCTION("""COMPUTED_VALUE"""),"মোছাঃ চামেলী খাতুন")</f>
        <v>মোছাঃ চামেলী খাতুন</v>
      </c>
      <c r="D273" s="5">
        <f>IFERROR(__xludf.DUMMYFUNCTION("""COMPUTED_VALUE"""),5.70038001558E11)</f>
        <v>570038001558</v>
      </c>
      <c r="E273" s="5" t="str">
        <f>IFERROR(__xludf.DUMMYFUNCTION("""COMPUTED_VALUE"""),"মোঃ আব্দুর রাজ্জাক")</f>
        <v>মোঃ আব্দুর রাজ্জাক</v>
      </c>
      <c r="F273" s="5" t="str">
        <f>IFERROR(__xludf.DUMMYFUNCTION("""COMPUTED_VALUE"""),"মোছাঃ আছিয়া খাতুন")</f>
        <v>মোছাঃ আছিয়া খাতুন</v>
      </c>
      <c r="G273" s="5" t="str">
        <f>IFERROR(__xludf.DUMMYFUNCTION("""COMPUTED_VALUE"""),"২৬/০৬/২০০০")</f>
        <v>২৬/০৬/২০০০</v>
      </c>
      <c r="H273" s="5" t="str">
        <f>IFERROR(__xludf.DUMMYFUNCTION("""COMPUTED_VALUE"""),"গৃহিনী")</f>
        <v>গৃহিনী</v>
      </c>
      <c r="I273" s="5" t="str">
        <f>IFERROR(__xludf.DUMMYFUNCTION("""COMPUTED_VALUE"""),"গাড়াডোব")</f>
        <v>গাড়াডোব</v>
      </c>
      <c r="J273" s="5" t="str">
        <f>IFERROR(__xludf.DUMMYFUNCTION("""COMPUTED_VALUE""")," গাংনী")</f>
        <v> গাংনী</v>
      </c>
      <c r="K273" s="5" t="str">
        <f>IFERROR(__xludf.DUMMYFUNCTION("""COMPUTED_VALUE""")," মেহেরপুর")</f>
        <v> মেহেরপুর</v>
      </c>
    </row>
    <row r="274" ht="15.75" customHeight="1">
      <c r="A274" s="7" t="s">
        <v>7139</v>
      </c>
      <c r="B274" s="5">
        <f>IFERROR(__xludf.DUMMYFUNCTION("SPLIT(A274,"","")"),2409.0)</f>
        <v>2409</v>
      </c>
      <c r="C274" s="5" t="str">
        <f>IFERROR(__xludf.DUMMYFUNCTION("""COMPUTED_VALUE"""),"মোছাঃ শামীমা আক্তার")</f>
        <v>মোছাঃ শামীমা আক্তার</v>
      </c>
      <c r="D274" s="5">
        <f>IFERROR(__xludf.DUMMYFUNCTION("""COMPUTED_VALUE"""),5.70038001559E11)</f>
        <v>570038001559</v>
      </c>
      <c r="E274" s="5" t="str">
        <f>IFERROR(__xludf.DUMMYFUNCTION("""COMPUTED_VALUE"""),"মোঃ শফিকুল ইসলাম")</f>
        <v>মোঃ শফিকুল ইসলাম</v>
      </c>
      <c r="F274" s="5" t="str">
        <f>IFERROR(__xludf.DUMMYFUNCTION("""COMPUTED_VALUE"""),"মোছাঃ সোহাগী খাতুন")</f>
        <v>মোছাঃ সোহাগী খাতুন</v>
      </c>
      <c r="G274" s="5" t="str">
        <f>IFERROR(__xludf.DUMMYFUNCTION("""COMPUTED_VALUE"""),"০৪/০২/১৯৯৬")</f>
        <v>০৪/০২/১৯৯৬</v>
      </c>
      <c r="H274" s="5" t="str">
        <f>IFERROR(__xludf.DUMMYFUNCTION("""COMPUTED_VALUE"""),"গৃহিনী")</f>
        <v>গৃহিনী</v>
      </c>
      <c r="I274" s="5" t="str">
        <f>IFERROR(__xludf.DUMMYFUNCTION("""COMPUTED_VALUE"""),"গাড়াডোব")</f>
        <v>গাড়াডোব</v>
      </c>
      <c r="J274" s="5" t="str">
        <f>IFERROR(__xludf.DUMMYFUNCTION("""COMPUTED_VALUE""")," গাংনী")</f>
        <v> গাংনী</v>
      </c>
      <c r="K274" s="5" t="str">
        <f>IFERROR(__xludf.DUMMYFUNCTION("""COMPUTED_VALUE""")," মেহেরপুর")</f>
        <v> মেহেরপুর</v>
      </c>
    </row>
    <row r="275" ht="15.75" customHeight="1">
      <c r="A275" s="7" t="s">
        <v>7140</v>
      </c>
      <c r="B275" s="5">
        <f>IFERROR(__xludf.DUMMYFUNCTION("SPLIT(A275,"","")"),2410.0)</f>
        <v>2410</v>
      </c>
      <c r="C275" s="5" t="str">
        <f>IFERROR(__xludf.DUMMYFUNCTION("""COMPUTED_VALUE"""),"মোছাঃ আছরিনা খাতুন")</f>
        <v>মোছাঃ আছরিনা খাতুন</v>
      </c>
      <c r="D275" s="5">
        <f>IFERROR(__xludf.DUMMYFUNCTION("""COMPUTED_VALUE"""),5.7003800156E11)</f>
        <v>570038001560</v>
      </c>
      <c r="E275" s="5" t="str">
        <f>IFERROR(__xludf.DUMMYFUNCTION("""COMPUTED_VALUE"""),"মোঃ আব্দুর রহমান")</f>
        <v>মোঃ আব্দুর রহমান</v>
      </c>
      <c r="F275" s="5" t="str">
        <f>IFERROR(__xludf.DUMMYFUNCTION("""COMPUTED_VALUE"""),"মোছাঃ আকলিমা খাতুন")</f>
        <v>মোছাঃ আকলিমা খাতুন</v>
      </c>
      <c r="G275" s="5" t="str">
        <f>IFERROR(__xludf.DUMMYFUNCTION("""COMPUTED_VALUE"""),"০৬/০৩/২০০০")</f>
        <v>০৬/০৩/২০০০</v>
      </c>
      <c r="H275" s="5" t="str">
        <f>IFERROR(__xludf.DUMMYFUNCTION("""COMPUTED_VALUE"""),"ছাত্র/ছাত্রী")</f>
        <v>ছাত্র/ছাত্রী</v>
      </c>
      <c r="I275" s="5" t="str">
        <f>IFERROR(__xludf.DUMMYFUNCTION("""COMPUTED_VALUE"""),"গাড়াডোব")</f>
        <v>গাড়াডোব</v>
      </c>
      <c r="J275" s="5" t="str">
        <f>IFERROR(__xludf.DUMMYFUNCTION("""COMPUTED_VALUE""")," গাংনী")</f>
        <v> গাংনী</v>
      </c>
      <c r="K275" s="5" t="str">
        <f>IFERROR(__xludf.DUMMYFUNCTION("""COMPUTED_VALUE""")," মেহেরপুর")</f>
        <v> মেহেরপুর</v>
      </c>
    </row>
    <row r="276" ht="15.75" customHeight="1">
      <c r="A276" s="7" t="s">
        <v>7141</v>
      </c>
      <c r="B276" s="5">
        <f>IFERROR(__xludf.DUMMYFUNCTION("SPLIT(A276,"","")"),2411.0)</f>
        <v>2411</v>
      </c>
      <c r="C276" s="5" t="str">
        <f>IFERROR(__xludf.DUMMYFUNCTION("""COMPUTED_VALUE"""),"মোছাঃ তানবিন খাতুন")</f>
        <v>মোছাঃ তানবিন খাতুন</v>
      </c>
      <c r="D276" s="5">
        <f>IFERROR(__xludf.DUMMYFUNCTION("""COMPUTED_VALUE"""),5.70038001562E11)</f>
        <v>570038001562</v>
      </c>
      <c r="E276" s="5" t="str">
        <f>IFERROR(__xludf.DUMMYFUNCTION("""COMPUTED_VALUE"""),"মোঃ জিয়ারুল ইসলাম")</f>
        <v>মোঃ জিয়ারুল ইসলাম</v>
      </c>
      <c r="F276" s="5" t="str">
        <f>IFERROR(__xludf.DUMMYFUNCTION("""COMPUTED_VALUE"""),"মোছাঃ ফুলনারা খাতুন")</f>
        <v>মোছাঃ ফুলনারা খাতুন</v>
      </c>
      <c r="G276" s="5" t="str">
        <f>IFERROR(__xludf.DUMMYFUNCTION("""COMPUTED_VALUE"""),"১৫/০১/২০০১")</f>
        <v>১৫/০১/২০০১</v>
      </c>
      <c r="H276" s="5" t="str">
        <f>IFERROR(__xludf.DUMMYFUNCTION("""COMPUTED_VALUE"""),"গৃহিনী")</f>
        <v>গৃহিনী</v>
      </c>
      <c r="I276" s="5" t="str">
        <f>IFERROR(__xludf.DUMMYFUNCTION("""COMPUTED_VALUE"""),"গাড়াডোব")</f>
        <v>গাড়াডোব</v>
      </c>
      <c r="J276" s="5" t="str">
        <f>IFERROR(__xludf.DUMMYFUNCTION("""COMPUTED_VALUE""")," গাংনী")</f>
        <v> গাংনী</v>
      </c>
      <c r="K276" s="5" t="str">
        <f>IFERROR(__xludf.DUMMYFUNCTION("""COMPUTED_VALUE""")," মেহেরপুর")</f>
        <v> মেহেরপুর</v>
      </c>
    </row>
    <row r="277" ht="15.75" customHeight="1">
      <c r="A277" s="7" t="s">
        <v>7142</v>
      </c>
      <c r="B277" s="5">
        <f>IFERROR(__xludf.DUMMYFUNCTION("SPLIT(A277,"","")"),2412.0)</f>
        <v>2412</v>
      </c>
      <c r="C277" s="5" t="str">
        <f>IFERROR(__xludf.DUMMYFUNCTION("""COMPUTED_VALUE"""),"মোছাঃ আয়না খাতুন")</f>
        <v>মোছাঃ আয়না খাতুন</v>
      </c>
      <c r="D277" s="5">
        <f>IFERROR(__xludf.DUMMYFUNCTION("""COMPUTED_VALUE"""),5.70038001563E11)</f>
        <v>570038001563</v>
      </c>
      <c r="E277" s="5" t="str">
        <f>IFERROR(__xludf.DUMMYFUNCTION("""COMPUTED_VALUE"""),"মোঃ হযরত আলী")</f>
        <v>মোঃ হযরত আলী</v>
      </c>
      <c r="F277" s="5" t="str">
        <f>IFERROR(__xludf.DUMMYFUNCTION("""COMPUTED_VALUE"""),"মোছাঃ আক্তার বানু")</f>
        <v>মোছাঃ আক্তার বানু</v>
      </c>
      <c r="G277" s="5" t="str">
        <f>IFERROR(__xludf.DUMMYFUNCTION("""COMPUTED_VALUE"""),"০১/০১/২০০০")</f>
        <v>০১/০১/২০০০</v>
      </c>
      <c r="H277" s="5" t="str">
        <f>IFERROR(__xludf.DUMMYFUNCTION("""COMPUTED_VALUE"""),"গৃহিনী")</f>
        <v>গৃহিনী</v>
      </c>
      <c r="I277" s="5" t="str">
        <f>IFERROR(__xludf.DUMMYFUNCTION("""COMPUTED_VALUE"""),"[]")</f>
        <v>[]</v>
      </c>
      <c r="J277" s="5" t="str">
        <f>IFERROR(__xludf.DUMMYFUNCTION("""COMPUTED_VALUE""")," গাড়াডোব")</f>
        <v> গাড়াডোব</v>
      </c>
      <c r="K277" s="5" t="str">
        <f>IFERROR(__xludf.DUMMYFUNCTION("""COMPUTED_VALUE""")," গাংনী")</f>
        <v> গাংনী</v>
      </c>
      <c r="L277" s="5" t="str">
        <f>IFERROR(__xludf.DUMMYFUNCTION("""COMPUTED_VALUE""")," মেহেরপুর")</f>
        <v> মেহেরপুর</v>
      </c>
    </row>
    <row r="278" ht="15.75" customHeight="1">
      <c r="A278" s="7" t="s">
        <v>7143</v>
      </c>
      <c r="B278" s="5">
        <f>IFERROR(__xludf.DUMMYFUNCTION("SPLIT(A278,"","")"),2413.0)</f>
        <v>2413</v>
      </c>
      <c r="C278" s="5" t="str">
        <f>IFERROR(__xludf.DUMMYFUNCTION("""COMPUTED_VALUE"""),"মোছাঃ নুপুর আক্তার")</f>
        <v>মোছাঃ নুপুর আক্তার</v>
      </c>
      <c r="D278" s="5">
        <f>IFERROR(__xludf.DUMMYFUNCTION("""COMPUTED_VALUE"""),5.70038001564E11)</f>
        <v>570038001564</v>
      </c>
      <c r="E278" s="5" t="str">
        <f>IFERROR(__xludf.DUMMYFUNCTION("""COMPUTED_VALUE"""),"মৃত আবুল কাশেম")</f>
        <v>মৃত আবুল কাশেম</v>
      </c>
      <c r="F278" s="5" t="str">
        <f>IFERROR(__xludf.DUMMYFUNCTION("""COMPUTED_VALUE"""),"মোছাঃ রহিমা খাতুন")</f>
        <v>মোছাঃ রহিমা খাতুন</v>
      </c>
      <c r="G278" s="5" t="str">
        <f>IFERROR(__xludf.DUMMYFUNCTION("""COMPUTED_VALUE"""),"০১/০৭/১৯৯৭")</f>
        <v>০১/০৭/১৯৯৭</v>
      </c>
      <c r="H278" s="5" t="str">
        <f>IFERROR(__xludf.DUMMYFUNCTION("""COMPUTED_VALUE"""),"ছাত্র/ছাত্রী")</f>
        <v>ছাত্র/ছাত্রী</v>
      </c>
      <c r="I278" s="5" t="str">
        <f>IFERROR(__xludf.DUMMYFUNCTION("""COMPUTED_VALUE"""),"গাড়াডোব")</f>
        <v>গাড়াডোব</v>
      </c>
      <c r="J278" s="5" t="str">
        <f>IFERROR(__xludf.DUMMYFUNCTION("""COMPUTED_VALUE""")," গাংনী")</f>
        <v> গাংনী</v>
      </c>
      <c r="K278" s="5" t="str">
        <f>IFERROR(__xludf.DUMMYFUNCTION("""COMPUTED_VALUE""")," মেহেরপুর")</f>
        <v> মেহেরপুর</v>
      </c>
    </row>
    <row r="279" ht="15.75" customHeight="1">
      <c r="A279" s="7" t="s">
        <v>7144</v>
      </c>
      <c r="B279" s="5">
        <f>IFERROR(__xludf.DUMMYFUNCTION("SPLIT(A279,"","")"),2414.0)</f>
        <v>2414</v>
      </c>
      <c r="C279" s="5" t="str">
        <f>IFERROR(__xludf.DUMMYFUNCTION("""COMPUTED_VALUE"""),"মোছাঃ মিতা খাতুন")</f>
        <v>মোছাঃ মিতা খাতুন</v>
      </c>
      <c r="D279" s="5">
        <f>IFERROR(__xludf.DUMMYFUNCTION("""COMPUTED_VALUE"""),5.70038001569E11)</f>
        <v>570038001569</v>
      </c>
      <c r="E279" s="5" t="str">
        <f>IFERROR(__xludf.DUMMYFUNCTION("""COMPUTED_VALUE"""),"মোঃ নাজমুল হক")</f>
        <v>মোঃ নাজমুল হক</v>
      </c>
      <c r="F279" s="5" t="str">
        <f>IFERROR(__xludf.DUMMYFUNCTION("""COMPUTED_VALUE"""),"মাতা: নাজমা খাতুন")</f>
        <v>মাতা: নাজমা খাতুন</v>
      </c>
      <c r="G279" s="5" t="str">
        <f>IFERROR(__xludf.DUMMYFUNCTION("""COMPUTED_VALUE"""),"০৭/০৩/১৯৯৭")</f>
        <v>০৭/০৩/১৯৯৭</v>
      </c>
      <c r="H279" s="5" t="str">
        <f>IFERROR(__xludf.DUMMYFUNCTION("""COMPUTED_VALUE"""),"গৃহিনী")</f>
        <v>গৃহিনী</v>
      </c>
      <c r="I279" s="5" t="str">
        <f>IFERROR(__xludf.DUMMYFUNCTION("""COMPUTED_VALUE"""),"গাড়াডোব")</f>
        <v>গাড়াডোব</v>
      </c>
      <c r="J279" s="5" t="str">
        <f>IFERROR(__xludf.DUMMYFUNCTION("""COMPUTED_VALUE""")," গাংনী")</f>
        <v> গাংনী</v>
      </c>
      <c r="K279" s="5" t="str">
        <f>IFERROR(__xludf.DUMMYFUNCTION("""COMPUTED_VALUE""")," মেহেরপুর")</f>
        <v> মেহেরপুর</v>
      </c>
    </row>
    <row r="280" ht="15.75" customHeight="1">
      <c r="A280" s="7" t="s">
        <v>7145</v>
      </c>
      <c r="B280" s="5">
        <f>IFERROR(__xludf.DUMMYFUNCTION("SPLIT(A280,"","")"),2415.0)</f>
        <v>2415</v>
      </c>
      <c r="C280" s="5" t="str">
        <f>IFERROR(__xludf.DUMMYFUNCTION("""COMPUTED_VALUE"""),"মোছাঃ মুক্তি খাতুন")</f>
        <v>মোছাঃ মুক্তি খাতুন</v>
      </c>
      <c r="D280" s="5">
        <f>IFERROR(__xludf.DUMMYFUNCTION("""COMPUTED_VALUE"""),5.7003800157E11)</f>
        <v>570038001570</v>
      </c>
      <c r="E280" s="5" t="str">
        <f>IFERROR(__xludf.DUMMYFUNCTION("""COMPUTED_VALUE"""),"মোঃ আব্দুল মোতালেব")</f>
        <v>মোঃ আব্দুল মোতালেব</v>
      </c>
      <c r="F280" s="5" t="str">
        <f>IFERROR(__xludf.DUMMYFUNCTION("""COMPUTED_VALUE"""),"মোছাঃ বানিয়ারা খাতুন")</f>
        <v>মোছাঃ বানিয়ারা খাতুন</v>
      </c>
      <c r="G280" s="5" t="str">
        <f>IFERROR(__xludf.DUMMYFUNCTION("""COMPUTED_VALUE"""),"০৩/০৯/২০০০")</f>
        <v>০৩/০৯/২০০০</v>
      </c>
      <c r="H280" s="5" t="str">
        <f>IFERROR(__xludf.DUMMYFUNCTION("""COMPUTED_VALUE"""),"ছাত্র/ছাত্রী")</f>
        <v>ছাত্র/ছাত্রী</v>
      </c>
      <c r="I280" s="5" t="str">
        <f>IFERROR(__xludf.DUMMYFUNCTION("""COMPUTED_VALUE"""),"গাড়াডোব")</f>
        <v>গাড়াডোব</v>
      </c>
      <c r="J280" s="5" t="str">
        <f>IFERROR(__xludf.DUMMYFUNCTION("""COMPUTED_VALUE""")," গাংনী")</f>
        <v> গাংনী</v>
      </c>
      <c r="K280" s="5" t="str">
        <f>IFERROR(__xludf.DUMMYFUNCTION("""COMPUTED_VALUE""")," মেহেরপুর")</f>
        <v> মেহেরপুর</v>
      </c>
    </row>
    <row r="281" ht="15.75" customHeight="1">
      <c r="A281" s="7" t="s">
        <v>7146</v>
      </c>
      <c r="B281" s="5">
        <f>IFERROR(__xludf.DUMMYFUNCTION("SPLIT(A281,"","")"),2416.0)</f>
        <v>2416</v>
      </c>
      <c r="C281" s="5" t="str">
        <f>IFERROR(__xludf.DUMMYFUNCTION("""COMPUTED_VALUE"""),"মোছাঃ চুমকি খাতুন")</f>
        <v>মোছাঃ চুমকি খাতুন</v>
      </c>
      <c r="D281" s="5">
        <f>IFERROR(__xludf.DUMMYFUNCTION("""COMPUTED_VALUE"""),5.70038001572E11)</f>
        <v>570038001572</v>
      </c>
      <c r="E281" s="5" t="str">
        <f>IFERROR(__xludf.DUMMYFUNCTION("""COMPUTED_VALUE"""),"মোঃ ভাদু")</f>
        <v>মোঃ ভাদু</v>
      </c>
      <c r="F281" s="5" t="str">
        <f>IFERROR(__xludf.DUMMYFUNCTION("""COMPUTED_VALUE"""),"মোছাঃ মহিমা")</f>
        <v>মোছাঃ মহিমা</v>
      </c>
      <c r="G281" s="5" t="str">
        <f>IFERROR(__xludf.DUMMYFUNCTION("""COMPUTED_VALUE"""),"০২/০৩/২০০০")</f>
        <v>০২/০৩/২০০০</v>
      </c>
      <c r="H281" s="5" t="str">
        <f>IFERROR(__xludf.DUMMYFUNCTION("""COMPUTED_VALUE"""),"গৃহিনী")</f>
        <v>গৃহিনী</v>
      </c>
      <c r="I281" s="5" t="str">
        <f>IFERROR(__xludf.DUMMYFUNCTION("""COMPUTED_VALUE"""),"গাড়াডোব")</f>
        <v>গাড়াডোব</v>
      </c>
      <c r="J281" s="5" t="str">
        <f>IFERROR(__xludf.DUMMYFUNCTION("""COMPUTED_VALUE""")," গাংনী")</f>
        <v> গাংনী</v>
      </c>
      <c r="K281" s="5" t="str">
        <f>IFERROR(__xludf.DUMMYFUNCTION("""COMPUTED_VALUE""")," মেহেরপুর")</f>
        <v> মেহেরপুর</v>
      </c>
    </row>
    <row r="282" ht="15.75" customHeight="1">
      <c r="A282" s="7" t="s">
        <v>7147</v>
      </c>
      <c r="B282" s="5">
        <f>IFERROR(__xludf.DUMMYFUNCTION("SPLIT(A282,"","")"),2417.0)</f>
        <v>2417</v>
      </c>
      <c r="C282" s="5" t="str">
        <f>IFERROR(__xludf.DUMMYFUNCTION("""COMPUTED_VALUE"""),"মোছাঃ রুপালি খাতুন")</f>
        <v>মোছাঃ রুপালি খাতুন</v>
      </c>
      <c r="D282" s="5">
        <f>IFERROR(__xludf.DUMMYFUNCTION("""COMPUTED_VALUE"""),5.70038001573E11)</f>
        <v>570038001573</v>
      </c>
      <c r="E282" s="5" t="str">
        <f>IFERROR(__xludf.DUMMYFUNCTION("""COMPUTED_VALUE"""),"মৃত সমর আলী")</f>
        <v>মৃত সমর আলী</v>
      </c>
      <c r="F282" s="5" t="str">
        <f>IFERROR(__xludf.DUMMYFUNCTION("""COMPUTED_VALUE"""),"মাতা: গোলেজান")</f>
        <v>মাতা: গোলেজান</v>
      </c>
      <c r="G282" s="5" t="str">
        <f>IFERROR(__xludf.DUMMYFUNCTION("""COMPUTED_VALUE"""),"১০/০৮/১৯৯৭")</f>
        <v>১০/০৮/১৯৯৭</v>
      </c>
      <c r="H282" s="5" t="str">
        <f>IFERROR(__xludf.DUMMYFUNCTION("""COMPUTED_VALUE"""),"গৃহিনী")</f>
        <v>গৃহিনী</v>
      </c>
      <c r="I282" s="5" t="str">
        <f>IFERROR(__xludf.DUMMYFUNCTION("""COMPUTED_VALUE"""),"গাড়াডোব")</f>
        <v>গাড়াডোব</v>
      </c>
      <c r="J282" s="5" t="str">
        <f>IFERROR(__xludf.DUMMYFUNCTION("""COMPUTED_VALUE""")," গাংনী")</f>
        <v> গাংনী</v>
      </c>
      <c r="K282" s="5" t="str">
        <f>IFERROR(__xludf.DUMMYFUNCTION("""COMPUTED_VALUE""")," মেহেরপুর")</f>
        <v> মেহেরপুর</v>
      </c>
    </row>
    <row r="283" ht="15.75" customHeight="1">
      <c r="A283" s="7" t="s">
        <v>7148</v>
      </c>
      <c r="B283" s="5">
        <f>IFERROR(__xludf.DUMMYFUNCTION("SPLIT(A283,"","")"),2418.0)</f>
        <v>2418</v>
      </c>
      <c r="C283" s="5" t="str">
        <f>IFERROR(__xludf.DUMMYFUNCTION("""COMPUTED_VALUE"""),"মোছাঃ শারমিন আক্তার")</f>
        <v>মোছাঃ শারমিন আক্তার</v>
      </c>
      <c r="D283" s="5">
        <f>IFERROR(__xludf.DUMMYFUNCTION("""COMPUTED_VALUE"""),5.70038001574E11)</f>
        <v>570038001574</v>
      </c>
      <c r="E283" s="5" t="str">
        <f>IFERROR(__xludf.DUMMYFUNCTION("""COMPUTED_VALUE"""),"মোঃ সাজিদুল ইসলাম")</f>
        <v>মোঃ সাজিদুল ইসলাম</v>
      </c>
      <c r="F283" s="5" t="str">
        <f>IFERROR(__xludf.DUMMYFUNCTION("""COMPUTED_VALUE"""),"মোছাঃ জেসমিন")</f>
        <v>মোছাঃ জেসমিন</v>
      </c>
      <c r="G283" s="5" t="str">
        <f>IFERROR(__xludf.DUMMYFUNCTION("""COMPUTED_VALUE"""),"১০/০১/২০০১")</f>
        <v>১০/০১/২০০১</v>
      </c>
      <c r="H283" s="5" t="str">
        <f>IFERROR(__xludf.DUMMYFUNCTION("""COMPUTED_VALUE"""),"ছাত্র/ছাত্রী")</f>
        <v>ছাত্র/ছাত্রী</v>
      </c>
      <c r="I283" s="5" t="str">
        <f>IFERROR(__xludf.DUMMYFUNCTION("""COMPUTED_VALUE"""),"-=")</f>
        <v>-=</v>
      </c>
      <c r="J283" s="5" t="str">
        <f>IFERROR(__xludf.DUMMYFUNCTION("""COMPUTED_VALUE""")," গাড়াডোব")</f>
        <v> গাড়াডোব</v>
      </c>
      <c r="K283" s="5" t="str">
        <f>IFERROR(__xludf.DUMMYFUNCTION("""COMPUTED_VALUE""")," গাংনী")</f>
        <v> গাংনী</v>
      </c>
      <c r="L283" s="5" t="str">
        <f>IFERROR(__xludf.DUMMYFUNCTION("""COMPUTED_VALUE""")," মেহেরপুর")</f>
        <v> মেহেরপুর</v>
      </c>
    </row>
    <row r="284" ht="15.75" customHeight="1">
      <c r="A284" s="7" t="s">
        <v>7149</v>
      </c>
      <c r="B284" s="5">
        <f>IFERROR(__xludf.DUMMYFUNCTION("SPLIT(A284,"","")"),2419.0)</f>
        <v>2419</v>
      </c>
      <c r="C284" s="5" t="str">
        <f>IFERROR(__xludf.DUMMYFUNCTION("""COMPUTED_VALUE"""),"নাম: সুবর্না খাতুন")</f>
        <v>নাম: সুবর্না খাতুন</v>
      </c>
      <c r="D284" s="5">
        <f>IFERROR(__xludf.DUMMYFUNCTION("""COMPUTED_VALUE"""),5.70038001577E11)</f>
        <v>570038001577</v>
      </c>
      <c r="E284" s="5" t="str">
        <f>IFERROR(__xludf.DUMMYFUNCTION("""COMPUTED_VALUE"""),"মোঃ নিয়ামত জোয়াদ্দার")</f>
        <v>মোঃ নিয়ামত জোয়াদ্দার</v>
      </c>
      <c r="F284" s="5" t="str">
        <f>IFERROR(__xludf.DUMMYFUNCTION("""COMPUTED_VALUE"""),"মোছাঃ মালা খাতুন")</f>
        <v>মোছাঃ মালা খাতুন</v>
      </c>
      <c r="G284" s="5" t="str">
        <f>IFERROR(__xludf.DUMMYFUNCTION("""COMPUTED_VALUE"""),"০৭/০১/১৯৯৯")</f>
        <v>০৭/০১/১৯৯৯</v>
      </c>
      <c r="H284" s="5" t="str">
        <f>IFERROR(__xludf.DUMMYFUNCTION("""COMPUTED_VALUE"""),"ছাত্র/ছাত্রী")</f>
        <v>ছাত্র/ছাত্রী</v>
      </c>
      <c r="I284" s="5" t="str">
        <f>IFERROR(__xludf.DUMMYFUNCTION("""COMPUTED_VALUE"""),"গাড়াডোব")</f>
        <v>গাড়াডোব</v>
      </c>
      <c r="J284" s="5" t="str">
        <f>IFERROR(__xludf.DUMMYFUNCTION("""COMPUTED_VALUE""")," গাংনী")</f>
        <v> গাংনী</v>
      </c>
      <c r="K284" s="5" t="str">
        <f>IFERROR(__xludf.DUMMYFUNCTION("""COMPUTED_VALUE""")," মেহেরপুর")</f>
        <v> মেহেরপুর</v>
      </c>
    </row>
    <row r="285" ht="15.75" customHeight="1">
      <c r="A285" s="7" t="s">
        <v>7150</v>
      </c>
      <c r="B285" s="5">
        <f>IFERROR(__xludf.DUMMYFUNCTION("SPLIT(A285,"","")"),2420.0)</f>
        <v>2420</v>
      </c>
      <c r="C285" s="5" t="str">
        <f>IFERROR(__xludf.DUMMYFUNCTION("""COMPUTED_VALUE"""),"মোছাঃ মিম আক্তার মৌ")</f>
        <v>মোছাঃ মিম আক্তার মৌ</v>
      </c>
      <c r="D285" s="5">
        <f>IFERROR(__xludf.DUMMYFUNCTION("""COMPUTED_VALUE"""),5.7003800158E11)</f>
        <v>570038001580</v>
      </c>
      <c r="E285" s="5" t="str">
        <f>IFERROR(__xludf.DUMMYFUNCTION("""COMPUTED_VALUE"""),"মোঃ মাহাবুব আলম")</f>
        <v>মোঃ মাহাবুব আলম</v>
      </c>
      <c r="F285" s="5" t="str">
        <f>IFERROR(__xludf.DUMMYFUNCTION("""COMPUTED_VALUE"""),"মোছাঃ ফেরদৌসি বেগম")</f>
        <v>মোছাঃ ফেরদৌসি বেগম</v>
      </c>
      <c r="G285" s="5" t="str">
        <f>IFERROR(__xludf.DUMMYFUNCTION("""COMPUTED_VALUE"""),"০৪/১০/২০০৩")</f>
        <v>০৪/১০/২০০৩</v>
      </c>
      <c r="H285" s="5" t="str">
        <f>IFERROR(__xludf.DUMMYFUNCTION("""COMPUTED_VALUE"""),"ছাত্র/ছাত্রী")</f>
        <v>ছাত্র/ছাত্রী</v>
      </c>
      <c r="I285" s="5" t="str">
        <f>IFERROR(__xludf.DUMMYFUNCTION("""COMPUTED_VALUE"""),"গাড়াডোব")</f>
        <v>গাড়াডোব</v>
      </c>
      <c r="J285" s="5" t="str">
        <f>IFERROR(__xludf.DUMMYFUNCTION("""COMPUTED_VALUE""")," গাংনী")</f>
        <v> গাংনী</v>
      </c>
      <c r="K285" s="5" t="str">
        <f>IFERROR(__xludf.DUMMYFUNCTION("""COMPUTED_VALUE""")," মেহেরপুর")</f>
        <v> মেহেরপুর</v>
      </c>
    </row>
    <row r="286" ht="15.75" customHeight="1">
      <c r="A286" s="7" t="s">
        <v>7151</v>
      </c>
      <c r="B286" s="5">
        <f>IFERROR(__xludf.DUMMYFUNCTION("SPLIT(A286,"","")"),2421.0)</f>
        <v>2421</v>
      </c>
      <c r="C286" s="5" t="str">
        <f>IFERROR(__xludf.DUMMYFUNCTION("""COMPUTED_VALUE"""),"মোছাঃ শ্রাবনী খাতুন")</f>
        <v>মোছাঃ শ্রাবনী খাতুন</v>
      </c>
      <c r="D286" s="5">
        <f>IFERROR(__xludf.DUMMYFUNCTION("""COMPUTED_VALUE"""),5.70038001584E11)</f>
        <v>570038001584</v>
      </c>
      <c r="E286" s="5" t="str">
        <f>IFERROR(__xludf.DUMMYFUNCTION("""COMPUTED_VALUE"""),"মোঃ আব্দুল মাজেদ")</f>
        <v>মোঃ আব্দুল মাজেদ</v>
      </c>
      <c r="F286" s="5" t="str">
        <f>IFERROR(__xludf.DUMMYFUNCTION("""COMPUTED_VALUE"""),"মোছাঃ শিরিনা বেগম")</f>
        <v>মোছাঃ শিরিনা বেগম</v>
      </c>
      <c r="G286" s="5" t="str">
        <f>IFERROR(__xludf.DUMMYFUNCTION("""COMPUTED_VALUE"""),"২২/০৮/২০০০")</f>
        <v>২২/০৮/২০০০</v>
      </c>
      <c r="H286" s="5" t="str">
        <f>IFERROR(__xludf.DUMMYFUNCTION("""COMPUTED_VALUE"""),"ছাত্র/ছাত্রী")</f>
        <v>ছাত্র/ছাত্রী</v>
      </c>
      <c r="I286" s="5" t="str">
        <f>IFERROR(__xludf.DUMMYFUNCTION("""COMPUTED_VALUE"""),"গাড়াডোব")</f>
        <v>গাড়াডোব</v>
      </c>
      <c r="J286" s="5" t="str">
        <f>IFERROR(__xludf.DUMMYFUNCTION("""COMPUTED_VALUE""")," গাংনী")</f>
        <v> গাংনী</v>
      </c>
      <c r="K286" s="5" t="str">
        <f>IFERROR(__xludf.DUMMYFUNCTION("""COMPUTED_VALUE""")," মেহেরপুর")</f>
        <v> মেহেরপুর</v>
      </c>
    </row>
    <row r="287" ht="15.75" customHeight="1">
      <c r="A287" s="7" t="s">
        <v>7152</v>
      </c>
      <c r="B287" s="5">
        <f>IFERROR(__xludf.DUMMYFUNCTION("SPLIT(A287,"","")"),2422.0)</f>
        <v>2422</v>
      </c>
      <c r="C287" s="5" t="str">
        <f>IFERROR(__xludf.DUMMYFUNCTION("""COMPUTED_VALUE"""),"মোছাঃ আঙ্গুরা খাতুন")</f>
        <v>মোছাঃ আঙ্গুরা খাতুন</v>
      </c>
      <c r="D287" s="5">
        <f>IFERROR(__xludf.DUMMYFUNCTION("""COMPUTED_VALUE"""),5.70038001586E11)</f>
        <v>570038001586</v>
      </c>
      <c r="E287" s="5" t="str">
        <f>IFERROR(__xludf.DUMMYFUNCTION("""COMPUTED_VALUE"""),"মোঃ আব্দুল্লাহ")</f>
        <v>মোঃ আব্দুল্লাহ</v>
      </c>
      <c r="F287" s="5" t="str">
        <f>IFERROR(__xludf.DUMMYFUNCTION("""COMPUTED_VALUE"""),"মোছাঃ আলেয়ারা খাতুন")</f>
        <v>মোছাঃ আলেয়ারা খাতুন</v>
      </c>
      <c r="G287" s="5" t="str">
        <f>IFERROR(__xludf.DUMMYFUNCTION("""COMPUTED_VALUE"""),"১১/০১/২০০৩")</f>
        <v>১১/০১/২০০৩</v>
      </c>
      <c r="H287" s="5" t="str">
        <f>IFERROR(__xludf.DUMMYFUNCTION("""COMPUTED_VALUE"""),"ছাত্র/ছাত্রী")</f>
        <v>ছাত্র/ছাত্রী</v>
      </c>
      <c r="I287" s="5" t="str">
        <f>IFERROR(__xludf.DUMMYFUNCTION("""COMPUTED_VALUE"""),"গাড়াডোব")</f>
        <v>গাড়াডোব</v>
      </c>
      <c r="J287" s="5" t="str">
        <f>IFERROR(__xludf.DUMMYFUNCTION("""COMPUTED_VALUE""")," গাংনী")</f>
        <v> গাংনী</v>
      </c>
      <c r="K287" s="5" t="str">
        <f>IFERROR(__xludf.DUMMYFUNCTION("""COMPUTED_VALUE""")," মেহেরপুর")</f>
        <v> মেহেরপুর</v>
      </c>
    </row>
    <row r="288" ht="15.75" customHeight="1">
      <c r="A288" s="7" t="s">
        <v>7153</v>
      </c>
      <c r="B288" s="5">
        <f>IFERROR(__xludf.DUMMYFUNCTION("SPLIT(A288,"","")"),2423.0)</f>
        <v>2423</v>
      </c>
      <c r="C288" s="5" t="str">
        <f>IFERROR(__xludf.DUMMYFUNCTION("""COMPUTED_VALUE"""),"মোছাঃ চায়না খাতুন")</f>
        <v>মোছাঃ চায়না খাতুন</v>
      </c>
      <c r="D288" s="5">
        <f>IFERROR(__xludf.DUMMYFUNCTION("""COMPUTED_VALUE"""),5.70038001587E11)</f>
        <v>570038001587</v>
      </c>
      <c r="E288" s="5" t="str">
        <f>IFERROR(__xludf.DUMMYFUNCTION("""COMPUTED_VALUE"""),"মোঃ রাহেদ আলী")</f>
        <v>মোঃ রাহেদ আলী</v>
      </c>
      <c r="F288" s="5" t="str">
        <f>IFERROR(__xludf.DUMMYFUNCTION("""COMPUTED_VALUE"""),"মোছাঃ কুলছুম বেগম")</f>
        <v>মোছাঃ কুলছুম বেগম</v>
      </c>
      <c r="G288" s="5" t="str">
        <f>IFERROR(__xludf.DUMMYFUNCTION("""COMPUTED_VALUE"""),"১৮/১২/১৯৯৫")</f>
        <v>১৮/১২/১৯৯৫</v>
      </c>
      <c r="H288" s="5" t="str">
        <f>IFERROR(__xludf.DUMMYFUNCTION("""COMPUTED_VALUE"""),"গৃহিনী")</f>
        <v>গৃহিনী</v>
      </c>
      <c r="I288" s="5" t="str">
        <f>IFERROR(__xludf.DUMMYFUNCTION("""COMPUTED_VALUE"""),"গাড়াডোব")</f>
        <v>গাড়াডোব</v>
      </c>
      <c r="J288" s="5" t="str">
        <f>IFERROR(__xludf.DUMMYFUNCTION("""COMPUTED_VALUE""")," গাংনী")</f>
        <v> গাংনী</v>
      </c>
      <c r="K288" s="5" t="str">
        <f>IFERROR(__xludf.DUMMYFUNCTION("""COMPUTED_VALUE""")," মেহেরপুর")</f>
        <v> মেহেরপুর</v>
      </c>
    </row>
    <row r="289" ht="15.75" customHeight="1">
      <c r="A289" s="7" t="s">
        <v>7154</v>
      </c>
      <c r="B289" s="5">
        <f>IFERROR(__xludf.DUMMYFUNCTION("SPLIT(A289,"","")"),2424.0)</f>
        <v>2424</v>
      </c>
      <c r="C289" s="5" t="str">
        <f>IFERROR(__xludf.DUMMYFUNCTION("""COMPUTED_VALUE"""),"মোছাঃ লিজা খাতুন")</f>
        <v>মোছাঃ লিজা খাতুন</v>
      </c>
      <c r="D289" s="5">
        <f>IFERROR(__xludf.DUMMYFUNCTION("""COMPUTED_VALUE"""),5.70038001588E11)</f>
        <v>570038001588</v>
      </c>
      <c r="E289" s="5" t="str">
        <f>IFERROR(__xludf.DUMMYFUNCTION("""COMPUTED_VALUE"""),"লেক মহাম্মদ")</f>
        <v>লেক মহাম্মদ</v>
      </c>
      <c r="F289" s="5" t="str">
        <f>IFERROR(__xludf.DUMMYFUNCTION("""COMPUTED_VALUE"""),"মোছাঃ মর্জিনা খাতুন")</f>
        <v>মোছাঃ মর্জিনা খাতুন</v>
      </c>
      <c r="G289" s="5" t="str">
        <f>IFERROR(__xludf.DUMMYFUNCTION("""COMPUTED_VALUE"""),"১৫/০১/১৯৯৯")</f>
        <v>১৫/০১/১৯৯৯</v>
      </c>
      <c r="H289" s="5" t="str">
        <f>IFERROR(__xludf.DUMMYFUNCTION("""COMPUTED_VALUE"""),"গৃহিনী")</f>
        <v>গৃহিনী</v>
      </c>
      <c r="I289" s="5" t="str">
        <f>IFERROR(__xludf.DUMMYFUNCTION("""COMPUTED_VALUE"""),"গাড়াডোব")</f>
        <v>গাড়াডোব</v>
      </c>
      <c r="J289" s="5" t="str">
        <f>IFERROR(__xludf.DUMMYFUNCTION("""COMPUTED_VALUE""")," গাংনী")</f>
        <v> গাংনী</v>
      </c>
      <c r="K289" s="5" t="str">
        <f>IFERROR(__xludf.DUMMYFUNCTION("""COMPUTED_VALUE""")," মেহেরপুর")</f>
        <v> মেহেরপুর</v>
      </c>
    </row>
    <row r="290" ht="15.75" customHeight="1">
      <c r="A290" s="7" t="s">
        <v>7155</v>
      </c>
      <c r="B290" s="5">
        <f>IFERROR(__xludf.DUMMYFUNCTION("SPLIT(A290,"","")"),2425.0)</f>
        <v>2425</v>
      </c>
      <c r="C290" s="5" t="str">
        <f>IFERROR(__xludf.DUMMYFUNCTION("""COMPUTED_VALUE"""),"নাম: শামিম আক্তার লিজা")</f>
        <v>নাম: শামিম আক্তার লিজা</v>
      </c>
      <c r="D290" s="5">
        <f>IFERROR(__xludf.DUMMYFUNCTION("""COMPUTED_VALUE"""),5.7003800159E11)</f>
        <v>570038001590</v>
      </c>
      <c r="E290" s="5" t="str">
        <f>IFERROR(__xludf.DUMMYFUNCTION("""COMPUTED_VALUE"""),"মোঃ জাহিদুল ইসলাম")</f>
        <v>মোঃ জাহিদুল ইসলাম</v>
      </c>
      <c r="F290" s="5" t="str">
        <f>IFERROR(__xludf.DUMMYFUNCTION("""COMPUTED_VALUE"""),"মাতা: ফজিলা খাতুন")</f>
        <v>মাতা: ফজিলা খাতুন</v>
      </c>
      <c r="G290" s="5" t="str">
        <f>IFERROR(__xludf.DUMMYFUNCTION("""COMPUTED_VALUE"""),"০১/০৩/১৯৯৭")</f>
        <v>০১/০৩/১৯৯৭</v>
      </c>
      <c r="H290" s="5" t="str">
        <f>IFERROR(__xludf.DUMMYFUNCTION("""COMPUTED_VALUE"""),"ছাত্র/ছাত্রী")</f>
        <v>ছাত্র/ছাত্রী</v>
      </c>
      <c r="I290" s="5" t="str">
        <f>IFERROR(__xludf.DUMMYFUNCTION("""COMPUTED_VALUE"""),"গাড়াডোব")</f>
        <v>গাড়াডোব</v>
      </c>
      <c r="J290" s="5" t="str">
        <f>IFERROR(__xludf.DUMMYFUNCTION("""COMPUTED_VALUE""")," গাংনী")</f>
        <v> গাংনী</v>
      </c>
      <c r="K290" s="5" t="str">
        <f>IFERROR(__xludf.DUMMYFUNCTION("""COMPUTED_VALUE""")," মেহেরপুর")</f>
        <v> মেহেরপুর</v>
      </c>
    </row>
    <row r="291" ht="15.75" customHeight="1">
      <c r="A291" s="7" t="s">
        <v>7156</v>
      </c>
      <c r="B291" s="5">
        <f>IFERROR(__xludf.DUMMYFUNCTION("SPLIT(A291,"","")"),2426.0)</f>
        <v>2426</v>
      </c>
      <c r="C291" s="5" t="str">
        <f>IFERROR(__xludf.DUMMYFUNCTION("""COMPUTED_VALUE"""),"মোছাঃ হালিমা খাতুন")</f>
        <v>মোছাঃ হালিমা খাতুন</v>
      </c>
      <c r="D291" s="5">
        <f>IFERROR(__xludf.DUMMYFUNCTION("""COMPUTED_VALUE"""),5.70038001596E11)</f>
        <v>570038001596</v>
      </c>
      <c r="E291" s="5" t="str">
        <f>IFERROR(__xludf.DUMMYFUNCTION("""COMPUTED_VALUE"""),"মোঃ আব্দুল গফুর")</f>
        <v>মোঃ আব্দুল গফুর</v>
      </c>
      <c r="F291" s="5" t="str">
        <f>IFERROR(__xludf.DUMMYFUNCTION("""COMPUTED_VALUE"""),"মোছাঃ মমতাজ খাতুন")</f>
        <v>মোছাঃ মমতাজ খাতুন</v>
      </c>
      <c r="G291" s="5" t="str">
        <f>IFERROR(__xludf.DUMMYFUNCTION("""COMPUTED_VALUE"""),"০২/০৩/১৯৯৩")</f>
        <v>০২/০৩/১৯৯৩</v>
      </c>
      <c r="H291" s="5" t="str">
        <f>IFERROR(__xludf.DUMMYFUNCTION("""COMPUTED_VALUE"""),"গৃহিনী")</f>
        <v>গৃহিনী</v>
      </c>
      <c r="I291" s="5" t="str">
        <f>IFERROR(__xludf.DUMMYFUNCTION("""COMPUTED_VALUE"""),"গাড়াডোব")</f>
        <v>গাড়াডোব</v>
      </c>
      <c r="J291" s="5" t="str">
        <f>IFERROR(__xludf.DUMMYFUNCTION("""COMPUTED_VALUE""")," গাংনী")</f>
        <v> গাংনী</v>
      </c>
      <c r="K291" s="5" t="str">
        <f>IFERROR(__xludf.DUMMYFUNCTION("""COMPUTED_VALUE""")," মেহেরপুর")</f>
        <v> মেহেরপুর</v>
      </c>
    </row>
    <row r="292" ht="15.75" customHeight="1">
      <c r="A292" s="7" t="s">
        <v>7157</v>
      </c>
      <c r="B292" s="5">
        <f>IFERROR(__xludf.DUMMYFUNCTION("SPLIT(A292,"","")"),2427.0)</f>
        <v>2427</v>
      </c>
      <c r="C292" s="5" t="str">
        <f>IFERROR(__xludf.DUMMYFUNCTION("""COMPUTED_VALUE"""),"মোছাঃ লামইয়া সুলতানা")</f>
        <v>মোছাঃ লামইয়া সুলতানা</v>
      </c>
      <c r="D292" s="5">
        <f>IFERROR(__xludf.DUMMYFUNCTION("""COMPUTED_VALUE"""),5.70038001602E11)</f>
        <v>570038001602</v>
      </c>
      <c r="E292" s="5" t="str">
        <f>IFERROR(__xludf.DUMMYFUNCTION("""COMPUTED_VALUE"""),"মোঃ মজির উদ্দীন")</f>
        <v>মোঃ মজির উদ্দীন</v>
      </c>
      <c r="F292" s="5" t="str">
        <f>IFERROR(__xludf.DUMMYFUNCTION("""COMPUTED_VALUE"""),"মোছাঃ কুমকুম আরা")</f>
        <v>মোছাঃ কুমকুম আরা</v>
      </c>
      <c r="G292" s="5" t="str">
        <f>IFERROR(__xludf.DUMMYFUNCTION("""COMPUTED_VALUE"""),"২৮/০৩/২০০৩")</f>
        <v>২৮/০৩/২০০৩</v>
      </c>
      <c r="H292" s="5" t="str">
        <f>IFERROR(__xludf.DUMMYFUNCTION("""COMPUTED_VALUE"""),"ছাত্র/ছাত্রী")</f>
        <v>ছাত্র/ছাত্রী</v>
      </c>
      <c r="I292" s="5" t="str">
        <f>IFERROR(__xludf.DUMMYFUNCTION("""COMPUTED_VALUE"""),"গাড়াডোব")</f>
        <v>গাড়াডোব</v>
      </c>
      <c r="J292" s="5" t="str">
        <f>IFERROR(__xludf.DUMMYFUNCTION("""COMPUTED_VALUE""")," গাংনী")</f>
        <v> গাংনী</v>
      </c>
      <c r="K292" s="5" t="str">
        <f>IFERROR(__xludf.DUMMYFUNCTION("""COMPUTED_VALUE""")," মেহেরপুর")</f>
        <v> মেহেরপুর</v>
      </c>
    </row>
    <row r="293" ht="15.75" customHeight="1">
      <c r="A293" s="7" t="s">
        <v>7158</v>
      </c>
      <c r="B293" s="5">
        <f>IFERROR(__xludf.DUMMYFUNCTION("SPLIT(A293,"","")"),2428.0)</f>
        <v>2428</v>
      </c>
      <c r="C293" s="5" t="str">
        <f>IFERROR(__xludf.DUMMYFUNCTION("""COMPUTED_VALUE"""),"নাম: খুশিয়ারা খাতুন")</f>
        <v>নাম: খুশিয়ারা খাতুন</v>
      </c>
      <c r="D293" s="5">
        <f>IFERROR(__xludf.DUMMYFUNCTION("""COMPUTED_VALUE"""),5.70038001603E11)</f>
        <v>570038001603</v>
      </c>
      <c r="E293" s="5" t="str">
        <f>IFERROR(__xludf.DUMMYFUNCTION("""COMPUTED_VALUE"""),"মোঃ আশরাফুল ইসলাম")</f>
        <v>মোঃ আশরাফুল ইসলাম</v>
      </c>
      <c r="F293" s="5" t="str">
        <f>IFERROR(__xludf.DUMMYFUNCTION("""COMPUTED_VALUE"""),"মোছাঃ মাছুরা খাতুন")</f>
        <v>মোছাঃ মাছুরা খাতুন</v>
      </c>
      <c r="G293" s="5" t="str">
        <f>IFERROR(__xludf.DUMMYFUNCTION("""COMPUTED_VALUE"""),"১০/১২/২০০০")</f>
        <v>১০/১২/২০০০</v>
      </c>
      <c r="H293" s="5" t="str">
        <f>IFERROR(__xludf.DUMMYFUNCTION("""COMPUTED_VALUE"""),"গৃহিনী")</f>
        <v>গৃহিনী</v>
      </c>
      <c r="I293" s="5" t="str">
        <f>IFERROR(__xludf.DUMMYFUNCTION("""COMPUTED_VALUE"""),"গাড়াডোব")</f>
        <v>গাড়াডোব</v>
      </c>
      <c r="J293" s="5" t="str">
        <f>IFERROR(__xludf.DUMMYFUNCTION("""COMPUTED_VALUE""")," গাংনী")</f>
        <v> গাংনী</v>
      </c>
      <c r="K293" s="5" t="str">
        <f>IFERROR(__xludf.DUMMYFUNCTION("""COMPUTED_VALUE""")," মেহেরপুর")</f>
        <v> মেহেরপুর</v>
      </c>
    </row>
    <row r="294" ht="15.75" customHeight="1">
      <c r="A294" s="7" t="s">
        <v>7159</v>
      </c>
      <c r="B294" s="5">
        <f>IFERROR(__xludf.DUMMYFUNCTION("SPLIT(A294,"","")"),2429.0)</f>
        <v>2429</v>
      </c>
      <c r="C294" s="5" t="str">
        <f>IFERROR(__xludf.DUMMYFUNCTION("""COMPUTED_VALUE"""),"মোছাঃ মলিনা খাতুন")</f>
        <v>মোছাঃ মলিনা খাতুন</v>
      </c>
      <c r="D294" s="5">
        <f>IFERROR(__xludf.DUMMYFUNCTION("""COMPUTED_VALUE"""),5.70038001604E11)</f>
        <v>570038001604</v>
      </c>
      <c r="E294" s="5" t="str">
        <f>IFERROR(__xludf.DUMMYFUNCTION("""COMPUTED_VALUE"""),"মোঃ দানিয়লে")</f>
        <v>মোঃ দানিয়লে</v>
      </c>
      <c r="F294" s="5" t="str">
        <f>IFERROR(__xludf.DUMMYFUNCTION("""COMPUTED_VALUE"""),"মোছাঃ কছিরা খাতুন")</f>
        <v>মোছাঃ কছিরা খাতুন</v>
      </c>
      <c r="G294" s="5" t="str">
        <f>IFERROR(__xludf.DUMMYFUNCTION("""COMPUTED_VALUE"""),"২৭/০৬/১৯৯৫")</f>
        <v>২৭/০৬/১৯৯৫</v>
      </c>
      <c r="H294" s="5" t="str">
        <f>IFERROR(__xludf.DUMMYFUNCTION("""COMPUTED_VALUE"""),"গৃহিনী")</f>
        <v>গৃহিনী</v>
      </c>
      <c r="I294" s="5" t="str">
        <f>IFERROR(__xludf.DUMMYFUNCTION("""COMPUTED_VALUE"""),"গাড়াডোব")</f>
        <v>গাড়াডোব</v>
      </c>
      <c r="J294" s="5" t="str">
        <f>IFERROR(__xludf.DUMMYFUNCTION("""COMPUTED_VALUE""")," গাংনী")</f>
        <v> গাংনী</v>
      </c>
      <c r="K294" s="5" t="str">
        <f>IFERROR(__xludf.DUMMYFUNCTION("""COMPUTED_VALUE""")," মেহেরপুর")</f>
        <v> মেহেরপুর</v>
      </c>
    </row>
    <row r="295" ht="15.75" customHeight="1">
      <c r="A295" s="7" t="s">
        <v>7160</v>
      </c>
      <c r="B295" s="5">
        <f>IFERROR(__xludf.DUMMYFUNCTION("SPLIT(A295,"","")"),2430.0)</f>
        <v>2430</v>
      </c>
      <c r="C295" s="5" t="str">
        <f>IFERROR(__xludf.DUMMYFUNCTION("""COMPUTED_VALUE"""),"মোছাঃ সুমাইয়া খাতুন")</f>
        <v>মোছাঃ সুমাইয়া খাতুন</v>
      </c>
      <c r="D295" s="5">
        <f>IFERROR(__xludf.DUMMYFUNCTION("""COMPUTED_VALUE"""),5.70038001606E11)</f>
        <v>570038001606</v>
      </c>
      <c r="E295" s="5" t="str">
        <f>IFERROR(__xludf.DUMMYFUNCTION("""COMPUTED_VALUE"""),"মোঃ ছানোয়ার হোসে")</f>
        <v>মোঃ ছানোয়ার হোসে</v>
      </c>
      <c r="F295" s="5" t="str">
        <f>IFERROR(__xludf.DUMMYFUNCTION("""COMPUTED_VALUE"""),"মোছাঃ দেলোয়ারা বেগম")</f>
        <v>মোছাঃ দেলোয়ারা বেগম</v>
      </c>
      <c r="G295" s="5" t="str">
        <f>IFERROR(__xludf.DUMMYFUNCTION("""COMPUTED_VALUE"""),"০১/০১/২০০৩")</f>
        <v>০১/০১/২০০৩</v>
      </c>
      <c r="H295" s="5" t="str">
        <f>IFERROR(__xludf.DUMMYFUNCTION("""COMPUTED_VALUE"""),"ছাত্র/ছাত্রী")</f>
        <v>ছাত্র/ছাত্রী</v>
      </c>
      <c r="I295" s="5" t="str">
        <f>IFERROR(__xludf.DUMMYFUNCTION("""COMPUTED_VALUE"""),"গাড়াডোব")</f>
        <v>গাড়াডোব</v>
      </c>
      <c r="J295" s="5" t="str">
        <f>IFERROR(__xludf.DUMMYFUNCTION("""COMPUTED_VALUE""")," গাংনী")</f>
        <v> গাংনী</v>
      </c>
      <c r="K295" s="5" t="str">
        <f>IFERROR(__xludf.DUMMYFUNCTION("""COMPUTED_VALUE""")," মেহেরপুর")</f>
        <v> মেহেরপুর</v>
      </c>
    </row>
    <row r="296" ht="15.75" customHeight="1">
      <c r="A296" s="7" t="s">
        <v>7161</v>
      </c>
      <c r="B296" s="5">
        <f>IFERROR(__xludf.DUMMYFUNCTION("SPLIT(A296,"","")"),2431.0)</f>
        <v>2431</v>
      </c>
      <c r="C296" s="5" t="str">
        <f>IFERROR(__xludf.DUMMYFUNCTION("""COMPUTED_VALUE"""),"মোছাঃ শাবরিনা খাতুন")</f>
        <v>মোছাঃ শাবরিনা খাতুন</v>
      </c>
      <c r="D296" s="5">
        <f>IFERROR(__xludf.DUMMYFUNCTION("""COMPUTED_VALUE"""),5.70038001608E11)</f>
        <v>570038001608</v>
      </c>
      <c r="E296" s="5" t="str">
        <f>IFERROR(__xludf.DUMMYFUNCTION("""COMPUTED_VALUE"""),"মোঃ শরিফদ্দিন")</f>
        <v>মোঃ শরিফদ্দিন</v>
      </c>
      <c r="F296" s="5" t="str">
        <f>IFERROR(__xludf.DUMMYFUNCTION("""COMPUTED_VALUE"""),"মোছাঃ রুপিয়া খাতুন")</f>
        <v>মোছাঃ রুপিয়া খাতুন</v>
      </c>
      <c r="G296" s="5" t="str">
        <f>IFERROR(__xludf.DUMMYFUNCTION("""COMPUTED_VALUE"""),"১৫/০২/২০০১")</f>
        <v>১৫/০২/২০০১</v>
      </c>
      <c r="H296" s="5" t="str">
        <f>IFERROR(__xludf.DUMMYFUNCTION("""COMPUTED_VALUE"""),"ছাত্র/ছাত্রী")</f>
        <v>ছাত্র/ছাত্রী</v>
      </c>
      <c r="I296" s="5" t="str">
        <f>IFERROR(__xludf.DUMMYFUNCTION("""COMPUTED_VALUE"""),"গাড়াডোব")</f>
        <v>গাড়াডোব</v>
      </c>
      <c r="J296" s="5" t="str">
        <f>IFERROR(__xludf.DUMMYFUNCTION("""COMPUTED_VALUE""")," গাংনী")</f>
        <v> গাংনী</v>
      </c>
      <c r="K296" s="5" t="str">
        <f>IFERROR(__xludf.DUMMYFUNCTION("""COMPUTED_VALUE""")," মেহেরপুর")</f>
        <v> মেহেরপুর</v>
      </c>
    </row>
    <row r="297" ht="15.75" customHeight="1">
      <c r="A297" s="7" t="s">
        <v>7162</v>
      </c>
      <c r="B297" s="5">
        <f>IFERROR(__xludf.DUMMYFUNCTION("SPLIT(A297,"","")"),2432.0)</f>
        <v>2432</v>
      </c>
      <c r="C297" s="5" t="str">
        <f>IFERROR(__xludf.DUMMYFUNCTION("""COMPUTED_VALUE"""),"মোছাঃ খাদিজা খাতুন")</f>
        <v>মোছাঃ খাদিজা খাতুন</v>
      </c>
      <c r="D297" s="5">
        <f>IFERROR(__xludf.DUMMYFUNCTION("""COMPUTED_VALUE"""),5.70038001609E11)</f>
        <v>570038001609</v>
      </c>
      <c r="E297" s="5" t="str">
        <f>IFERROR(__xludf.DUMMYFUNCTION("""COMPUTED_VALUE"""),"মোঃ আক্তারুল ইসলাম")</f>
        <v>মোঃ আক্তারুল ইসলাম</v>
      </c>
      <c r="F297" s="5" t="str">
        <f>IFERROR(__xludf.DUMMYFUNCTION("""COMPUTED_VALUE"""),"মোছাঃ বিলকিচ খাতুন")</f>
        <v>মোছাঃ বিলকিচ খাতুন</v>
      </c>
      <c r="G297" s="5" t="str">
        <f>IFERROR(__xludf.DUMMYFUNCTION("""COMPUTED_VALUE"""),"১১/০৫/২০০২")</f>
        <v>১১/০৫/২০০২</v>
      </c>
      <c r="H297" s="5" t="str">
        <f>IFERROR(__xludf.DUMMYFUNCTION("""COMPUTED_VALUE"""),"গৃহিনী")</f>
        <v>গৃহিনী</v>
      </c>
      <c r="I297" s="5" t="str">
        <f>IFERROR(__xludf.DUMMYFUNCTION("""COMPUTED_VALUE"""),"গাড়াডোব")</f>
        <v>গাড়াডোব</v>
      </c>
      <c r="J297" s="5" t="str">
        <f>IFERROR(__xludf.DUMMYFUNCTION("""COMPUTED_VALUE""")," গাংনী")</f>
        <v> গাংনী</v>
      </c>
      <c r="K297" s="5" t="str">
        <f>IFERROR(__xludf.DUMMYFUNCTION("""COMPUTED_VALUE""")," মেহেরপুর")</f>
        <v> মেহেরপুর</v>
      </c>
    </row>
    <row r="298" ht="15.75" customHeight="1">
      <c r="A298" s="7" t="s">
        <v>7163</v>
      </c>
      <c r="B298" s="5">
        <f>IFERROR(__xludf.DUMMYFUNCTION("SPLIT(A298,"","")"),2433.0)</f>
        <v>2433</v>
      </c>
      <c r="C298" s="5" t="str">
        <f>IFERROR(__xludf.DUMMYFUNCTION("""COMPUTED_VALUE"""),"নাম: মুক্তা খাতুন")</f>
        <v>নাম: মুক্তা খাতুন</v>
      </c>
      <c r="D298" s="5">
        <f>IFERROR(__xludf.DUMMYFUNCTION("""COMPUTED_VALUE"""),5.7003800161E11)</f>
        <v>570038001610</v>
      </c>
      <c r="E298" s="5" t="str">
        <f>IFERROR(__xludf.DUMMYFUNCTION("""COMPUTED_VALUE"""),"মোঃ মজনু সেখ")</f>
        <v>মোঃ মজনু সেখ</v>
      </c>
      <c r="F298" s="5" t="str">
        <f>IFERROR(__xludf.DUMMYFUNCTION("""COMPUTED_VALUE"""),"মোছাঃ মজেরা খাতুন")</f>
        <v>মোছাঃ মজেরা খাতুন</v>
      </c>
      <c r="G298" s="5" t="str">
        <f>IFERROR(__xludf.DUMMYFUNCTION("""COMPUTED_VALUE"""),"২০/০৭/১৯৯৮")</f>
        <v>২০/০৭/১৯৯৮</v>
      </c>
      <c r="H298" s="5" t="str">
        <f>IFERROR(__xludf.DUMMYFUNCTION("""COMPUTED_VALUE"""),"গৃহিনী")</f>
        <v>গৃহিনী</v>
      </c>
      <c r="I298" s="5" t="str">
        <f>IFERROR(__xludf.DUMMYFUNCTION("""COMPUTED_VALUE"""),"গাড়াডোব")</f>
        <v>গাড়াডোব</v>
      </c>
      <c r="J298" s="5" t="str">
        <f>IFERROR(__xludf.DUMMYFUNCTION("""COMPUTED_VALUE""")," গাংনী")</f>
        <v> গাংনী</v>
      </c>
      <c r="K298" s="5" t="str">
        <f>IFERROR(__xludf.DUMMYFUNCTION("""COMPUTED_VALUE""")," মেহেরপুর")</f>
        <v> মেহেরপুর</v>
      </c>
    </row>
    <row r="299" ht="15.75" customHeight="1">
      <c r="A299" s="7" t="s">
        <v>7164</v>
      </c>
      <c r="B299" s="5">
        <f>IFERROR(__xludf.DUMMYFUNCTION("SPLIT(A299,"","")"),2434.0)</f>
        <v>2434</v>
      </c>
      <c r="C299" s="5" t="str">
        <f>IFERROR(__xludf.DUMMYFUNCTION("""COMPUTED_VALUE"""),"মোছাঃ রিজ্ঞা খাতুন")</f>
        <v>মোছাঃ রিজ্ঞা খাতুন</v>
      </c>
      <c r="D299" s="5">
        <f>IFERROR(__xludf.DUMMYFUNCTION("""COMPUTED_VALUE"""),5.70038001611E11)</f>
        <v>570038001611</v>
      </c>
      <c r="E299" s="5" t="str">
        <f>IFERROR(__xludf.DUMMYFUNCTION("""COMPUTED_VALUE"""),"মোঃ আশরাফুল ইসলাম")</f>
        <v>মোঃ আশরাফুল ইসলাম</v>
      </c>
      <c r="F299" s="5" t="str">
        <f>IFERROR(__xludf.DUMMYFUNCTION("""COMPUTED_VALUE"""),"মোছাঃ বেলী খাতুন")</f>
        <v>মোছাঃ বেলী খাতুন</v>
      </c>
      <c r="G299" s="5" t="str">
        <f>IFERROR(__xludf.DUMMYFUNCTION("""COMPUTED_VALUE"""),"২৩/০৯/১৯৯৯")</f>
        <v>২৩/০৯/১৯৯৯</v>
      </c>
      <c r="H299" s="5" t="str">
        <f>IFERROR(__xludf.DUMMYFUNCTION("""COMPUTED_VALUE"""),"গৃহিনী")</f>
        <v>গৃহিনী</v>
      </c>
      <c r="I299" s="5" t="str">
        <f>IFERROR(__xludf.DUMMYFUNCTION("""COMPUTED_VALUE"""),"গাড়াডোব")</f>
        <v>গাড়াডোব</v>
      </c>
      <c r="J299" s="5" t="str">
        <f>IFERROR(__xludf.DUMMYFUNCTION("""COMPUTED_VALUE""")," গাংনী")</f>
        <v> গাংনী</v>
      </c>
      <c r="K299" s="5" t="str">
        <f>IFERROR(__xludf.DUMMYFUNCTION("""COMPUTED_VALUE""")," মেহেরপুর")</f>
        <v> মেহেরপুর</v>
      </c>
    </row>
    <row r="300" ht="15.75" customHeight="1">
      <c r="A300" s="7" t="s">
        <v>7165</v>
      </c>
      <c r="B300" s="5">
        <f>IFERROR(__xludf.DUMMYFUNCTION("SPLIT(A300,"","")"),2435.0)</f>
        <v>2435</v>
      </c>
      <c r="C300" s="5" t="str">
        <f>IFERROR(__xludf.DUMMYFUNCTION("""COMPUTED_VALUE"""),"মোছাঃ বৃষ্টি খাতুন")</f>
        <v>মোছাঃ বৃষ্টি খাতুন</v>
      </c>
      <c r="D300" s="5">
        <f>IFERROR(__xludf.DUMMYFUNCTION("""COMPUTED_VALUE"""),5.70038001612E11)</f>
        <v>570038001612</v>
      </c>
      <c r="E300" s="5" t="str">
        <f>IFERROR(__xludf.DUMMYFUNCTION("""COMPUTED_VALUE"""),"মৃত ইয়াকুব আলী")</f>
        <v>মৃত ইয়াকুব আলী</v>
      </c>
      <c r="F300" s="5" t="str">
        <f>IFERROR(__xludf.DUMMYFUNCTION("""COMPUTED_VALUE"""),"মোছাঃ কল্পনা খাতুন")</f>
        <v>মোছাঃ কল্পনা খাতুন</v>
      </c>
      <c r="G300" s="5" t="str">
        <f>IFERROR(__xludf.DUMMYFUNCTION("""COMPUTED_VALUE"""),"১০/০৮/১৯৯২")</f>
        <v>১০/০৮/১৯৯২</v>
      </c>
      <c r="H300" s="5" t="str">
        <f>IFERROR(__xludf.DUMMYFUNCTION("""COMPUTED_VALUE"""),"গৃহিনী")</f>
        <v>গৃহিনী</v>
      </c>
      <c r="I300" s="5" t="str">
        <f>IFERROR(__xludf.DUMMYFUNCTION("""COMPUTED_VALUE"""),"গাড়াডোব")</f>
        <v>গাড়াডোব</v>
      </c>
      <c r="J300" s="5" t="str">
        <f>IFERROR(__xludf.DUMMYFUNCTION("""COMPUTED_VALUE""")," গাংনী")</f>
        <v> গাংনী</v>
      </c>
      <c r="K300" s="5" t="str">
        <f>IFERROR(__xludf.DUMMYFUNCTION("""COMPUTED_VALUE""")," মেহেরপুর")</f>
        <v> মেহেরপুর</v>
      </c>
    </row>
    <row r="301" ht="15.75" customHeight="1">
      <c r="A301" s="7" t="s">
        <v>7166</v>
      </c>
      <c r="B301" s="5">
        <f>IFERROR(__xludf.DUMMYFUNCTION("SPLIT(A301,"","")"),2436.0)</f>
        <v>2436</v>
      </c>
      <c r="C301" s="5" t="str">
        <f>IFERROR(__xludf.DUMMYFUNCTION("""COMPUTED_VALUE"""),"মোছাঃ শেফালী খাতুন")</f>
        <v>মোছাঃ শেফালী খাতুন</v>
      </c>
      <c r="D301" s="5">
        <f>IFERROR(__xludf.DUMMYFUNCTION("""COMPUTED_VALUE"""),5.70038001613E11)</f>
        <v>570038001613</v>
      </c>
      <c r="E301" s="5" t="str">
        <f>IFERROR(__xludf.DUMMYFUNCTION("""COMPUTED_VALUE"""),"মোঃ আহাদ আলী")</f>
        <v>মোঃ আহাদ আলী</v>
      </c>
      <c r="F301" s="5" t="str">
        <f>IFERROR(__xludf.DUMMYFUNCTION("""COMPUTED_VALUE"""),"মোছাঃ ছকিনা খাতুন")</f>
        <v>মোছাঃ ছকিনা খাতুন</v>
      </c>
      <c r="G301" s="5" t="str">
        <f>IFERROR(__xludf.DUMMYFUNCTION("""COMPUTED_VALUE"""),"১৪/০৭/১৯৯৫")</f>
        <v>১৪/০৭/১৯৯৫</v>
      </c>
      <c r="H301" s="5" t="str">
        <f>IFERROR(__xludf.DUMMYFUNCTION("""COMPUTED_VALUE"""),"গৃহিনী")</f>
        <v>গৃহিনী</v>
      </c>
      <c r="I301" s="5" t="str">
        <f>IFERROR(__xludf.DUMMYFUNCTION("""COMPUTED_VALUE"""),"গাড়াডোব")</f>
        <v>গাড়াডোব</v>
      </c>
      <c r="J301" s="5" t="str">
        <f>IFERROR(__xludf.DUMMYFUNCTION("""COMPUTED_VALUE""")," গাংনী")</f>
        <v> গাংনী</v>
      </c>
      <c r="K301" s="5" t="str">
        <f>IFERROR(__xludf.DUMMYFUNCTION("""COMPUTED_VALUE""")," মেহেরপুর")</f>
        <v> মেহেরপুর</v>
      </c>
    </row>
    <row r="302" ht="15.75" customHeight="1">
      <c r="A302" s="7" t="s">
        <v>7167</v>
      </c>
      <c r="B302" s="5">
        <f>IFERROR(__xludf.DUMMYFUNCTION("SPLIT(A302,"","")"),2437.0)</f>
        <v>2437</v>
      </c>
      <c r="C302" s="5" t="str">
        <f>IFERROR(__xludf.DUMMYFUNCTION("""COMPUTED_VALUE"""),"মোছাঃ শরিফা খাতুন")</f>
        <v>মোছাঃ শরিফা খাতুন</v>
      </c>
      <c r="D302" s="5">
        <f>IFERROR(__xludf.DUMMYFUNCTION("""COMPUTED_VALUE"""),5.70038001614E11)</f>
        <v>570038001614</v>
      </c>
      <c r="E302" s="5" t="str">
        <f>IFERROR(__xludf.DUMMYFUNCTION("""COMPUTED_VALUE"""),"মোঃ আঃ আলিম")</f>
        <v>মোঃ আঃ আলিম</v>
      </c>
      <c r="F302" s="5" t="str">
        <f>IFERROR(__xludf.DUMMYFUNCTION("""COMPUTED_VALUE"""),"মোছাঃ রিজিয়া")</f>
        <v>মোছাঃ রিজিয়া</v>
      </c>
      <c r="G302" s="5" t="str">
        <f>IFERROR(__xludf.DUMMYFUNCTION("""COMPUTED_VALUE"""),"০৬/০৬/১৯৯৫")</f>
        <v>০৬/০৬/১৯৯৫</v>
      </c>
      <c r="H302" s="5" t="str">
        <f>IFERROR(__xludf.DUMMYFUNCTION("""COMPUTED_VALUE"""),"গৃহিনী")</f>
        <v>গৃহিনী</v>
      </c>
      <c r="I302" s="5" t="str">
        <f>IFERROR(__xludf.DUMMYFUNCTION("""COMPUTED_VALUE"""),"গাড়াডোব")</f>
        <v>গাড়াডোব</v>
      </c>
      <c r="J302" s="5" t="str">
        <f>IFERROR(__xludf.DUMMYFUNCTION("""COMPUTED_VALUE""")," গাংনী")</f>
        <v> গাংনী</v>
      </c>
      <c r="K302" s="5" t="str">
        <f>IFERROR(__xludf.DUMMYFUNCTION("""COMPUTED_VALUE""")," মেহেরপুর")</f>
        <v> মেহেরপুর</v>
      </c>
    </row>
    <row r="303" ht="15.75" customHeight="1">
      <c r="A303" s="7" t="s">
        <v>7168</v>
      </c>
      <c r="B303" s="5">
        <f>IFERROR(__xludf.DUMMYFUNCTION("SPLIT(A303,"","")"),2438.0)</f>
        <v>2438</v>
      </c>
      <c r="C303" s="5" t="str">
        <f>IFERROR(__xludf.DUMMYFUNCTION("""COMPUTED_VALUE"""),"মোছাঃ উম্মে হাবিবা")</f>
        <v>মোছাঃ উম্মে হাবিবা</v>
      </c>
      <c r="D303" s="5">
        <f>IFERROR(__xludf.DUMMYFUNCTION("""COMPUTED_VALUE"""),5.70038001615E11)</f>
        <v>570038001615</v>
      </c>
      <c r="E303" s="5" t="str">
        <f>IFERROR(__xludf.DUMMYFUNCTION("""COMPUTED_VALUE"""),"মোঃ আয়ুব আলী")</f>
        <v>মোঃ আয়ুব আলী</v>
      </c>
      <c r="F303" s="5" t="str">
        <f>IFERROR(__xludf.DUMMYFUNCTION("""COMPUTED_VALUE"""),"মোছাঃ এ্যানি খাতুন")</f>
        <v>মোছাঃ এ্যানি খাতুন</v>
      </c>
      <c r="G303" s="5" t="str">
        <f>IFERROR(__xludf.DUMMYFUNCTION("""COMPUTED_VALUE"""),"১৪/০৮/২০০২")</f>
        <v>১৪/০৮/২০০২</v>
      </c>
      <c r="H303" s="5" t="str">
        <f>IFERROR(__xludf.DUMMYFUNCTION("""COMPUTED_VALUE"""),"ছাত্র/ছাত্রী")</f>
        <v>ছাত্র/ছাত্রী</v>
      </c>
      <c r="I303" s="5" t="str">
        <f>IFERROR(__xludf.DUMMYFUNCTION("""COMPUTED_VALUE"""),"গাড়াডোব")</f>
        <v>গাড়াডোব</v>
      </c>
      <c r="J303" s="5" t="str">
        <f>IFERROR(__xludf.DUMMYFUNCTION("""COMPUTED_VALUE""")," গাংনী")</f>
        <v> গাংনী</v>
      </c>
      <c r="K303" s="5" t="str">
        <f>IFERROR(__xludf.DUMMYFUNCTION("""COMPUTED_VALUE""")," মেহেরপুর")</f>
        <v> মেহেরপুর</v>
      </c>
    </row>
    <row r="304" ht="15.75" customHeight="1">
      <c r="A304" s="7" t="s">
        <v>7169</v>
      </c>
      <c r="B304" s="5">
        <f>IFERROR(__xludf.DUMMYFUNCTION("SPLIT(A304,"","")"),2439.0)</f>
        <v>2439</v>
      </c>
      <c r="C304" s="5" t="str">
        <f>IFERROR(__xludf.DUMMYFUNCTION("""COMPUTED_VALUE"""),"নাম: ছনিয়া")</f>
        <v>নাম: ছনিয়া</v>
      </c>
      <c r="D304" s="5">
        <f>IFERROR(__xludf.DUMMYFUNCTION("""COMPUTED_VALUE"""),5.70038001616E11)</f>
        <v>570038001616</v>
      </c>
      <c r="E304" s="5" t="str">
        <f>IFERROR(__xludf.DUMMYFUNCTION("""COMPUTED_VALUE"""),"পিতা: আকরাম")</f>
        <v>পিতা: আকরাম</v>
      </c>
      <c r="F304" s="5" t="str">
        <f>IFERROR(__xludf.DUMMYFUNCTION("""COMPUTED_VALUE"""),"মাতা: সাগরিকা")</f>
        <v>মাতা: সাগরিকা</v>
      </c>
      <c r="G304" s="5" t="str">
        <f>IFERROR(__xludf.DUMMYFUNCTION("""COMPUTED_VALUE"""),"১০/০৭/১৯৯৭")</f>
        <v>১০/০৭/১৯৯৭</v>
      </c>
      <c r="H304" s="5" t="str">
        <f>IFERROR(__xludf.DUMMYFUNCTION("""COMPUTED_VALUE"""),"গৃহিনী")</f>
        <v>গৃহিনী</v>
      </c>
      <c r="I304" s="5" t="str">
        <f>IFERROR(__xludf.DUMMYFUNCTION("""COMPUTED_VALUE"""),"গাড়াডোব")</f>
        <v>গাড়াডোব</v>
      </c>
      <c r="J304" s="5" t="str">
        <f>IFERROR(__xludf.DUMMYFUNCTION("""COMPUTED_VALUE""")," গাংনী")</f>
        <v> গাংনী</v>
      </c>
      <c r="K304" s="5" t="str">
        <f>IFERROR(__xludf.DUMMYFUNCTION("""COMPUTED_VALUE""")," মেহেরপুর")</f>
        <v> মেহেরপুর</v>
      </c>
    </row>
    <row r="305" ht="15.75" customHeight="1">
      <c r="A305" s="7" t="s">
        <v>7170</v>
      </c>
      <c r="B305" s="5">
        <f>IFERROR(__xludf.DUMMYFUNCTION("SPLIT(A305,"","")"),2440.0)</f>
        <v>2440</v>
      </c>
      <c r="C305" s="5" t="str">
        <f>IFERROR(__xludf.DUMMYFUNCTION("""COMPUTED_VALUE"""),"মোছাঃ রুনা খাতুন")</f>
        <v>মোছাঃ রুনা খাতুন</v>
      </c>
      <c r="D305" s="5">
        <f>IFERROR(__xludf.DUMMYFUNCTION("""COMPUTED_VALUE"""),5.7003800162E11)</f>
        <v>570038001620</v>
      </c>
      <c r="E305" s="5" t="str">
        <f>IFERROR(__xludf.DUMMYFUNCTION("""COMPUTED_VALUE"""),"আবু বক্কর")</f>
        <v>আবু বক্কর</v>
      </c>
      <c r="F305" s="5" t="str">
        <f>IFERROR(__xludf.DUMMYFUNCTION("""COMPUTED_VALUE"""),"মাতা: জলুরা খাতুন")</f>
        <v>মাতা: জলুরা খাতুন</v>
      </c>
      <c r="G305" s="5" t="str">
        <f>IFERROR(__xludf.DUMMYFUNCTION("""COMPUTED_VALUE"""),"০১/০৪/১৯৯১")</f>
        <v>০১/০৪/১৯৯১</v>
      </c>
      <c r="H305" s="5" t="str">
        <f>IFERROR(__xludf.DUMMYFUNCTION("""COMPUTED_VALUE"""),"গৃহিনী")</f>
        <v>গৃহিনী</v>
      </c>
      <c r="I305" s="5" t="str">
        <f>IFERROR(__xludf.DUMMYFUNCTION("""COMPUTED_VALUE"""),"গাড়াডোব")</f>
        <v>গাড়াডোব</v>
      </c>
      <c r="J305" s="5" t="str">
        <f>IFERROR(__xludf.DUMMYFUNCTION("""COMPUTED_VALUE""")," গাংনী")</f>
        <v> গাংনী</v>
      </c>
      <c r="K305" s="5" t="str">
        <f>IFERROR(__xludf.DUMMYFUNCTION("""COMPUTED_VALUE""")," মেহেরপুর")</f>
        <v> মেহেরপুর</v>
      </c>
    </row>
    <row r="306" ht="15.75" customHeight="1">
      <c r="A306" s="7" t="s">
        <v>7171</v>
      </c>
      <c r="B306" s="5">
        <f>IFERROR(__xludf.DUMMYFUNCTION("SPLIT(A306,"","")"),2441.0)</f>
        <v>2441</v>
      </c>
      <c r="C306" s="5" t="str">
        <f>IFERROR(__xludf.DUMMYFUNCTION("""COMPUTED_VALUE"""),"মোছাঃ কেয়া খাতুন")</f>
        <v>মোছাঃ কেয়া খাতুন</v>
      </c>
      <c r="D306" s="5">
        <f>IFERROR(__xludf.DUMMYFUNCTION("""COMPUTED_VALUE"""),5.70038001621E11)</f>
        <v>570038001621</v>
      </c>
      <c r="E306" s="5" t="str">
        <f>IFERROR(__xludf.DUMMYFUNCTION("""COMPUTED_VALUE"""),"মোঃ শওকত আলী")</f>
        <v>মোঃ শওকত আলী</v>
      </c>
      <c r="F306" s="5" t="str">
        <f>IFERROR(__xludf.DUMMYFUNCTION("""COMPUTED_VALUE"""),"মোছাঃ আমেনা খাতুন")</f>
        <v>মোছাঃ আমেনা খাতুন</v>
      </c>
      <c r="G306" s="5" t="str">
        <f>IFERROR(__xludf.DUMMYFUNCTION("""COMPUTED_VALUE"""),"২৪/০৪/২০০৩")</f>
        <v>২৪/০৪/২০০৩</v>
      </c>
      <c r="H306" s="5" t="str">
        <f>IFERROR(__xludf.DUMMYFUNCTION("""COMPUTED_VALUE"""),"ছাত্র/ছাত্রী")</f>
        <v>ছাত্র/ছাত্রী</v>
      </c>
      <c r="I306" s="5" t="str">
        <f>IFERROR(__xludf.DUMMYFUNCTION("""COMPUTED_VALUE"""),"গাড়াডোব")</f>
        <v>গাড়াডোব</v>
      </c>
      <c r="J306" s="5" t="str">
        <f>IFERROR(__xludf.DUMMYFUNCTION("""COMPUTED_VALUE""")," গাংনী")</f>
        <v> গাংনী</v>
      </c>
      <c r="K306" s="5" t="str">
        <f>IFERROR(__xludf.DUMMYFUNCTION("""COMPUTED_VALUE""")," মেহেরপুর")</f>
        <v> মেহেরপুর</v>
      </c>
    </row>
    <row r="307" ht="15.75" customHeight="1">
      <c r="A307" s="7" t="s">
        <v>7172</v>
      </c>
      <c r="B307" s="5">
        <f>IFERROR(__xludf.DUMMYFUNCTION("SPLIT(A307,"","")"),2442.0)</f>
        <v>2442</v>
      </c>
      <c r="C307" s="5" t="str">
        <f>IFERROR(__xludf.DUMMYFUNCTION("""COMPUTED_VALUE"""),"মোছাঃ লাবনী আক্তার")</f>
        <v>মোছাঃ লাবনী আক্তার</v>
      </c>
      <c r="D307" s="5">
        <f>IFERROR(__xludf.DUMMYFUNCTION("""COMPUTED_VALUE"""),5.70038001622E11)</f>
        <v>570038001622</v>
      </c>
      <c r="E307" s="5" t="str">
        <f>IFERROR(__xludf.DUMMYFUNCTION("""COMPUTED_VALUE"""),"মোঃ লাবলু মীর")</f>
        <v>মোঃ লাবলু মীর</v>
      </c>
      <c r="F307" s="5" t="str">
        <f>IFERROR(__xludf.DUMMYFUNCTION("""COMPUTED_VALUE"""),"মোছাঃ নিলুফা ইয়াসমিন")</f>
        <v>মোছাঃ নিলুফা ইয়াসমিন</v>
      </c>
      <c r="G307" s="5" t="str">
        <f>IFERROR(__xludf.DUMMYFUNCTION("""COMPUTED_VALUE"""),"২১/১০/২০০৩")</f>
        <v>২১/১০/২০০৩</v>
      </c>
      <c r="H307" s="5" t="str">
        <f>IFERROR(__xludf.DUMMYFUNCTION("""COMPUTED_VALUE"""),"ছাত্র/ছাত্রী")</f>
        <v>ছাত্র/ছাত্রী</v>
      </c>
      <c r="I307" s="5" t="str">
        <f>IFERROR(__xludf.DUMMYFUNCTION("""COMPUTED_VALUE"""),"গাড়াডোব")</f>
        <v>গাড়াডোব</v>
      </c>
      <c r="J307" s="5" t="str">
        <f>IFERROR(__xludf.DUMMYFUNCTION("""COMPUTED_VALUE""")," গাংনী")</f>
        <v> গাংনী</v>
      </c>
      <c r="K307" s="5" t="str">
        <f>IFERROR(__xludf.DUMMYFUNCTION("""COMPUTED_VALUE""")," মেহেরপুর")</f>
        <v> মেহেরপুর</v>
      </c>
    </row>
    <row r="308" ht="15.75" customHeight="1">
      <c r="A308" s="7" t="s">
        <v>7173</v>
      </c>
      <c r="B308" s="5">
        <f>IFERROR(__xludf.DUMMYFUNCTION("SPLIT(A308,"","")"),2443.0)</f>
        <v>2443</v>
      </c>
      <c r="C308" s="5" t="str">
        <f>IFERROR(__xludf.DUMMYFUNCTION("""COMPUTED_VALUE"""),"মোছাঃ নাজমা খাতুন")</f>
        <v>মোছাঃ নাজমা খাতুন</v>
      </c>
      <c r="D308" s="5">
        <f>IFERROR(__xludf.DUMMYFUNCTION("""COMPUTED_VALUE"""),5.70038001623E11)</f>
        <v>570038001623</v>
      </c>
      <c r="E308" s="5" t="str">
        <f>IFERROR(__xludf.DUMMYFUNCTION("""COMPUTED_VALUE"""),"মোঃ উজির আলী")</f>
        <v>মোঃ উজির আলী</v>
      </c>
      <c r="F308" s="5" t="str">
        <f>IFERROR(__xludf.DUMMYFUNCTION("""COMPUTED_VALUE"""),"মোছাঃ আফরোজা খাতুন")</f>
        <v>মোছাঃ আফরোজা খাতুন</v>
      </c>
      <c r="G308" s="5" t="str">
        <f>IFERROR(__xludf.DUMMYFUNCTION("""COMPUTED_VALUE"""),"০২/০৫/২০০০")</f>
        <v>০২/০৫/২০০০</v>
      </c>
      <c r="H308" s="5" t="str">
        <f>IFERROR(__xludf.DUMMYFUNCTION("""COMPUTED_VALUE"""),"গৃহিনী")</f>
        <v>গৃহিনী</v>
      </c>
      <c r="I308" s="5" t="str">
        <f>IFERROR(__xludf.DUMMYFUNCTION("""COMPUTED_VALUE"""),"গাড়াডোব")</f>
        <v>গাড়াডোব</v>
      </c>
      <c r="J308" s="5" t="str">
        <f>IFERROR(__xludf.DUMMYFUNCTION("""COMPUTED_VALUE""")," গাংনী")</f>
        <v> গাংনী</v>
      </c>
      <c r="K308" s="5" t="str">
        <f>IFERROR(__xludf.DUMMYFUNCTION("""COMPUTED_VALUE""")," মেহেরপুর")</f>
        <v> মেহেরপুর</v>
      </c>
    </row>
    <row r="309" ht="15.75" customHeight="1">
      <c r="A309" s="7" t="s">
        <v>7174</v>
      </c>
      <c r="B309" s="5">
        <f>IFERROR(__xludf.DUMMYFUNCTION("SPLIT(A309,"","")"),2444.0)</f>
        <v>2444</v>
      </c>
      <c r="C309" s="5" t="str">
        <f>IFERROR(__xludf.DUMMYFUNCTION("""COMPUTED_VALUE"""),"মোছাঃ জানছুরা খাতুন")</f>
        <v>মোছাঃ জানছুরা খাতুন</v>
      </c>
      <c r="D309" s="5">
        <f>IFERROR(__xludf.DUMMYFUNCTION("""COMPUTED_VALUE"""),5.70038001625E11)</f>
        <v>570038001625</v>
      </c>
      <c r="E309" s="5" t="str">
        <f>IFERROR(__xludf.DUMMYFUNCTION("""COMPUTED_VALUE"""),"মোঃ হাসান আলী")</f>
        <v>মোঃ হাসান আলী</v>
      </c>
      <c r="F309" s="5" t="str">
        <f>IFERROR(__xludf.DUMMYFUNCTION("""COMPUTED_VALUE"""),"মোছাঃ জাকিরন নেছা")</f>
        <v>মোছাঃ জাকিরন নেছা</v>
      </c>
      <c r="G309" s="5" t="str">
        <f>IFERROR(__xludf.DUMMYFUNCTION("""COMPUTED_VALUE"""),"১৩/০৬/১৯৯৫")</f>
        <v>১৩/০৬/১৯৯৫</v>
      </c>
      <c r="H309" s="5" t="str">
        <f>IFERROR(__xludf.DUMMYFUNCTION("""COMPUTED_VALUE"""),"গৃহিনী")</f>
        <v>গৃহিনী</v>
      </c>
      <c r="I309" s="5" t="str">
        <f>IFERROR(__xludf.DUMMYFUNCTION("""COMPUTED_VALUE"""),"গাড়াডোব")</f>
        <v>গাড়াডোব</v>
      </c>
      <c r="J309" s="5" t="str">
        <f>IFERROR(__xludf.DUMMYFUNCTION("""COMPUTED_VALUE""")," গাংনী")</f>
        <v> গাংনী</v>
      </c>
      <c r="K309" s="5" t="str">
        <f>IFERROR(__xludf.DUMMYFUNCTION("""COMPUTED_VALUE""")," মেহেরপুর")</f>
        <v> মেহেরপুর</v>
      </c>
    </row>
    <row r="310" ht="15.75" customHeight="1">
      <c r="A310" s="7" t="s">
        <v>7175</v>
      </c>
      <c r="B310" s="5">
        <f>IFERROR(__xludf.DUMMYFUNCTION("SPLIT(A310,"","")"),2445.0)</f>
        <v>2445</v>
      </c>
      <c r="C310" s="5" t="str">
        <f>IFERROR(__xludf.DUMMYFUNCTION("""COMPUTED_VALUE"""),"মোছাঃ শিউলী খাতুন")</f>
        <v>মোছাঃ শিউলী খাতুন</v>
      </c>
      <c r="D310" s="5">
        <f>IFERROR(__xludf.DUMMYFUNCTION("""COMPUTED_VALUE"""),5.70038001626E11)</f>
        <v>570038001626</v>
      </c>
      <c r="E310" s="5" t="str">
        <f>IFERROR(__xludf.DUMMYFUNCTION("""COMPUTED_VALUE"""),"মোঃ মোতালেব হোসেন")</f>
        <v>মোঃ মোতালেব হোসেন</v>
      </c>
      <c r="F310" s="5" t="str">
        <f>IFERROR(__xludf.DUMMYFUNCTION("""COMPUTED_VALUE"""),"মোছাঃ আকলিমা খাতুন")</f>
        <v>মোছাঃ আকলিমা খাতুন</v>
      </c>
      <c r="G310" s="5" t="str">
        <f>IFERROR(__xludf.DUMMYFUNCTION("""COMPUTED_VALUE"""),"০৮/০২/২০০১")</f>
        <v>০৮/০২/২০০১</v>
      </c>
      <c r="H310" s="5" t="str">
        <f>IFERROR(__xludf.DUMMYFUNCTION("""COMPUTED_VALUE"""),"ছাত্র/ছাত্রী")</f>
        <v>ছাত্র/ছাত্রী</v>
      </c>
      <c r="I310" s="5" t="str">
        <f>IFERROR(__xludf.DUMMYFUNCTION("""COMPUTED_VALUE"""),"গাড়াডোব")</f>
        <v>গাড়াডোব</v>
      </c>
      <c r="J310" s="5" t="str">
        <f>IFERROR(__xludf.DUMMYFUNCTION("""COMPUTED_VALUE""")," গাংনী")</f>
        <v> গাংনী</v>
      </c>
      <c r="K310" s="5" t="str">
        <f>IFERROR(__xludf.DUMMYFUNCTION("""COMPUTED_VALUE""")," মেহেরপুর")</f>
        <v> মেহেরপুর</v>
      </c>
    </row>
    <row r="311" ht="15.75" customHeight="1">
      <c r="A311" s="7" t="s">
        <v>7176</v>
      </c>
      <c r="B311" s="5">
        <f>IFERROR(__xludf.DUMMYFUNCTION("SPLIT(A311,"","")"),2446.0)</f>
        <v>2446</v>
      </c>
      <c r="C311" s="5" t="str">
        <f>IFERROR(__xludf.DUMMYFUNCTION("""COMPUTED_VALUE"""),"নাম: নাজমা আক্তার")</f>
        <v>নাম: নাজমা আক্তার</v>
      </c>
      <c r="D311" s="5">
        <f>IFERROR(__xludf.DUMMYFUNCTION("""COMPUTED_VALUE"""),5.70038001629E11)</f>
        <v>570038001629</v>
      </c>
      <c r="E311" s="5" t="str">
        <f>IFERROR(__xludf.DUMMYFUNCTION("""COMPUTED_VALUE"""),"মোঃ আব্দুস সাত্তার")</f>
        <v>মোঃ আব্দুস সাত্তার</v>
      </c>
      <c r="F311" s="5" t="str">
        <f>IFERROR(__xludf.DUMMYFUNCTION("""COMPUTED_VALUE"""),"মাতা: সাহেরা খাতুন")</f>
        <v>মাতা: সাহেরা খাতুন</v>
      </c>
      <c r="G311" s="5" t="str">
        <f>IFERROR(__xludf.DUMMYFUNCTION("""COMPUTED_VALUE"""),"১০/১০/২০০০")</f>
        <v>১০/১০/২০০০</v>
      </c>
      <c r="H311" s="5" t="str">
        <f>IFERROR(__xludf.DUMMYFUNCTION("""COMPUTED_VALUE"""),"ছাত্র/ছাত্রী")</f>
        <v>ছাত্র/ছাত্রী</v>
      </c>
      <c r="I311" s="5" t="str">
        <f>IFERROR(__xludf.DUMMYFUNCTION("""COMPUTED_VALUE"""),"গাড়াডোব")</f>
        <v>গাড়াডোব</v>
      </c>
      <c r="J311" s="5" t="str">
        <f>IFERROR(__xludf.DUMMYFUNCTION("""COMPUTED_VALUE""")," গাংনী")</f>
        <v> গাংনী</v>
      </c>
      <c r="K311" s="5" t="str">
        <f>IFERROR(__xludf.DUMMYFUNCTION("""COMPUTED_VALUE""")," মেহেরপুর")</f>
        <v> মেহেরপুর</v>
      </c>
    </row>
    <row r="312" ht="15.75" customHeight="1">
      <c r="A312" s="7" t="s">
        <v>7177</v>
      </c>
      <c r="B312" s="5">
        <f>IFERROR(__xludf.DUMMYFUNCTION("SPLIT(A312,"","")"),2447.0)</f>
        <v>2447</v>
      </c>
      <c r="C312" s="5" t="str">
        <f>IFERROR(__xludf.DUMMYFUNCTION("""COMPUTED_VALUE"""),"মোছাঃ হিরা খাতুন")</f>
        <v>মোছাঃ হিরা খাতুন</v>
      </c>
      <c r="D312" s="5">
        <f>IFERROR(__xludf.DUMMYFUNCTION("""COMPUTED_VALUE"""),5.7003800163E11)</f>
        <v>570038001630</v>
      </c>
      <c r="E312" s="5" t="str">
        <f>IFERROR(__xludf.DUMMYFUNCTION("""COMPUTED_VALUE"""),"মোঃ জাহাঙ্গীর আলম")</f>
        <v>মোঃ জাহাঙ্গীর আলম</v>
      </c>
      <c r="F312" s="5" t="str">
        <f>IFERROR(__xludf.DUMMYFUNCTION("""COMPUTED_VALUE"""),"মোছাঃ নাছিমা খাতুন")</f>
        <v>মোছাঃ নাছিমা খাতুন</v>
      </c>
      <c r="G312" s="5" t="str">
        <f>IFERROR(__xludf.DUMMYFUNCTION("""COMPUTED_VALUE"""),"১৪/১১/১৯৯৭")</f>
        <v>১৪/১১/১৯৯৭</v>
      </c>
      <c r="H312" s="5" t="str">
        <f>IFERROR(__xludf.DUMMYFUNCTION("""COMPUTED_VALUE"""),"গৃহিনী")</f>
        <v>গৃহিনী</v>
      </c>
      <c r="I312" s="5" t="str">
        <f>IFERROR(__xludf.DUMMYFUNCTION("""COMPUTED_VALUE"""),"গাড়াডোব")</f>
        <v>গাড়াডোব</v>
      </c>
      <c r="J312" s="5" t="str">
        <f>IFERROR(__xludf.DUMMYFUNCTION("""COMPUTED_VALUE""")," গাংনী")</f>
        <v> গাংনী</v>
      </c>
      <c r="K312" s="5" t="str">
        <f>IFERROR(__xludf.DUMMYFUNCTION("""COMPUTED_VALUE""")," মেহেরপুর")</f>
        <v> মেহেরপুর</v>
      </c>
    </row>
    <row r="313" ht="15.75" customHeight="1">
      <c r="A313" s="7" t="s">
        <v>7178</v>
      </c>
      <c r="B313" s="5">
        <f>IFERROR(__xludf.DUMMYFUNCTION("SPLIT(A313,"","")"),2448.0)</f>
        <v>2448</v>
      </c>
      <c r="C313" s="5" t="str">
        <f>IFERROR(__xludf.DUMMYFUNCTION("""COMPUTED_VALUE"""),"মোছাঃ উর্মীলা খাতুন")</f>
        <v>মোছাঃ উর্মীলা খাতুন</v>
      </c>
      <c r="D313" s="5">
        <f>IFERROR(__xludf.DUMMYFUNCTION("""COMPUTED_VALUE"""),5.70038001631E11)</f>
        <v>570038001631</v>
      </c>
      <c r="E313" s="5" t="str">
        <f>IFERROR(__xludf.DUMMYFUNCTION("""COMPUTED_VALUE"""),"মোঃ জিয়া হোসেন")</f>
        <v>মোঃ জিয়া হোসেন</v>
      </c>
      <c r="F313" s="5" t="str">
        <f>IFERROR(__xludf.DUMMYFUNCTION("""COMPUTED_VALUE"""),"মাতা: পপি খাতুন")</f>
        <v>মাতা: পপি খাতুন</v>
      </c>
      <c r="G313" s="5" t="str">
        <f>IFERROR(__xludf.DUMMYFUNCTION("""COMPUTED_VALUE"""),"২০/০৬/২০০৩")</f>
        <v>২০/০৬/২০০৩</v>
      </c>
      <c r="H313" s="5" t="str">
        <f>IFERROR(__xludf.DUMMYFUNCTION("""COMPUTED_VALUE"""),"ছাত্র/ছাত্রী")</f>
        <v>ছাত্র/ছাত্রী</v>
      </c>
      <c r="I313" s="5" t="str">
        <f>IFERROR(__xludf.DUMMYFUNCTION("""COMPUTED_VALUE"""),"গাড়াডোব")</f>
        <v>গাড়াডোব</v>
      </c>
      <c r="J313" s="5" t="str">
        <f>IFERROR(__xludf.DUMMYFUNCTION("""COMPUTED_VALUE""")," গাংনী")</f>
        <v> গাংনী</v>
      </c>
      <c r="K313" s="5" t="str">
        <f>IFERROR(__xludf.DUMMYFUNCTION("""COMPUTED_VALUE""")," মেহেরপুর")</f>
        <v> মেহেরপুর</v>
      </c>
    </row>
    <row r="314" ht="15.75" customHeight="1">
      <c r="A314" s="7" t="s">
        <v>7179</v>
      </c>
      <c r="B314" s="5">
        <f>IFERROR(__xludf.DUMMYFUNCTION("SPLIT(A314,"","")"),2449.0)</f>
        <v>2449</v>
      </c>
      <c r="C314" s="5" t="str">
        <f>IFERROR(__xludf.DUMMYFUNCTION("""COMPUTED_VALUE"""),"মোছাঃ ফাহমিদা আক্তার")</f>
        <v>মোছাঃ ফাহমিদা আক্তার</v>
      </c>
      <c r="D314" s="5">
        <f>IFERROR(__xludf.DUMMYFUNCTION("""COMPUTED_VALUE"""),5.70038001632E11)</f>
        <v>570038001632</v>
      </c>
      <c r="E314" s="5" t="str">
        <f>IFERROR(__xludf.DUMMYFUNCTION("""COMPUTED_VALUE"""),"মোঃ ফিরোজ আলী")</f>
        <v>মোঃ ফিরোজ আলী</v>
      </c>
      <c r="F314" s="5" t="str">
        <f>IFERROR(__xludf.DUMMYFUNCTION("""COMPUTED_VALUE"""),"মোছাঃ নাজমীননারা")</f>
        <v>মোছাঃ নাজমীননারা</v>
      </c>
      <c r="G314" s="5" t="str">
        <f>IFERROR(__xludf.DUMMYFUNCTION("""COMPUTED_VALUE"""),"২০/০৫/২০০৩")</f>
        <v>২০/০৫/২০০৩</v>
      </c>
      <c r="H314" s="5" t="str">
        <f>IFERROR(__xludf.DUMMYFUNCTION("""COMPUTED_VALUE"""),"ছাত্র/ছাত্রী")</f>
        <v>ছাত্র/ছাত্রী</v>
      </c>
      <c r="I314" s="5" t="str">
        <f>IFERROR(__xludf.DUMMYFUNCTION("""COMPUTED_VALUE"""),"গাড়াডোব")</f>
        <v>গাড়াডোব</v>
      </c>
      <c r="J314" s="5" t="str">
        <f>IFERROR(__xludf.DUMMYFUNCTION("""COMPUTED_VALUE""")," গাংনী")</f>
        <v> গাংনী</v>
      </c>
      <c r="K314" s="5" t="str">
        <f>IFERROR(__xludf.DUMMYFUNCTION("""COMPUTED_VALUE""")," মেহেরপুর")</f>
        <v> মেহেরপুর</v>
      </c>
    </row>
    <row r="315" ht="15.75" customHeight="1">
      <c r="A315" s="7" t="s">
        <v>7180</v>
      </c>
      <c r="B315" s="5">
        <f>IFERROR(__xludf.DUMMYFUNCTION("SPLIT(A315,"","")"),2450.0)</f>
        <v>2450</v>
      </c>
      <c r="C315" s="5" t="str">
        <f>IFERROR(__xludf.DUMMYFUNCTION("""COMPUTED_VALUE"""),"মোছাঃ সাগরী খাতুন")</f>
        <v>মোছাঃ সাগরী খাতুন</v>
      </c>
      <c r="D315" s="5">
        <f>IFERROR(__xludf.DUMMYFUNCTION("""COMPUTED_VALUE"""),5.70038001633E11)</f>
        <v>570038001633</v>
      </c>
      <c r="E315" s="5" t="str">
        <f>IFERROR(__xludf.DUMMYFUNCTION("""COMPUTED_VALUE"""),"আজগর আলী")</f>
        <v>আজগর আলী</v>
      </c>
      <c r="F315" s="5" t="str">
        <f>IFERROR(__xludf.DUMMYFUNCTION("""COMPUTED_VALUE"""),"মোছাঃ বানুয়ারা")</f>
        <v>মোছাঃ বানুয়ারা</v>
      </c>
      <c r="G315" s="5" t="str">
        <f>IFERROR(__xludf.DUMMYFUNCTION("""COMPUTED_VALUE"""),"০১/০২/২০০০")</f>
        <v>০১/০২/২০০০</v>
      </c>
      <c r="H315" s="5" t="str">
        <f>IFERROR(__xludf.DUMMYFUNCTION("""COMPUTED_VALUE"""),"গৃহিনী")</f>
        <v>গৃহিনী</v>
      </c>
      <c r="I315" s="5" t="str">
        <f>IFERROR(__xludf.DUMMYFUNCTION("""COMPUTED_VALUE"""),"গাড়াডোব")</f>
        <v>গাড়াডোব</v>
      </c>
      <c r="J315" s="5" t="str">
        <f>IFERROR(__xludf.DUMMYFUNCTION("""COMPUTED_VALUE""")," গাংনী")</f>
        <v> গাংনী</v>
      </c>
      <c r="K315" s="5" t="str">
        <f>IFERROR(__xludf.DUMMYFUNCTION("""COMPUTED_VALUE""")," মেহেরপুর")</f>
        <v> মেহেরপুর</v>
      </c>
    </row>
    <row r="316" ht="15.75" customHeight="1">
      <c r="A316" s="7" t="s">
        <v>7181</v>
      </c>
      <c r="B316" s="5">
        <f>IFERROR(__xludf.DUMMYFUNCTION("SPLIT(A316,"","")"),2451.0)</f>
        <v>2451</v>
      </c>
      <c r="C316" s="5" t="str">
        <f>IFERROR(__xludf.DUMMYFUNCTION("""COMPUTED_VALUE"""),"মোছাঃ সাবরিনা আক্তার")</f>
        <v>মোছাঃ সাবরিনা আক্তার</v>
      </c>
      <c r="D316" s="5">
        <f>IFERROR(__xludf.DUMMYFUNCTION("""COMPUTED_VALUE"""),5.70038001637E11)</f>
        <v>570038001637</v>
      </c>
      <c r="E316" s="5" t="str">
        <f>IFERROR(__xludf.DUMMYFUNCTION("""COMPUTED_VALUE"""),"মোঃ সামাদুল ইসলাম")</f>
        <v>মোঃ সামাদুল ইসলাম</v>
      </c>
      <c r="F316" s="5" t="str">
        <f>IFERROR(__xludf.DUMMYFUNCTION("""COMPUTED_VALUE"""),"মোছাঃ সালমা খাতুন")</f>
        <v>মোছাঃ সালমা খাতুন</v>
      </c>
      <c r="G316" s="5" t="str">
        <f>IFERROR(__xludf.DUMMYFUNCTION("""COMPUTED_VALUE"""),"০৪/১২/২০০২")</f>
        <v>০৪/১২/২০০২</v>
      </c>
      <c r="H316" s="5" t="str">
        <f>IFERROR(__xludf.DUMMYFUNCTION("""COMPUTED_VALUE"""),"ছাত্র/ছাত্রী")</f>
        <v>ছাত্র/ছাত্রী</v>
      </c>
      <c r="I316" s="5" t="str">
        <f>IFERROR(__xludf.DUMMYFUNCTION("""COMPUTED_VALUE"""),"গাড়াডোব")</f>
        <v>গাড়াডোব</v>
      </c>
      <c r="J316" s="5" t="str">
        <f>IFERROR(__xludf.DUMMYFUNCTION("""COMPUTED_VALUE""")," গাংনী")</f>
        <v> গাংনী</v>
      </c>
      <c r="K316" s="5" t="str">
        <f>IFERROR(__xludf.DUMMYFUNCTION("""COMPUTED_VALUE""")," মেহেরপুর")</f>
        <v> মেহেরপুর</v>
      </c>
    </row>
    <row r="317" ht="15.75" customHeight="1">
      <c r="A317" s="7" t="s">
        <v>7182</v>
      </c>
      <c r="B317" s="5">
        <f>IFERROR(__xludf.DUMMYFUNCTION("SPLIT(A317,"","")"),2452.0)</f>
        <v>2452</v>
      </c>
      <c r="C317" s="5" t="str">
        <f>IFERROR(__xludf.DUMMYFUNCTION("""COMPUTED_VALUE"""),"মোছাঃ সাথী")</f>
        <v>মোছাঃ সাথী</v>
      </c>
      <c r="D317" s="5">
        <f>IFERROR(__xludf.DUMMYFUNCTION("""COMPUTED_VALUE"""),5.70038001638E11)</f>
        <v>570038001638</v>
      </c>
      <c r="E317" s="5" t="str">
        <f>IFERROR(__xludf.DUMMYFUNCTION("""COMPUTED_VALUE"""),"মোঃ আবু ছিদ্দীক")</f>
        <v>মোঃ আবু ছিদ্দীক</v>
      </c>
      <c r="F317" s="5" t="str">
        <f>IFERROR(__xludf.DUMMYFUNCTION("""COMPUTED_VALUE"""),"মোছাঃ জেসমিন")</f>
        <v>মোছাঃ জেসমিন</v>
      </c>
      <c r="G317" s="5" t="str">
        <f>IFERROR(__xludf.DUMMYFUNCTION("""COMPUTED_VALUE"""),"০৫/০৭/১৯৯৯")</f>
        <v>০৫/০৭/১৯৯৯</v>
      </c>
      <c r="H317" s="5" t="str">
        <f>IFERROR(__xludf.DUMMYFUNCTION("""COMPUTED_VALUE"""),"গৃহিনী")</f>
        <v>গৃহিনী</v>
      </c>
      <c r="I317" s="5" t="str">
        <f>IFERROR(__xludf.DUMMYFUNCTION("""COMPUTED_VALUE"""),"গাড়াডোব")</f>
        <v>গাড়াডোব</v>
      </c>
      <c r="J317" s="5" t="str">
        <f>IFERROR(__xludf.DUMMYFUNCTION("""COMPUTED_VALUE""")," গাংনী")</f>
        <v> গাংনী</v>
      </c>
      <c r="K317" s="5" t="str">
        <f>IFERROR(__xludf.DUMMYFUNCTION("""COMPUTED_VALUE""")," মেহেরপুর")</f>
        <v> মেহেরপুর</v>
      </c>
    </row>
    <row r="318" ht="15.75" customHeight="1">
      <c r="A318" s="7" t="s">
        <v>7183</v>
      </c>
      <c r="B318" s="5">
        <f>IFERROR(__xludf.DUMMYFUNCTION("SPLIT(A318,"","")"),2453.0)</f>
        <v>2453</v>
      </c>
      <c r="C318" s="5" t="str">
        <f>IFERROR(__xludf.DUMMYFUNCTION("""COMPUTED_VALUE"""),"মোছাঃ রুবি খাতুন")</f>
        <v>মোছাঃ রুবি খাতুন</v>
      </c>
      <c r="D318" s="5">
        <f>IFERROR(__xludf.DUMMYFUNCTION("""COMPUTED_VALUE"""),5.7003800164E11)</f>
        <v>570038001640</v>
      </c>
      <c r="E318" s="5" t="str">
        <f>IFERROR(__xludf.DUMMYFUNCTION("""COMPUTED_VALUE"""),"মোঃ আলী রহমান")</f>
        <v>মোঃ আলী রহমান</v>
      </c>
      <c r="F318" s="5" t="str">
        <f>IFERROR(__xludf.DUMMYFUNCTION("""COMPUTED_VALUE"""),"মোছাঃ ফিরোজা খাতুন")</f>
        <v>মোছাঃ ফিরোজা খাতুন</v>
      </c>
      <c r="G318" s="5" t="str">
        <f>IFERROR(__xludf.DUMMYFUNCTION("""COMPUTED_VALUE"""),"০৫/০৮/২০০৩")</f>
        <v>০৫/০৮/২০০৩</v>
      </c>
      <c r="H318" s="5" t="str">
        <f>IFERROR(__xludf.DUMMYFUNCTION("""COMPUTED_VALUE"""),"ছাত্র/ছাত্রী")</f>
        <v>ছাত্র/ছাত্রী</v>
      </c>
      <c r="I318" s="5" t="str">
        <f>IFERROR(__xludf.DUMMYFUNCTION("""COMPUTED_VALUE"""),"গাড়াডোব")</f>
        <v>গাড়াডোব</v>
      </c>
      <c r="J318" s="5" t="str">
        <f>IFERROR(__xludf.DUMMYFUNCTION("""COMPUTED_VALUE""")," গাংনী")</f>
        <v> গাংনী</v>
      </c>
      <c r="K318" s="5" t="str">
        <f>IFERROR(__xludf.DUMMYFUNCTION("""COMPUTED_VALUE""")," মেহেরপুর")</f>
        <v> মেহেরপুর</v>
      </c>
    </row>
    <row r="319" ht="15.75" customHeight="1">
      <c r="A319" s="7" t="s">
        <v>7184</v>
      </c>
      <c r="B319" s="5">
        <f>IFERROR(__xludf.DUMMYFUNCTION("SPLIT(A319,"","")"),2454.0)</f>
        <v>2454</v>
      </c>
      <c r="C319" s="5" t="str">
        <f>IFERROR(__xludf.DUMMYFUNCTION("""COMPUTED_VALUE"""),"মোছাঃ সিনথিয়া খাতুন")</f>
        <v>মোছাঃ সিনথিয়া খাতুন</v>
      </c>
      <c r="D319" s="5">
        <f>IFERROR(__xludf.DUMMYFUNCTION("""COMPUTED_VALUE"""),5.70038001642E11)</f>
        <v>570038001642</v>
      </c>
      <c r="E319" s="5" t="str">
        <f>IFERROR(__xludf.DUMMYFUNCTION("""COMPUTED_VALUE"""),"মোঃ শিরহান খান")</f>
        <v>মোঃ শিরহান খান</v>
      </c>
      <c r="F319" s="5" t="str">
        <f>IFERROR(__xludf.DUMMYFUNCTION("""COMPUTED_VALUE"""),"মাতা: মোছাঃ পপি খাতুন")</f>
        <v>মাতা: মোছাঃ পপি খাতুন</v>
      </c>
      <c r="G319" s="5" t="str">
        <f>IFERROR(__xludf.DUMMYFUNCTION("""COMPUTED_VALUE"""),"১০/১০/১৯৯৭")</f>
        <v>১০/১০/১৯৯৭</v>
      </c>
      <c r="H319" s="5" t="str">
        <f>IFERROR(__xludf.DUMMYFUNCTION("""COMPUTED_VALUE"""),"গৃহিনী")</f>
        <v>গৃহিনী</v>
      </c>
      <c r="I319" s="5" t="str">
        <f>IFERROR(__xludf.DUMMYFUNCTION("""COMPUTED_VALUE"""),"গাড়াডোব")</f>
        <v>গাড়াডোব</v>
      </c>
      <c r="J319" s="5" t="str">
        <f>IFERROR(__xludf.DUMMYFUNCTION("""COMPUTED_VALUE""")," গাংনী")</f>
        <v> গাংনী</v>
      </c>
      <c r="K319" s="5" t="str">
        <f>IFERROR(__xludf.DUMMYFUNCTION("""COMPUTED_VALUE""")," মেহেরপুর")</f>
        <v> মেহেরপুর</v>
      </c>
    </row>
    <row r="320" ht="15.75" customHeight="1">
      <c r="A320" s="7" t="s">
        <v>7185</v>
      </c>
      <c r="B320" s="5">
        <f>IFERROR(__xludf.DUMMYFUNCTION("SPLIT(A320,"","")"),2455.0)</f>
        <v>2455</v>
      </c>
      <c r="C320" s="5" t="str">
        <f>IFERROR(__xludf.DUMMYFUNCTION("""COMPUTED_VALUE"""),"মোছাঃ বিথি খাতুন")</f>
        <v>মোছাঃ বিথি খাতুন</v>
      </c>
      <c r="D320" s="5">
        <f>IFERROR(__xludf.DUMMYFUNCTION("""COMPUTED_VALUE"""),5.70038001643E11)</f>
        <v>570038001643</v>
      </c>
      <c r="E320" s="5" t="str">
        <f>IFERROR(__xludf.DUMMYFUNCTION("""COMPUTED_VALUE"""),"মোঃ আতিয়ার রহমান")</f>
        <v>মোঃ আতিয়ার রহমান</v>
      </c>
      <c r="F320" s="5" t="str">
        <f>IFERROR(__xludf.DUMMYFUNCTION("""COMPUTED_VALUE"""),"মাতা: জিন্নাতন")</f>
        <v>মাতা: জিন্নাতন</v>
      </c>
      <c r="G320" s="5" t="str">
        <f>IFERROR(__xludf.DUMMYFUNCTION("""COMPUTED_VALUE"""),"১৫/০৬/২০০৩")</f>
        <v>১৫/০৬/২০০৩</v>
      </c>
      <c r="H320" s="5" t="str">
        <f>IFERROR(__xludf.DUMMYFUNCTION("""COMPUTED_VALUE"""),"গৃহিনী")</f>
        <v>গৃহিনী</v>
      </c>
      <c r="I320" s="5" t="str">
        <f>IFERROR(__xludf.DUMMYFUNCTION("""COMPUTED_VALUE"""),"গাড়াডোব")</f>
        <v>গাড়াডোব</v>
      </c>
      <c r="J320" s="5" t="str">
        <f>IFERROR(__xludf.DUMMYFUNCTION("""COMPUTED_VALUE""")," গাংনী")</f>
        <v> গাংনী</v>
      </c>
      <c r="K320" s="5" t="str">
        <f>IFERROR(__xludf.DUMMYFUNCTION("""COMPUTED_VALUE""")," মেহেরপুর")</f>
        <v> মেহেরপুর</v>
      </c>
    </row>
    <row r="321" ht="15.75" customHeight="1">
      <c r="A321" s="7" t="s">
        <v>7186</v>
      </c>
      <c r="B321" s="5">
        <f>IFERROR(__xludf.DUMMYFUNCTION("SPLIT(A321,"","")"),2456.0)</f>
        <v>2456</v>
      </c>
      <c r="C321" s="5" t="str">
        <f>IFERROR(__xludf.DUMMYFUNCTION("""COMPUTED_VALUE"""),"নাম: ফাতেমা তুজ জহুরা")</f>
        <v>নাম: ফাতেমা তুজ জহুরা</v>
      </c>
      <c r="D321" s="5">
        <f>IFERROR(__xludf.DUMMYFUNCTION("""COMPUTED_VALUE"""),5.70038001648E11)</f>
        <v>570038001648</v>
      </c>
      <c r="E321" s="5" t="str">
        <f>IFERROR(__xludf.DUMMYFUNCTION("""COMPUTED_VALUE"""),"মোঃ আবুল হোসেন")</f>
        <v>মোঃ আবুল হোসেন</v>
      </c>
      <c r="F321" s="5" t="str">
        <f>IFERROR(__xludf.DUMMYFUNCTION("""COMPUTED_VALUE"""),"মাতা: নাসিমা পারভীন")</f>
        <v>মাতা: নাসিমা পারভীন</v>
      </c>
      <c r="G321" s="5" t="str">
        <f>IFERROR(__xludf.DUMMYFUNCTION("""COMPUTED_VALUE"""),"০৩/০৯/১৯৯৩")</f>
        <v>০৩/০৯/১৯৯৩</v>
      </c>
      <c r="H321" s="5" t="str">
        <f>IFERROR(__xludf.DUMMYFUNCTION("""COMPUTED_VALUE"""),"গৃহিনী")</f>
        <v>গৃহিনী</v>
      </c>
      <c r="I321" s="5" t="str">
        <f>IFERROR(__xludf.DUMMYFUNCTION("""COMPUTED_VALUE"""),"গাড়াডোব")</f>
        <v>গাড়াডোব</v>
      </c>
      <c r="J321" s="5" t="str">
        <f>IFERROR(__xludf.DUMMYFUNCTION("""COMPUTED_VALUE""")," গাংনী")</f>
        <v> গাংনী</v>
      </c>
      <c r="K321" s="5" t="str">
        <f>IFERROR(__xludf.DUMMYFUNCTION("""COMPUTED_VALUE""")," মেহেরপুর")</f>
        <v> মেহেরপুর</v>
      </c>
    </row>
    <row r="322" ht="15.75" customHeight="1">
      <c r="A322" s="7" t="s">
        <v>7187</v>
      </c>
      <c r="B322" s="5">
        <f>IFERROR(__xludf.DUMMYFUNCTION("SPLIT(A322,"","")"),2457.0)</f>
        <v>2457</v>
      </c>
      <c r="C322" s="5" t="str">
        <f>IFERROR(__xludf.DUMMYFUNCTION("""COMPUTED_VALUE"""),"মোছাঃ সারজিনা খাতুন")</f>
        <v>মোছাঃ সারজিনা খাতুন</v>
      </c>
      <c r="D322" s="5">
        <f>IFERROR(__xludf.DUMMYFUNCTION("""COMPUTED_VALUE"""),5.70038001649E11)</f>
        <v>570038001649</v>
      </c>
      <c r="E322" s="5" t="str">
        <f>IFERROR(__xludf.DUMMYFUNCTION("""COMPUTED_VALUE"""),"মোঃ জিয়াউর রহমান")</f>
        <v>মোঃ জিয়াউর রহমান</v>
      </c>
      <c r="F322" s="5" t="str">
        <f>IFERROR(__xludf.DUMMYFUNCTION("""COMPUTED_VALUE"""),"মোছাঃ নার্গিস খাতুন")</f>
        <v>মোছাঃ নার্গিস খাতুন</v>
      </c>
      <c r="G322" s="5" t="str">
        <f>IFERROR(__xludf.DUMMYFUNCTION("""COMPUTED_VALUE"""),"০২/০১/২০০৩")</f>
        <v>০২/০১/২০০৩</v>
      </c>
      <c r="H322" s="5" t="str">
        <f>IFERROR(__xludf.DUMMYFUNCTION("""COMPUTED_VALUE"""),"ছাত্র/ছাত্রী")</f>
        <v>ছাত্র/ছাত্রী</v>
      </c>
      <c r="I322" s="5" t="str">
        <f>IFERROR(__xludf.DUMMYFUNCTION("""COMPUTED_VALUE"""),"গাড়াডোব")</f>
        <v>গাড়াডোব</v>
      </c>
      <c r="J322" s="5" t="str">
        <f>IFERROR(__xludf.DUMMYFUNCTION("""COMPUTED_VALUE""")," গাংনী")</f>
        <v> গাংনী</v>
      </c>
      <c r="K322" s="5" t="str">
        <f>IFERROR(__xludf.DUMMYFUNCTION("""COMPUTED_VALUE""")," মেহেরপুর")</f>
        <v> মেহেরপুর</v>
      </c>
    </row>
    <row r="323" ht="15.75" customHeight="1">
      <c r="A323" s="7" t="s">
        <v>7188</v>
      </c>
      <c r="B323" s="5">
        <f>IFERROR(__xludf.DUMMYFUNCTION("SPLIT(A323,"","")"),2458.0)</f>
        <v>2458</v>
      </c>
      <c r="C323" s="5" t="str">
        <f>IFERROR(__xludf.DUMMYFUNCTION("""COMPUTED_VALUE"""),"মোছাঃ ফাতেমা")</f>
        <v>মোছাঃ ফাতেমা</v>
      </c>
      <c r="D323" s="5">
        <f>IFERROR(__xludf.DUMMYFUNCTION("""COMPUTED_VALUE"""),5.70038001651E11)</f>
        <v>570038001651</v>
      </c>
      <c r="E323" s="5" t="str">
        <f>IFERROR(__xludf.DUMMYFUNCTION("""COMPUTED_VALUE"""),"মোঃ জিনারুল")</f>
        <v>মোঃ জিনারুল</v>
      </c>
      <c r="F323" s="5" t="str">
        <f>IFERROR(__xludf.DUMMYFUNCTION("""COMPUTED_VALUE"""),"মোছাঃ কল্পনা")</f>
        <v>মোছাঃ কল্পনা</v>
      </c>
      <c r="G323" s="5" t="str">
        <f>IFERROR(__xludf.DUMMYFUNCTION("""COMPUTED_VALUE"""),"০৫/০১/২০০০")</f>
        <v>০৫/০১/২০০০</v>
      </c>
      <c r="H323" s="5" t="str">
        <f>IFERROR(__xludf.DUMMYFUNCTION("""COMPUTED_VALUE"""),"গৃহিনী")</f>
        <v>গৃহিনী</v>
      </c>
      <c r="I323" s="5" t="str">
        <f>IFERROR(__xludf.DUMMYFUNCTION("""COMPUTED_VALUE"""),"গাড়াডোব")</f>
        <v>গাড়াডোব</v>
      </c>
      <c r="J323" s="5" t="str">
        <f>IFERROR(__xludf.DUMMYFUNCTION("""COMPUTED_VALUE""")," গাংনী")</f>
        <v> গাংনী</v>
      </c>
      <c r="K323" s="5" t="str">
        <f>IFERROR(__xludf.DUMMYFUNCTION("""COMPUTED_VALUE""")," মেহেরপুর")</f>
        <v> মেহেরপুর</v>
      </c>
    </row>
    <row r="324" ht="15.75" customHeight="1">
      <c r="A324" s="7" t="s">
        <v>7189</v>
      </c>
      <c r="B324" s="5">
        <f>IFERROR(__xludf.DUMMYFUNCTION("SPLIT(A324,"","")"),2459.0)</f>
        <v>2459</v>
      </c>
      <c r="C324" s="5" t="str">
        <f>IFERROR(__xludf.DUMMYFUNCTION("""COMPUTED_VALUE"""),"মোছাঃ কানিজ ফাতেমা")</f>
        <v>মোছাঃ কানিজ ফাতেমা</v>
      </c>
      <c r="D324" s="5">
        <f>IFERROR(__xludf.DUMMYFUNCTION("""COMPUTED_VALUE"""),5.70038001653E11)</f>
        <v>570038001653</v>
      </c>
      <c r="E324" s="5" t="str">
        <f>IFERROR(__xludf.DUMMYFUNCTION("""COMPUTED_VALUE"""),"মোঃ আনারুল ইসলাম")</f>
        <v>মোঃ আনারুল ইসলাম</v>
      </c>
      <c r="F324" s="5" t="str">
        <f>IFERROR(__xludf.DUMMYFUNCTION("""COMPUTED_VALUE"""),"মোছাঃ আলেয়া বেগম")</f>
        <v>মোছাঃ আলেয়া বেগম</v>
      </c>
      <c r="G324" s="5" t="str">
        <f>IFERROR(__xludf.DUMMYFUNCTION("""COMPUTED_VALUE"""),"২৩/১০/১৯৯৯")</f>
        <v>২৩/১০/১৯৯৯</v>
      </c>
      <c r="H324" s="5" t="str">
        <f>IFERROR(__xludf.DUMMYFUNCTION("""COMPUTED_VALUE"""),"ছাত্র/ছাত্রী")</f>
        <v>ছাত্র/ছাত্রী</v>
      </c>
      <c r="I324" s="5" t="str">
        <f>IFERROR(__xludf.DUMMYFUNCTION("""COMPUTED_VALUE"""),"গাড়াডোব")</f>
        <v>গাড়াডোব</v>
      </c>
      <c r="J324" s="5" t="str">
        <f>IFERROR(__xludf.DUMMYFUNCTION("""COMPUTED_VALUE""")," গাংনী")</f>
        <v> গাংনী</v>
      </c>
      <c r="K324" s="5" t="str">
        <f>IFERROR(__xludf.DUMMYFUNCTION("""COMPUTED_VALUE""")," মেহেরপুর")</f>
        <v> মেহেরপুর</v>
      </c>
    </row>
    <row r="325" ht="15.75" customHeight="1">
      <c r="A325" s="7" t="s">
        <v>7190</v>
      </c>
      <c r="B325" s="5">
        <f>IFERROR(__xludf.DUMMYFUNCTION("SPLIT(A325,"","")"),2460.0)</f>
        <v>2460</v>
      </c>
      <c r="C325" s="5" t="str">
        <f>IFERROR(__xludf.DUMMYFUNCTION("""COMPUTED_VALUE"""),"মোছাঃ জমেলা খাতুন")</f>
        <v>মোছাঃ জমেলা খাতুন</v>
      </c>
      <c r="D325" s="5">
        <f>IFERROR(__xludf.DUMMYFUNCTION("""COMPUTED_VALUE"""),5.70038001655E11)</f>
        <v>570038001655</v>
      </c>
      <c r="E325" s="5" t="str">
        <f>IFERROR(__xludf.DUMMYFUNCTION("""COMPUTED_VALUE"""),"মোঃ জামিরুল ইসলাম")</f>
        <v>মোঃ জামিরুল ইসলাম</v>
      </c>
      <c r="F325" s="5" t="str">
        <f>IFERROR(__xludf.DUMMYFUNCTION("""COMPUTED_VALUE"""),"মোছাঃ চাম্পা খাতুন")</f>
        <v>মোছাঃ চাম্পা খাতুন</v>
      </c>
      <c r="G325" s="5" t="str">
        <f>IFERROR(__xludf.DUMMYFUNCTION("""COMPUTED_VALUE"""),"২০/০৫/২০০১")</f>
        <v>২০/০৫/২০০১</v>
      </c>
      <c r="H325" s="5" t="str">
        <f>IFERROR(__xludf.DUMMYFUNCTION("""COMPUTED_VALUE"""),"গৃহিনী")</f>
        <v>গৃহিনী</v>
      </c>
      <c r="I325" s="5" t="str">
        <f>IFERROR(__xludf.DUMMYFUNCTION("""COMPUTED_VALUE"""),"গাড়াডোব")</f>
        <v>গাড়াডোব</v>
      </c>
      <c r="J325" s="5" t="str">
        <f>IFERROR(__xludf.DUMMYFUNCTION("""COMPUTED_VALUE""")," গাংনী")</f>
        <v> গাংনী</v>
      </c>
      <c r="K325" s="5" t="str">
        <f>IFERROR(__xludf.DUMMYFUNCTION("""COMPUTED_VALUE""")," মেহেরপুর")</f>
        <v> মেহেরপুর</v>
      </c>
    </row>
    <row r="326" ht="15.75" customHeight="1">
      <c r="A326" s="7" t="s">
        <v>7191</v>
      </c>
      <c r="B326" s="5">
        <f>IFERROR(__xludf.DUMMYFUNCTION("SPLIT(A326,"","")"),2461.0)</f>
        <v>2461</v>
      </c>
      <c r="C326" s="5" t="str">
        <f>IFERROR(__xludf.DUMMYFUNCTION("""COMPUTED_VALUE"""),"মোছাঃ নাজমা খাতুন")</f>
        <v>মোছাঃ নাজমা খাতুন</v>
      </c>
      <c r="D326" s="5">
        <f>IFERROR(__xludf.DUMMYFUNCTION("""COMPUTED_VALUE"""),5.70038001658E11)</f>
        <v>570038001658</v>
      </c>
      <c r="E326" s="5" t="str">
        <f>IFERROR(__xludf.DUMMYFUNCTION("""COMPUTED_VALUE"""),"মোঃ নজরুল ইসলাম")</f>
        <v>মোঃ নজরুল ইসলাম</v>
      </c>
      <c r="F326" s="5" t="str">
        <f>IFERROR(__xludf.DUMMYFUNCTION("""COMPUTED_VALUE"""),"মোছাঃ জামেনা খাতুন")</f>
        <v>মোছাঃ জামেনা খাতুন</v>
      </c>
      <c r="G326" s="5" t="str">
        <f>IFERROR(__xludf.DUMMYFUNCTION("""COMPUTED_VALUE"""),"১৮/০৭/২০০১")</f>
        <v>১৮/০৭/২০০১</v>
      </c>
      <c r="H326" s="5" t="str">
        <f>IFERROR(__xludf.DUMMYFUNCTION("""COMPUTED_VALUE"""),"ছাত্র/ছাত্রী")</f>
        <v>ছাত্র/ছাত্রী</v>
      </c>
      <c r="I326" s="5" t="str">
        <f>IFERROR(__xludf.DUMMYFUNCTION("""COMPUTED_VALUE"""),"গাড়াডোব")</f>
        <v>গাড়াডোব</v>
      </c>
      <c r="J326" s="5" t="str">
        <f>IFERROR(__xludf.DUMMYFUNCTION("""COMPUTED_VALUE""")," গাংনী")</f>
        <v> গাংনী</v>
      </c>
      <c r="K326" s="5" t="str">
        <f>IFERROR(__xludf.DUMMYFUNCTION("""COMPUTED_VALUE""")," মেহেরপুর")</f>
        <v> মেহেরপুর</v>
      </c>
    </row>
    <row r="327" ht="15.75" customHeight="1">
      <c r="A327" s="7" t="s">
        <v>7192</v>
      </c>
      <c r="B327" s="5">
        <f>IFERROR(__xludf.DUMMYFUNCTION("SPLIT(A327,"","")"),2462.0)</f>
        <v>2462</v>
      </c>
      <c r="C327" s="5" t="str">
        <f>IFERROR(__xludf.DUMMYFUNCTION("""COMPUTED_VALUE"""),"মোছাঃ আকিয়া")</f>
        <v>মোছাঃ আকিয়া</v>
      </c>
      <c r="D327" s="5">
        <f>IFERROR(__xludf.DUMMYFUNCTION("""COMPUTED_VALUE"""),5.70038001659E11)</f>
        <v>570038001659</v>
      </c>
      <c r="E327" s="5" t="str">
        <f>IFERROR(__xludf.DUMMYFUNCTION("""COMPUTED_VALUE"""),"মোঃ আলমগীর")</f>
        <v>মোঃ আলমগীর</v>
      </c>
      <c r="F327" s="5" t="str">
        <f>IFERROR(__xludf.DUMMYFUNCTION("""COMPUTED_VALUE"""),"মোছাঃ ফুলবড়ি")</f>
        <v>মোছাঃ ফুলবড়ি</v>
      </c>
      <c r="G327" s="5" t="str">
        <f>IFERROR(__xludf.DUMMYFUNCTION("""COMPUTED_VALUE"""),"০৩/১০/২০০১")</f>
        <v>০৩/১০/২০০১</v>
      </c>
      <c r="H327" s="5" t="str">
        <f>IFERROR(__xludf.DUMMYFUNCTION("""COMPUTED_VALUE"""),"গৃহিনী")</f>
        <v>গৃহিনী</v>
      </c>
      <c r="I327" s="5" t="str">
        <f>IFERROR(__xludf.DUMMYFUNCTION("""COMPUTED_VALUE"""),"গাড়াডোব")</f>
        <v>গাড়াডোব</v>
      </c>
      <c r="J327" s="5" t="str">
        <f>IFERROR(__xludf.DUMMYFUNCTION("""COMPUTED_VALUE""")," গাংনী")</f>
        <v> গাংনী</v>
      </c>
      <c r="K327" s="5" t="str">
        <f>IFERROR(__xludf.DUMMYFUNCTION("""COMPUTED_VALUE""")," মেহেরপুর")</f>
        <v> মেহেরপুর</v>
      </c>
    </row>
    <row r="328" ht="15.75" customHeight="1">
      <c r="A328" s="7" t="s">
        <v>7193</v>
      </c>
      <c r="B328" s="5">
        <f>IFERROR(__xludf.DUMMYFUNCTION("SPLIT(A328,"","")"),2463.0)</f>
        <v>2463</v>
      </c>
      <c r="C328" s="5" t="str">
        <f>IFERROR(__xludf.DUMMYFUNCTION("""COMPUTED_VALUE"""),"মোছাঃ লিপিয়ারা খাতুন")</f>
        <v>মোছাঃ লিপিয়ারা খাতুন</v>
      </c>
      <c r="D328" s="5">
        <f>IFERROR(__xludf.DUMMYFUNCTION("""COMPUTED_VALUE"""),5.7003800166E11)</f>
        <v>570038001660</v>
      </c>
      <c r="E328" s="5" t="str">
        <f>IFERROR(__xludf.DUMMYFUNCTION("""COMPUTED_VALUE"""),"মোঃ আব্দুল মজিদ")</f>
        <v>মোঃ আব্দুল মজিদ</v>
      </c>
      <c r="F328" s="5" t="str">
        <f>IFERROR(__xludf.DUMMYFUNCTION("""COMPUTED_VALUE"""),"মোছাঃ খালেদা খাতুন")</f>
        <v>মোছাঃ খালেদা খাতুন</v>
      </c>
      <c r="G328" s="5" t="str">
        <f>IFERROR(__xludf.DUMMYFUNCTION("""COMPUTED_VALUE"""),"০৫/০৭/১৯৯৮")</f>
        <v>০৫/০৭/১৯৯৮</v>
      </c>
      <c r="H328" s="5" t="str">
        <f>IFERROR(__xludf.DUMMYFUNCTION("""COMPUTED_VALUE"""),"গৃহিনী")</f>
        <v>গৃহিনী</v>
      </c>
      <c r="I328" s="5" t="str">
        <f>IFERROR(__xludf.DUMMYFUNCTION("""COMPUTED_VALUE"""),"গাড়াডোব")</f>
        <v>গাড়াডোব</v>
      </c>
      <c r="J328" s="5" t="str">
        <f>IFERROR(__xludf.DUMMYFUNCTION("""COMPUTED_VALUE""")," গাংনী")</f>
        <v> গাংনী</v>
      </c>
      <c r="K328" s="5" t="str">
        <f>IFERROR(__xludf.DUMMYFUNCTION("""COMPUTED_VALUE""")," মেহেরপুর")</f>
        <v> মেহেরপুর</v>
      </c>
    </row>
    <row r="329" ht="15.75" customHeight="1">
      <c r="A329" s="7" t="s">
        <v>7194</v>
      </c>
      <c r="B329" s="5">
        <f>IFERROR(__xludf.DUMMYFUNCTION("SPLIT(A329,"","")"),2464.0)</f>
        <v>2464</v>
      </c>
      <c r="C329" s="5" t="str">
        <f>IFERROR(__xludf.DUMMYFUNCTION("""COMPUTED_VALUE"""),"মোছাঃ শান্তনা খাতুন")</f>
        <v>মোছাঃ শান্তনা খাতুন</v>
      </c>
      <c r="D329" s="5">
        <f>IFERROR(__xludf.DUMMYFUNCTION("""COMPUTED_VALUE"""),5.700380000464E12)</f>
        <v>5700380000464</v>
      </c>
      <c r="E329" s="5" t="str">
        <f>IFERROR(__xludf.DUMMYFUNCTION("""COMPUTED_VALUE"""),"মোঃ আজিজুল হক")</f>
        <v>মোঃ আজিজুল হক</v>
      </c>
      <c r="F329" s="5" t="str">
        <f>IFERROR(__xludf.DUMMYFUNCTION("""COMPUTED_VALUE"""),"মোছাঃ বিলকিচ")</f>
        <v>মোছাঃ বিলকিচ</v>
      </c>
      <c r="G329" s="5" t="str">
        <f>IFERROR(__xludf.DUMMYFUNCTION("""COMPUTED_VALUE"""),"১৫/১০/১৯৯৯")</f>
        <v>১৫/১০/১৯৯৯</v>
      </c>
      <c r="H329" s="5" t="str">
        <f>IFERROR(__xludf.DUMMYFUNCTION("""COMPUTED_VALUE"""),"ছাত্র/ছাত্রী")</f>
        <v>ছাত্র/ছাত্রী</v>
      </c>
      <c r="I329" s="5" t="str">
        <f>IFERROR(__xludf.DUMMYFUNCTION("""COMPUTED_VALUE"""),"গাড়াডোব")</f>
        <v>গাড়াডোব</v>
      </c>
      <c r="J329" s="5" t="str">
        <f>IFERROR(__xludf.DUMMYFUNCTION("""COMPUTED_VALUE""")," গাংনী")</f>
        <v> গাংনী</v>
      </c>
      <c r="K329" s="5" t="str">
        <f>IFERROR(__xludf.DUMMYFUNCTION("""COMPUTED_VALUE""")," মেহেরপুর")</f>
        <v> মেহেরপুর</v>
      </c>
    </row>
    <row r="330" ht="15.75" customHeight="1">
      <c r="A330" s="7" t="s">
        <v>7195</v>
      </c>
      <c r="B330" s="5">
        <f>IFERROR(__xludf.DUMMYFUNCTION("SPLIT(A330,"","")"),2465.0)</f>
        <v>2465</v>
      </c>
      <c r="C330" s="5" t="str">
        <f>IFERROR(__xludf.DUMMYFUNCTION("""COMPUTED_VALUE"""),"নাম: রুজিনা ইয়াছমীন")</f>
        <v>নাম: রুজিনা ইয়াছমীন</v>
      </c>
      <c r="D330" s="5">
        <f>IFERROR(__xludf.DUMMYFUNCTION("""COMPUTED_VALUE"""),5.70038001136E11)</f>
        <v>570038001136</v>
      </c>
      <c r="E330" s="5" t="str">
        <f>IFERROR(__xludf.DUMMYFUNCTION("""COMPUTED_VALUE"""),"আব্দুর রহমান")</f>
        <v>আব্দুর রহমান</v>
      </c>
      <c r="F330" s="5" t="str">
        <f>IFERROR(__xludf.DUMMYFUNCTION("""COMPUTED_VALUE"""),"মাতা: ফরিদা পারভীন")</f>
        <v>মাতা: ফরিদা পারভীন</v>
      </c>
      <c r="G330" s="5" t="str">
        <f>IFERROR(__xludf.DUMMYFUNCTION("""COMPUTED_VALUE"""),"১২/১২/১৯৮৮")</f>
        <v>১২/১২/১৯৮৮</v>
      </c>
      <c r="H330" s="5" t="str">
        <f>IFERROR(__xludf.DUMMYFUNCTION("""COMPUTED_VALUE"""),"ছাত্র/ছাত্রী")</f>
        <v>ছাত্র/ছাত্রী</v>
      </c>
      <c r="I330" s="5" t="str">
        <f>IFERROR(__xludf.DUMMYFUNCTION("""COMPUTED_VALUE"""),"গাড়াডোব")</f>
        <v>গাড়াডোব</v>
      </c>
      <c r="J330" s="5" t="str">
        <f>IFERROR(__xludf.DUMMYFUNCTION("""COMPUTED_VALUE""")," গাংনী")</f>
        <v> গাংনী</v>
      </c>
      <c r="K330" s="5" t="str">
        <f>IFERROR(__xludf.DUMMYFUNCTION("""COMPUTED_VALUE""")," মেহেরপুর")</f>
        <v> মেহেরপুর</v>
      </c>
    </row>
    <row r="331" ht="15.75" customHeight="1">
      <c r="A331" s="7" t="s">
        <v>7196</v>
      </c>
      <c r="B331" s="5">
        <f>IFERROR(__xludf.DUMMYFUNCTION("SPLIT(A331,"","")"),2466.0)</f>
        <v>2466</v>
      </c>
      <c r="C331" s="5" t="str">
        <f>IFERROR(__xludf.DUMMYFUNCTION("""COMPUTED_VALUE"""),"নাম: নাসরিন সুলতানা")</f>
        <v>নাম: নাসরিন সুলতানা</v>
      </c>
      <c r="D331" s="5">
        <f>IFERROR(__xludf.DUMMYFUNCTION("""COMPUTED_VALUE"""),5.70038001524E11)</f>
        <v>570038001524</v>
      </c>
      <c r="E331" s="5" t="str">
        <f>IFERROR(__xludf.DUMMYFUNCTION("""COMPUTED_VALUE"""),"মোঃ কাওছার আলী")</f>
        <v>মোঃ কাওছার আলী</v>
      </c>
      <c r="F331" s="5" t="str">
        <f>IFERROR(__xludf.DUMMYFUNCTION("""COMPUTED_VALUE"""),"মোছাঃ পারুল পারভীন")</f>
        <v>মোছাঃ পারুল পারভীন</v>
      </c>
      <c r="G331" s="5" t="str">
        <f>IFERROR(__xludf.DUMMYFUNCTION("""COMPUTED_VALUE"""),"৩০/১২/১৯৯২")</f>
        <v>৩০/১২/১৯৯২</v>
      </c>
      <c r="H331" s="5" t="str">
        <f>IFERROR(__xludf.DUMMYFUNCTION("""COMPUTED_VALUE"""),"ছাত্র/ছাত্রী")</f>
        <v>ছাত্র/ছাত্রী</v>
      </c>
      <c r="I331" s="5" t="str">
        <f>IFERROR(__xludf.DUMMYFUNCTION("""COMPUTED_VALUE"""),"গাড়াডোব")</f>
        <v>গাড়াডোব</v>
      </c>
      <c r="J331" s="5" t="str">
        <f>IFERROR(__xludf.DUMMYFUNCTION("""COMPUTED_VALUE""")," গাংনী")</f>
        <v> গাংনী</v>
      </c>
      <c r="K331" s="5" t="str">
        <f>IFERROR(__xludf.DUMMYFUNCTION("""COMPUTED_VALUE""")," মেহেরপুর")</f>
        <v> মেহেরপুর</v>
      </c>
    </row>
    <row r="332" ht="15.75" customHeight="1">
      <c r="A332" s="7" t="s">
        <v>7197</v>
      </c>
      <c r="B332" s="5">
        <f>IFERROR(__xludf.DUMMYFUNCTION("SPLIT(A332,"","")"),2467.0)</f>
        <v>2467</v>
      </c>
      <c r="C332" s="5" t="str">
        <f>IFERROR(__xludf.DUMMYFUNCTION("""COMPUTED_VALUE"""),"মোছাঃ নিলুফা খাতুন")</f>
        <v>মোছাঃ নিলুফা খাতুন</v>
      </c>
      <c r="D332" s="5">
        <f>IFERROR(__xludf.DUMMYFUNCTION("""COMPUTED_VALUE"""),5.70038001525E11)</f>
        <v>570038001525</v>
      </c>
      <c r="E332" s="5" t="str">
        <f>IFERROR(__xludf.DUMMYFUNCTION("""COMPUTED_VALUE"""),"মোঃ আইছুদ্দিন")</f>
        <v>মোঃ আইছুদ্দিন</v>
      </c>
      <c r="F332" s="5" t="str">
        <f>IFERROR(__xludf.DUMMYFUNCTION("""COMPUTED_VALUE"""),"মোছাঃ ছারেজান")</f>
        <v>মোছাঃ ছারেজান</v>
      </c>
      <c r="G332" s="5" t="str">
        <f>IFERROR(__xludf.DUMMYFUNCTION("""COMPUTED_VALUE"""),"১৩/০২/১৯৮৫")</f>
        <v>১৩/০২/১৯৮৫</v>
      </c>
      <c r="H332" s="5" t="str">
        <f>IFERROR(__xludf.DUMMYFUNCTION("""COMPUTED_VALUE"""),"গৃহিনী")</f>
        <v>গৃহিনী</v>
      </c>
      <c r="I332" s="5" t="str">
        <f>IFERROR(__xludf.DUMMYFUNCTION("""COMPUTED_VALUE"""),"গাড়াডোব")</f>
        <v>গাড়াডোব</v>
      </c>
      <c r="J332" s="5" t="str">
        <f>IFERROR(__xludf.DUMMYFUNCTION("""COMPUTED_VALUE""")," গাংনী")</f>
        <v> গাংনী</v>
      </c>
      <c r="K332" s="5" t="str">
        <f>IFERROR(__xludf.DUMMYFUNCTION("""COMPUTED_VALUE""")," মেহেরপুর")</f>
        <v> মেহেরপুর</v>
      </c>
    </row>
    <row r="333" ht="15.75" customHeight="1">
      <c r="A333" s="7" t="s">
        <v>7198</v>
      </c>
      <c r="B333" s="5">
        <f>IFERROR(__xludf.DUMMYFUNCTION("SPLIT(A333,"","")"),2468.0)</f>
        <v>2468</v>
      </c>
      <c r="C333" s="5" t="str">
        <f>IFERROR(__xludf.DUMMYFUNCTION("""COMPUTED_VALUE"""),"মোছাঃ বিলকিস খাতুন")</f>
        <v>মোছাঃ বিলকিস খাতুন</v>
      </c>
      <c r="D333" s="5">
        <f>IFERROR(__xludf.DUMMYFUNCTION("""COMPUTED_VALUE"""),5.70038001528E11)</f>
        <v>570038001528</v>
      </c>
      <c r="E333" s="5" t="str">
        <f>IFERROR(__xludf.DUMMYFUNCTION("""COMPUTED_VALUE"""),"মোঃ কাবের আলী")</f>
        <v>মোঃ কাবের আলী</v>
      </c>
      <c r="F333" s="5" t="str">
        <f>IFERROR(__xludf.DUMMYFUNCTION("""COMPUTED_VALUE"""),"মোছাঃ জাহানারা খাতুন")</f>
        <v>মোছাঃ জাহানারা খাতুন</v>
      </c>
      <c r="G333" s="5" t="str">
        <f>IFERROR(__xludf.DUMMYFUNCTION("""COMPUTED_VALUE"""),"০৫/০৫/১৯৮২")</f>
        <v>০৫/০৫/১৯৮২</v>
      </c>
      <c r="H333" s="5" t="str">
        <f>IFERROR(__xludf.DUMMYFUNCTION("""COMPUTED_VALUE"""),"গৃহিনী")</f>
        <v>গৃহিনী</v>
      </c>
      <c r="I333" s="5" t="str">
        <f>IFERROR(__xludf.DUMMYFUNCTION("""COMPUTED_VALUE"""),"গাড়াডোব")</f>
        <v>গাড়াডোব</v>
      </c>
      <c r="J333" s="5" t="str">
        <f>IFERROR(__xludf.DUMMYFUNCTION("""COMPUTED_VALUE""")," গাংনী")</f>
        <v> গাংনী</v>
      </c>
      <c r="K333" s="5" t="str">
        <f>IFERROR(__xludf.DUMMYFUNCTION("""COMPUTED_VALUE""")," মেহেরপুর")</f>
        <v> মেহেরপুর</v>
      </c>
    </row>
    <row r="334" ht="15.75" customHeight="1">
      <c r="A334" s="7" t="s">
        <v>7199</v>
      </c>
      <c r="B334" s="5">
        <f>IFERROR(__xludf.DUMMYFUNCTION("SPLIT(A334,"","")"),2469.0)</f>
        <v>2469</v>
      </c>
      <c r="C334" s="5" t="str">
        <f>IFERROR(__xludf.DUMMYFUNCTION("""COMPUTED_VALUE"""),"মোছাঃ জান্নাতুল ফেরদৌস")</f>
        <v>মোছাঃ জান্নাতুল ফেরদৌস</v>
      </c>
      <c r="D334" s="5">
        <f>IFERROR(__xludf.DUMMYFUNCTION("""COMPUTED_VALUE"""),5.70038001661E11)</f>
        <v>570038001661</v>
      </c>
      <c r="E334" s="5" t="str">
        <f>IFERROR(__xludf.DUMMYFUNCTION("""COMPUTED_VALUE"""),"মোঃ নজরুল ইসলাম")</f>
        <v>মোঃ নজরুল ইসলাম</v>
      </c>
      <c r="F334" s="5" t="str">
        <f>IFERROR(__xludf.DUMMYFUNCTION("""COMPUTED_VALUE"""),"মোছাঃ তাহেরা বেগম")</f>
        <v>মোছাঃ তাহেরা বেগম</v>
      </c>
      <c r="G334" s="5" t="str">
        <f>IFERROR(__xludf.DUMMYFUNCTION("""COMPUTED_VALUE"""),"৩১/১২/১৯৮০")</f>
        <v>৩১/১২/১৯৮০</v>
      </c>
      <c r="H334" s="5" t="str">
        <f>IFERROR(__xludf.DUMMYFUNCTION("""COMPUTED_VALUE"""),"গৃহিনী")</f>
        <v>গৃহিনী</v>
      </c>
      <c r="I334" s="5" t="str">
        <f>IFERROR(__xludf.DUMMYFUNCTION("""COMPUTED_VALUE"""),"গাড়াডোব")</f>
        <v>গাড়াডোব</v>
      </c>
      <c r="J334" s="5" t="str">
        <f>IFERROR(__xludf.DUMMYFUNCTION("""COMPUTED_VALUE""")," গাংনী")</f>
        <v> গাংনী</v>
      </c>
      <c r="K334" s="5" t="str">
        <f>IFERROR(__xludf.DUMMYFUNCTION("""COMPUTED_VALUE""")," মেহেরপুর")</f>
        <v> মেহেরপুর</v>
      </c>
    </row>
    <row r="335" ht="15.75" customHeight="1">
      <c r="A335" s="7" t="s">
        <v>7200</v>
      </c>
      <c r="B335" s="5">
        <f>IFERROR(__xludf.DUMMYFUNCTION("SPLIT(A335,"","")"),2470.0)</f>
        <v>2470</v>
      </c>
      <c r="C335" s="5" t="str">
        <f>IFERROR(__xludf.DUMMYFUNCTION("""COMPUTED_VALUE"""),"মোছাঃ মাইতন নেছা")</f>
        <v>মোছাঃ মাইতন নেছা</v>
      </c>
      <c r="D335" s="5">
        <f>IFERROR(__xludf.DUMMYFUNCTION("""COMPUTED_VALUE"""),5.70038001662E11)</f>
        <v>570038001662</v>
      </c>
      <c r="E335" s="5" t="str">
        <f>IFERROR(__xludf.DUMMYFUNCTION("""COMPUTED_VALUE"""),"পিয়ার মন্ডল")</f>
        <v>পিয়ার মন্ডল</v>
      </c>
      <c r="F335" s="5" t="str">
        <f>IFERROR(__xludf.DUMMYFUNCTION("""COMPUTED_VALUE"""),"মোছাঃ মিলাজন বেগম")</f>
        <v>মোছাঃ মিলাজন বেগম</v>
      </c>
      <c r="G335" s="5" t="str">
        <f>IFERROR(__xludf.DUMMYFUNCTION("""COMPUTED_VALUE"""),"০৫/১০/১৯৮৭")</f>
        <v>০৫/১০/১৯৮৭</v>
      </c>
      <c r="H335" s="5" t="str">
        <f>IFERROR(__xludf.DUMMYFUNCTION("""COMPUTED_VALUE"""),"গৃহিনী")</f>
        <v>গৃহিনী</v>
      </c>
      <c r="I335" s="5" t="str">
        <f>IFERROR(__xludf.DUMMYFUNCTION("""COMPUTED_VALUE"""),"গাড়াডোব মাঠ পাড়া")</f>
        <v>গাড়াডোব মাঠ পাড়া</v>
      </c>
      <c r="J335" s="5" t="str">
        <f>IFERROR(__xludf.DUMMYFUNCTION("""COMPUTED_VALUE""")," গাড়াডোব")</f>
        <v> গাড়াডোব</v>
      </c>
      <c r="K335" s="5" t="str">
        <f>IFERROR(__xludf.DUMMYFUNCTION("""COMPUTED_VALUE""")," গাংনী")</f>
        <v> গাংনী</v>
      </c>
      <c r="L335" s="5" t="str">
        <f>IFERROR(__xludf.DUMMYFUNCTION("""COMPUTED_VALUE""")," মেহেরপুর")</f>
        <v> মেহেরপুর</v>
      </c>
    </row>
    <row r="336" ht="15.75" customHeight="1">
      <c r="A336" s="7" t="s">
        <v>7201</v>
      </c>
      <c r="B336" s="5">
        <f>IFERROR(__xludf.DUMMYFUNCTION("SPLIT(A336,"","")"),2471.0)</f>
        <v>2471</v>
      </c>
      <c r="C336" s="5" t="str">
        <f>IFERROR(__xludf.DUMMYFUNCTION("""COMPUTED_VALUE"""),"মোছাঃ ছালমা খাতুন")</f>
        <v>মোছাঃ ছালমা খাতুন</v>
      </c>
      <c r="D336" s="5">
        <f>IFERROR(__xludf.DUMMYFUNCTION("""COMPUTED_VALUE"""),5.70038001663E11)</f>
        <v>570038001663</v>
      </c>
      <c r="E336" s="5" t="str">
        <f>IFERROR(__xludf.DUMMYFUNCTION("""COMPUTED_VALUE"""),"মোঃ সলেমান শেখ")</f>
        <v>মোঃ সলেমান শেখ</v>
      </c>
      <c r="F336" s="5" t="str">
        <f>IFERROR(__xludf.DUMMYFUNCTION("""COMPUTED_VALUE"""),"মোছাঃ আরজিনা খাতুন")</f>
        <v>মোছাঃ আরজিনা খাতুন</v>
      </c>
      <c r="G336" s="5" t="str">
        <f>IFERROR(__xludf.DUMMYFUNCTION("""COMPUTED_VALUE"""),"০৫/১০/১৯৮৭")</f>
        <v>০৫/১০/১৯৮৭</v>
      </c>
      <c r="H336" s="5" t="str">
        <f>IFERROR(__xludf.DUMMYFUNCTION("""COMPUTED_VALUE"""),"গৃহিনী")</f>
        <v>গৃহিনী</v>
      </c>
      <c r="I336" s="5" t="str">
        <f>IFERROR(__xludf.DUMMYFUNCTION("""COMPUTED_VALUE"""),"গাড়াডোব মাঠ পাড়া")</f>
        <v>গাড়াডোব মাঠ পাড়া</v>
      </c>
      <c r="J336" s="5" t="str">
        <f>IFERROR(__xludf.DUMMYFUNCTION("""COMPUTED_VALUE""")," গাড়াডোব")</f>
        <v> গাড়াডোব</v>
      </c>
      <c r="K336" s="5" t="str">
        <f>IFERROR(__xludf.DUMMYFUNCTION("""COMPUTED_VALUE""")," গাংনী")</f>
        <v> গাংনী</v>
      </c>
      <c r="L336" s="5" t="str">
        <f>IFERROR(__xludf.DUMMYFUNCTION("""COMPUTED_VALUE""")," মেহেরপুর")</f>
        <v> মেহেরপুর</v>
      </c>
    </row>
    <row r="337" ht="15.75" customHeight="1">
      <c r="A337" s="7" t="s">
        <v>7202</v>
      </c>
      <c r="B337" s="5">
        <f>IFERROR(__xludf.DUMMYFUNCTION("SPLIT(A337,"","")"),2472.0)</f>
        <v>2472</v>
      </c>
      <c r="C337" s="5" t="str">
        <f>IFERROR(__xludf.DUMMYFUNCTION("""COMPUTED_VALUE"""),"নাম: উম্মো আফিয়া ফারজানা")</f>
        <v>নাম: উম্মো আফিয়া ফারজানা</v>
      </c>
      <c r="D337" s="5">
        <f>IFERROR(__xludf.DUMMYFUNCTION("""COMPUTED_VALUE"""),5.70038544923E11)</f>
        <v>570038544923</v>
      </c>
      <c r="E337" s="5" t="str">
        <f>IFERROR(__xludf.DUMMYFUNCTION("""COMPUTED_VALUE"""),"মোঃ আনিসুর রহমান")</f>
        <v>মোঃ আনিসুর রহমান</v>
      </c>
      <c r="F337" s="5" t="str">
        <f>IFERROR(__xludf.DUMMYFUNCTION("""COMPUTED_VALUE"""),"মাতা: নাজমুন নাহার")</f>
        <v>মাতা: নাজমুন নাহার</v>
      </c>
      <c r="G337" s="5" t="str">
        <f>IFERROR(__xludf.DUMMYFUNCTION("""COMPUTED_VALUE"""),"১৬/১২/২০০১")</f>
        <v>১৬/১২/২০০১</v>
      </c>
      <c r="H337" s="5" t="str">
        <f>IFERROR(__xludf.DUMMYFUNCTION("""COMPUTED_VALUE"""),"ছাত্র/ছাত্রী")</f>
        <v>ছাত্র/ছাত্রী</v>
      </c>
      <c r="I337" s="5">
        <f>IFERROR(__xludf.DUMMYFUNCTION("""COMPUTED_VALUE"""),455.0)</f>
        <v>455</v>
      </c>
      <c r="J337" s="5" t="str">
        <f>IFERROR(__xludf.DUMMYFUNCTION("""COMPUTED_VALUE""")," গাড়াডোব")</f>
        <v> গাড়াডোব</v>
      </c>
      <c r="K337" s="5" t="str">
        <f>IFERROR(__xludf.DUMMYFUNCTION("""COMPUTED_VALUE""")," গাংনী")</f>
        <v> গাংনী</v>
      </c>
      <c r="L337" s="5" t="str">
        <f>IFERROR(__xludf.DUMMYFUNCTION("""COMPUTED_VALUE""")," মেহেরপুর")</f>
        <v> মেহেরপুর</v>
      </c>
    </row>
    <row r="338" ht="15.75" customHeight="1">
      <c r="A338" s="7" t="s">
        <v>7203</v>
      </c>
      <c r="B338" s="5">
        <f>IFERROR(__xludf.DUMMYFUNCTION("SPLIT(A338,"","")"),2473.0)</f>
        <v>2473</v>
      </c>
      <c r="C338" s="5" t="str">
        <f>IFERROR(__xludf.DUMMYFUNCTION("""COMPUTED_VALUE"""),"মোছাঃ সুমাইয়া খাতুন")</f>
        <v>মোছাঃ সুমাইয়া খাতুন</v>
      </c>
      <c r="D338" s="5">
        <f>IFERROR(__xludf.DUMMYFUNCTION("""COMPUTED_VALUE"""),5.70038544927E11)</f>
        <v>570038544927</v>
      </c>
      <c r="E338" s="5" t="str">
        <f>IFERROR(__xludf.DUMMYFUNCTION("""COMPUTED_VALUE"""),"মোঃ নাজির উদ্দীন")</f>
        <v>মোঃ নাজির উদ্দীন</v>
      </c>
      <c r="F338" s="5" t="str">
        <f>IFERROR(__xludf.DUMMYFUNCTION("""COMPUTED_VALUE"""),"মোছাঃ মর্জিনা খাতুন")</f>
        <v>মোছাঃ মর্জিনা খাতুন</v>
      </c>
      <c r="G338" s="5" t="str">
        <f>IFERROR(__xludf.DUMMYFUNCTION("""COMPUTED_VALUE"""),"২০/০৩/২০০০")</f>
        <v>২০/০৩/২০০০</v>
      </c>
      <c r="H338" s="5" t="str">
        <f>IFERROR(__xludf.DUMMYFUNCTION("""COMPUTED_VALUE"""),"গৃহিনী")</f>
        <v>গৃহিনী</v>
      </c>
      <c r="I338" s="5" t="str">
        <f>IFERROR(__xludf.DUMMYFUNCTION("""COMPUTED_VALUE"""),"গাড়াডোব")</f>
        <v>গাড়াডোব</v>
      </c>
      <c r="J338" s="5" t="str">
        <f>IFERROR(__xludf.DUMMYFUNCTION("""COMPUTED_VALUE""")," গাংনী")</f>
        <v> গাংনী</v>
      </c>
      <c r="K338" s="5" t="str">
        <f>IFERROR(__xludf.DUMMYFUNCTION("""COMPUTED_VALUE""")," মেহেরপুর")</f>
        <v> মেহেরপুর</v>
      </c>
    </row>
    <row r="339" ht="15.75" customHeight="1">
      <c r="A339" s="7" t="s">
        <v>7204</v>
      </c>
      <c r="B339" s="5">
        <f>IFERROR(__xludf.DUMMYFUNCTION("SPLIT(A339,"","")"),2474.0)</f>
        <v>2474</v>
      </c>
      <c r="C339" s="5" t="str">
        <f>IFERROR(__xludf.DUMMYFUNCTION("""COMPUTED_VALUE"""),"মোছাঃ নাসরিন খাতুন")</f>
        <v>মোছাঃ নাসরিন খাতুন</v>
      </c>
      <c r="D339" s="5">
        <f>IFERROR(__xludf.DUMMYFUNCTION("""COMPUTED_VALUE"""),5.70038544928E11)</f>
        <v>570038544928</v>
      </c>
      <c r="E339" s="5" t="str">
        <f>IFERROR(__xludf.DUMMYFUNCTION("""COMPUTED_VALUE"""),"মোঃ নাসির উদ্দীন")</f>
        <v>মোঃ নাসির উদ্দীন</v>
      </c>
      <c r="F339" s="5" t="str">
        <f>IFERROR(__xludf.DUMMYFUNCTION("""COMPUTED_VALUE"""),"মোছাঃ রেখা খাতুন")</f>
        <v>মোছাঃ রেখা খাতুন</v>
      </c>
      <c r="G339" s="5" t="str">
        <f>IFERROR(__xludf.DUMMYFUNCTION("""COMPUTED_VALUE"""),"১১/০৫/২০০০")</f>
        <v>১১/০৫/২০০০</v>
      </c>
      <c r="H339" s="5" t="str">
        <f>IFERROR(__xludf.DUMMYFUNCTION("""COMPUTED_VALUE"""),"গৃহিনী")</f>
        <v>গৃহিনী</v>
      </c>
      <c r="I339" s="5" t="str">
        <f>IFERROR(__xludf.DUMMYFUNCTION("""COMPUTED_VALUE"""),"গাড়াডোব")</f>
        <v>গাড়াডোব</v>
      </c>
      <c r="J339" s="5" t="str">
        <f>IFERROR(__xludf.DUMMYFUNCTION("""COMPUTED_VALUE""")," গাংনী")</f>
        <v> গাংনী</v>
      </c>
      <c r="K339" s="5" t="str">
        <f>IFERROR(__xludf.DUMMYFUNCTION("""COMPUTED_VALUE""")," মেহেরপুর")</f>
        <v> মেহেরপুর</v>
      </c>
    </row>
    <row r="340" ht="15.75" customHeight="1">
      <c r="A340" s="7" t="s">
        <v>7205</v>
      </c>
      <c r="B340" s="5">
        <f>IFERROR(__xludf.DUMMYFUNCTION("SPLIT(A340,"","")"),2475.0)</f>
        <v>2475</v>
      </c>
      <c r="C340" s="5" t="str">
        <f>IFERROR(__xludf.DUMMYFUNCTION("""COMPUTED_VALUE"""),"মোছাঃ চম্পা খাতুন")</f>
        <v>মোছাঃ চম্পা খাতুন</v>
      </c>
      <c r="D340" s="5">
        <f>IFERROR(__xludf.DUMMYFUNCTION("""COMPUTED_VALUE"""),5.70038544929E11)</f>
        <v>570038544929</v>
      </c>
      <c r="E340" s="5" t="str">
        <f>IFERROR(__xludf.DUMMYFUNCTION("""COMPUTED_VALUE"""),"মোঃ হযরত আলী")</f>
        <v>মোঃ হযরত আলী</v>
      </c>
      <c r="F340" s="5" t="str">
        <f>IFERROR(__xludf.DUMMYFUNCTION("""COMPUTED_VALUE"""),"মোছাঃ সোনাভানু খাতুন")</f>
        <v>মোছাঃ সোনাভানু খাতুন</v>
      </c>
      <c r="G340" s="5" t="str">
        <f>IFERROR(__xludf.DUMMYFUNCTION("""COMPUTED_VALUE"""),"০১/০৩/২০০০")</f>
        <v>০১/০৩/২০০০</v>
      </c>
      <c r="H340" s="5" t="str">
        <f>IFERROR(__xludf.DUMMYFUNCTION("""COMPUTED_VALUE"""),"গৃহিনী")</f>
        <v>গৃহিনী</v>
      </c>
      <c r="I340" s="5">
        <f>IFERROR(__xludf.DUMMYFUNCTION("""COMPUTED_VALUE"""),845.0)</f>
        <v>845</v>
      </c>
      <c r="J340" s="5" t="str">
        <f>IFERROR(__xludf.DUMMYFUNCTION("""COMPUTED_VALUE""")," গাড়াডোব")</f>
        <v> গাড়াডোব</v>
      </c>
      <c r="K340" s="5" t="str">
        <f>IFERROR(__xludf.DUMMYFUNCTION("""COMPUTED_VALUE""")," গাংনী")</f>
        <v> গাংনী</v>
      </c>
      <c r="L340" s="5" t="str">
        <f>IFERROR(__xludf.DUMMYFUNCTION("""COMPUTED_VALUE""")," মেহেরপুর")</f>
        <v> মেহেরপুর</v>
      </c>
    </row>
    <row r="341" ht="15.75" customHeight="1">
      <c r="A341" s="7" t="s">
        <v>7206</v>
      </c>
      <c r="B341" s="5">
        <f>IFERROR(__xludf.DUMMYFUNCTION("SPLIT(A341,"","")"),2476.0)</f>
        <v>2476</v>
      </c>
      <c r="C341" s="5" t="str">
        <f>IFERROR(__xludf.DUMMYFUNCTION("""COMPUTED_VALUE"""),"মোছাঃ রিমা খাতুন")</f>
        <v>মোছাঃ রিমা খাতুন</v>
      </c>
      <c r="D341" s="5">
        <f>IFERROR(__xludf.DUMMYFUNCTION("""COMPUTED_VALUE"""),5.7003854493E11)</f>
        <v>570038544930</v>
      </c>
      <c r="E341" s="5" t="str">
        <f>IFERROR(__xludf.DUMMYFUNCTION("""COMPUTED_VALUE"""),"মোঃ মতিয়ার রহমান")</f>
        <v>মোঃ মতিয়ার রহমান</v>
      </c>
      <c r="F341" s="5" t="str">
        <f>IFERROR(__xludf.DUMMYFUNCTION("""COMPUTED_VALUE"""),"মোছাঃ রঙ্গিলা খাতুন")</f>
        <v>মোছাঃ রঙ্গিলা খাতুন</v>
      </c>
      <c r="G341" s="5" t="str">
        <f>IFERROR(__xludf.DUMMYFUNCTION("""COMPUTED_VALUE"""),"১০/০৪/২০০০")</f>
        <v>১০/০৪/২০০০</v>
      </c>
      <c r="H341" s="5" t="str">
        <f>IFERROR(__xludf.DUMMYFUNCTION("""COMPUTED_VALUE"""),"গৃহিনী")</f>
        <v>গৃহিনী</v>
      </c>
      <c r="I341" s="5" t="str">
        <f>IFERROR(__xludf.DUMMYFUNCTION("""COMPUTED_VALUE"""),"গাড়াডোব পোড়াপাড়া")</f>
        <v>গাড়াডোব পোড়াপাড়া</v>
      </c>
      <c r="J341" s="5" t="str">
        <f>IFERROR(__xludf.DUMMYFUNCTION("""COMPUTED_VALUE""")," গাড়াডোব")</f>
        <v> গাড়াডোব</v>
      </c>
      <c r="K341" s="5" t="str">
        <f>IFERROR(__xludf.DUMMYFUNCTION("""COMPUTED_VALUE""")," গাংনী")</f>
        <v> গাংনী</v>
      </c>
      <c r="L341" s="5" t="str">
        <f>IFERROR(__xludf.DUMMYFUNCTION("""COMPUTED_VALUE""")," মেহেরপুর")</f>
        <v> মেহেরপুর</v>
      </c>
    </row>
    <row r="342" ht="15.75" customHeight="1">
      <c r="A342" s="7" t="s">
        <v>7207</v>
      </c>
      <c r="B342" s="5">
        <f>IFERROR(__xludf.DUMMYFUNCTION("SPLIT(A342,"","")"),2477.0)</f>
        <v>2477</v>
      </c>
      <c r="C342" s="5" t="str">
        <f>IFERROR(__xludf.DUMMYFUNCTION("""COMPUTED_VALUE"""),"মোছাঃ শাপলা খাতুন")</f>
        <v>মোছাঃ শাপলা খাতুন</v>
      </c>
      <c r="D342" s="5">
        <f>IFERROR(__xludf.DUMMYFUNCTION("""COMPUTED_VALUE"""),5.70038544933E11)</f>
        <v>570038544933</v>
      </c>
      <c r="E342" s="5" t="str">
        <f>IFERROR(__xludf.DUMMYFUNCTION("""COMPUTED_VALUE"""),"মোঃ মুছাহক")</f>
        <v>মোঃ মুছাহক</v>
      </c>
      <c r="F342" s="5" t="str">
        <f>IFERROR(__xludf.DUMMYFUNCTION("""COMPUTED_VALUE"""),"মোছাঃ সোনাভানু")</f>
        <v>মোছাঃ সোনাভানু</v>
      </c>
      <c r="G342" s="5" t="str">
        <f>IFERROR(__xludf.DUMMYFUNCTION("""COMPUTED_VALUE"""),"০১/০১/২০০০")</f>
        <v>০১/০১/২০০০</v>
      </c>
      <c r="H342" s="5" t="str">
        <f>IFERROR(__xludf.DUMMYFUNCTION("""COMPUTED_VALUE"""),"গৃহিনী")</f>
        <v>গৃহিনী</v>
      </c>
      <c r="I342" s="5" t="str">
        <f>IFERROR(__xludf.DUMMYFUNCTION("""COMPUTED_VALUE"""),"গাড়াডোব")</f>
        <v>গাড়াডোব</v>
      </c>
      <c r="J342" s="5" t="str">
        <f>IFERROR(__xludf.DUMMYFUNCTION("""COMPUTED_VALUE""")," গাংনী")</f>
        <v> গাংনী</v>
      </c>
      <c r="K342" s="5" t="str">
        <f>IFERROR(__xludf.DUMMYFUNCTION("""COMPUTED_VALUE""")," মেহেরপুর")</f>
        <v> মেহেরপুর</v>
      </c>
    </row>
    <row r="343" ht="15.75" customHeight="1">
      <c r="A343" s="7" t="s">
        <v>7208</v>
      </c>
      <c r="B343" s="5">
        <f>IFERROR(__xludf.DUMMYFUNCTION("SPLIT(A343,"","")"),2478.0)</f>
        <v>2478</v>
      </c>
      <c r="C343" s="5" t="str">
        <f>IFERROR(__xludf.DUMMYFUNCTION("""COMPUTED_VALUE"""),"মোছাঃ রাজিয়া সুলতানা")</f>
        <v>মোছাঃ রাজিয়া সুলতানা</v>
      </c>
      <c r="D343" s="5">
        <f>IFERROR(__xludf.DUMMYFUNCTION("""COMPUTED_VALUE"""),5.70038544934E11)</f>
        <v>570038544934</v>
      </c>
      <c r="E343" s="5" t="str">
        <f>IFERROR(__xludf.DUMMYFUNCTION("""COMPUTED_VALUE"""),"রুল আমিন")</f>
        <v>রুল আমিন</v>
      </c>
      <c r="F343" s="5" t="str">
        <f>IFERROR(__xludf.DUMMYFUNCTION("""COMPUTED_VALUE"""),"মাতা: জেসমিন খাতুন")</f>
        <v>মাতা: জেসমিন খাতুন</v>
      </c>
      <c r="G343" s="5" t="str">
        <f>IFERROR(__xludf.DUMMYFUNCTION("""COMPUTED_VALUE"""),"০৭/০৩/১৯৯৮")</f>
        <v>০৭/০৩/১৯৯৮</v>
      </c>
      <c r="H343" s="5" t="str">
        <f>IFERROR(__xludf.DUMMYFUNCTION("""COMPUTED_VALUE"""),"গৃহিনী")</f>
        <v>গৃহিনী</v>
      </c>
      <c r="I343" s="5" t="str">
        <f>IFERROR(__xludf.DUMMYFUNCTION("""COMPUTED_VALUE"""),"গাড়াডোব")</f>
        <v>গাড়াডোব</v>
      </c>
      <c r="J343" s="5" t="str">
        <f>IFERROR(__xludf.DUMMYFUNCTION("""COMPUTED_VALUE""")," গাড়াডোব")</f>
        <v> গাড়াডোব</v>
      </c>
      <c r="K343" s="5" t="str">
        <f>IFERROR(__xludf.DUMMYFUNCTION("""COMPUTED_VALUE""")," গাংনী")</f>
        <v> গাংনী</v>
      </c>
      <c r="L343" s="5" t="str">
        <f>IFERROR(__xludf.DUMMYFUNCTION("""COMPUTED_VALUE""")," মেহেরপুর")</f>
        <v> মেহেরপুর</v>
      </c>
    </row>
    <row r="344" ht="15.75" customHeight="1">
      <c r="A344" s="7" t="s">
        <v>7209</v>
      </c>
      <c r="B344" s="5">
        <f>IFERROR(__xludf.DUMMYFUNCTION("SPLIT(A344,"","")"),2479.0)</f>
        <v>2479</v>
      </c>
      <c r="C344" s="5" t="str">
        <f>IFERROR(__xludf.DUMMYFUNCTION("""COMPUTED_VALUE"""),"মোছাঃ বিথি খাতুন")</f>
        <v>মোছাঃ বিথি খাতুন</v>
      </c>
      <c r="D344" s="5">
        <f>IFERROR(__xludf.DUMMYFUNCTION("""COMPUTED_VALUE"""),5.70038544937E11)</f>
        <v>570038544937</v>
      </c>
      <c r="E344" s="5" t="str">
        <f>IFERROR(__xludf.DUMMYFUNCTION("""COMPUTED_VALUE"""),"মোঃ বাচ্চু মিয়া")</f>
        <v>মোঃ বাচ্চু মিয়া</v>
      </c>
      <c r="F344" s="5" t="str">
        <f>IFERROR(__xludf.DUMMYFUNCTION("""COMPUTED_VALUE"""),"মোছাঃ মাছুরা খাতুন")</f>
        <v>মোছাঃ মাছুরা খাতুন</v>
      </c>
      <c r="G344" s="5" t="str">
        <f>IFERROR(__xludf.DUMMYFUNCTION("""COMPUTED_VALUE"""),"০৩/০২/২০০০")</f>
        <v>০৩/০২/২০০০</v>
      </c>
      <c r="H344" s="5" t="str">
        <f>IFERROR(__xludf.DUMMYFUNCTION("""COMPUTED_VALUE"""),"গৃহিনী")</f>
        <v>গৃহিনী</v>
      </c>
      <c r="I344" s="5">
        <f>IFERROR(__xludf.DUMMYFUNCTION("""COMPUTED_VALUE"""),345.0)</f>
        <v>345</v>
      </c>
      <c r="J344" s="5" t="str">
        <f>IFERROR(__xludf.DUMMYFUNCTION("""COMPUTED_VALUE""")," গাড়াডোব")</f>
        <v> গাড়াডোব</v>
      </c>
      <c r="K344" s="5" t="str">
        <f>IFERROR(__xludf.DUMMYFUNCTION("""COMPUTED_VALUE""")," গাংনী")</f>
        <v> গাংনী</v>
      </c>
      <c r="L344" s="5" t="str">
        <f>IFERROR(__xludf.DUMMYFUNCTION("""COMPUTED_VALUE""")," মেহেরপুর")</f>
        <v> মেহেরপুর</v>
      </c>
    </row>
    <row r="345" ht="15.75" customHeight="1">
      <c r="A345" s="7" t="s">
        <v>7210</v>
      </c>
      <c r="B345" s="5">
        <f>IFERROR(__xludf.DUMMYFUNCTION("SPLIT(A345,"","")"),2480.0)</f>
        <v>2480</v>
      </c>
      <c r="C345" s="5" t="str">
        <f>IFERROR(__xludf.DUMMYFUNCTION("""COMPUTED_VALUE"""),"মোছাঃ রজনী খাতুন")</f>
        <v>মোছাঃ রজনী খাতুন</v>
      </c>
      <c r="D345" s="5">
        <f>IFERROR(__xludf.DUMMYFUNCTION("""COMPUTED_VALUE"""),5.70038544938E11)</f>
        <v>570038544938</v>
      </c>
      <c r="E345" s="5" t="str">
        <f>IFERROR(__xludf.DUMMYFUNCTION("""COMPUTED_VALUE"""),"মোঃ মনির উদ্দিন")</f>
        <v>মোঃ মনির উদ্দিন</v>
      </c>
      <c r="F345" s="5" t="str">
        <f>IFERROR(__xludf.DUMMYFUNCTION("""COMPUTED_VALUE"""),"মোছাঃ মোমেনা খাতুন")</f>
        <v>মোছাঃ মোমেনা খাতুন</v>
      </c>
      <c r="G345" s="5" t="str">
        <f>IFERROR(__xludf.DUMMYFUNCTION("""COMPUTED_VALUE"""),"০২/০৩/১৯৯৯")</f>
        <v>০২/০৩/১৯৯৯</v>
      </c>
      <c r="H345" s="5" t="str">
        <f>IFERROR(__xludf.DUMMYFUNCTION("""COMPUTED_VALUE"""),"গৃহিনী")</f>
        <v>গৃহিনী</v>
      </c>
      <c r="I345" s="5">
        <f>IFERROR(__xludf.DUMMYFUNCTION("""COMPUTED_VALUE"""),445.0)</f>
        <v>445</v>
      </c>
      <c r="J345" s="5" t="str">
        <f>IFERROR(__xludf.DUMMYFUNCTION("""COMPUTED_VALUE""")," গাড়াডোব")</f>
        <v> গাড়াডোব</v>
      </c>
      <c r="K345" s="5" t="str">
        <f>IFERROR(__xludf.DUMMYFUNCTION("""COMPUTED_VALUE""")," গাংনী")</f>
        <v> গাংনী</v>
      </c>
      <c r="L345" s="5" t="str">
        <f>IFERROR(__xludf.DUMMYFUNCTION("""COMPUTED_VALUE""")," মেহেরপুর")</f>
        <v> মেহেরপুর</v>
      </c>
    </row>
    <row r="346" ht="15.75" customHeight="1">
      <c r="A346" s="7" t="s">
        <v>7211</v>
      </c>
      <c r="B346" s="5">
        <f>IFERROR(__xludf.DUMMYFUNCTION("SPLIT(A346,"","")"),2481.0)</f>
        <v>2481</v>
      </c>
      <c r="C346" s="5" t="str">
        <f>IFERROR(__xludf.DUMMYFUNCTION("""COMPUTED_VALUE"""),"মোছাঃ আরশিদা খাতুন")</f>
        <v>মোছাঃ আরশিদা খাতুন</v>
      </c>
      <c r="D346" s="5">
        <f>IFERROR(__xludf.DUMMYFUNCTION("""COMPUTED_VALUE"""),5.70038544937E11)</f>
        <v>570038544937</v>
      </c>
      <c r="E346" s="5" t="str">
        <f>IFERROR(__xludf.DUMMYFUNCTION("""COMPUTED_VALUE"""),"মোঃ আরশেদ আলী")</f>
        <v>মোঃ আরশেদ আলী</v>
      </c>
      <c r="F346" s="5" t="str">
        <f>IFERROR(__xludf.DUMMYFUNCTION("""COMPUTED_VALUE"""),"মোছাঃ আকলিমা খাতুন")</f>
        <v>মোছাঃ আকলিমা খাতুন</v>
      </c>
      <c r="G346" s="5" t="str">
        <f>IFERROR(__xludf.DUMMYFUNCTION("""COMPUTED_VALUE"""),"২০/০৭/১৯৯৬")</f>
        <v>২০/০৭/১৯৯৬</v>
      </c>
      <c r="H346" s="5" t="str">
        <f>IFERROR(__xludf.DUMMYFUNCTION("""COMPUTED_VALUE"""),"গৃহিনী")</f>
        <v>গৃহিনী</v>
      </c>
      <c r="I346" s="5" t="str">
        <f>IFERROR(__xludf.DUMMYFUNCTION("""COMPUTED_VALUE"""),"গাড়াডোব")</f>
        <v>গাড়াডোব</v>
      </c>
      <c r="J346" s="5" t="str">
        <f>IFERROR(__xludf.DUMMYFUNCTION("""COMPUTED_VALUE""")," গাংনী")</f>
        <v> গাংনী</v>
      </c>
      <c r="K346" s="5" t="str">
        <f>IFERROR(__xludf.DUMMYFUNCTION("""COMPUTED_VALUE""")," মেহেরপুর")</f>
        <v> মেহেরপুর</v>
      </c>
    </row>
    <row r="347" ht="15.75" customHeight="1">
      <c r="A347" s="7" t="s">
        <v>7212</v>
      </c>
      <c r="B347" s="5">
        <f>IFERROR(__xludf.DUMMYFUNCTION("SPLIT(A347,"","")"),2482.0)</f>
        <v>2482</v>
      </c>
      <c r="C347" s="5" t="str">
        <f>IFERROR(__xludf.DUMMYFUNCTION("""COMPUTED_VALUE"""),"মোছাঃ সাহার বানু")</f>
        <v>মোছাঃ সাহার বানু</v>
      </c>
      <c r="D347" s="5">
        <f>IFERROR(__xludf.DUMMYFUNCTION("""COMPUTED_VALUE"""),5.70038000431E11)</f>
        <v>570038000431</v>
      </c>
      <c r="E347" s="5" t="str">
        <f>IFERROR(__xludf.DUMMYFUNCTION("""COMPUTED_VALUE"""),"ফকির মোহাম্মদ")</f>
        <v>ফকির মোহাম্মদ</v>
      </c>
      <c r="F347" s="5" t="str">
        <f>IFERROR(__xludf.DUMMYFUNCTION("""COMPUTED_VALUE"""),"মোছাঃ নবিছন নেছা")</f>
        <v>মোছাঃ নবিছন নেছা</v>
      </c>
      <c r="G347" s="5" t="str">
        <f>IFERROR(__xludf.DUMMYFUNCTION("""COMPUTED_VALUE"""),"০১/০৭/১৯৭৭")</f>
        <v>০১/০৭/১৯৭৭</v>
      </c>
      <c r="H347" s="5" t="str">
        <f>IFERROR(__xludf.DUMMYFUNCTION("""COMPUTED_VALUE"""),"গৃহিনী")</f>
        <v>গৃহিনী</v>
      </c>
      <c r="I347" s="5">
        <f>IFERROR(__xludf.DUMMYFUNCTION("""COMPUTED_VALUE"""),1236.0)</f>
        <v>1236</v>
      </c>
      <c r="J347" s="5" t="str">
        <f>IFERROR(__xludf.DUMMYFUNCTION("""COMPUTED_VALUE""")," গাড়াডোব")</f>
        <v> গাড়াডোব</v>
      </c>
      <c r="K347" s="5" t="str">
        <f>IFERROR(__xludf.DUMMYFUNCTION("""COMPUTED_VALUE""")," গাংনী")</f>
        <v> গাংনী</v>
      </c>
      <c r="L347" s="5" t="str">
        <f>IFERROR(__xludf.DUMMYFUNCTION("""COMPUTED_VALUE""")," মেহেরপুর")</f>
        <v> মেহেরপুর</v>
      </c>
    </row>
    <row r="348" ht="15.75" customHeight="1">
      <c r="A348" s="7" t="s">
        <v>7213</v>
      </c>
      <c r="B348" s="5">
        <f>IFERROR(__xludf.DUMMYFUNCTION("SPLIT(A348,"","")"),2483.0)</f>
        <v>2483</v>
      </c>
      <c r="C348" s="5" t="str">
        <f>IFERROR(__xludf.DUMMYFUNCTION("""COMPUTED_VALUE"""),"মোছাঃ মর্জিনা খাতুন")</f>
        <v>মোছাঃ মর্জিনা খাতুন</v>
      </c>
      <c r="D348" s="5">
        <f>IFERROR(__xludf.DUMMYFUNCTION("""COMPUTED_VALUE"""),5.70038544936E11)</f>
        <v>570038544936</v>
      </c>
      <c r="E348" s="5" t="str">
        <f>IFERROR(__xludf.DUMMYFUNCTION("""COMPUTED_VALUE"""),"মোঃ মজিদ মোড়ল")</f>
        <v>মোঃ মজিদ মোড়ল</v>
      </c>
      <c r="F348" s="5" t="str">
        <f>IFERROR(__xludf.DUMMYFUNCTION("""COMPUTED_VALUE"""),"মোছাঃ ফরিদা বেগম")</f>
        <v>মোছাঃ ফরিদা বেগম</v>
      </c>
      <c r="G348" s="5" t="str">
        <f>IFERROR(__xludf.DUMMYFUNCTION("""COMPUTED_VALUE"""),"০৫/০১/১৯৮৮")</f>
        <v>০৫/০১/১৯৮৮</v>
      </c>
      <c r="H348" s="5" t="str">
        <f>IFERROR(__xludf.DUMMYFUNCTION("""COMPUTED_VALUE"""),"গৃহিনী")</f>
        <v>গৃহিনী</v>
      </c>
      <c r="I348" s="5" t="str">
        <f>IFERROR(__xludf.DUMMYFUNCTION("""COMPUTED_VALUE"""),"গাড়াডোব")</f>
        <v>গাড়াডোব</v>
      </c>
      <c r="J348" s="5" t="str">
        <f>IFERROR(__xludf.DUMMYFUNCTION("""COMPUTED_VALUE""")," গাংনী")</f>
        <v> গাংনী</v>
      </c>
      <c r="K348" s="5" t="str">
        <f>IFERROR(__xludf.DUMMYFUNCTION("""COMPUTED_VALUE""")," মেহেরপুর")</f>
        <v> মেহেরপুর</v>
      </c>
    </row>
    <row r="349" ht="15.75" customHeight="1">
      <c r="A349" s="7" t="s">
        <v>7214</v>
      </c>
      <c r="B349" s="5">
        <f>IFERROR(__xludf.DUMMYFUNCTION("SPLIT(A349,"","")"),2484.0)</f>
        <v>2484</v>
      </c>
      <c r="C349" s="5" t="str">
        <f>IFERROR(__xludf.DUMMYFUNCTION("""COMPUTED_VALUE"""),"মোছাঃ আরশিদা বেগম")</f>
        <v>মোছাঃ আরশিদা বেগম</v>
      </c>
      <c r="D349" s="5">
        <f>IFERROR(__xludf.DUMMYFUNCTION("""COMPUTED_VALUE"""),5.7003854494E11)</f>
        <v>570038544940</v>
      </c>
      <c r="E349" s="5" t="str">
        <f>IFERROR(__xludf.DUMMYFUNCTION("""COMPUTED_VALUE"""),"মোঃ মুরাদ আলী")</f>
        <v>মোঃ মুরাদ আলী</v>
      </c>
      <c r="F349" s="5" t="str">
        <f>IFERROR(__xludf.DUMMYFUNCTION("""COMPUTED_VALUE"""),"মোছাঃ সারাহ খাতুন")</f>
        <v>মোছাঃ সারাহ খাতুন</v>
      </c>
      <c r="G349" s="5" t="str">
        <f>IFERROR(__xludf.DUMMYFUNCTION("""COMPUTED_VALUE"""),"০২/০১/১৯৭২")</f>
        <v>০২/০১/১৯৭২</v>
      </c>
      <c r="H349" s="5" t="str">
        <f>IFERROR(__xludf.DUMMYFUNCTION("""COMPUTED_VALUE"""),"গৃহিনী")</f>
        <v>গৃহিনী</v>
      </c>
      <c r="I349" s="5" t="str">
        <f>IFERROR(__xludf.DUMMYFUNCTION("""COMPUTED_VALUE"""),"গাড়াডোব")</f>
        <v>গাড়াডোব</v>
      </c>
      <c r="J349" s="5" t="str">
        <f>IFERROR(__xludf.DUMMYFUNCTION("""COMPUTED_VALUE""")," গাংনী")</f>
        <v> গাংনী</v>
      </c>
      <c r="K349" s="5" t="str">
        <f>IFERROR(__xludf.DUMMYFUNCTION("""COMPUTED_VALUE""")," মেহেরপুর")</f>
        <v> মেহেরপুর</v>
      </c>
    </row>
    <row r="350" ht="15.75" customHeight="1">
      <c r="A350" s="7" t="s">
        <v>7215</v>
      </c>
      <c r="B350" s="5">
        <f>IFERROR(__xludf.DUMMYFUNCTION("SPLIT(A350,"","")"),2485.0)</f>
        <v>2485</v>
      </c>
      <c r="C350" s="5" t="str">
        <f>IFERROR(__xludf.DUMMYFUNCTION("""COMPUTED_VALUE"""),"নাম: সিমা খাতুন")</f>
        <v>নাম: সিমা খাতুন</v>
      </c>
      <c r="D350" s="5">
        <f>IFERROR(__xludf.DUMMYFUNCTION("""COMPUTED_VALUE"""),5.70038544944E11)</f>
        <v>570038544944</v>
      </c>
      <c r="E350" s="5" t="str">
        <f>IFERROR(__xludf.DUMMYFUNCTION("""COMPUTED_VALUE"""),"আরশাদ আলী")</f>
        <v>আরশাদ আলী</v>
      </c>
      <c r="F350" s="5" t="str">
        <f>IFERROR(__xludf.DUMMYFUNCTION("""COMPUTED_VALUE"""),"মাতা: নার্গিস খাতুন")</f>
        <v>মাতা: নার্গিস খাতুন</v>
      </c>
      <c r="G350" s="5" t="str">
        <f>IFERROR(__xludf.DUMMYFUNCTION("""COMPUTED_VALUE"""),"১৫/০২/১৯৯৯")</f>
        <v>১৫/০২/১৯৯৯</v>
      </c>
      <c r="H350" s="5" t="str">
        <f>IFERROR(__xludf.DUMMYFUNCTION("""COMPUTED_VALUE"""),"গৃহিনী")</f>
        <v>গৃহিনী</v>
      </c>
      <c r="I350" s="5" t="str">
        <f>IFERROR(__xludf.DUMMYFUNCTION("""COMPUTED_VALUE"""),"গাড়াডোব")</f>
        <v>গাড়াডোব</v>
      </c>
      <c r="J350" s="5" t="str">
        <f>IFERROR(__xludf.DUMMYFUNCTION("""COMPUTED_VALUE""")," গাংনী")</f>
        <v> গাংনী</v>
      </c>
      <c r="K350" s="5" t="str">
        <f>IFERROR(__xludf.DUMMYFUNCTION("""COMPUTED_VALUE""")," মেহেরপুর")</f>
        <v> মেহেরপুর</v>
      </c>
    </row>
    <row r="351" ht="15.75" customHeight="1">
      <c r="A351" s="7" t="s">
        <v>7216</v>
      </c>
      <c r="B351" s="5">
        <f>IFERROR(__xludf.DUMMYFUNCTION("SPLIT(A351,"","")"),2486.0)</f>
        <v>2486</v>
      </c>
      <c r="C351" s="5" t="str">
        <f>IFERROR(__xludf.DUMMYFUNCTION("""COMPUTED_VALUE"""),"নাম: উম্মো সালমা")</f>
        <v>নাম: উম্মো সালমা</v>
      </c>
      <c r="D351" s="5">
        <f>IFERROR(__xludf.DUMMYFUNCTION("""COMPUTED_VALUE"""),5.70038544952E11)</f>
        <v>570038544952</v>
      </c>
      <c r="E351" s="5" t="str">
        <f>IFERROR(__xludf.DUMMYFUNCTION("""COMPUTED_VALUE"""),"মোঃ মনিরুল ইসলাম")</f>
        <v>মোঃ মনিরুল ইসলাম</v>
      </c>
      <c r="F351" s="5" t="str">
        <f>IFERROR(__xludf.DUMMYFUNCTION("""COMPUTED_VALUE"""),"মোছাঃ ছাদেকা খাতুন")</f>
        <v>মোছাঃ ছাদেকা খাতুন</v>
      </c>
      <c r="G351" s="5" t="str">
        <f>IFERROR(__xludf.DUMMYFUNCTION("""COMPUTED_VALUE"""),"২৬/০১/২০০১")</f>
        <v>২৬/০১/২০০১</v>
      </c>
      <c r="H351" s="5" t="str">
        <f>IFERROR(__xludf.DUMMYFUNCTION("""COMPUTED_VALUE"""),"গৃহিনী")</f>
        <v>গৃহিনী</v>
      </c>
      <c r="I351" s="5">
        <f>IFERROR(__xludf.DUMMYFUNCTION("""COMPUTED_VALUE"""),144.0)</f>
        <v>144</v>
      </c>
      <c r="J351" s="5" t="str">
        <f>IFERROR(__xludf.DUMMYFUNCTION("""COMPUTED_VALUE""")," গাড়াডোব")</f>
        <v> গাড়াডোব</v>
      </c>
      <c r="K351" s="5" t="str">
        <f>IFERROR(__xludf.DUMMYFUNCTION("""COMPUTED_VALUE""")," গাংনী")</f>
        <v> গাংনী</v>
      </c>
      <c r="L351" s="5" t="str">
        <f>IFERROR(__xludf.DUMMYFUNCTION("""COMPUTED_VALUE""")," মেহেরপুর")</f>
        <v> মেহেরপুর</v>
      </c>
    </row>
    <row r="352" ht="15.75" customHeight="1">
      <c r="A352" s="7" t="s">
        <v>7217</v>
      </c>
      <c r="B352" s="5">
        <f>IFERROR(__xludf.DUMMYFUNCTION("SPLIT(A352,"","")"),2487.0)</f>
        <v>2487</v>
      </c>
      <c r="C352" s="5" t="str">
        <f>IFERROR(__xludf.DUMMYFUNCTION("""COMPUTED_VALUE"""),"মোছাঃ লিলুফা খাতুন")</f>
        <v>মোছাঃ লিলুফা খাতুন</v>
      </c>
      <c r="D352" s="5">
        <f>IFERROR(__xludf.DUMMYFUNCTION("""COMPUTED_VALUE"""),5.70038544958E11)</f>
        <v>570038544958</v>
      </c>
      <c r="E352" s="5" t="str">
        <f>IFERROR(__xludf.DUMMYFUNCTION("""COMPUTED_VALUE"""),"মৃত সমর আলী")</f>
        <v>মৃত সমর আলী</v>
      </c>
      <c r="F352" s="5" t="str">
        <f>IFERROR(__xludf.DUMMYFUNCTION("""COMPUTED_VALUE"""),"মোছাঃ গোলজান খাতুন")</f>
        <v>মোছাঃ গোলজান খাতুন</v>
      </c>
      <c r="G352" s="5" t="str">
        <f>IFERROR(__xludf.DUMMYFUNCTION("""COMPUTED_VALUE"""),"১০/০৮/১৯৯১")</f>
        <v>১০/০৮/১৯৯১</v>
      </c>
      <c r="H352" s="5" t="str">
        <f>IFERROR(__xludf.DUMMYFUNCTION("""COMPUTED_VALUE"""),"গৃহিনী")</f>
        <v>গৃহিনী</v>
      </c>
      <c r="I352" s="5">
        <f>IFERROR(__xludf.DUMMYFUNCTION("""COMPUTED_VALUE"""),1423.0)</f>
        <v>1423</v>
      </c>
      <c r="J352" s="5" t="str">
        <f>IFERROR(__xludf.DUMMYFUNCTION("""COMPUTED_VALUE""")," গাড়াডোব")</f>
        <v> গাড়াডোব</v>
      </c>
      <c r="K352" s="5" t="str">
        <f>IFERROR(__xludf.DUMMYFUNCTION("""COMPUTED_VALUE""")," গাংনী")</f>
        <v> গাংনী</v>
      </c>
      <c r="L352" s="5" t="str">
        <f>IFERROR(__xludf.DUMMYFUNCTION("""COMPUTED_VALUE""")," মেহেরপুর")</f>
        <v> মেহেরপুর</v>
      </c>
    </row>
    <row r="353" ht="15.75" customHeight="1">
      <c r="A353" s="7" t="s">
        <v>7218</v>
      </c>
      <c r="B353" s="5">
        <f>IFERROR(__xludf.DUMMYFUNCTION("SPLIT(A353,"","")"),2488.0)</f>
        <v>2488</v>
      </c>
      <c r="C353" s="5" t="str">
        <f>IFERROR(__xludf.DUMMYFUNCTION("""COMPUTED_VALUE"""),"মোছাঃ সামিয়া খাতুন")</f>
        <v>মোছাঃ সামিয়া খাতুন</v>
      </c>
      <c r="D353" s="5">
        <f>IFERROR(__xludf.DUMMYFUNCTION("""COMPUTED_VALUE"""),5.7003854496E11)</f>
        <v>570038544960</v>
      </c>
      <c r="E353" s="5" t="str">
        <f>IFERROR(__xludf.DUMMYFUNCTION("""COMPUTED_VALUE"""),"মোঃ কিতাব আলি")</f>
        <v>মোঃ কিতাব আলি</v>
      </c>
      <c r="F353" s="5" t="str">
        <f>IFERROR(__xludf.DUMMYFUNCTION("""COMPUTED_VALUE"""),"মোছাঃ আরিফা খাতুন")</f>
        <v>মোছাঃ আরিফা খাতুন</v>
      </c>
      <c r="G353" s="5" t="str">
        <f>IFERROR(__xludf.DUMMYFUNCTION("""COMPUTED_VALUE"""),"১৭/০১/২০০০")</f>
        <v>১৭/০১/২০০০</v>
      </c>
      <c r="H353" s="5" t="str">
        <f>IFERROR(__xludf.DUMMYFUNCTION("""COMPUTED_VALUE"""),"গৃহিনী")</f>
        <v>গৃহিনী</v>
      </c>
      <c r="I353" s="5" t="str">
        <f>IFERROR(__xludf.DUMMYFUNCTION("""COMPUTED_VALUE"""),"গাড়াডোব")</f>
        <v>গাড়াডোব</v>
      </c>
      <c r="J353" s="5" t="str">
        <f>IFERROR(__xludf.DUMMYFUNCTION("""COMPUTED_VALUE""")," গাড়াডোব")</f>
        <v> গাড়াডোব</v>
      </c>
      <c r="K353" s="5" t="str">
        <f>IFERROR(__xludf.DUMMYFUNCTION("""COMPUTED_VALUE""")," গাংনী")</f>
        <v> গাংনী</v>
      </c>
      <c r="L353" s="5" t="str">
        <f>IFERROR(__xludf.DUMMYFUNCTION("""COMPUTED_VALUE""")," মেহেরপুর")</f>
        <v> মেহেরপুর</v>
      </c>
    </row>
    <row r="354" ht="15.75" customHeight="1">
      <c r="A354" s="7" t="s">
        <v>7219</v>
      </c>
      <c r="B354" s="5">
        <f>IFERROR(__xludf.DUMMYFUNCTION("SPLIT(A354,"","")"),2489.0)</f>
        <v>2489</v>
      </c>
      <c r="C354" s="5" t="str">
        <f>IFERROR(__xludf.DUMMYFUNCTION("""COMPUTED_VALUE"""),"মোছাঃ লিমা খাতুন")</f>
        <v>মোছাঃ লিমা খাতুন</v>
      </c>
      <c r="D354" s="5">
        <f>IFERROR(__xludf.DUMMYFUNCTION("""COMPUTED_VALUE"""),5.70038544962E11)</f>
        <v>570038544962</v>
      </c>
      <c r="E354" s="5" t="str">
        <f>IFERROR(__xludf.DUMMYFUNCTION("""COMPUTED_VALUE"""),"মোঃ আকরাম আলী")</f>
        <v>মোঃ আকরাম আলী</v>
      </c>
      <c r="F354" s="5" t="str">
        <f>IFERROR(__xludf.DUMMYFUNCTION("""COMPUTED_VALUE"""),"মোছাঃ শাহারার খাতুন")</f>
        <v>মোছাঃ শাহারার খাতুন</v>
      </c>
      <c r="G354" s="5" t="str">
        <f>IFERROR(__xludf.DUMMYFUNCTION("""COMPUTED_VALUE"""),"০১/০১/২০০১")</f>
        <v>০১/০১/২০০১</v>
      </c>
      <c r="H354" s="5" t="str">
        <f>IFERROR(__xludf.DUMMYFUNCTION("""COMPUTED_VALUE"""),"গৃহিনী")</f>
        <v>গৃহিনী</v>
      </c>
      <c r="I354" s="5" t="str">
        <f>IFERROR(__xludf.DUMMYFUNCTION("""COMPUTED_VALUE"""),"গাড়াডোব")</f>
        <v>গাড়াডোব</v>
      </c>
      <c r="J354" s="5" t="str">
        <f>IFERROR(__xludf.DUMMYFUNCTION("""COMPUTED_VALUE""")," গাংনী")</f>
        <v> গাংনী</v>
      </c>
      <c r="K354" s="5" t="str">
        <f>IFERROR(__xludf.DUMMYFUNCTION("""COMPUTED_VALUE""")," মেহেরপুর")</f>
        <v> মেহেরপুর</v>
      </c>
    </row>
    <row r="355" ht="15.75" customHeight="1">
      <c r="A355" s="7" t="s">
        <v>7220</v>
      </c>
      <c r="B355" s="5">
        <f>IFERROR(__xludf.DUMMYFUNCTION("SPLIT(A355,"","")"),2490.0)</f>
        <v>2490</v>
      </c>
      <c r="C355" s="5" t="str">
        <f>IFERROR(__xludf.DUMMYFUNCTION("""COMPUTED_VALUE"""),"মোছাঃ সপ্না খাতুন")</f>
        <v>মোছাঃ সপ্না খাতুন</v>
      </c>
      <c r="D355" s="5">
        <f>IFERROR(__xludf.DUMMYFUNCTION("""COMPUTED_VALUE"""),5.70038544964E11)</f>
        <v>570038544964</v>
      </c>
      <c r="E355" s="5" t="str">
        <f>IFERROR(__xludf.DUMMYFUNCTION("""COMPUTED_VALUE"""),"মোঃ শাহিদ আলী")</f>
        <v>মোঃ শাহিদ আলী</v>
      </c>
      <c r="F355" s="5" t="str">
        <f>IFERROR(__xludf.DUMMYFUNCTION("""COMPUTED_VALUE"""),"মোছাঃ শিপন নাহার")</f>
        <v>মোছাঃ শিপন নাহার</v>
      </c>
      <c r="G355" s="5" t="str">
        <f>IFERROR(__xludf.DUMMYFUNCTION("""COMPUTED_VALUE"""),"২২/০৬/১৯৯৭")</f>
        <v>২২/০৬/১৯৯৭</v>
      </c>
      <c r="H355" s="5" t="str">
        <f>IFERROR(__xludf.DUMMYFUNCTION("""COMPUTED_VALUE"""),"গৃহিনী")</f>
        <v>গৃহিনী</v>
      </c>
      <c r="I355" s="5">
        <f>IFERROR(__xludf.DUMMYFUNCTION("""COMPUTED_VALUE"""),203.0)</f>
        <v>203</v>
      </c>
      <c r="J355" s="5" t="str">
        <f>IFERROR(__xludf.DUMMYFUNCTION("""COMPUTED_VALUE""")," গাড়াডোব")</f>
        <v> গাড়াডোব</v>
      </c>
      <c r="K355" s="5" t="str">
        <f>IFERROR(__xludf.DUMMYFUNCTION("""COMPUTED_VALUE""")," গাংনী")</f>
        <v> গাংনী</v>
      </c>
      <c r="L355" s="5" t="str">
        <f>IFERROR(__xludf.DUMMYFUNCTION("""COMPUTED_VALUE""")," মেহেরপুর")</f>
        <v> মেহেরপুর</v>
      </c>
    </row>
    <row r="356" ht="15.75" customHeight="1">
      <c r="A356" s="7" t="s">
        <v>7221</v>
      </c>
      <c r="B356" s="5">
        <f>IFERROR(__xludf.DUMMYFUNCTION("SPLIT(A356,"","")"),2491.0)</f>
        <v>2491</v>
      </c>
      <c r="C356" s="5" t="str">
        <f>IFERROR(__xludf.DUMMYFUNCTION("""COMPUTED_VALUE"""),"মোছাঃ সারমিন আক্তার সাথী")</f>
        <v>মোছাঃ সারমিন আক্তার সাথী</v>
      </c>
      <c r="D356" s="5">
        <f>IFERROR(__xludf.DUMMYFUNCTION("""COMPUTED_VALUE"""),5.70038544965E11)</f>
        <v>570038544965</v>
      </c>
      <c r="E356" s="5" t="str">
        <f>IFERROR(__xludf.DUMMYFUNCTION("""COMPUTED_VALUE"""),"মোঃ মহিদুল ইসলাম")</f>
        <v>মোঃ মহিদুল ইসলাম</v>
      </c>
      <c r="F356" s="5" t="str">
        <f>IFERROR(__xludf.DUMMYFUNCTION("""COMPUTED_VALUE"""),"মোছাঃ নুরুন্নাহার খাতুন")</f>
        <v>মোছাঃ নুরুন্নাহার খাতুন</v>
      </c>
      <c r="G356" s="5" t="str">
        <f>IFERROR(__xludf.DUMMYFUNCTION("""COMPUTED_VALUE"""),"০২/০৬/২০০০")</f>
        <v>০২/০৬/২০০০</v>
      </c>
      <c r="H356" s="5" t="str">
        <f>IFERROR(__xludf.DUMMYFUNCTION("""COMPUTED_VALUE"""),"ছাত্র/ছাত্রী")</f>
        <v>ছাত্র/ছাত্রী</v>
      </c>
      <c r="I356" s="5">
        <f>IFERROR(__xludf.DUMMYFUNCTION("""COMPUTED_VALUE"""),964.0)</f>
        <v>964</v>
      </c>
      <c r="J356" s="5" t="str">
        <f>IFERROR(__xludf.DUMMYFUNCTION("""COMPUTED_VALUE""")," গাড়াডোব")</f>
        <v> গাড়াডোব</v>
      </c>
      <c r="K356" s="5" t="str">
        <f>IFERROR(__xludf.DUMMYFUNCTION("""COMPUTED_VALUE""")," গাংনী")</f>
        <v> গাংনী</v>
      </c>
      <c r="L356" s="5" t="str">
        <f>IFERROR(__xludf.DUMMYFUNCTION("""COMPUTED_VALUE""")," মেহেরপুর")</f>
        <v> মেহেরপুর</v>
      </c>
    </row>
    <row r="357" ht="15.75" customHeight="1">
      <c r="A357" s="7" t="s">
        <v>7222</v>
      </c>
      <c r="B357" s="5">
        <f>IFERROR(__xludf.DUMMYFUNCTION("SPLIT(A357,"","")"),2492.0)</f>
        <v>2492</v>
      </c>
      <c r="C357" s="5" t="str">
        <f>IFERROR(__xludf.DUMMYFUNCTION("""COMPUTED_VALUE"""),"মোছাঃ তামান্না পারভীন")</f>
        <v>মোছাঃ তামান্না পারভীন</v>
      </c>
      <c r="D357" s="5">
        <f>IFERROR(__xludf.DUMMYFUNCTION("""COMPUTED_VALUE"""),5.70038544966E11)</f>
        <v>570038544966</v>
      </c>
      <c r="E357" s="5" t="str">
        <f>IFERROR(__xludf.DUMMYFUNCTION("""COMPUTED_VALUE"""),"মোঃ জালাল উদ্দীন")</f>
        <v>মোঃ জালাল উদ্দীন</v>
      </c>
      <c r="F357" s="5" t="str">
        <f>IFERROR(__xludf.DUMMYFUNCTION("""COMPUTED_VALUE"""),"মোছাঃ মদিনা খাতুন")</f>
        <v>মোছাঃ মদিনা খাতুন</v>
      </c>
      <c r="G357" s="5" t="str">
        <f>IFERROR(__xludf.DUMMYFUNCTION("""COMPUTED_VALUE"""),"১৭/০৯/২০০০")</f>
        <v>১৭/০৯/২০০০</v>
      </c>
      <c r="H357" s="5" t="str">
        <f>IFERROR(__xludf.DUMMYFUNCTION("""COMPUTED_VALUE"""),"ছাত্র/ছাত্রী")</f>
        <v>ছাত্র/ছাত্রী</v>
      </c>
      <c r="I357" s="5" t="str">
        <f>IFERROR(__xludf.DUMMYFUNCTION("""COMPUTED_VALUE"""),"গাড়াডোব")</f>
        <v>গাড়াডোব</v>
      </c>
      <c r="J357" s="5" t="str">
        <f>IFERROR(__xludf.DUMMYFUNCTION("""COMPUTED_VALUE""")," গাংনী")</f>
        <v> গাংনী</v>
      </c>
      <c r="K357" s="5" t="str">
        <f>IFERROR(__xludf.DUMMYFUNCTION("""COMPUTED_VALUE""")," মেহেরপুর")</f>
        <v> মেহেরপুর</v>
      </c>
    </row>
    <row r="358" ht="15.75" customHeight="1">
      <c r="A358" s="7" t="s">
        <v>7223</v>
      </c>
      <c r="B358" s="5">
        <f>IFERROR(__xludf.DUMMYFUNCTION("SPLIT(A358,"","")"),2493.0)</f>
        <v>2493</v>
      </c>
      <c r="C358" s="5" t="str">
        <f>IFERROR(__xludf.DUMMYFUNCTION("""COMPUTED_VALUE"""),"মোছাঃ শামীমা আক্তার")</f>
        <v>মোছাঃ শামীমা আক্তার</v>
      </c>
      <c r="D358" s="5">
        <f>IFERROR(__xludf.DUMMYFUNCTION("""COMPUTED_VALUE"""),5.70038544967E11)</f>
        <v>570038544967</v>
      </c>
      <c r="E358" s="5" t="str">
        <f>IFERROR(__xludf.DUMMYFUNCTION("""COMPUTED_VALUE"""),"মোঃ মতিন")</f>
        <v>মোঃ মতিন</v>
      </c>
      <c r="F358" s="5" t="str">
        <f>IFERROR(__xludf.DUMMYFUNCTION("""COMPUTED_VALUE"""),"মোছাঃ জমেলা খাতুন")</f>
        <v>মোছাঃ জমেলা খাতুন</v>
      </c>
      <c r="G358" s="5" t="str">
        <f>IFERROR(__xludf.DUMMYFUNCTION("""COMPUTED_VALUE"""),"১১/০১/১৯৯৫")</f>
        <v>১১/০১/১৯৯৫</v>
      </c>
      <c r="H358" s="5" t="str">
        <f>IFERROR(__xludf.DUMMYFUNCTION("""COMPUTED_VALUE"""),"গৃহিনী")</f>
        <v>গৃহিনী</v>
      </c>
      <c r="I358" s="5">
        <f>IFERROR(__xludf.DUMMYFUNCTION("""COMPUTED_VALUE"""),149.0)</f>
        <v>149</v>
      </c>
      <c r="J358" s="5" t="str">
        <f>IFERROR(__xludf.DUMMYFUNCTION("""COMPUTED_VALUE""")," গাড়াডোব")</f>
        <v> গাড়াডোব</v>
      </c>
      <c r="K358" s="5" t="str">
        <f>IFERROR(__xludf.DUMMYFUNCTION("""COMPUTED_VALUE""")," গাংনী")</f>
        <v> গাংনী</v>
      </c>
      <c r="L358" s="5" t="str">
        <f>IFERROR(__xludf.DUMMYFUNCTION("""COMPUTED_VALUE""")," মেহেরপুর")</f>
        <v> মেহেরপুর</v>
      </c>
    </row>
    <row r="359" ht="15.75" customHeight="1">
      <c r="A359" s="7" t="s">
        <v>7224</v>
      </c>
      <c r="B359" s="5">
        <f>IFERROR(__xludf.DUMMYFUNCTION("SPLIT(A359,"","")"),2494.0)</f>
        <v>2494</v>
      </c>
      <c r="C359" s="5" t="str">
        <f>IFERROR(__xludf.DUMMYFUNCTION("""COMPUTED_VALUE"""),"মোছাঃ শান্তনা")</f>
        <v>মোছাঃ শান্তনা</v>
      </c>
      <c r="D359" s="5">
        <f>IFERROR(__xludf.DUMMYFUNCTION("""COMPUTED_VALUE"""),5.70038544968E11)</f>
        <v>570038544968</v>
      </c>
      <c r="E359" s="5" t="str">
        <f>IFERROR(__xludf.DUMMYFUNCTION("""COMPUTED_VALUE"""),"মোঃ আলীহীম")</f>
        <v>মোঃ আলীহীম</v>
      </c>
      <c r="F359" s="5" t="str">
        <f>IFERROR(__xludf.DUMMYFUNCTION("""COMPUTED_VALUE"""),"মোছাঃ জাহেরা খাতুন")</f>
        <v>মোছাঃ জাহেরা খাতুন</v>
      </c>
      <c r="G359" s="5" t="str">
        <f>IFERROR(__xludf.DUMMYFUNCTION("""COMPUTED_VALUE"""),"০৫/০৯/১৯৯৪")</f>
        <v>০৫/০৯/১৯৯৪</v>
      </c>
      <c r="H359" s="5" t="str">
        <f>IFERROR(__xludf.DUMMYFUNCTION("""COMPUTED_VALUE"""),"গৃহিনী")</f>
        <v>গৃহিনী</v>
      </c>
      <c r="I359" s="5" t="str">
        <f>IFERROR(__xludf.DUMMYFUNCTION("""COMPUTED_VALUE"""),"গাঁড়াডোব")</f>
        <v>গাঁড়াডোব</v>
      </c>
      <c r="J359" s="5" t="str">
        <f>IFERROR(__xludf.DUMMYFUNCTION("""COMPUTED_VALUE""")," গাড়াডোব")</f>
        <v> গাড়াডোব</v>
      </c>
      <c r="K359" s="5" t="str">
        <f>IFERROR(__xludf.DUMMYFUNCTION("""COMPUTED_VALUE""")," গাংনী")</f>
        <v> গাংনী</v>
      </c>
      <c r="L359" s="5" t="str">
        <f>IFERROR(__xludf.DUMMYFUNCTION("""COMPUTED_VALUE""")," মেহেরপুর")</f>
        <v> মেহেরপুর</v>
      </c>
    </row>
    <row r="360" ht="15.75" customHeight="1">
      <c r="A360" s="7" t="s">
        <v>7225</v>
      </c>
      <c r="B360" s="5">
        <f>IFERROR(__xludf.DUMMYFUNCTION("SPLIT(A360,"","")"),2495.0)</f>
        <v>2495</v>
      </c>
      <c r="C360" s="5" t="str">
        <f>IFERROR(__xludf.DUMMYFUNCTION("""COMPUTED_VALUE"""),"মোছাঃ রেশমি আক্তার তহমিনা")</f>
        <v>মোছাঃ রেশমি আক্তার তহমিনা</v>
      </c>
      <c r="D360" s="5">
        <f>IFERROR(__xludf.DUMMYFUNCTION("""COMPUTED_VALUE"""),5.70038544969E11)</f>
        <v>570038544969</v>
      </c>
      <c r="E360" s="5" t="str">
        <f>IFERROR(__xludf.DUMMYFUNCTION("""COMPUTED_VALUE"""),"মোঃ জাহাঙ্গীর হোসেন")</f>
        <v>মোঃ জাহাঙ্গীর হোসেন</v>
      </c>
      <c r="F360" s="5" t="str">
        <f>IFERROR(__xludf.DUMMYFUNCTION("""COMPUTED_VALUE"""),"মোছাঃ হাসিয়ারা খাতুন")</f>
        <v>মোছাঃ হাসিয়ারা খাতুন</v>
      </c>
      <c r="G360" s="5" t="str">
        <f>IFERROR(__xludf.DUMMYFUNCTION("""COMPUTED_VALUE"""),"২৫/০৩/১৯৯৮")</f>
        <v>২৫/০৩/১৯৯৮</v>
      </c>
      <c r="H360" s="5" t="str">
        <f>IFERROR(__xludf.DUMMYFUNCTION("""COMPUTED_VALUE"""),"ছাত্র/ছাত্রী")</f>
        <v>ছাত্র/ছাত্রী</v>
      </c>
      <c r="I360" s="5">
        <f>IFERROR(__xludf.DUMMYFUNCTION("""COMPUTED_VALUE"""),219.0)</f>
        <v>219</v>
      </c>
      <c r="J360" s="5" t="str">
        <f>IFERROR(__xludf.DUMMYFUNCTION("""COMPUTED_VALUE""")," গাড়াডোব")</f>
        <v> গাড়াডোব</v>
      </c>
      <c r="K360" s="5" t="str">
        <f>IFERROR(__xludf.DUMMYFUNCTION("""COMPUTED_VALUE""")," গাংনী")</f>
        <v> গাংনী</v>
      </c>
      <c r="L360" s="5" t="str">
        <f>IFERROR(__xludf.DUMMYFUNCTION("""COMPUTED_VALUE""")," মেহেরপুর")</f>
        <v> মেহেরপুর</v>
      </c>
    </row>
    <row r="361" ht="15.75" customHeight="1">
      <c r="A361" s="7" t="s">
        <v>7226</v>
      </c>
      <c r="B361" s="5">
        <f>IFERROR(__xludf.DUMMYFUNCTION("SPLIT(A361,"","")"),2496.0)</f>
        <v>2496</v>
      </c>
      <c r="C361" s="5" t="str">
        <f>IFERROR(__xludf.DUMMYFUNCTION("""COMPUTED_VALUE"""),"নাম: সুফিয়া আল মামুন")</f>
        <v>নাম: সুফিয়া আল মামুন</v>
      </c>
      <c r="D361" s="5">
        <f>IFERROR(__xludf.DUMMYFUNCTION("""COMPUTED_VALUE"""),5.7003854498E10)</f>
        <v>57003854498</v>
      </c>
      <c r="E361" s="5" t="str">
        <f>IFERROR(__xludf.DUMMYFUNCTION("""COMPUTED_VALUE"""),"মোঃ হকস উদ্দিন")</f>
        <v>মোঃ হকস উদ্দিন</v>
      </c>
      <c r="F361" s="5" t="str">
        <f>IFERROR(__xludf.DUMMYFUNCTION("""COMPUTED_VALUE"""),"মাতা: সুরাতুন")</f>
        <v>মাতা: সুরাতুন</v>
      </c>
      <c r="G361" s="5" t="str">
        <f>IFERROR(__xludf.DUMMYFUNCTION("""COMPUTED_VALUE"""),"০৫/০১/১৯৭৭")</f>
        <v>০৫/০১/১৯৭৭</v>
      </c>
      <c r="H361" s="5" t="str">
        <f>IFERROR(__xludf.DUMMYFUNCTION("""COMPUTED_VALUE"""),"গৃহিনী")</f>
        <v>গৃহিনী</v>
      </c>
      <c r="I361" s="5" t="str">
        <f>IFERROR(__xludf.DUMMYFUNCTION("""COMPUTED_VALUE"""),"গাড়াডোব")</f>
        <v>গাড়াডোব</v>
      </c>
      <c r="J361" s="5" t="str">
        <f>IFERROR(__xludf.DUMMYFUNCTION("""COMPUTED_VALUE""")," গাংনী")</f>
        <v> গাংনী</v>
      </c>
      <c r="K361" s="5" t="str">
        <f>IFERROR(__xludf.DUMMYFUNCTION("""COMPUTED_VALUE""")," মেহেরপুর")</f>
        <v> মেহেরপুর</v>
      </c>
    </row>
    <row r="362" ht="15.75" customHeight="1">
      <c r="A362" s="7" t="s">
        <v>7227</v>
      </c>
      <c r="B362" s="5">
        <f>IFERROR(__xludf.DUMMYFUNCTION("SPLIT(A362,"","")"),2497.0)</f>
        <v>2497</v>
      </c>
      <c r="C362" s="5" t="str">
        <f>IFERROR(__xludf.DUMMYFUNCTION("""COMPUTED_VALUE"""),"নাম: মিসেস খালেদা বেগম")</f>
        <v>নাম: মিসেস খালেদা বেগম</v>
      </c>
      <c r="D362" s="5">
        <f>IFERROR(__xludf.DUMMYFUNCTION("""COMPUTED_VALUE"""),5.7003854495E11)</f>
        <v>570038544950</v>
      </c>
      <c r="E362" s="5" t="str">
        <f>IFERROR(__xludf.DUMMYFUNCTION("""COMPUTED_VALUE"""),"মোঃ সহির উদ্দিন মুন্সি")</f>
        <v>মোঃ সহির উদ্দিন মুন্সি</v>
      </c>
      <c r="F362" s="5" t="str">
        <f>IFERROR(__xludf.DUMMYFUNCTION("""COMPUTED_VALUE"""),"মোছাঃ সখিনা বেগম")</f>
        <v>মোছাঃ সখিনা বেগম</v>
      </c>
      <c r="G362" s="5" t="str">
        <f>IFERROR(__xludf.DUMMYFUNCTION("""COMPUTED_VALUE"""),"১২/০৫/১৯৭০")</f>
        <v>১২/০৫/১৯৭০</v>
      </c>
      <c r="H362" s="5" t="str">
        <f>IFERROR(__xludf.DUMMYFUNCTION("""COMPUTED_VALUE"""),"গৃহিনী")</f>
        <v>গৃহিনী</v>
      </c>
      <c r="I362" s="5" t="str">
        <f>IFERROR(__xludf.DUMMYFUNCTION("""COMPUTED_VALUE"""),"গাঁড়াডোব")</f>
        <v>গাঁড়াডোব</v>
      </c>
      <c r="J362" s="5" t="str">
        <f>IFERROR(__xludf.DUMMYFUNCTION("""COMPUTED_VALUE""")," গাড়াডোব")</f>
        <v> গাড়াডোব</v>
      </c>
      <c r="K362" s="5" t="str">
        <f>IFERROR(__xludf.DUMMYFUNCTION("""COMPUTED_VALUE""")," গাংনী")</f>
        <v> গাংনী</v>
      </c>
      <c r="L362" s="5" t="str">
        <f>IFERROR(__xludf.DUMMYFUNCTION("""COMPUTED_VALUE""")," মেহেরপুর")</f>
        <v> মেহেরপুর</v>
      </c>
    </row>
    <row r="363" ht="15.75" customHeight="1">
      <c r="A363" s="7" t="s">
        <v>7228</v>
      </c>
      <c r="B363" s="5">
        <f>IFERROR(__xludf.DUMMYFUNCTION("SPLIT(A363,"","")"),2498.0)</f>
        <v>2498</v>
      </c>
      <c r="C363" s="5" t="str">
        <f>IFERROR(__xludf.DUMMYFUNCTION("""COMPUTED_VALUE"""),"মোছাঃ শিউলী খাতুন")</f>
        <v>মোছাঃ শিউলী খাতুন</v>
      </c>
      <c r="D363" s="5">
        <f>IFERROR(__xludf.DUMMYFUNCTION("""COMPUTED_VALUE"""),5.70038544953E11)</f>
        <v>570038544953</v>
      </c>
      <c r="E363" s="5" t="str">
        <f>IFERROR(__xludf.DUMMYFUNCTION("""COMPUTED_VALUE"""),"মোঃ লালন উদ্দিন")</f>
        <v>মোঃ লালন উদ্দিন</v>
      </c>
      <c r="F363" s="5" t="str">
        <f>IFERROR(__xludf.DUMMYFUNCTION("""COMPUTED_VALUE"""),"মোছাঃ রংগীলা খাতুন")</f>
        <v>মোছাঃ রংগীলা খাতুন</v>
      </c>
      <c r="G363" s="5" t="str">
        <f>IFERROR(__xludf.DUMMYFUNCTION("""COMPUTED_VALUE"""),"১১/০২/১৯৯৪")</f>
        <v>১১/০২/১৯৯৪</v>
      </c>
      <c r="H363" s="5" t="str">
        <f>IFERROR(__xludf.DUMMYFUNCTION("""COMPUTED_VALUE"""),"গৃহিনী")</f>
        <v>গৃহিনী</v>
      </c>
      <c r="I363" s="5" t="str">
        <f>IFERROR(__xludf.DUMMYFUNCTION("""COMPUTED_VALUE"""),"গাড়াডোব")</f>
        <v>গাড়াডোব</v>
      </c>
      <c r="J363" s="5" t="str">
        <f>IFERROR(__xludf.DUMMYFUNCTION("""COMPUTED_VALUE""")," গাংনী")</f>
        <v> গাংনী</v>
      </c>
      <c r="K363" s="5" t="str">
        <f>IFERROR(__xludf.DUMMYFUNCTION("""COMPUTED_VALUE""")," মেহেরপুর")</f>
        <v> মেহেরপুর</v>
      </c>
    </row>
    <row r="364" ht="15.75" customHeight="1">
      <c r="A364" s="7" t="s">
        <v>7229</v>
      </c>
      <c r="B364" s="5">
        <f>IFERROR(__xludf.DUMMYFUNCTION("SPLIT(A364,"","")"),2499.0)</f>
        <v>2499</v>
      </c>
      <c r="C364" s="5" t="str">
        <f>IFERROR(__xludf.DUMMYFUNCTION("""COMPUTED_VALUE"""),"মোছাঃ সবেদা খাতুন")</f>
        <v>মোছাঃ সবেদা খাতুন</v>
      </c>
      <c r="D364" s="5">
        <f>IFERROR(__xludf.DUMMYFUNCTION("""COMPUTED_VALUE"""),5.70038544955E11)</f>
        <v>570038544955</v>
      </c>
      <c r="E364" s="5" t="str">
        <f>IFERROR(__xludf.DUMMYFUNCTION("""COMPUTED_VALUE"""),"মোঃ নবী ছদ্দীন")</f>
        <v>মোঃ নবী ছদ্দীন</v>
      </c>
      <c r="F364" s="5" t="str">
        <f>IFERROR(__xludf.DUMMYFUNCTION("""COMPUTED_VALUE"""),"মোছাঃ আরসাফোন নেছা")</f>
        <v>মোছাঃ আরসাফোন নেছা</v>
      </c>
      <c r="G364" s="5" t="str">
        <f>IFERROR(__xludf.DUMMYFUNCTION("""COMPUTED_VALUE"""),"১০/০৫/১৯৮৮")</f>
        <v>১০/০৫/১৯৮৮</v>
      </c>
      <c r="H364" s="5" t="str">
        <f>IFERROR(__xludf.DUMMYFUNCTION("""COMPUTED_VALUE"""),"গৃহিনী")</f>
        <v>গৃহিনী</v>
      </c>
      <c r="I364" s="5" t="str">
        <f>IFERROR(__xludf.DUMMYFUNCTION("""COMPUTED_VALUE"""),"গাড়াডোব")</f>
        <v>গাড়াডোব</v>
      </c>
      <c r="J364" s="5" t="str">
        <f>IFERROR(__xludf.DUMMYFUNCTION("""COMPUTED_VALUE""")," গাংনী")</f>
        <v> গাংনী</v>
      </c>
      <c r="K364" s="5" t="str">
        <f>IFERROR(__xludf.DUMMYFUNCTION("""COMPUTED_VALUE""")," মেহেরপুর")</f>
        <v> মেহেরপুর</v>
      </c>
    </row>
    <row r="365" ht="15.75" customHeight="1">
      <c r="A365" s="7" t="s">
        <v>7230</v>
      </c>
      <c r="B365" s="5">
        <f>IFERROR(__xludf.DUMMYFUNCTION("SPLIT(A365,"","")"),2500.0)</f>
        <v>2500</v>
      </c>
      <c r="C365" s="5" t="str">
        <f>IFERROR(__xludf.DUMMYFUNCTION("""COMPUTED_VALUE"""),"মোছাঃ রুমা খাতুন")</f>
        <v>মোছাঃ রুমা খাতুন</v>
      </c>
      <c r="D365" s="5">
        <f>IFERROR(__xludf.DUMMYFUNCTION("""COMPUTED_VALUE"""),5.70038544959E11)</f>
        <v>570038544959</v>
      </c>
      <c r="E365" s="5" t="str">
        <f>IFERROR(__xludf.DUMMYFUNCTION("""COMPUTED_VALUE"""),"মোঃ শহিদুল ইসলাম")</f>
        <v>মোঃ শহিদুল ইসলাম</v>
      </c>
      <c r="F365" s="5" t="str">
        <f>IFERROR(__xludf.DUMMYFUNCTION("""COMPUTED_VALUE"""),"মোছাঃ মর্জিনা খাতুন")</f>
        <v>মোছাঃ মর্জিনা খাতুন</v>
      </c>
      <c r="G365" s="5" t="str">
        <f>IFERROR(__xludf.DUMMYFUNCTION("""COMPUTED_VALUE"""),"০১/০১/১৯৮৮")</f>
        <v>০১/০১/১৯৮৮</v>
      </c>
      <c r="H365" s="5" t="str">
        <f>IFERROR(__xludf.DUMMYFUNCTION("""COMPUTED_VALUE"""),"গৃহিনী")</f>
        <v>গৃহিনী</v>
      </c>
      <c r="I365" s="5" t="str">
        <f>IFERROR(__xludf.DUMMYFUNCTION("""COMPUTED_VALUE"""),"গাড়াডোব")</f>
        <v>গাড়াডোব</v>
      </c>
      <c r="J365" s="5" t="str">
        <f>IFERROR(__xludf.DUMMYFUNCTION("""COMPUTED_VALUE""")," গাংনী")</f>
        <v> গাংনী</v>
      </c>
      <c r="K365" s="5" t="str">
        <f>IFERROR(__xludf.DUMMYFUNCTION("""COMPUTED_VALUE""")," মেহেরপুর")</f>
        <v> মেহেরপুর</v>
      </c>
    </row>
    <row r="366" ht="15.75" customHeight="1">
      <c r="A366" s="7" t="s">
        <v>7231</v>
      </c>
      <c r="B366" s="5">
        <f>IFERROR(__xludf.DUMMYFUNCTION("SPLIT(A366,"","")"),2501.0)</f>
        <v>2501</v>
      </c>
      <c r="C366" s="5" t="str">
        <f>IFERROR(__xludf.DUMMYFUNCTION("""COMPUTED_VALUE"""),"মোছাঃ শেফালী খাতুন")</f>
        <v>মোছাঃ শেফালী খাতুন</v>
      </c>
      <c r="D366" s="5">
        <f>IFERROR(__xludf.DUMMYFUNCTION("""COMPUTED_VALUE"""),5.70038544961E11)</f>
        <v>570038544961</v>
      </c>
      <c r="E366" s="5" t="str">
        <f>IFERROR(__xludf.DUMMYFUNCTION("""COMPUTED_VALUE"""),"মোঃ কুদ্দুস আলী")</f>
        <v>মোঃ কুদ্দুস আলী</v>
      </c>
      <c r="F366" s="5" t="str">
        <f>IFERROR(__xludf.DUMMYFUNCTION("""COMPUTED_VALUE"""),"মোছাঃ ছাইরা খাতুন")</f>
        <v>মোছাঃ ছাইরা খাতুন</v>
      </c>
      <c r="G366" s="5" t="str">
        <f>IFERROR(__xludf.DUMMYFUNCTION("""COMPUTED_VALUE"""),"০২/০৭/১৯৮৯")</f>
        <v>০২/০৭/১৯৮৯</v>
      </c>
      <c r="H366" s="5" t="str">
        <f>IFERROR(__xludf.DUMMYFUNCTION("""COMPUTED_VALUE"""),"গৃহিনী")</f>
        <v>গৃহিনী</v>
      </c>
      <c r="I366" s="5" t="str">
        <f>IFERROR(__xludf.DUMMYFUNCTION("""COMPUTED_VALUE"""),"গাড়াডোব")</f>
        <v>গাড়াডোব</v>
      </c>
      <c r="J366" s="5" t="str">
        <f>IFERROR(__xludf.DUMMYFUNCTION("""COMPUTED_VALUE""")," গাংনী")</f>
        <v> গাংনী</v>
      </c>
      <c r="K366" s="5" t="str">
        <f>IFERROR(__xludf.DUMMYFUNCTION("""COMPUTED_VALUE""")," মেহেরপুর")</f>
        <v> মেহেরপুর</v>
      </c>
    </row>
    <row r="367" ht="15.75" customHeight="1">
      <c r="A367" s="7" t="s">
        <v>7232</v>
      </c>
      <c r="B367" s="5">
        <f>IFERROR(__xludf.DUMMYFUNCTION("SPLIT(A367,"","")"),2502.0)</f>
        <v>2502</v>
      </c>
      <c r="C367" s="5" t="str">
        <f>IFERROR(__xludf.DUMMYFUNCTION("""COMPUTED_VALUE"""),"মোছাঃ কামরুন্নাহার কাকন")</f>
        <v>মোছাঃ কামরুন্নাহার কাকন</v>
      </c>
      <c r="D367" s="5">
        <f>IFERROR(__xludf.DUMMYFUNCTION("""COMPUTED_VALUE"""),5.70038000437E11)</f>
        <v>570038000437</v>
      </c>
      <c r="E367" s="5" t="str">
        <f>IFERROR(__xludf.DUMMYFUNCTION("""COMPUTED_VALUE"""),"মোঃ আবুল কাশেম")</f>
        <v>মোঃ আবুল কাশেম</v>
      </c>
      <c r="F367" s="5" t="str">
        <f>IFERROR(__xludf.DUMMYFUNCTION("""COMPUTED_VALUE"""),"মোছাঃ রোজিনা খাতুন")</f>
        <v>মোছাঃ রোজিনা খাতুন</v>
      </c>
      <c r="G367" s="5" t="str">
        <f>IFERROR(__xludf.DUMMYFUNCTION("""COMPUTED_VALUE"""),"১৪/১০/২০০৪")</f>
        <v>১৪/১০/২০০৪</v>
      </c>
      <c r="H367" s="5" t="str">
        <f>IFERROR(__xludf.DUMMYFUNCTION("""COMPUTED_VALUE"""),"ছাত্র/ছাত্রী")</f>
        <v>ছাত্র/ছাত্রী</v>
      </c>
      <c r="I367" s="5" t="str">
        <f>IFERROR(__xludf.DUMMYFUNCTION("""COMPUTED_VALUE"""),"গাড়াডোব")</f>
        <v>গাড়াডোব</v>
      </c>
      <c r="J367" s="5" t="str">
        <f>IFERROR(__xludf.DUMMYFUNCTION("""COMPUTED_VALUE""")," গাংনী")</f>
        <v> গাংনী</v>
      </c>
      <c r="K367" s="5" t="str">
        <f>IFERROR(__xludf.DUMMYFUNCTION("""COMPUTED_VALUE""")," মেহেরপুর")</f>
        <v> মেহেরপুর</v>
      </c>
    </row>
    <row r="368" ht="15.75" customHeight="1">
      <c r="A368" s="7" t="s">
        <v>7233</v>
      </c>
      <c r="B368" s="5">
        <f>IFERROR(__xludf.DUMMYFUNCTION("SPLIT(A368,"","")"),2503.0)</f>
        <v>2503</v>
      </c>
      <c r="C368" s="5" t="str">
        <f>IFERROR(__xludf.DUMMYFUNCTION("""COMPUTED_VALUE"""),"মোছাঃ সাদিয়া খাতুন")</f>
        <v>মোছাঃ সাদিয়া খাতুন</v>
      </c>
      <c r="D368" s="5">
        <f>IFERROR(__xludf.DUMMYFUNCTION("""COMPUTED_VALUE"""),5.700380009E11)</f>
        <v>570038000900</v>
      </c>
      <c r="E368" s="5" t="str">
        <f>IFERROR(__xludf.DUMMYFUNCTION("""COMPUTED_VALUE"""),"মোছাঃ তফিজুর রহমান")</f>
        <v>মোছাঃ তফিজুর রহমান</v>
      </c>
      <c r="F368" s="5" t="str">
        <f>IFERROR(__xludf.DUMMYFUNCTION("""COMPUTED_VALUE"""),"মোছাঃ রাফিজা খাতুন")</f>
        <v>মোছাঃ রাফিজা খাতুন</v>
      </c>
      <c r="G368" s="5" t="str">
        <f>IFERROR(__xludf.DUMMYFUNCTION("""COMPUTED_VALUE"""),"২২/০৩/২০০৬")</f>
        <v>২২/০৩/২০০৬</v>
      </c>
      <c r="H368" s="5" t="str">
        <f>IFERROR(__xludf.DUMMYFUNCTION("""COMPUTED_VALUE"""),"ছাত্র/ছাত্রী")</f>
        <v>ছাত্র/ছাত্রী</v>
      </c>
      <c r="I368" s="5" t="str">
        <f>IFERROR(__xludf.DUMMYFUNCTION("""COMPUTED_VALUE"""),"গাড়াডোব")</f>
        <v>গাড়াডোব</v>
      </c>
      <c r="J368" s="5" t="str">
        <f>IFERROR(__xludf.DUMMYFUNCTION("""COMPUTED_VALUE""")," গাংনী")</f>
        <v> গাংনী</v>
      </c>
      <c r="K368" s="5" t="str">
        <f>IFERROR(__xludf.DUMMYFUNCTION("""COMPUTED_VALUE""")," মেহেরপুর")</f>
        <v> মেহেরপুর</v>
      </c>
    </row>
    <row r="369" ht="15.75" customHeight="1">
      <c r="A369" s="7" t="s">
        <v>7234</v>
      </c>
      <c r="B369" s="5">
        <f>IFERROR(__xludf.DUMMYFUNCTION("SPLIT(A369,"","")"),2504.0)</f>
        <v>2504</v>
      </c>
      <c r="C369" s="5" t="str">
        <f>IFERROR(__xludf.DUMMYFUNCTION("""COMPUTED_VALUE"""),"নাম: আফিয়া ফাহমিদা")</f>
        <v>নাম: আফিয়া ফাহমিদা</v>
      </c>
      <c r="D369" s="5">
        <f>IFERROR(__xludf.DUMMYFUNCTION("""COMPUTED_VALUE"""),5.70038001401E11)</f>
        <v>570038001401</v>
      </c>
      <c r="E369" s="5" t="str">
        <f>IFERROR(__xludf.DUMMYFUNCTION("""COMPUTED_VALUE"""),"মোঃ আব্দুর রব")</f>
        <v>মোঃ আব্দুর রব</v>
      </c>
      <c r="F369" s="5" t="str">
        <f>IFERROR(__xludf.DUMMYFUNCTION("""COMPUTED_VALUE"""),"মোছাঃ আফরোজা খাতুন")</f>
        <v>মোছাঃ আফরোজা খাতুন</v>
      </c>
      <c r="G369" s="5" t="str">
        <f>IFERROR(__xludf.DUMMYFUNCTION("""COMPUTED_VALUE"""),"০৩/১১/২০০৬")</f>
        <v>০৩/১১/২০০৬</v>
      </c>
      <c r="H369" s="5" t="str">
        <f>IFERROR(__xludf.DUMMYFUNCTION("""COMPUTED_VALUE"""),"ছাত্র/ছাত্রী")</f>
        <v>ছাত্র/ছাত্রী</v>
      </c>
      <c r="I369" s="5" t="str">
        <f>IFERROR(__xludf.DUMMYFUNCTION("""COMPUTED_VALUE"""),"গাড়াডোব")</f>
        <v>গাড়াডোব</v>
      </c>
      <c r="J369" s="5" t="str">
        <f>IFERROR(__xludf.DUMMYFUNCTION("""COMPUTED_VALUE""")," গাংনী")</f>
        <v> গাংনী</v>
      </c>
      <c r="K369" s="5" t="str">
        <f>IFERROR(__xludf.DUMMYFUNCTION("""COMPUTED_VALUE""")," মেহেরপুর")</f>
        <v> মেহেরপুর</v>
      </c>
    </row>
    <row r="370" ht="15.75" customHeight="1">
      <c r="A370" s="7" t="s">
        <v>7235</v>
      </c>
      <c r="B370" s="5">
        <f>IFERROR(__xludf.DUMMYFUNCTION("SPLIT(A370,"","")"),2505.0)</f>
        <v>2505</v>
      </c>
      <c r="C370" s="5" t="str">
        <f>IFERROR(__xludf.DUMMYFUNCTION("""COMPUTED_VALUE"""),"মোছাঃ রত্না খাতুন")</f>
        <v>মোছাঃ রত্না খাতুন</v>
      </c>
      <c r="D370" s="5">
        <f>IFERROR(__xludf.DUMMYFUNCTION("""COMPUTED_VALUE"""),5.70038001624E11)</f>
        <v>570038001624</v>
      </c>
      <c r="E370" s="5" t="str">
        <f>IFERROR(__xludf.DUMMYFUNCTION("""COMPUTED_VALUE"""),"মোঃ রহিদুল ইসলাম")</f>
        <v>মোঃ রহিদুল ইসলাম</v>
      </c>
      <c r="F370" s="5" t="str">
        <f>IFERROR(__xludf.DUMMYFUNCTION("""COMPUTED_VALUE"""),"মোছাঃ ফাতেমা খাতুন")</f>
        <v>মোছাঃ ফাতেমা খাতুন</v>
      </c>
      <c r="G370" s="5" t="str">
        <f>IFERROR(__xludf.DUMMYFUNCTION("""COMPUTED_VALUE"""),"২৫/০৬/২০০৪")</f>
        <v>২৫/০৬/২০০৪</v>
      </c>
      <c r="H370" s="5" t="str">
        <f>IFERROR(__xludf.DUMMYFUNCTION("""COMPUTED_VALUE"""),"ছাত্র/ছাত্রী")</f>
        <v>ছাত্র/ছাত্রী</v>
      </c>
      <c r="I370" s="5" t="str">
        <f>IFERROR(__xludf.DUMMYFUNCTION("""COMPUTED_VALUE"""),"গাড়াডোব")</f>
        <v>গাড়াডোব</v>
      </c>
      <c r="J370" s="5" t="str">
        <f>IFERROR(__xludf.DUMMYFUNCTION("""COMPUTED_VALUE""")," গাংনী")</f>
        <v> গাংনী</v>
      </c>
      <c r="K370" s="5" t="str">
        <f>IFERROR(__xludf.DUMMYFUNCTION("""COMPUTED_VALUE""")," মেহেরপুর")</f>
        <v> মেহেরপুর</v>
      </c>
    </row>
    <row r="371" ht="15.75" customHeight="1">
      <c r="A371" s="7" t="s">
        <v>7236</v>
      </c>
      <c r="B371" s="5">
        <f>IFERROR(__xludf.DUMMYFUNCTION("SPLIT(A371,"","")"),2506.0)</f>
        <v>2506</v>
      </c>
      <c r="C371" s="5" t="str">
        <f>IFERROR(__xludf.DUMMYFUNCTION("""COMPUTED_VALUE"""),"মোছাঃ আজমিরা খাতুন")</f>
        <v>মোছাঃ আজমিরা খাতুন</v>
      </c>
      <c r="D371" s="5">
        <f>IFERROR(__xludf.DUMMYFUNCTION("""COMPUTED_VALUE"""),5.70038001669E11)</f>
        <v>570038001669</v>
      </c>
      <c r="E371" s="5" t="str">
        <f>IFERROR(__xludf.DUMMYFUNCTION("""COMPUTED_VALUE"""),"মোঃ আলমগীর হোসেন")</f>
        <v>মোঃ আলমগীর হোসেন</v>
      </c>
      <c r="F371" s="5" t="str">
        <f>IFERROR(__xludf.DUMMYFUNCTION("""COMPUTED_VALUE"""),"মোছাঃ নুরজাহান খাতুন")</f>
        <v>মোছাঃ নুরজাহান খাতুন</v>
      </c>
      <c r="G371" s="5" t="str">
        <f>IFERROR(__xludf.DUMMYFUNCTION("""COMPUTED_VALUE"""),"০৮/০৪/২০০৪")</f>
        <v>০৮/০৪/২০০৪</v>
      </c>
      <c r="H371" s="5" t="str">
        <f>IFERROR(__xludf.DUMMYFUNCTION("""COMPUTED_VALUE"""),"ছাত্র/ছাত্রী")</f>
        <v>ছাত্র/ছাত্রী</v>
      </c>
      <c r="I371" s="5" t="str">
        <f>IFERROR(__xludf.DUMMYFUNCTION("""COMPUTED_VALUE"""),"-+")</f>
        <v>-+</v>
      </c>
      <c r="J371" s="5" t="str">
        <f>IFERROR(__xludf.DUMMYFUNCTION("""COMPUTED_VALUE""")," গাড়াডোব")</f>
        <v> গাড়াডোব</v>
      </c>
      <c r="K371" s="5" t="str">
        <f>IFERROR(__xludf.DUMMYFUNCTION("""COMPUTED_VALUE""")," গাংনী")</f>
        <v> গাংনী</v>
      </c>
      <c r="L371" s="5" t="str">
        <f>IFERROR(__xludf.DUMMYFUNCTION("""COMPUTED_VALUE""")," মেহেরপুর")</f>
        <v> মেহেরপুর</v>
      </c>
    </row>
    <row r="372" ht="15.75" customHeight="1">
      <c r="A372" s="7" t="s">
        <v>7237</v>
      </c>
      <c r="B372" s="5">
        <f>IFERROR(__xludf.DUMMYFUNCTION("SPLIT(A372,"","")"),2507.0)</f>
        <v>2507</v>
      </c>
      <c r="C372" s="5" t="str">
        <f>IFERROR(__xludf.DUMMYFUNCTION("""COMPUTED_VALUE"""),"মোছাঃ রিয়া খাতুন")</f>
        <v>মোছাঃ রিয়া খাতুন</v>
      </c>
      <c r="D372" s="5">
        <f>IFERROR(__xludf.DUMMYFUNCTION("""COMPUTED_VALUE"""),5.70038001684E11)</f>
        <v>570038001684</v>
      </c>
      <c r="E372" s="5" t="str">
        <f>IFERROR(__xludf.DUMMYFUNCTION("""COMPUTED_VALUE"""),"মোঃ আঃ ছালাম")</f>
        <v>মোঃ আঃ ছালাম</v>
      </c>
      <c r="F372" s="5" t="str">
        <f>IFERROR(__xludf.DUMMYFUNCTION("""COMPUTED_VALUE"""),"মোছাঃ আছিয়া খাতুন")</f>
        <v>মোছাঃ আছিয়া খাতুন</v>
      </c>
      <c r="G372" s="5" t="str">
        <f>IFERROR(__xludf.DUMMYFUNCTION("""COMPUTED_VALUE"""),"১৭/০৫/২০০৪")</f>
        <v>১৭/০৫/২০০৪</v>
      </c>
      <c r="H372" s="5" t="str">
        <f>IFERROR(__xludf.DUMMYFUNCTION("""COMPUTED_VALUE"""),"গৃহিনী")</f>
        <v>গৃহিনী</v>
      </c>
      <c r="I372" s="5" t="str">
        <f>IFERROR(__xludf.DUMMYFUNCTION("""COMPUTED_VALUE"""),"গাড়াডোব")</f>
        <v>গাড়াডোব</v>
      </c>
      <c r="J372" s="5" t="str">
        <f>IFERROR(__xludf.DUMMYFUNCTION("""COMPUTED_VALUE""")," গাংনী")</f>
        <v> গাংনী</v>
      </c>
      <c r="K372" s="5" t="str">
        <f>IFERROR(__xludf.DUMMYFUNCTION("""COMPUTED_VALUE""")," মেহেরপুর")</f>
        <v> মেহেরপুর</v>
      </c>
    </row>
    <row r="373" ht="15.75" customHeight="1">
      <c r="A373" s="7" t="s">
        <v>7238</v>
      </c>
      <c r="B373" s="5">
        <f>IFERROR(__xludf.DUMMYFUNCTION("SPLIT(A373,"","")"),2508.0)</f>
        <v>2508</v>
      </c>
      <c r="C373" s="5" t="str">
        <f>IFERROR(__xludf.DUMMYFUNCTION("""COMPUTED_VALUE"""),"মোছাঃ পাপিয়ার খাতুন")</f>
        <v>মোছাঃ পাপিয়ার খাতুন</v>
      </c>
      <c r="D373" s="5">
        <f>IFERROR(__xludf.DUMMYFUNCTION("""COMPUTED_VALUE"""),5.70038001685E11)</f>
        <v>570038001685</v>
      </c>
      <c r="E373" s="5" t="str">
        <f>IFERROR(__xludf.DUMMYFUNCTION("""COMPUTED_VALUE"""),"মোঃ দিনাজ আলী")</f>
        <v>মোঃ দিনাজ আলী</v>
      </c>
      <c r="F373" s="5" t="str">
        <f>IFERROR(__xludf.DUMMYFUNCTION("""COMPUTED_VALUE"""),"মোছাঃ হালিমা খাতুন")</f>
        <v>মোছাঃ হালিমা খাতুন</v>
      </c>
      <c r="G373" s="5" t="str">
        <f>IFERROR(__xludf.DUMMYFUNCTION("""COMPUTED_VALUE"""),"০৫/০৬/২০০৪")</f>
        <v>০৫/০৬/২০০৪</v>
      </c>
      <c r="H373" s="5" t="str">
        <f>IFERROR(__xludf.DUMMYFUNCTION("""COMPUTED_VALUE"""),"গৃহিনী")</f>
        <v>গৃহিনী</v>
      </c>
      <c r="I373" s="5" t="str">
        <f>IFERROR(__xludf.DUMMYFUNCTION("""COMPUTED_VALUE"""),"গাড়াডোব")</f>
        <v>গাড়াডোব</v>
      </c>
      <c r="J373" s="5" t="str">
        <f>IFERROR(__xludf.DUMMYFUNCTION("""COMPUTED_VALUE""")," গাংনী")</f>
        <v> গাংনী</v>
      </c>
      <c r="K373" s="5" t="str">
        <f>IFERROR(__xludf.DUMMYFUNCTION("""COMPUTED_VALUE""")," মেহেরপুর")</f>
        <v> মেহেরপুর</v>
      </c>
    </row>
    <row r="374" ht="15.75" customHeight="1">
      <c r="A374" s="7" t="s">
        <v>7239</v>
      </c>
      <c r="B374" s="5">
        <f>IFERROR(__xludf.DUMMYFUNCTION("SPLIT(A374,"","")"),2509.0)</f>
        <v>2509</v>
      </c>
      <c r="C374" s="5" t="str">
        <f>IFERROR(__xludf.DUMMYFUNCTION("""COMPUTED_VALUE"""),"মোছাঃ সুমাইয়া পারভীন")</f>
        <v>মোছাঃ সুমাইয়া পারভীন</v>
      </c>
      <c r="D374" s="5">
        <f>IFERROR(__xludf.DUMMYFUNCTION("""COMPUTED_VALUE"""),5.70038001686E11)</f>
        <v>570038001686</v>
      </c>
      <c r="E374" s="5" t="str">
        <f>IFERROR(__xludf.DUMMYFUNCTION("""COMPUTED_VALUE"""),"মোঃ সেন্টু হোসেন")</f>
        <v>মোঃ সেন্টু হোসেন</v>
      </c>
      <c r="F374" s="5" t="str">
        <f>IFERROR(__xludf.DUMMYFUNCTION("""COMPUTED_VALUE"""),"মোছাঃ জেসমিন খাতুন")</f>
        <v>মোছাঃ জেসমিন খাতুন</v>
      </c>
      <c r="G374" s="5" t="str">
        <f>IFERROR(__xludf.DUMMYFUNCTION("""COMPUTED_VALUE"""),"১০/১০/২০০৪")</f>
        <v>১০/১০/২০০৪</v>
      </c>
      <c r="H374" s="5" t="str">
        <f>IFERROR(__xludf.DUMMYFUNCTION("""COMPUTED_VALUE"""),"গৃহিনী")</f>
        <v>গৃহিনী</v>
      </c>
      <c r="I374" s="5" t="str">
        <f>IFERROR(__xludf.DUMMYFUNCTION("""COMPUTED_VALUE"""),"গাড়াডোব")</f>
        <v>গাড়াডোব</v>
      </c>
      <c r="J374" s="5" t="str">
        <f>IFERROR(__xludf.DUMMYFUNCTION("""COMPUTED_VALUE""")," গাংনী")</f>
        <v> গাংনী</v>
      </c>
      <c r="K374" s="5" t="str">
        <f>IFERROR(__xludf.DUMMYFUNCTION("""COMPUTED_VALUE""")," মেহেরপুর")</f>
        <v> মেহেরপুর</v>
      </c>
    </row>
    <row r="375" ht="15.75" customHeight="1">
      <c r="A375" s="7" t="s">
        <v>7240</v>
      </c>
      <c r="B375" s="5">
        <f>IFERROR(__xludf.DUMMYFUNCTION("SPLIT(A375,"","")"),2510.0)</f>
        <v>2510</v>
      </c>
      <c r="C375" s="5" t="str">
        <f>IFERROR(__xludf.DUMMYFUNCTION("""COMPUTED_VALUE"""),"মোছাঃ ইয়াসমিন আক্তার")</f>
        <v>মোছাঃ ইয়াসমিন আক্তার</v>
      </c>
      <c r="D375" s="5">
        <f>IFERROR(__xludf.DUMMYFUNCTION("""COMPUTED_VALUE"""),5.70038001687E11)</f>
        <v>570038001687</v>
      </c>
      <c r="E375" s="5" t="str">
        <f>IFERROR(__xludf.DUMMYFUNCTION("""COMPUTED_VALUE"""),"মোঃ আওলাদ হোসেন")</f>
        <v>মোঃ আওলাদ হোসেন</v>
      </c>
      <c r="F375" s="5" t="str">
        <f>IFERROR(__xludf.DUMMYFUNCTION("""COMPUTED_VALUE"""),"মোছাঃ নাছিমা খাতুন")</f>
        <v>মোছাঃ নাছিমা খাতুন</v>
      </c>
      <c r="G375" s="5" t="str">
        <f>IFERROR(__xludf.DUMMYFUNCTION("""COMPUTED_VALUE"""),"১৩/০৭/২০০৪")</f>
        <v>১৩/০৭/২০০৪</v>
      </c>
      <c r="H375" s="5" t="str">
        <f>IFERROR(__xludf.DUMMYFUNCTION("""COMPUTED_VALUE"""),"গৃহিনী")</f>
        <v>গৃহিনী</v>
      </c>
      <c r="I375" s="5">
        <f>IFERROR(__xludf.DUMMYFUNCTION("""COMPUTED_VALUE"""),6.0)</f>
        <v>6</v>
      </c>
      <c r="J375" s="5" t="str">
        <f>IFERROR(__xludf.DUMMYFUNCTION("""COMPUTED_VALUE""")," গাড়াডোব")</f>
        <v> গাড়াডোব</v>
      </c>
      <c r="K375" s="5" t="str">
        <f>IFERROR(__xludf.DUMMYFUNCTION("""COMPUTED_VALUE""")," গাংনী")</f>
        <v> গাংনী</v>
      </c>
      <c r="L375" s="5" t="str">
        <f>IFERROR(__xludf.DUMMYFUNCTION("""COMPUTED_VALUE""")," মেহেরপুর")</f>
        <v> মেহেরপুর</v>
      </c>
    </row>
    <row r="376" ht="15.75" customHeight="1">
      <c r="A376" s="7" t="s">
        <v>7241</v>
      </c>
      <c r="B376" s="5">
        <f>IFERROR(__xludf.DUMMYFUNCTION("SPLIT(A376,"","")"),2511.0)</f>
        <v>2511</v>
      </c>
      <c r="C376" s="5" t="str">
        <f>IFERROR(__xludf.DUMMYFUNCTION("""COMPUTED_VALUE"""),"মোছাঃ বৃষ্টি খাতুন")</f>
        <v>মোছাঃ বৃষ্টি খাতুন</v>
      </c>
      <c r="D376" s="5">
        <f>IFERROR(__xludf.DUMMYFUNCTION("""COMPUTED_VALUE"""),5.70038001689E11)</f>
        <v>570038001689</v>
      </c>
      <c r="E376" s="5" t="str">
        <f>IFERROR(__xludf.DUMMYFUNCTION("""COMPUTED_VALUE"""),"মোঃ মেহেরুল মন্ডল")</f>
        <v>মোঃ মেহেরুল মন্ডল</v>
      </c>
      <c r="F376" s="5" t="str">
        <f>IFERROR(__xludf.DUMMYFUNCTION("""COMPUTED_VALUE"""),"মোছাঃ বিলকিছ বানু")</f>
        <v>মোছাঃ বিলকিছ বানু</v>
      </c>
      <c r="G376" s="5" t="str">
        <f>IFERROR(__xludf.DUMMYFUNCTION("""COMPUTED_VALUE"""),"১০/০২/২০০৪")</f>
        <v>১০/০২/২০০৪</v>
      </c>
      <c r="H376" s="5" t="str">
        <f>IFERROR(__xludf.DUMMYFUNCTION("""COMPUTED_VALUE"""),"ছাত্র/ছাত্রী")</f>
        <v>ছাত্র/ছাত্রী</v>
      </c>
      <c r="I376" s="5" t="str">
        <f>IFERROR(__xludf.DUMMYFUNCTION("""COMPUTED_VALUE"""),"গাড়াডোব")</f>
        <v>গাড়াডোব</v>
      </c>
      <c r="J376" s="5" t="str">
        <f>IFERROR(__xludf.DUMMYFUNCTION("""COMPUTED_VALUE""")," গাংনী")</f>
        <v> গাংনী</v>
      </c>
      <c r="K376" s="5" t="str">
        <f>IFERROR(__xludf.DUMMYFUNCTION("""COMPUTED_VALUE""")," মেহেরপুর")</f>
        <v> মেহেরপুর</v>
      </c>
    </row>
    <row r="377" ht="15.75" customHeight="1">
      <c r="A377" s="7" t="s">
        <v>7242</v>
      </c>
      <c r="B377" s="5">
        <f>IFERROR(__xludf.DUMMYFUNCTION("SPLIT(A377,"","")"),2512.0)</f>
        <v>2512</v>
      </c>
      <c r="C377" s="5" t="str">
        <f>IFERROR(__xludf.DUMMYFUNCTION("""COMPUTED_VALUE"""),"মোছাঃ মেরিনা খাতুন")</f>
        <v>মোছাঃ মেরিনা খাতুন</v>
      </c>
      <c r="D377" s="5">
        <f>IFERROR(__xludf.DUMMYFUNCTION("""COMPUTED_VALUE"""),5.70038001692E11)</f>
        <v>570038001692</v>
      </c>
      <c r="E377" s="5" t="str">
        <f>IFERROR(__xludf.DUMMYFUNCTION("""COMPUTED_VALUE"""),"মৃত আঃ বারেক")</f>
        <v>মৃত আঃ বারেক</v>
      </c>
      <c r="F377" s="5" t="str">
        <f>IFERROR(__xludf.DUMMYFUNCTION("""COMPUTED_VALUE"""),"মোছাঃ আলেছা খাতুন")</f>
        <v>মোছাঃ আলেছা খাতুন</v>
      </c>
      <c r="G377" s="5" t="str">
        <f>IFERROR(__xludf.DUMMYFUNCTION("""COMPUTED_VALUE"""),"১৫/০৭/২০০৪")</f>
        <v>১৫/০৭/২০০৪</v>
      </c>
      <c r="H377" s="5" t="str">
        <f>IFERROR(__xludf.DUMMYFUNCTION("""COMPUTED_VALUE"""),"গৃহিনী")</f>
        <v>গৃহিনী</v>
      </c>
      <c r="I377" s="5" t="str">
        <f>IFERROR(__xludf.DUMMYFUNCTION("""COMPUTED_VALUE"""),"গাড়াডোব")</f>
        <v>গাড়াডোব</v>
      </c>
      <c r="J377" s="5" t="str">
        <f>IFERROR(__xludf.DUMMYFUNCTION("""COMPUTED_VALUE""")," গাংনী")</f>
        <v> গাংনী</v>
      </c>
      <c r="K377" s="5" t="str">
        <f>IFERROR(__xludf.DUMMYFUNCTION("""COMPUTED_VALUE""")," মেহেরপুর")</f>
        <v> মেহেরপুর</v>
      </c>
    </row>
    <row r="378" ht="15.75" customHeight="1">
      <c r="A378" s="7" t="s">
        <v>7243</v>
      </c>
      <c r="B378" s="5">
        <f>IFERROR(__xludf.DUMMYFUNCTION("SPLIT(A378,"","")"),2513.0)</f>
        <v>2513</v>
      </c>
      <c r="C378" s="5" t="str">
        <f>IFERROR(__xludf.DUMMYFUNCTION("""COMPUTED_VALUE"""),"মোছাঃ রিতু খাতুন")</f>
        <v>মোছাঃ রিতু খাতুন</v>
      </c>
      <c r="D378" s="5">
        <f>IFERROR(__xludf.DUMMYFUNCTION("""COMPUTED_VALUE"""),5.70038001696E11)</f>
        <v>570038001696</v>
      </c>
      <c r="E378" s="5" t="str">
        <f>IFERROR(__xludf.DUMMYFUNCTION("""COMPUTED_VALUE"""),"মোঃ আমজাদ")</f>
        <v>মোঃ আমজাদ</v>
      </c>
      <c r="F378" s="5" t="str">
        <f>IFERROR(__xludf.DUMMYFUNCTION("""COMPUTED_VALUE"""),"মোছাঃ পুরনিমা খাতুন")</f>
        <v>মোছাঃ পুরনিমা খাতুন</v>
      </c>
      <c r="G378" s="5" t="str">
        <f>IFERROR(__xludf.DUMMYFUNCTION("""COMPUTED_VALUE"""),"১০/০৯/২০০৪")</f>
        <v>১০/০৯/২০০৪</v>
      </c>
      <c r="H378" s="5" t="str">
        <f>IFERROR(__xludf.DUMMYFUNCTION("""COMPUTED_VALUE"""),"গৃহিনী")</f>
        <v>গৃহিনী</v>
      </c>
      <c r="I378" s="5" t="str">
        <f>IFERROR(__xludf.DUMMYFUNCTION("""COMPUTED_VALUE"""),"গাড়াডোব")</f>
        <v>গাড়াডোব</v>
      </c>
      <c r="J378" s="5" t="str">
        <f>IFERROR(__xludf.DUMMYFUNCTION("""COMPUTED_VALUE""")," গাংনী")</f>
        <v> গাংনী</v>
      </c>
      <c r="K378" s="5" t="str">
        <f>IFERROR(__xludf.DUMMYFUNCTION("""COMPUTED_VALUE""")," মেহেরপুর")</f>
        <v> মেহেরপুর</v>
      </c>
    </row>
    <row r="379" ht="15.75" customHeight="1">
      <c r="A379" s="7" t="s">
        <v>7244</v>
      </c>
      <c r="B379" s="5">
        <f>IFERROR(__xludf.DUMMYFUNCTION("SPLIT(A379,"","")"),2514.0)</f>
        <v>2514</v>
      </c>
      <c r="C379" s="5" t="str">
        <f>IFERROR(__xludf.DUMMYFUNCTION("""COMPUTED_VALUE"""),"মোছাঃ বৃষ্টিয়ারা খাতুন")</f>
        <v>মোছাঃ বৃষ্টিয়ারা খাতুন</v>
      </c>
      <c r="D379" s="5">
        <f>IFERROR(__xludf.DUMMYFUNCTION("""COMPUTED_VALUE"""),5.70038001699E11)</f>
        <v>570038001699</v>
      </c>
      <c r="E379" s="5" t="str">
        <f>IFERROR(__xludf.DUMMYFUNCTION("""COMPUTED_VALUE"""),"মোঃ আফজাল হোসেন")</f>
        <v>মোঃ আফজাল হোসেন</v>
      </c>
      <c r="F379" s="5" t="str">
        <f>IFERROR(__xludf.DUMMYFUNCTION("""COMPUTED_VALUE"""),"মোছাঃ সাগরী খাতুন")</f>
        <v>মোছাঃ সাগরী খাতুন</v>
      </c>
      <c r="G379" s="5" t="str">
        <f>IFERROR(__xludf.DUMMYFUNCTION("""COMPUTED_VALUE"""),"২৫/১১/২০০৪")</f>
        <v>২৫/১১/২০০৪</v>
      </c>
      <c r="H379" s="5" t="str">
        <f>IFERROR(__xludf.DUMMYFUNCTION("""COMPUTED_VALUE"""),"গৃহিনী")</f>
        <v>গৃহিনী</v>
      </c>
      <c r="I379" s="5" t="str">
        <f>IFERROR(__xludf.DUMMYFUNCTION("""COMPUTED_VALUE"""),"গাড়াডোব")</f>
        <v>গাড়াডোব</v>
      </c>
      <c r="J379" s="5" t="str">
        <f>IFERROR(__xludf.DUMMYFUNCTION("""COMPUTED_VALUE""")," গাংনী")</f>
        <v> গাংনী</v>
      </c>
      <c r="K379" s="5" t="str">
        <f>IFERROR(__xludf.DUMMYFUNCTION("""COMPUTED_VALUE""")," মেহেরপুর")</f>
        <v> মেহেরপুর</v>
      </c>
    </row>
    <row r="380" ht="15.75" customHeight="1">
      <c r="A380" s="7" t="s">
        <v>7245</v>
      </c>
      <c r="B380" s="5">
        <f>IFERROR(__xludf.DUMMYFUNCTION("SPLIT(A380,"","")"),2515.0)</f>
        <v>2515</v>
      </c>
      <c r="C380" s="5" t="str">
        <f>IFERROR(__xludf.DUMMYFUNCTION("""COMPUTED_VALUE"""),"মোছাঃ মাকসুরা আক্তার ঋতু")</f>
        <v>মোছাঃ মাকসুরা আক্তার ঋতু</v>
      </c>
      <c r="D380" s="5">
        <f>IFERROR(__xludf.DUMMYFUNCTION("""COMPUTED_VALUE"""),5.70038001701E11)</f>
        <v>570038001701</v>
      </c>
      <c r="E380" s="5" t="str">
        <f>IFERROR(__xludf.DUMMYFUNCTION("""COMPUTED_VALUE"""),"মোঃ আলাউদ্দীন")</f>
        <v>মোঃ আলাউদ্দীন</v>
      </c>
      <c r="F380" s="5" t="str">
        <f>IFERROR(__xludf.DUMMYFUNCTION("""COMPUTED_VALUE"""),"মোছাঃ মাসুদা আক্তার")</f>
        <v>মোছাঃ মাসুদা আক্তার</v>
      </c>
      <c r="G380" s="5" t="str">
        <f>IFERROR(__xludf.DUMMYFUNCTION("""COMPUTED_VALUE"""),"১২/০৪/২০০৪")</f>
        <v>১২/০৪/২০০৪</v>
      </c>
      <c r="H380" s="5" t="str">
        <f>IFERROR(__xludf.DUMMYFUNCTION("""COMPUTED_VALUE"""),"ছাত্র/ছাত্রী")</f>
        <v>ছাত্র/ছাত্রী</v>
      </c>
      <c r="I380" s="5" t="str">
        <f>IFERROR(__xludf.DUMMYFUNCTION("""COMPUTED_VALUE"""),"গাড়াডোব")</f>
        <v>গাড়াডোব</v>
      </c>
      <c r="J380" s="5" t="str">
        <f>IFERROR(__xludf.DUMMYFUNCTION("""COMPUTED_VALUE""")," গাংনী")</f>
        <v> গাংনী</v>
      </c>
      <c r="K380" s="5" t="str">
        <f>IFERROR(__xludf.DUMMYFUNCTION("""COMPUTED_VALUE""")," মেহেরপুর")</f>
        <v> মেহেরপুর</v>
      </c>
    </row>
    <row r="381" ht="15.75" customHeight="1">
      <c r="A381" s="7" t="s">
        <v>7246</v>
      </c>
      <c r="B381" s="5">
        <f>IFERROR(__xludf.DUMMYFUNCTION("SPLIT(A381,"","")"),2516.0)</f>
        <v>2516</v>
      </c>
      <c r="C381" s="5" t="str">
        <f>IFERROR(__xludf.DUMMYFUNCTION("""COMPUTED_VALUE"""),"মোছাঃ রনি আক্তার")</f>
        <v>মোছাঃ রনি আক্তার</v>
      </c>
      <c r="D381" s="5">
        <f>IFERROR(__xludf.DUMMYFUNCTION("""COMPUTED_VALUE"""),5.70038001705E11)</f>
        <v>570038001705</v>
      </c>
      <c r="E381" s="5" t="str">
        <f>IFERROR(__xludf.DUMMYFUNCTION("""COMPUTED_VALUE"""),"মোঃ রবিউল ইসলাম")</f>
        <v>মোঃ রবিউল ইসলাম</v>
      </c>
      <c r="F381" s="5" t="str">
        <f>IFERROR(__xludf.DUMMYFUNCTION("""COMPUTED_VALUE"""),"মোছাঃ ছামছুন নাহার")</f>
        <v>মোছাঃ ছামছুন নাহার</v>
      </c>
      <c r="G381" s="5" t="str">
        <f>IFERROR(__xludf.DUMMYFUNCTION("""COMPUTED_VALUE"""),"১৮/০২/২০০৪")</f>
        <v>১৮/০২/২০০৪</v>
      </c>
      <c r="H381" s="5" t="str">
        <f>IFERROR(__xludf.DUMMYFUNCTION("""COMPUTED_VALUE"""),"গৃহিনী")</f>
        <v>গৃহিনী</v>
      </c>
      <c r="I381" s="5" t="str">
        <f>IFERROR(__xludf.DUMMYFUNCTION("""COMPUTED_VALUE"""),"গাড়াডোব")</f>
        <v>গাড়াডোব</v>
      </c>
      <c r="J381" s="5" t="str">
        <f>IFERROR(__xludf.DUMMYFUNCTION("""COMPUTED_VALUE""")," গাংনী")</f>
        <v> গাংনী</v>
      </c>
      <c r="K381" s="5" t="str">
        <f>IFERROR(__xludf.DUMMYFUNCTION("""COMPUTED_VALUE""")," মেহেরপুর")</f>
        <v> মেহেরপুর</v>
      </c>
    </row>
    <row r="382" ht="15.75" customHeight="1">
      <c r="A382" s="7" t="s">
        <v>7247</v>
      </c>
      <c r="B382" s="5">
        <f>IFERROR(__xludf.DUMMYFUNCTION("SPLIT(A382,"","")"),2517.0)</f>
        <v>2517</v>
      </c>
      <c r="C382" s="5" t="str">
        <f>IFERROR(__xludf.DUMMYFUNCTION("""COMPUTED_VALUE"""),"মোছাঃ শাপলা খাতুন")</f>
        <v>মোছাঃ শাপলা খাতুন</v>
      </c>
      <c r="D382" s="5">
        <f>IFERROR(__xludf.DUMMYFUNCTION("""COMPUTED_VALUE"""),5.70038001708E11)</f>
        <v>570038001708</v>
      </c>
      <c r="E382" s="5" t="str">
        <f>IFERROR(__xludf.DUMMYFUNCTION("""COMPUTED_VALUE"""),"মোঃ নাসির উদ্দীন")</f>
        <v>মোঃ নাসির উদ্দীন</v>
      </c>
      <c r="F382" s="5" t="str">
        <f>IFERROR(__xludf.DUMMYFUNCTION("""COMPUTED_VALUE"""),"মোছাঃ বিউটি খাতুন")</f>
        <v>মোছাঃ বিউটি খাতুন</v>
      </c>
      <c r="G382" s="5" t="str">
        <f>IFERROR(__xludf.DUMMYFUNCTION("""COMPUTED_VALUE"""),"১৪/০৫/২০০৪")</f>
        <v>১৪/০৫/২০০৪</v>
      </c>
      <c r="H382" s="5" t="str">
        <f>IFERROR(__xludf.DUMMYFUNCTION("""COMPUTED_VALUE"""),"গৃহিনী")</f>
        <v>গৃহিনী</v>
      </c>
      <c r="I382" s="5" t="str">
        <f>IFERROR(__xludf.DUMMYFUNCTION("""COMPUTED_VALUE"""),"গাড়াডোব")</f>
        <v>গাড়াডোব</v>
      </c>
      <c r="J382" s="5" t="str">
        <f>IFERROR(__xludf.DUMMYFUNCTION("""COMPUTED_VALUE""")," গাংনী")</f>
        <v> গাংনী</v>
      </c>
      <c r="K382" s="5" t="str">
        <f>IFERROR(__xludf.DUMMYFUNCTION("""COMPUTED_VALUE""")," মেহেরপুর")</f>
        <v> মেহেরপুর</v>
      </c>
    </row>
    <row r="383" ht="15.75" customHeight="1">
      <c r="A383" s="7" t="s">
        <v>7248</v>
      </c>
      <c r="B383" s="5">
        <f>IFERROR(__xludf.DUMMYFUNCTION("SPLIT(A383,"","")"),2536.0)</f>
        <v>2536</v>
      </c>
      <c r="C383" s="5" t="str">
        <f>IFERROR(__xludf.DUMMYFUNCTION("""COMPUTED_VALUE"""),"মোছাঃ মুন্নি খাতুন")</f>
        <v>মোছাঃ মুন্নি খাতুন</v>
      </c>
      <c r="D383" s="5">
        <f>IFERROR(__xludf.DUMMYFUNCTION("""COMPUTED_VALUE"""),5.70038001763E11)</f>
        <v>570038001763</v>
      </c>
      <c r="E383" s="5" t="str">
        <f>IFERROR(__xludf.DUMMYFUNCTION("""COMPUTED_VALUE"""),"মোঃ মহিবুল ইসলাম")</f>
        <v>মোঃ মহিবুল ইসলাম</v>
      </c>
      <c r="F383" s="5" t="str">
        <f>IFERROR(__xludf.DUMMYFUNCTION("""COMPUTED_VALUE"""),"মোছাঃ ঝুমা খাতুন")</f>
        <v>মোছাঃ ঝুমা খাতুন</v>
      </c>
      <c r="G383" s="5" t="str">
        <f>IFERROR(__xludf.DUMMYFUNCTION("""COMPUTED_VALUE"""),"০৩/০১/২০০৫")</f>
        <v>০৩/০১/২০০৫</v>
      </c>
      <c r="H383" s="5" t="str">
        <f>IFERROR(__xludf.DUMMYFUNCTION("""COMPUTED_VALUE"""),"গৃহিনী")</f>
        <v>গৃহিনী</v>
      </c>
      <c r="I383" s="5" t="str">
        <f>IFERROR(__xludf.DUMMYFUNCTION("""COMPUTED_VALUE"""),"গাড়াডোব")</f>
        <v>গাড়াডোব</v>
      </c>
      <c r="J383" s="5" t="str">
        <f>IFERROR(__xludf.DUMMYFUNCTION("""COMPUTED_VALUE""")," গাংনী")</f>
        <v> গাংনী</v>
      </c>
      <c r="K383" s="5" t="str">
        <f>IFERROR(__xludf.DUMMYFUNCTION("""COMPUTED_VALUE""")," মেহেরপুর")</f>
        <v> মেহেরপুর</v>
      </c>
    </row>
    <row r="384" ht="15.75" customHeight="1">
      <c r="A384" s="7" t="s">
        <v>7249</v>
      </c>
      <c r="B384" s="5">
        <f>IFERROR(__xludf.DUMMYFUNCTION("SPLIT(A384,"","")"),2537.0)</f>
        <v>2537</v>
      </c>
      <c r="C384" s="5" t="str">
        <f>IFERROR(__xludf.DUMMYFUNCTION("""COMPUTED_VALUE"""),"মোছাঃ সারমিন খাতুন")</f>
        <v>মোছাঃ সারমিন খাতুন</v>
      </c>
      <c r="D384" s="5">
        <f>IFERROR(__xludf.DUMMYFUNCTION("""COMPUTED_VALUE"""),5.70038001765E11)</f>
        <v>570038001765</v>
      </c>
      <c r="E384" s="5" t="str">
        <f>IFERROR(__xludf.DUMMYFUNCTION("""COMPUTED_VALUE"""),"মোঃ ফারুক হোসেন")</f>
        <v>মোঃ ফারুক হোসেন</v>
      </c>
      <c r="F384" s="5" t="str">
        <f>IFERROR(__xludf.DUMMYFUNCTION("""COMPUTED_VALUE"""),"মোছাঃ ইয়ারন নেছা")</f>
        <v>মোছাঃ ইয়ারন নেছা</v>
      </c>
      <c r="G384" s="5" t="str">
        <f>IFERROR(__xludf.DUMMYFUNCTION("""COMPUTED_VALUE"""),"১০/০৯/২০০৫")</f>
        <v>১০/০৯/২০০৫</v>
      </c>
      <c r="H384" s="5" t="str">
        <f>IFERROR(__xludf.DUMMYFUNCTION("""COMPUTED_VALUE"""),"ছাত্র/ছাত্রী")</f>
        <v>ছাত্র/ছাত্রী</v>
      </c>
      <c r="I384" s="5" t="str">
        <f>IFERROR(__xludf.DUMMYFUNCTION("""COMPUTED_VALUE"""),"গাড়াডোব")</f>
        <v>গাড়াডোব</v>
      </c>
      <c r="J384" s="5" t="str">
        <f>IFERROR(__xludf.DUMMYFUNCTION("""COMPUTED_VALUE""")," গাংনী")</f>
        <v> গাংনী</v>
      </c>
      <c r="K384" s="5" t="str">
        <f>IFERROR(__xludf.DUMMYFUNCTION("""COMPUTED_VALUE""")," মেহেরপুর")</f>
        <v> মেহেরপুর</v>
      </c>
    </row>
    <row r="385" ht="15.75" customHeight="1">
      <c r="A385" s="7" t="s">
        <v>7250</v>
      </c>
      <c r="B385" s="5">
        <f>IFERROR(__xludf.DUMMYFUNCTION("SPLIT(A385,"","")"),2538.0)</f>
        <v>2538</v>
      </c>
      <c r="C385" s="5" t="str">
        <f>IFERROR(__xludf.DUMMYFUNCTION("""COMPUTED_VALUE"""),"মোছাঃ লতা খাতুন")</f>
        <v>মোছাঃ লতা খাতুন</v>
      </c>
      <c r="D385" s="5">
        <f>IFERROR(__xludf.DUMMYFUNCTION("""COMPUTED_VALUE"""),5.7003800177E11)</f>
        <v>570038001770</v>
      </c>
      <c r="E385" s="5" t="str">
        <f>IFERROR(__xludf.DUMMYFUNCTION("""COMPUTED_VALUE"""),"মোঃ আব্দুল গনি")</f>
        <v>মোঃ আব্দুল গনি</v>
      </c>
      <c r="F385" s="5" t="str">
        <f>IFERROR(__xludf.DUMMYFUNCTION("""COMPUTED_VALUE"""),"মোছাঃ শরিফা খাতুন")</f>
        <v>মোছাঃ শরিফা খাতুন</v>
      </c>
      <c r="G385" s="5" t="str">
        <f>IFERROR(__xludf.DUMMYFUNCTION("""COMPUTED_VALUE"""),"০১/০১/২০০৬")</f>
        <v>০১/০১/২০০৬</v>
      </c>
      <c r="H385" s="5" t="str">
        <f>IFERROR(__xludf.DUMMYFUNCTION("""COMPUTED_VALUE"""),"ছাত্র/ছাত্রী")</f>
        <v>ছাত্র/ছাত্রী</v>
      </c>
      <c r="I385" s="5" t="str">
        <f>IFERROR(__xludf.DUMMYFUNCTION("""COMPUTED_VALUE"""),"গাড়াডোব")</f>
        <v>গাড়াডোব</v>
      </c>
      <c r="J385" s="5" t="str">
        <f>IFERROR(__xludf.DUMMYFUNCTION("""COMPUTED_VALUE""")," গাংনী")</f>
        <v> গাংনী</v>
      </c>
      <c r="K385" s="5" t="str">
        <f>IFERROR(__xludf.DUMMYFUNCTION("""COMPUTED_VALUE""")," মেহেরপুর")</f>
        <v> মেহেরপুর</v>
      </c>
    </row>
    <row r="386" ht="15.75" customHeight="1">
      <c r="A386" s="7" t="s">
        <v>7251</v>
      </c>
      <c r="B386" s="5">
        <f>IFERROR(__xludf.DUMMYFUNCTION("SPLIT(A386,"","")"),2539.0)</f>
        <v>2539</v>
      </c>
      <c r="C386" s="5" t="str">
        <f>IFERROR(__xludf.DUMMYFUNCTION("""COMPUTED_VALUE"""),"নাম: মোছাঃ সুমাইয়া")</f>
        <v>নাম: মোছাঃ সুমাইয়া</v>
      </c>
      <c r="D386" s="5">
        <f>IFERROR(__xludf.DUMMYFUNCTION("""COMPUTED_VALUE"""),5.70038001772E11)</f>
        <v>570038001772</v>
      </c>
      <c r="E386" s="5" t="str">
        <f>IFERROR(__xludf.DUMMYFUNCTION("""COMPUTED_VALUE"""),"পিতা: শরিফুল ইসলাম")</f>
        <v>পিতা: শরিফুল ইসলাম</v>
      </c>
      <c r="F386" s="5" t="str">
        <f>IFERROR(__xludf.DUMMYFUNCTION("""COMPUTED_VALUE"""),"মোছাঃ নিলুফা খাতুন")</f>
        <v>মোছাঃ নিলুফা খাতুন</v>
      </c>
      <c r="G386" s="5" t="str">
        <f>IFERROR(__xludf.DUMMYFUNCTION("""COMPUTED_VALUE"""),"২৫/০৬/২০০৬")</f>
        <v>২৫/০৬/২০০৬</v>
      </c>
      <c r="H386" s="5" t="str">
        <f>IFERROR(__xludf.DUMMYFUNCTION("""COMPUTED_VALUE"""),"গৃহিনী")</f>
        <v>গৃহিনী</v>
      </c>
      <c r="I386" s="5" t="str">
        <f>IFERROR(__xludf.DUMMYFUNCTION("""COMPUTED_VALUE"""),"গাড়াডোব")</f>
        <v>গাড়াডোব</v>
      </c>
      <c r="J386" s="5" t="str">
        <f>IFERROR(__xludf.DUMMYFUNCTION("""COMPUTED_VALUE""")," গাংনী")</f>
        <v> গাংনী</v>
      </c>
      <c r="K386" s="5" t="str">
        <f>IFERROR(__xludf.DUMMYFUNCTION("""COMPUTED_VALUE""")," মেহেরপুর")</f>
        <v> মেহেরপুর</v>
      </c>
    </row>
    <row r="387" ht="15.75" customHeight="1">
      <c r="A387" s="7" t="s">
        <v>7252</v>
      </c>
      <c r="B387" s="5">
        <f>IFERROR(__xludf.DUMMYFUNCTION("SPLIT(A387,"","")"),2540.0)</f>
        <v>2540</v>
      </c>
      <c r="C387" s="5" t="str">
        <f>IFERROR(__xludf.DUMMYFUNCTION("""COMPUTED_VALUE"""),"মোছাঃ রজনী খাতুন")</f>
        <v>মোছাঃ রজনী খাতুন</v>
      </c>
      <c r="D387" s="5">
        <f>IFERROR(__xludf.DUMMYFUNCTION("""COMPUTED_VALUE"""),5.70038001773E11)</f>
        <v>570038001773</v>
      </c>
      <c r="E387" s="5" t="str">
        <f>IFERROR(__xludf.DUMMYFUNCTION("""COMPUTED_VALUE"""),"মোঃ হাফিজুল ইসলাম")</f>
        <v>মোঃ হাফিজুল ইসলাম</v>
      </c>
      <c r="F387" s="5" t="str">
        <f>IFERROR(__xludf.DUMMYFUNCTION("""COMPUTED_VALUE"""),"মোছাঃ নিলুফা খাতুন")</f>
        <v>মোছাঃ নিলুফা খাতুন</v>
      </c>
      <c r="G387" s="5" t="str">
        <f>IFERROR(__xludf.DUMMYFUNCTION("""COMPUTED_VALUE"""),"২৫/১২/২০০৬")</f>
        <v>২৫/১২/২০০৬</v>
      </c>
      <c r="H387" s="5" t="str">
        <f>IFERROR(__xludf.DUMMYFUNCTION("""COMPUTED_VALUE"""),"গৃহিনী")</f>
        <v>গৃহিনী</v>
      </c>
      <c r="I387" s="5" t="str">
        <f>IFERROR(__xludf.DUMMYFUNCTION("""COMPUTED_VALUE"""),"গাড়াডোব")</f>
        <v>গাড়াডোব</v>
      </c>
      <c r="J387" s="5" t="str">
        <f>IFERROR(__xludf.DUMMYFUNCTION("""COMPUTED_VALUE""")," গাংনী")</f>
        <v> গাংনী</v>
      </c>
      <c r="K387" s="5" t="str">
        <f>IFERROR(__xludf.DUMMYFUNCTION("""COMPUTED_VALUE""")," মেহেরপুর")</f>
        <v> মেহেরপুর</v>
      </c>
    </row>
    <row r="388" ht="15.75" customHeight="1">
      <c r="A388" s="7" t="s">
        <v>7253</v>
      </c>
      <c r="B388" s="5">
        <f>IFERROR(__xludf.DUMMYFUNCTION("SPLIT(A388,"","")"),2541.0)</f>
        <v>2541</v>
      </c>
      <c r="C388" s="5" t="str">
        <f>IFERROR(__xludf.DUMMYFUNCTION("""COMPUTED_VALUE"""),"মোছাঃ রিজিয়া পারভীন")</f>
        <v>মোছাঃ রিজিয়া পারভীন</v>
      </c>
      <c r="D388" s="5">
        <f>IFERROR(__xludf.DUMMYFUNCTION("""COMPUTED_VALUE"""),5.70038001774E11)</f>
        <v>570038001774</v>
      </c>
      <c r="E388" s="5" t="str">
        <f>IFERROR(__xludf.DUMMYFUNCTION("""COMPUTED_VALUE"""),"মোঃ আদম আলী")</f>
        <v>মোঃ আদম আলী</v>
      </c>
      <c r="F388" s="5" t="str">
        <f>IFERROR(__xludf.DUMMYFUNCTION("""COMPUTED_VALUE"""),"মোছাঃ জাহেদা খাতুন")</f>
        <v>মোছাঃ জাহেদা খাতুন</v>
      </c>
      <c r="G388" s="5" t="str">
        <f>IFERROR(__xludf.DUMMYFUNCTION("""COMPUTED_VALUE"""),"২০/১০/২০০৬")</f>
        <v>২০/১০/২০০৬</v>
      </c>
      <c r="H388" s="5" t="str">
        <f>IFERROR(__xludf.DUMMYFUNCTION("""COMPUTED_VALUE"""),"ছাত্র/ছাত্রী")</f>
        <v>ছাত্র/ছাত্রী</v>
      </c>
      <c r="I388" s="5" t="str">
        <f>IFERROR(__xludf.DUMMYFUNCTION("""COMPUTED_VALUE"""),"গাড়াডোব")</f>
        <v>গাড়াডোব</v>
      </c>
      <c r="J388" s="5" t="str">
        <f>IFERROR(__xludf.DUMMYFUNCTION("""COMPUTED_VALUE""")," গাংনী")</f>
        <v> গাংনী</v>
      </c>
      <c r="K388" s="5" t="str">
        <f>IFERROR(__xludf.DUMMYFUNCTION("""COMPUTED_VALUE""")," মেহেরপুর")</f>
        <v> মেহেরপুর</v>
      </c>
    </row>
    <row r="389" ht="15.75" customHeight="1">
      <c r="A389" s="7" t="s">
        <v>7254</v>
      </c>
      <c r="B389" s="5">
        <f>IFERROR(__xludf.DUMMYFUNCTION("SPLIT(A389,"","")"),2542.0)</f>
        <v>2542</v>
      </c>
      <c r="C389" s="5" t="str">
        <f>IFERROR(__xludf.DUMMYFUNCTION("""COMPUTED_VALUE"""),"নাম: মোছাঃ আয়েশা সিদ্দিকা")</f>
        <v>নাম: মোছাঃ আয়েশা সিদ্দিকা</v>
      </c>
      <c r="D389" s="5">
        <f>IFERROR(__xludf.DUMMYFUNCTION("""COMPUTED_VALUE"""),5.70038001775E11)</f>
        <v>570038001775</v>
      </c>
      <c r="E389" s="5" t="str">
        <f>IFERROR(__xludf.DUMMYFUNCTION("""COMPUTED_VALUE"""),"মোঃ আশরাফুল ইসলাম")</f>
        <v>মোঃ আশরাফুল ইসলাম</v>
      </c>
      <c r="F389" s="5" t="str">
        <f>IFERROR(__xludf.DUMMYFUNCTION("""COMPUTED_VALUE"""),"মোছাঃ আরজিনা খাতুন")</f>
        <v>মোছাঃ আরজিনা খাতুন</v>
      </c>
      <c r="G389" s="5" t="str">
        <f>IFERROR(__xludf.DUMMYFUNCTION("""COMPUTED_VALUE"""),"২৬/০২/২০০৬")</f>
        <v>২৬/০২/২০০৬</v>
      </c>
      <c r="H389" s="5" t="str">
        <f>IFERROR(__xludf.DUMMYFUNCTION("""COMPUTED_VALUE"""),"ছাত্র/ছাত্রী")</f>
        <v>ছাত্র/ছাত্রী</v>
      </c>
      <c r="I389" s="5" t="str">
        <f>IFERROR(__xludf.DUMMYFUNCTION("""COMPUTED_VALUE"""),"গাড়াডোব")</f>
        <v>গাড়াডোব</v>
      </c>
      <c r="J389" s="5" t="str">
        <f>IFERROR(__xludf.DUMMYFUNCTION("""COMPUTED_VALUE""")," গাংনী")</f>
        <v> গাংনী</v>
      </c>
      <c r="K389" s="5" t="str">
        <f>IFERROR(__xludf.DUMMYFUNCTION("""COMPUTED_VALUE""")," মেহেরপুর")</f>
        <v> মেহেরপুর</v>
      </c>
    </row>
    <row r="390" ht="15.75" customHeight="1">
      <c r="A390" s="7" t="s">
        <v>7255</v>
      </c>
      <c r="B390" s="5">
        <f>IFERROR(__xludf.DUMMYFUNCTION("SPLIT(A390,"","")"),2543.0)</f>
        <v>2543</v>
      </c>
      <c r="C390" s="5" t="str">
        <f>IFERROR(__xludf.DUMMYFUNCTION("""COMPUTED_VALUE"""),"মোছাঃ মুন্নি খাতুন")</f>
        <v>মোছাঃ মুন্নি খাতুন</v>
      </c>
      <c r="D390" s="5">
        <f>IFERROR(__xludf.DUMMYFUNCTION("""COMPUTED_VALUE"""),5.70038001776E11)</f>
        <v>570038001776</v>
      </c>
      <c r="E390" s="5" t="str">
        <f>IFERROR(__xludf.DUMMYFUNCTION("""COMPUTED_VALUE"""),"মোঃ রফিকুল ইসলাম")</f>
        <v>মোঃ রফিকুল ইসলাম</v>
      </c>
      <c r="F390" s="5" t="str">
        <f>IFERROR(__xludf.DUMMYFUNCTION("""COMPUTED_VALUE"""),"মোছাঃ ফরিদা খাতুন")</f>
        <v>মোছাঃ ফরিদা খাতুন</v>
      </c>
      <c r="G390" s="5" t="str">
        <f>IFERROR(__xludf.DUMMYFUNCTION("""COMPUTED_VALUE"""),"০৭/১০/২০০৬")</f>
        <v>০৭/১০/২০০৬</v>
      </c>
      <c r="H390" s="5" t="str">
        <f>IFERROR(__xludf.DUMMYFUNCTION("""COMPUTED_VALUE"""),"গৃহিনী")</f>
        <v>গৃহিনী</v>
      </c>
      <c r="I390" s="5" t="str">
        <f>IFERROR(__xludf.DUMMYFUNCTION("""COMPUTED_VALUE"""),"গাড়াডোব")</f>
        <v>গাড়াডোব</v>
      </c>
      <c r="J390" s="5" t="str">
        <f>IFERROR(__xludf.DUMMYFUNCTION("""COMPUTED_VALUE""")," গাংনী")</f>
        <v> গাংনী</v>
      </c>
      <c r="K390" s="5" t="str">
        <f>IFERROR(__xludf.DUMMYFUNCTION("""COMPUTED_VALUE""")," মেহেরপুর")</f>
        <v> মেহেরপুর</v>
      </c>
    </row>
    <row r="391" ht="15.75" customHeight="1">
      <c r="A391" s="7" t="s">
        <v>7256</v>
      </c>
      <c r="B391" s="5">
        <f>IFERROR(__xludf.DUMMYFUNCTION("SPLIT(A391,"","")"),2544.0)</f>
        <v>2544</v>
      </c>
      <c r="C391" s="5" t="str">
        <f>IFERROR(__xludf.DUMMYFUNCTION("""COMPUTED_VALUE"""),"নাম: মোছাঃ সাইমা আক্তার সুম্মা")</f>
        <v>নাম: মোছাঃ সাইমা আক্তার সুম্মা</v>
      </c>
      <c r="D391" s="5">
        <f>IFERROR(__xludf.DUMMYFUNCTION("""COMPUTED_VALUE"""),5.70038001778E11)</f>
        <v>570038001778</v>
      </c>
      <c r="E391" s="5" t="str">
        <f>IFERROR(__xludf.DUMMYFUNCTION("""COMPUTED_VALUE"""),"মোঃ রহিদুল ইসলাম")</f>
        <v>মোঃ রহিদুল ইসলাম</v>
      </c>
      <c r="F391" s="5" t="str">
        <f>IFERROR(__xludf.DUMMYFUNCTION("""COMPUTED_VALUE"""),"মোছাঃ আনার কলি")</f>
        <v>মোছাঃ আনার কলি</v>
      </c>
      <c r="G391" s="5" t="str">
        <f>IFERROR(__xludf.DUMMYFUNCTION("""COMPUTED_VALUE"""),"২৫/০৯/২০০৬")</f>
        <v>২৫/০৯/২০০৬</v>
      </c>
      <c r="H391" s="5" t="str">
        <f>IFERROR(__xludf.DUMMYFUNCTION("""COMPUTED_VALUE"""),"ছাত্র/ছাত্রী")</f>
        <v>ছাত্র/ছাত্রী</v>
      </c>
      <c r="I391" s="5" t="str">
        <f>IFERROR(__xludf.DUMMYFUNCTION("""COMPUTED_VALUE"""),"গাড়াডোব")</f>
        <v>গাড়াডোব</v>
      </c>
      <c r="J391" s="5" t="str">
        <f>IFERROR(__xludf.DUMMYFUNCTION("""COMPUTED_VALUE""")," গাংনী")</f>
        <v> গাংনী</v>
      </c>
      <c r="K391" s="5" t="str">
        <f>IFERROR(__xludf.DUMMYFUNCTION("""COMPUTED_VALUE""")," মেহেরপুর")</f>
        <v> মেহেরপুর</v>
      </c>
    </row>
    <row r="392" ht="15.75" customHeight="1">
      <c r="A392" s="7" t="s">
        <v>7257</v>
      </c>
      <c r="B392" s="5">
        <f>IFERROR(__xludf.DUMMYFUNCTION("SPLIT(A392,"","")"),2545.0)</f>
        <v>2545</v>
      </c>
      <c r="C392" s="5" t="str">
        <f>IFERROR(__xludf.DUMMYFUNCTION("""COMPUTED_VALUE"""),"মোছাঃ সোহাগী খাতুন")</f>
        <v>মোছাঃ সোহাগী খাতুন</v>
      </c>
      <c r="D392" s="5">
        <f>IFERROR(__xludf.DUMMYFUNCTION("""COMPUTED_VALUE"""),5.70038001781E11)</f>
        <v>570038001781</v>
      </c>
      <c r="E392" s="5" t="str">
        <f>IFERROR(__xludf.DUMMYFUNCTION("""COMPUTED_VALUE"""),"মোঃ আলতাব হোসেন")</f>
        <v>মোঃ আলতাব হোসেন</v>
      </c>
      <c r="F392" s="5" t="str">
        <f>IFERROR(__xludf.DUMMYFUNCTION("""COMPUTED_VALUE"""),"মোছাঃ মমতাজ খাতুন")</f>
        <v>মোছাঃ মমতাজ খাতুন</v>
      </c>
      <c r="G392" s="5" t="str">
        <f>IFERROR(__xludf.DUMMYFUNCTION("""COMPUTED_VALUE"""),"২০/১২/২০০৬")</f>
        <v>২০/১২/২০০৬</v>
      </c>
      <c r="H392" s="5" t="str">
        <f>IFERROR(__xludf.DUMMYFUNCTION("""COMPUTED_VALUE"""),"ছাত্র/ছাত্রী")</f>
        <v>ছাত্র/ছাত্রী</v>
      </c>
      <c r="I392" s="5" t="str">
        <f>IFERROR(__xludf.DUMMYFUNCTION("""COMPUTED_VALUE"""),"গাড়াডোব")</f>
        <v>গাড়াডোব</v>
      </c>
      <c r="J392" s="5" t="str">
        <f>IFERROR(__xludf.DUMMYFUNCTION("""COMPUTED_VALUE""")," গাংনী")</f>
        <v> গাংনী</v>
      </c>
      <c r="K392" s="5" t="str">
        <f>IFERROR(__xludf.DUMMYFUNCTION("""COMPUTED_VALUE""")," মেহেরপুর")</f>
        <v> মেহেরপুর</v>
      </c>
    </row>
    <row r="393" ht="15.75" customHeight="1">
      <c r="A393" s="7" t="s">
        <v>7258</v>
      </c>
      <c r="B393" s="5">
        <f>IFERROR(__xludf.DUMMYFUNCTION("SPLIT(A393,"","")"),2546.0)</f>
        <v>2546</v>
      </c>
      <c r="C393" s="5" t="str">
        <f>IFERROR(__xludf.DUMMYFUNCTION("""COMPUTED_VALUE"""),"মোছাঃ অন্তরা খাতুন")</f>
        <v>মোছাঃ অন্তরা খাতুন</v>
      </c>
      <c r="D393" s="5">
        <f>IFERROR(__xludf.DUMMYFUNCTION("""COMPUTED_VALUE"""),5.70038001785E11)</f>
        <v>570038001785</v>
      </c>
      <c r="E393" s="5" t="str">
        <f>IFERROR(__xludf.DUMMYFUNCTION("""COMPUTED_VALUE"""),"মোঃ আলমগীর হোসেন")</f>
        <v>মোঃ আলমগীর হোসেন</v>
      </c>
      <c r="F393" s="5" t="str">
        <f>IFERROR(__xludf.DUMMYFUNCTION("""COMPUTED_VALUE"""),"মোছাঃ রঙিলা খাতুন")</f>
        <v>মোছাঃ রঙিলা খাতুন</v>
      </c>
      <c r="G393" s="5" t="str">
        <f>IFERROR(__xludf.DUMMYFUNCTION("""COMPUTED_VALUE"""),"০৮/০৮/২০০৬")</f>
        <v>০৮/০৮/২০০৬</v>
      </c>
      <c r="H393" s="5" t="str">
        <f>IFERROR(__xludf.DUMMYFUNCTION("""COMPUTED_VALUE"""),"ছাত্র/ছাত্রী")</f>
        <v>ছাত্র/ছাত্রী</v>
      </c>
      <c r="I393" s="5" t="str">
        <f>IFERROR(__xludf.DUMMYFUNCTION("""COMPUTED_VALUE"""),"গাড়াডোব")</f>
        <v>গাড়াডোব</v>
      </c>
      <c r="J393" s="5" t="str">
        <f>IFERROR(__xludf.DUMMYFUNCTION("""COMPUTED_VALUE""")," গাংনী")</f>
        <v> গাংনী</v>
      </c>
      <c r="K393" s="5" t="str">
        <f>IFERROR(__xludf.DUMMYFUNCTION("""COMPUTED_VALUE""")," মেহেরপুর")</f>
        <v> মেহেরপুর</v>
      </c>
    </row>
    <row r="394" ht="15.75" customHeight="1">
      <c r="A394" s="7" t="s">
        <v>7259</v>
      </c>
      <c r="B394" s="5">
        <f>IFERROR(__xludf.DUMMYFUNCTION("SPLIT(A394,"","")"),2547.0)</f>
        <v>2547</v>
      </c>
      <c r="C394" s="5" t="str">
        <f>IFERROR(__xludf.DUMMYFUNCTION("""COMPUTED_VALUE"""),"নাম: আবিদা সুলতানা জুথি")</f>
        <v>নাম: আবিদা সুলতানা জুথি</v>
      </c>
      <c r="D394" s="5">
        <f>IFERROR(__xludf.DUMMYFUNCTION("""COMPUTED_VALUE"""),5.70038001787E11)</f>
        <v>570038001787</v>
      </c>
      <c r="E394" s="5" t="str">
        <f>IFERROR(__xludf.DUMMYFUNCTION("""COMPUTED_VALUE"""),"মোঃ জিয়ারুল ইসলাম")</f>
        <v>মোঃ জিয়ারুল ইসলাম</v>
      </c>
      <c r="F394" s="5" t="str">
        <f>IFERROR(__xludf.DUMMYFUNCTION("""COMPUTED_VALUE"""),"মোছাঃ শান্তনা খাতুন")</f>
        <v>মোছাঃ শান্তনা খাতুন</v>
      </c>
      <c r="G394" s="5" t="str">
        <f>IFERROR(__xludf.DUMMYFUNCTION("""COMPUTED_VALUE"""),"০৮/০৬/২০০৬")</f>
        <v>০৮/০৬/২০০৬</v>
      </c>
      <c r="H394" s="5" t="str">
        <f>IFERROR(__xludf.DUMMYFUNCTION("""COMPUTED_VALUE"""),"ছাত্র/ছাত্রী")</f>
        <v>ছাত্র/ছাত্রী</v>
      </c>
      <c r="I394" s="5" t="str">
        <f>IFERROR(__xludf.DUMMYFUNCTION("""COMPUTED_VALUE"""),"গাড়াডোব")</f>
        <v>গাড়াডোব</v>
      </c>
      <c r="J394" s="5" t="str">
        <f>IFERROR(__xludf.DUMMYFUNCTION("""COMPUTED_VALUE""")," গাংনী")</f>
        <v> গাংনী</v>
      </c>
      <c r="K394" s="5" t="str">
        <f>IFERROR(__xludf.DUMMYFUNCTION("""COMPUTED_VALUE""")," মেহেরপুর")</f>
        <v> মেহেরপুর</v>
      </c>
    </row>
    <row r="395" ht="15.75" customHeight="1">
      <c r="A395" s="7" t="s">
        <v>7260</v>
      </c>
      <c r="B395" s="5">
        <f>IFERROR(__xludf.DUMMYFUNCTION("SPLIT(A395,"","")"),2548.0)</f>
        <v>2548</v>
      </c>
      <c r="C395" s="5" t="str">
        <f>IFERROR(__xludf.DUMMYFUNCTION("""COMPUTED_VALUE"""),"নাম: মোছাঃ সামিয়া আক্তার")</f>
        <v>নাম: মোছাঃ সামিয়া আক্তার</v>
      </c>
      <c r="D395" s="5">
        <f>IFERROR(__xludf.DUMMYFUNCTION("""COMPUTED_VALUE"""),5.7003800179E11)</f>
        <v>570038001790</v>
      </c>
      <c r="E395" s="5" t="str">
        <f>IFERROR(__xludf.DUMMYFUNCTION("""COMPUTED_VALUE"""),"মোঃ শাহোসান কবির")</f>
        <v>মোঃ শাহোসান কবির</v>
      </c>
      <c r="F395" s="5" t="str">
        <f>IFERROR(__xludf.DUMMYFUNCTION("""COMPUTED_VALUE"""),"মোছাঃ রেহেনা খাতুন")</f>
        <v>মোছাঃ রেহেনা খাতুন</v>
      </c>
      <c r="G395" s="5" t="str">
        <f>IFERROR(__xludf.DUMMYFUNCTION("""COMPUTED_VALUE"""),"২২/০৭/২০০৬")</f>
        <v>২২/০৭/২০০৬</v>
      </c>
      <c r="H395" s="5" t="str">
        <f>IFERROR(__xludf.DUMMYFUNCTION("""COMPUTED_VALUE"""),"ছাত্র/ছাত্রী")</f>
        <v>ছাত্র/ছাত্রী</v>
      </c>
      <c r="I395" s="5" t="str">
        <f>IFERROR(__xludf.DUMMYFUNCTION("""COMPUTED_VALUE"""),"গাড়াডোব")</f>
        <v>গাড়াডোব</v>
      </c>
      <c r="J395" s="5" t="str">
        <f>IFERROR(__xludf.DUMMYFUNCTION("""COMPUTED_VALUE""")," গাংনী")</f>
        <v> গাংনী</v>
      </c>
      <c r="K395" s="5" t="str">
        <f>IFERROR(__xludf.DUMMYFUNCTION("""COMPUTED_VALUE""")," মেহেরপুর")</f>
        <v> মেহেরপুর</v>
      </c>
    </row>
    <row r="396" ht="15.75" customHeight="1">
      <c r="A396" s="7" t="s">
        <v>7261</v>
      </c>
      <c r="B396" s="5">
        <f>IFERROR(__xludf.DUMMYFUNCTION("SPLIT(A396,"","")"),2549.0)</f>
        <v>2549</v>
      </c>
      <c r="C396" s="5" t="str">
        <f>IFERROR(__xludf.DUMMYFUNCTION("""COMPUTED_VALUE"""),"মোছাঃ ফাতেমা খাতুন")</f>
        <v>মোছাঃ ফাতেমা খাতুন</v>
      </c>
      <c r="D396" s="5">
        <f>IFERROR(__xludf.DUMMYFUNCTION("""COMPUTED_VALUE"""),5.70038001791E11)</f>
        <v>570038001791</v>
      </c>
      <c r="E396" s="5" t="str">
        <f>IFERROR(__xludf.DUMMYFUNCTION("""COMPUTED_VALUE"""),"মোঃ আকবার হোসেন")</f>
        <v>মোঃ আকবার হোসেন</v>
      </c>
      <c r="F396" s="5" t="str">
        <f>IFERROR(__xludf.DUMMYFUNCTION("""COMPUTED_VALUE"""),"মোছাঃ মমতাজ পারভীন")</f>
        <v>মোছাঃ মমতাজ পারভীন</v>
      </c>
      <c r="G396" s="5" t="str">
        <f>IFERROR(__xludf.DUMMYFUNCTION("""COMPUTED_VALUE"""),"০৮/০৫/২০০৬")</f>
        <v>০৮/০৫/২০০৬</v>
      </c>
      <c r="H396" s="5" t="str">
        <f>IFERROR(__xludf.DUMMYFUNCTION("""COMPUTED_VALUE"""),"ছাত্র/ছাত্রী")</f>
        <v>ছাত্র/ছাত্রী</v>
      </c>
      <c r="I396" s="5" t="str">
        <f>IFERROR(__xludf.DUMMYFUNCTION("""COMPUTED_VALUE"""),"গাড়াডোব")</f>
        <v>গাড়াডোব</v>
      </c>
      <c r="J396" s="5" t="str">
        <f>IFERROR(__xludf.DUMMYFUNCTION("""COMPUTED_VALUE""")," গাংনী")</f>
        <v> গাংনী</v>
      </c>
      <c r="K396" s="5" t="str">
        <f>IFERROR(__xludf.DUMMYFUNCTION("""COMPUTED_VALUE""")," মেহেরপুর")</f>
        <v> মেহেরপুর</v>
      </c>
    </row>
    <row r="397" ht="15.75" customHeight="1">
      <c r="A397" s="7" t="s">
        <v>7262</v>
      </c>
      <c r="B397" s="5">
        <f>IFERROR(__xludf.DUMMYFUNCTION("SPLIT(A397,"","")"),2550.0)</f>
        <v>2550</v>
      </c>
      <c r="C397" s="5" t="str">
        <f>IFERROR(__xludf.DUMMYFUNCTION("""COMPUTED_VALUE"""),"মোছাঃ সুমাইয়া আক্তার")</f>
        <v>মোছাঃ সুমাইয়া আক্তার</v>
      </c>
      <c r="D397" s="5">
        <f>IFERROR(__xludf.DUMMYFUNCTION("""COMPUTED_VALUE"""),5.70038001792E11)</f>
        <v>570038001792</v>
      </c>
      <c r="E397" s="5" t="str">
        <f>IFERROR(__xludf.DUMMYFUNCTION("""COMPUTED_VALUE"""),"মোঃ শরিফুল ইসলাম")</f>
        <v>মোঃ শরিফুল ইসলাম</v>
      </c>
      <c r="F397" s="5" t="str">
        <f>IFERROR(__xludf.DUMMYFUNCTION("""COMPUTED_VALUE"""),"মোছাঃ মর্জিনা বেগম")</f>
        <v>মোছাঃ মর্জিনা বেগম</v>
      </c>
      <c r="G397" s="5" t="str">
        <f>IFERROR(__xludf.DUMMYFUNCTION("""COMPUTED_VALUE"""),"০১/০১/২০০৭")</f>
        <v>০১/০১/২০০৭</v>
      </c>
      <c r="H397" s="5" t="str">
        <f>IFERROR(__xludf.DUMMYFUNCTION("""COMPUTED_VALUE"""),"ছাত্র/ছাত্রী")</f>
        <v>ছাত্র/ছাত্রী</v>
      </c>
      <c r="I397" s="5" t="str">
        <f>IFERROR(__xludf.DUMMYFUNCTION("""COMPUTED_VALUE"""),"গাড়াডোব")</f>
        <v>গাড়াডোব</v>
      </c>
      <c r="J397" s="5" t="str">
        <f>IFERROR(__xludf.DUMMYFUNCTION("""COMPUTED_VALUE""")," গাংনী")</f>
        <v> গাংনী</v>
      </c>
      <c r="K397" s="5" t="str">
        <f>IFERROR(__xludf.DUMMYFUNCTION("""COMPUTED_VALUE""")," মেহেরপুর")</f>
        <v> মেহেরপুর</v>
      </c>
    </row>
    <row r="398" ht="15.75" customHeight="1">
      <c r="A398" s="7" t="s">
        <v>7263</v>
      </c>
      <c r="B398" s="5">
        <f>IFERROR(__xludf.DUMMYFUNCTION("SPLIT(A398,"","")"),2551.0)</f>
        <v>2551</v>
      </c>
      <c r="C398" s="5" t="str">
        <f>IFERROR(__xludf.DUMMYFUNCTION("""COMPUTED_VALUE"""),"নাম: রিশিতা খাতুন")</f>
        <v>নাম: রিশিতা খাতুন</v>
      </c>
      <c r="D398" s="5">
        <f>IFERROR(__xludf.DUMMYFUNCTION("""COMPUTED_VALUE"""),5.70038001795E11)</f>
        <v>570038001795</v>
      </c>
      <c r="E398" s="5" t="str">
        <f>IFERROR(__xludf.DUMMYFUNCTION("""COMPUTED_VALUE"""),"মোঃ আশরাফুল আলম")</f>
        <v>মোঃ আশরাফুল আলম</v>
      </c>
      <c r="F398" s="5" t="str">
        <f>IFERROR(__xludf.DUMMYFUNCTION("""COMPUTED_VALUE"""),"মোছাঃ ডলিয়ার খাতুন")</f>
        <v>মোছাঃ ডলিয়ার খাতুন</v>
      </c>
      <c r="G398" s="5" t="str">
        <f>IFERROR(__xludf.DUMMYFUNCTION("""COMPUTED_VALUE"""),"০৯/১১/২০০৬")</f>
        <v>০৯/১১/২০০৬</v>
      </c>
      <c r="H398" s="5" t="str">
        <f>IFERROR(__xludf.DUMMYFUNCTION("""COMPUTED_VALUE"""),"গৃহিনী")</f>
        <v>গৃহিনী</v>
      </c>
      <c r="I398" s="5" t="str">
        <f>IFERROR(__xludf.DUMMYFUNCTION("""COMPUTED_VALUE"""),"গাড়াডোব")</f>
        <v>গাড়াডোব</v>
      </c>
      <c r="J398" s="5" t="str">
        <f>IFERROR(__xludf.DUMMYFUNCTION("""COMPUTED_VALUE""")," গাংনী")</f>
        <v> গাংনী</v>
      </c>
      <c r="K398" s="5" t="str">
        <f>IFERROR(__xludf.DUMMYFUNCTION("""COMPUTED_VALUE""")," মেহেরপুর")</f>
        <v> মেহেরপুর</v>
      </c>
    </row>
    <row r="399" ht="15.75" customHeight="1">
      <c r="A399" s="7" t="s">
        <v>7264</v>
      </c>
      <c r="B399" s="5">
        <f>IFERROR(__xludf.DUMMYFUNCTION("SPLIT(A399,"","")"),2552.0)</f>
        <v>2552</v>
      </c>
      <c r="C399" s="5" t="str">
        <f>IFERROR(__xludf.DUMMYFUNCTION("""COMPUTED_VALUE"""),"নাম: লিফা জাবিন আঁচল")</f>
        <v>নাম: লিফা জাবিন আঁচল</v>
      </c>
      <c r="D399" s="5">
        <f>IFERROR(__xludf.DUMMYFUNCTION("""COMPUTED_VALUE"""),5.70038001798E11)</f>
        <v>570038001798</v>
      </c>
      <c r="E399" s="5" t="str">
        <f>IFERROR(__xludf.DUMMYFUNCTION("""COMPUTED_VALUE"""),"মোঃ আশরাফুল ইসলাম")</f>
        <v>মোঃ আশরাফুল ইসলাম</v>
      </c>
      <c r="F399" s="5" t="str">
        <f>IFERROR(__xludf.DUMMYFUNCTION("""COMPUTED_VALUE"""),"মোছাঃ বিলকিচ বেগম")</f>
        <v>মোছাঃ বিলকিচ বেগম</v>
      </c>
      <c r="G399" s="5" t="str">
        <f>IFERROR(__xludf.DUMMYFUNCTION("""COMPUTED_VALUE"""),"১১/০৬/২০০৬")</f>
        <v>১১/০৬/২০০৬</v>
      </c>
      <c r="H399" s="5" t="str">
        <f>IFERROR(__xludf.DUMMYFUNCTION("""COMPUTED_VALUE"""),"ছাত্র/ছাত্রী")</f>
        <v>ছাত্র/ছাত্রী</v>
      </c>
      <c r="I399" s="5" t="str">
        <f>IFERROR(__xludf.DUMMYFUNCTION("""COMPUTED_VALUE"""),"গাড়াডোব")</f>
        <v>গাড়াডোব</v>
      </c>
      <c r="J399" s="5" t="str">
        <f>IFERROR(__xludf.DUMMYFUNCTION("""COMPUTED_VALUE""")," গাংনী")</f>
        <v> গাংনী</v>
      </c>
      <c r="K399" s="5" t="str">
        <f>IFERROR(__xludf.DUMMYFUNCTION("""COMPUTED_VALUE""")," মেহেরপুর")</f>
        <v> মেহেরপুর</v>
      </c>
    </row>
    <row r="400" ht="15.75" customHeight="1">
      <c r="A400" s="7" t="s">
        <v>7265</v>
      </c>
      <c r="B400" s="5">
        <f>IFERROR(__xludf.DUMMYFUNCTION("SPLIT(A400,"","")"),2553.0)</f>
        <v>2553</v>
      </c>
      <c r="C400" s="5" t="str">
        <f>IFERROR(__xludf.DUMMYFUNCTION("""COMPUTED_VALUE"""),"মোছাঃ শাবনাজ খাতুন")</f>
        <v>মোছাঃ শাবনাজ খাতুন</v>
      </c>
      <c r="D400" s="5">
        <f>IFERROR(__xludf.DUMMYFUNCTION("""COMPUTED_VALUE"""),5.700380018E11)</f>
        <v>570038001800</v>
      </c>
      <c r="E400" s="5" t="str">
        <f>IFERROR(__xludf.DUMMYFUNCTION("""COMPUTED_VALUE"""),"মোঃ ছানোয়ার হোসেন")</f>
        <v>মোঃ ছানোয়ার হোসেন</v>
      </c>
      <c r="F400" s="5" t="str">
        <f>IFERROR(__xludf.DUMMYFUNCTION("""COMPUTED_VALUE"""),"মোছাঃ রেখা খাতুন")</f>
        <v>মোছাঃ রেখা খাতুন</v>
      </c>
      <c r="G400" s="5" t="str">
        <f>IFERROR(__xludf.DUMMYFUNCTION("""COMPUTED_VALUE"""),"০২/০৩/২০০৬")</f>
        <v>০২/০৩/২০০৬</v>
      </c>
      <c r="H400" s="5" t="str">
        <f>IFERROR(__xludf.DUMMYFUNCTION("""COMPUTED_VALUE"""),"ছাত্র/ছাত্রী")</f>
        <v>ছাত্র/ছাত্রী</v>
      </c>
      <c r="I400" s="5" t="str">
        <f>IFERROR(__xludf.DUMMYFUNCTION("""COMPUTED_VALUE"""),"গাড়াডোব")</f>
        <v>গাড়াডোব</v>
      </c>
      <c r="J400" s="5" t="str">
        <f>IFERROR(__xludf.DUMMYFUNCTION("""COMPUTED_VALUE""")," গাংনী")</f>
        <v> গাংনী</v>
      </c>
      <c r="K400" s="5" t="str">
        <f>IFERROR(__xludf.DUMMYFUNCTION("""COMPUTED_VALUE""")," মেহেরপুর")</f>
        <v> মেহেরপুর</v>
      </c>
    </row>
    <row r="401" ht="15.75" customHeight="1">
      <c r="A401" s="7" t="s">
        <v>7266</v>
      </c>
      <c r="B401" s="5">
        <f>IFERROR(__xludf.DUMMYFUNCTION("SPLIT(A401,"","")"),2554.0)</f>
        <v>2554</v>
      </c>
      <c r="C401" s="5" t="str">
        <f>IFERROR(__xludf.DUMMYFUNCTION("""COMPUTED_VALUE"""),"মোছাঃ সুমাইয়া পারভিন")</f>
        <v>মোছাঃ সুমাইয়া পারভিন</v>
      </c>
      <c r="D401" s="5">
        <f>IFERROR(__xludf.DUMMYFUNCTION("""COMPUTED_VALUE"""),5.70038001805E11)</f>
        <v>570038001805</v>
      </c>
      <c r="E401" s="5" t="str">
        <f>IFERROR(__xludf.DUMMYFUNCTION("""COMPUTED_VALUE"""),"মোঃ মুলাম হোসেন")</f>
        <v>মোঃ মুলাম হোসেন</v>
      </c>
      <c r="F401" s="5" t="str">
        <f>IFERROR(__xludf.DUMMYFUNCTION("""COMPUTED_VALUE"""),"মোছাঃ শাহানাজ খাতুন")</f>
        <v>মোছাঃ শাহানাজ খাতুন</v>
      </c>
      <c r="G401" s="5" t="str">
        <f>IFERROR(__xludf.DUMMYFUNCTION("""COMPUTED_VALUE"""),"০১/০৩/২০০৬")</f>
        <v>০১/০৩/২০০৬</v>
      </c>
      <c r="H401" s="5" t="str">
        <f>IFERROR(__xludf.DUMMYFUNCTION("""COMPUTED_VALUE"""),"গৃহিনী")</f>
        <v>গৃহিনী</v>
      </c>
      <c r="I401" s="5" t="str">
        <f>IFERROR(__xludf.DUMMYFUNCTION("""COMPUTED_VALUE"""),"গাড়াডোব")</f>
        <v>গাড়াডোব</v>
      </c>
      <c r="J401" s="5" t="str">
        <f>IFERROR(__xludf.DUMMYFUNCTION("""COMPUTED_VALUE""")," গাংনী")</f>
        <v> গাংনী</v>
      </c>
      <c r="K401" s="5" t="str">
        <f>IFERROR(__xludf.DUMMYFUNCTION("""COMPUTED_VALUE""")," মেহেরপুর")</f>
        <v> মেহেরপুর</v>
      </c>
    </row>
    <row r="402" ht="15.75" customHeight="1">
      <c r="A402" s="7" t="s">
        <v>7267</v>
      </c>
      <c r="B402" s="5">
        <f>IFERROR(__xludf.DUMMYFUNCTION("SPLIT(A402,"","")"),2555.0)</f>
        <v>2555</v>
      </c>
      <c r="C402" s="5" t="str">
        <f>IFERROR(__xludf.DUMMYFUNCTION("""COMPUTED_VALUE"""),"মোছাঃ অন্তরা খাতুন")</f>
        <v>মোছাঃ অন্তরা খাতুন</v>
      </c>
      <c r="D402" s="5">
        <f>IFERROR(__xludf.DUMMYFUNCTION("""COMPUTED_VALUE"""),5.70038001806E11)</f>
        <v>570038001806</v>
      </c>
      <c r="E402" s="5" t="str">
        <f>IFERROR(__xludf.DUMMYFUNCTION("""COMPUTED_VALUE"""),"মোঃ আনছার আলী")</f>
        <v>মোঃ আনছার আলী</v>
      </c>
      <c r="F402" s="5" t="str">
        <f>IFERROR(__xludf.DUMMYFUNCTION("""COMPUTED_VALUE"""),"মোছাঃ রাশিদা খাতুন")</f>
        <v>মোছাঃ রাশিদা খাতুন</v>
      </c>
      <c r="G402" s="5" t="str">
        <f>IFERROR(__xludf.DUMMYFUNCTION("""COMPUTED_VALUE"""),"১০/০৯/২০০৬")</f>
        <v>১০/০৯/২০০৬</v>
      </c>
      <c r="H402" s="5" t="str">
        <f>IFERROR(__xludf.DUMMYFUNCTION("""COMPUTED_VALUE"""),"গৃহিনী")</f>
        <v>গৃহিনী</v>
      </c>
      <c r="I402" s="5" t="str">
        <f>IFERROR(__xludf.DUMMYFUNCTION("""COMPUTED_VALUE"""),"গাড়াডোব")</f>
        <v>গাড়াডোব</v>
      </c>
      <c r="J402" s="5" t="str">
        <f>IFERROR(__xludf.DUMMYFUNCTION("""COMPUTED_VALUE""")," গাংনী")</f>
        <v> গাংনী</v>
      </c>
      <c r="K402" s="5" t="str">
        <f>IFERROR(__xludf.DUMMYFUNCTION("""COMPUTED_VALUE""")," মেহেরপুর")</f>
        <v> মেহেরপুর</v>
      </c>
    </row>
    <row r="403" ht="15.75" customHeight="1">
      <c r="A403" s="7" t="s">
        <v>7268</v>
      </c>
      <c r="B403" s="5">
        <f>IFERROR(__xludf.DUMMYFUNCTION("SPLIT(A403,"","")"),2556.0)</f>
        <v>2556</v>
      </c>
      <c r="C403" s="5" t="str">
        <f>IFERROR(__xludf.DUMMYFUNCTION("""COMPUTED_VALUE"""),"মোছাঃ ফাতেমা খাতুন")</f>
        <v>মোছাঃ ফাতেমা খাতুন</v>
      </c>
      <c r="D403" s="5">
        <f>IFERROR(__xludf.DUMMYFUNCTION("""COMPUTED_VALUE"""),5.70038001807E11)</f>
        <v>570038001807</v>
      </c>
      <c r="E403" s="5" t="str">
        <f>IFERROR(__xludf.DUMMYFUNCTION("""COMPUTED_VALUE"""),"মোঃ আব্দুর রকিব")</f>
        <v>মোঃ আব্দুর রকিব</v>
      </c>
      <c r="F403" s="5" t="str">
        <f>IFERROR(__xludf.DUMMYFUNCTION("""COMPUTED_VALUE"""),"মোছাঃ লিপিয়ারা বেগম")</f>
        <v>মোছাঃ লিপিয়ারা বেগম</v>
      </c>
      <c r="G403" s="5" t="str">
        <f>IFERROR(__xludf.DUMMYFUNCTION("""COMPUTED_VALUE"""),"০১/০১/২০০৭")</f>
        <v>০১/০১/২০০৭</v>
      </c>
      <c r="H403" s="5" t="str">
        <f>IFERROR(__xludf.DUMMYFUNCTION("""COMPUTED_VALUE"""),"ছাত্র/ছাত্রী")</f>
        <v>ছাত্র/ছাত্রী</v>
      </c>
      <c r="I403" s="5" t="str">
        <f>IFERROR(__xludf.DUMMYFUNCTION("""COMPUTED_VALUE"""),"গাড়াডোব")</f>
        <v>গাড়াডোব</v>
      </c>
      <c r="J403" s="5" t="str">
        <f>IFERROR(__xludf.DUMMYFUNCTION("""COMPUTED_VALUE""")," গাংনী")</f>
        <v> গাংনী</v>
      </c>
      <c r="K403" s="5" t="str">
        <f>IFERROR(__xludf.DUMMYFUNCTION("""COMPUTED_VALUE""")," মেহেরপুর")</f>
        <v> মেহেরপুর</v>
      </c>
    </row>
    <row r="404" ht="15.75" customHeight="1">
      <c r="A404" s="7" t="s">
        <v>7269</v>
      </c>
      <c r="B404" s="5">
        <f>IFERROR(__xludf.DUMMYFUNCTION("SPLIT(A404,"","")"),2557.0)</f>
        <v>2557</v>
      </c>
      <c r="C404" s="5" t="str">
        <f>IFERROR(__xludf.DUMMYFUNCTION("""COMPUTED_VALUE"""),"মোছাঃ রিমা খাতুন")</f>
        <v>মোছাঃ রিমা খাতুন</v>
      </c>
      <c r="D404" s="5">
        <f>IFERROR(__xludf.DUMMYFUNCTION("""COMPUTED_VALUE"""),5.70038001811E11)</f>
        <v>570038001811</v>
      </c>
      <c r="E404" s="5" t="str">
        <f>IFERROR(__xludf.DUMMYFUNCTION("""COMPUTED_VALUE"""),"মোহাঃ আবুল বাসার")</f>
        <v>মোহাঃ আবুল বাসার</v>
      </c>
      <c r="F404" s="5" t="str">
        <f>IFERROR(__xludf.DUMMYFUNCTION("""COMPUTED_VALUE"""),"মোছাঃ মর্জিনা খাতুন")</f>
        <v>মোছাঃ মর্জিনা খাতুন</v>
      </c>
      <c r="G404" s="5" t="str">
        <f>IFERROR(__xludf.DUMMYFUNCTION("""COMPUTED_VALUE"""),"২১/০৭/২০০৬")</f>
        <v>২১/০৭/২০০৬</v>
      </c>
      <c r="H404" s="5" t="str">
        <f>IFERROR(__xludf.DUMMYFUNCTION("""COMPUTED_VALUE"""),"গৃহিনী")</f>
        <v>গৃহিনী</v>
      </c>
      <c r="I404" s="5" t="str">
        <f>IFERROR(__xludf.DUMMYFUNCTION("""COMPUTED_VALUE"""),"গাড়াডোব")</f>
        <v>গাড়াডোব</v>
      </c>
      <c r="J404" s="5" t="str">
        <f>IFERROR(__xludf.DUMMYFUNCTION("""COMPUTED_VALUE""")," গাংনী")</f>
        <v> গাংনী</v>
      </c>
      <c r="K404" s="5" t="str">
        <f>IFERROR(__xludf.DUMMYFUNCTION("""COMPUTED_VALUE""")," মেহেরপুর")</f>
        <v> মেহেরপুর</v>
      </c>
    </row>
    <row r="405" ht="15.75" customHeight="1">
      <c r="A405" s="7" t="s">
        <v>7270</v>
      </c>
      <c r="B405" s="5">
        <f>IFERROR(__xludf.DUMMYFUNCTION("SPLIT(A405,"","")"),2558.0)</f>
        <v>2558</v>
      </c>
      <c r="C405" s="5" t="str">
        <f>IFERROR(__xludf.DUMMYFUNCTION("""COMPUTED_VALUE"""),"মোছাঃ সুরাইয়া আক্তার শোভা")</f>
        <v>মোছাঃ সুরাইয়া আক্তার শোভা</v>
      </c>
      <c r="D405" s="5">
        <f>IFERROR(__xludf.DUMMYFUNCTION("""COMPUTED_VALUE"""),5.70038001819E11)</f>
        <v>570038001819</v>
      </c>
      <c r="E405" s="5" t="str">
        <f>IFERROR(__xludf.DUMMYFUNCTION("""COMPUTED_VALUE"""),"মোঃ শফিউল ইসলাম")</f>
        <v>মোঃ শফিউল ইসলাম</v>
      </c>
      <c r="F405" s="5" t="str">
        <f>IFERROR(__xludf.DUMMYFUNCTION("""COMPUTED_VALUE"""),"মোছাঃ নাছরিন খাতুন")</f>
        <v>মোছাঃ নাছরিন খাতুন</v>
      </c>
      <c r="G405" s="5" t="str">
        <f>IFERROR(__xludf.DUMMYFUNCTION("""COMPUTED_VALUE"""),"১৫/০৬/২০০৬")</f>
        <v>১৫/০৬/২০০৬</v>
      </c>
      <c r="H405" s="5" t="str">
        <f>IFERROR(__xludf.DUMMYFUNCTION("""COMPUTED_VALUE"""),"ছাত্র/ছাত্রী")</f>
        <v>ছাত্র/ছাত্রী</v>
      </c>
      <c r="I405" s="5" t="str">
        <f>IFERROR(__xludf.DUMMYFUNCTION("""COMPUTED_VALUE"""),"গাড়াডোব")</f>
        <v>গাড়াডোব</v>
      </c>
      <c r="J405" s="5" t="str">
        <f>IFERROR(__xludf.DUMMYFUNCTION("""COMPUTED_VALUE""")," গাংনী")</f>
        <v> গাংনী</v>
      </c>
      <c r="K405" s="5" t="str">
        <f>IFERROR(__xludf.DUMMYFUNCTION("""COMPUTED_VALUE""")," মেহেরপুর")</f>
        <v> মেহেরপুর</v>
      </c>
    </row>
    <row r="406" ht="15.75" customHeight="1">
      <c r="A406" s="7" t="s">
        <v>7271</v>
      </c>
      <c r="B406" s="5">
        <f>IFERROR(__xludf.DUMMYFUNCTION("SPLIT(A406,"","")"),2559.0)</f>
        <v>2559</v>
      </c>
      <c r="C406" s="5" t="str">
        <f>IFERROR(__xludf.DUMMYFUNCTION("""COMPUTED_VALUE"""),"মোছাঃ জ্যামি আক্তার লতা")</f>
        <v>মোছাঃ জ্যামি আক্তার লতা</v>
      </c>
      <c r="D406" s="5">
        <f>IFERROR(__xludf.DUMMYFUNCTION("""COMPUTED_VALUE"""),5.7003800182E11)</f>
        <v>570038001820</v>
      </c>
      <c r="E406" s="5" t="str">
        <f>IFERROR(__xludf.DUMMYFUNCTION("""COMPUTED_VALUE"""),"মোঃ জাহাঙ্গীর আলম")</f>
        <v>মোঃ জাহাঙ্গীর আলম</v>
      </c>
      <c r="F406" s="5" t="str">
        <f>IFERROR(__xludf.DUMMYFUNCTION("""COMPUTED_VALUE"""),"মোছাঃ রওশনারা খাতুন")</f>
        <v>মোছাঃ রওশনারা খাতুন</v>
      </c>
      <c r="G406" s="5" t="str">
        <f>IFERROR(__xludf.DUMMYFUNCTION("""COMPUTED_VALUE"""),"১৬/০৫/২০০৬")</f>
        <v>১৬/০৫/২০০৬</v>
      </c>
      <c r="H406" s="5" t="str">
        <f>IFERROR(__xludf.DUMMYFUNCTION("""COMPUTED_VALUE"""),"ছাত্র/ছাত্রী")</f>
        <v>ছাত্র/ছাত্রী</v>
      </c>
      <c r="I406" s="5" t="str">
        <f>IFERROR(__xludf.DUMMYFUNCTION("""COMPUTED_VALUE"""),"গাড়াডোব")</f>
        <v>গাড়াডোব</v>
      </c>
      <c r="J406" s="5" t="str">
        <f>IFERROR(__xludf.DUMMYFUNCTION("""COMPUTED_VALUE""")," গাংনী")</f>
        <v> গাংনী</v>
      </c>
      <c r="K406" s="5" t="str">
        <f>IFERROR(__xludf.DUMMYFUNCTION("""COMPUTED_VALUE""")," মেহেরপুর")</f>
        <v> মেহেরপুর</v>
      </c>
    </row>
    <row r="407" ht="15.75" customHeight="1">
      <c r="A407" s="7" t="s">
        <v>7272</v>
      </c>
      <c r="B407" s="5">
        <f>IFERROR(__xludf.DUMMYFUNCTION("SPLIT(A407,"","")"),2560.0)</f>
        <v>2560</v>
      </c>
      <c r="C407" s="5" t="str">
        <f>IFERROR(__xludf.DUMMYFUNCTION("""COMPUTED_VALUE"""),"মোছাঃ সুমাইয়া খাতুন")</f>
        <v>মোছাঃ সুমাইয়া খাতুন</v>
      </c>
      <c r="D407" s="5">
        <f>IFERROR(__xludf.DUMMYFUNCTION("""COMPUTED_VALUE"""),5.70038001823E11)</f>
        <v>570038001823</v>
      </c>
      <c r="E407" s="5" t="str">
        <f>IFERROR(__xludf.DUMMYFUNCTION("""COMPUTED_VALUE"""),"মোঃ শমসের আলী")</f>
        <v>মোঃ শমসের আলী</v>
      </c>
      <c r="F407" s="5" t="str">
        <f>IFERROR(__xludf.DUMMYFUNCTION("""COMPUTED_VALUE"""),"মোছাঃ আসমা খাতুন")</f>
        <v>মোছাঃ আসমা খাতুন</v>
      </c>
      <c r="G407" s="5" t="str">
        <f>IFERROR(__xludf.DUMMYFUNCTION("""COMPUTED_VALUE"""),"৩০/১০/২০০৬")</f>
        <v>৩০/১০/২০০৬</v>
      </c>
      <c r="H407" s="5" t="str">
        <f>IFERROR(__xludf.DUMMYFUNCTION("""COMPUTED_VALUE"""),"ছাত্র/ছাত্রী")</f>
        <v>ছাত্র/ছাত্রী</v>
      </c>
      <c r="I407" s="5" t="str">
        <f>IFERROR(__xludf.DUMMYFUNCTION("""COMPUTED_VALUE"""),"গাড়াডোব")</f>
        <v>গাড়াডোব</v>
      </c>
      <c r="J407" s="5" t="str">
        <f>IFERROR(__xludf.DUMMYFUNCTION("""COMPUTED_VALUE""")," গাংনী")</f>
        <v> গাংনী</v>
      </c>
      <c r="K407" s="5" t="str">
        <f>IFERROR(__xludf.DUMMYFUNCTION("""COMPUTED_VALUE""")," মেহেরপুর")</f>
        <v> মেহেরপুর</v>
      </c>
    </row>
    <row r="408" ht="15.75" customHeight="1">
      <c r="A408" s="7" t="s">
        <v>7273</v>
      </c>
      <c r="B408" s="5">
        <f>IFERROR(__xludf.DUMMYFUNCTION("SPLIT(A408,"","")"),2561.0)</f>
        <v>2561</v>
      </c>
      <c r="C408" s="5" t="str">
        <f>IFERROR(__xludf.DUMMYFUNCTION("""COMPUTED_VALUE"""),"মোছাঃ হাবিবা খাতুন")</f>
        <v>মোছাঃ হাবিবা খাতুন</v>
      </c>
      <c r="D408" s="5">
        <f>IFERROR(__xludf.DUMMYFUNCTION("""COMPUTED_VALUE"""),5.70038001825E11)</f>
        <v>570038001825</v>
      </c>
      <c r="E408" s="5" t="str">
        <f>IFERROR(__xludf.DUMMYFUNCTION("""COMPUTED_VALUE"""),"মোঃ সাহাবুদ্দীন শেখ")</f>
        <v>মোঃ সাহাবুদ্দীন শেখ</v>
      </c>
      <c r="F408" s="5" t="str">
        <f>IFERROR(__xludf.DUMMYFUNCTION("""COMPUTED_VALUE"""),"মোছাঃ মিনা খাতুন")</f>
        <v>মোছাঃ মিনা খাতুন</v>
      </c>
      <c r="G408" s="5" t="str">
        <f>IFERROR(__xludf.DUMMYFUNCTION("""COMPUTED_VALUE"""),"০৫/১১/২০০৬")</f>
        <v>০৫/১১/২০০৬</v>
      </c>
      <c r="H408" s="5" t="str">
        <f>IFERROR(__xludf.DUMMYFUNCTION("""COMPUTED_VALUE"""),"ছাত্র/ছাত্রী")</f>
        <v>ছাত্র/ছাত্রী</v>
      </c>
      <c r="I408" s="5" t="str">
        <f>IFERROR(__xludf.DUMMYFUNCTION("""COMPUTED_VALUE"""),"গাড়াডোব")</f>
        <v>গাড়াডোব</v>
      </c>
      <c r="J408" s="5" t="str">
        <f>IFERROR(__xludf.DUMMYFUNCTION("""COMPUTED_VALUE""")," গাংনী")</f>
        <v> গাংনী</v>
      </c>
      <c r="K408" s="5" t="str">
        <f>IFERROR(__xludf.DUMMYFUNCTION("""COMPUTED_VALUE""")," মেহেরপুর")</f>
        <v> মেহেরপুর</v>
      </c>
    </row>
    <row r="409" ht="15.75" customHeight="1">
      <c r="A409" s="7" t="s">
        <v>7274</v>
      </c>
      <c r="B409" s="5">
        <f>IFERROR(__xludf.DUMMYFUNCTION("SPLIT(A409,"","")"),2562.0)</f>
        <v>2562</v>
      </c>
      <c r="C409" s="5" t="str">
        <f>IFERROR(__xludf.DUMMYFUNCTION("""COMPUTED_VALUE"""),"মোছাঃ জুবাইদা খাতুন")</f>
        <v>মোছাঃ জুবাইদা খাতুন</v>
      </c>
      <c r="D409" s="5">
        <f>IFERROR(__xludf.DUMMYFUNCTION("""COMPUTED_VALUE"""),5.70038544973E11)</f>
        <v>570038544973</v>
      </c>
      <c r="E409" s="5" t="str">
        <f>IFERROR(__xludf.DUMMYFUNCTION("""COMPUTED_VALUE"""),"মোঃ ফারুক হোসেন")</f>
        <v>মোঃ ফারুক হোসেন</v>
      </c>
      <c r="F409" s="5" t="str">
        <f>IFERROR(__xludf.DUMMYFUNCTION("""COMPUTED_VALUE"""),"মোছাঃ মরিয়ম নেছা")</f>
        <v>মোছাঃ মরিয়ম নেছা</v>
      </c>
      <c r="G409" s="5" t="str">
        <f>IFERROR(__xludf.DUMMYFUNCTION("""COMPUTED_VALUE"""),"২৮/১১/১৯৯৯")</f>
        <v>২৮/১১/১৯৯৯</v>
      </c>
      <c r="H409" s="5" t="str">
        <f>IFERROR(__xludf.DUMMYFUNCTION("""COMPUTED_VALUE"""),"গৃহিনী")</f>
        <v>গৃহিনী</v>
      </c>
      <c r="I409" s="5">
        <f>IFERROR(__xludf.DUMMYFUNCTION("""COMPUTED_VALUE"""),1326.0)</f>
        <v>1326</v>
      </c>
      <c r="J409" s="5" t="str">
        <f>IFERROR(__xludf.DUMMYFUNCTION("""COMPUTED_VALUE""")," গাড়াডোব")</f>
        <v> গাড়াডোব</v>
      </c>
      <c r="K409" s="5" t="str">
        <f>IFERROR(__xludf.DUMMYFUNCTION("""COMPUTED_VALUE""")," গাংনী")</f>
        <v> গাংনী</v>
      </c>
      <c r="L409" s="5" t="str">
        <f>IFERROR(__xludf.DUMMYFUNCTION("""COMPUTED_VALUE""")," মেহেরপুর")</f>
        <v> মেহেরপুর</v>
      </c>
    </row>
    <row r="410" ht="15.75" customHeight="1">
      <c r="A410" s="7" t="s">
        <v>7275</v>
      </c>
      <c r="B410" s="5">
        <f>IFERROR(__xludf.DUMMYFUNCTION("SPLIT(A410,"","")"),2563.0)</f>
        <v>2563</v>
      </c>
      <c r="C410" s="5" t="str">
        <f>IFERROR(__xludf.DUMMYFUNCTION("""COMPUTED_VALUE"""),"মোছাঃ লিমা আক্তার রুমা")</f>
        <v>মোছাঃ লিমা আক্তার রুমা</v>
      </c>
      <c r="D410" s="5">
        <f>IFERROR(__xludf.DUMMYFUNCTION("""COMPUTED_VALUE"""),5.70038544983E11)</f>
        <v>570038544983</v>
      </c>
      <c r="E410" s="5" t="str">
        <f>IFERROR(__xludf.DUMMYFUNCTION("""COMPUTED_VALUE"""),"মোঃ মতিউর রহমান")</f>
        <v>মোঃ মতিউর রহমান</v>
      </c>
      <c r="F410" s="5" t="str">
        <f>IFERROR(__xludf.DUMMYFUNCTION("""COMPUTED_VALUE"""),"মোছাঃ বুলবুলি বেগম")</f>
        <v>মোছাঃ বুলবুলি বেগম</v>
      </c>
      <c r="G410" s="5" t="str">
        <f>IFERROR(__xludf.DUMMYFUNCTION("""COMPUTED_VALUE"""),"৩১/১২/১৯৯৮")</f>
        <v>৩১/১২/১৯৯৮</v>
      </c>
      <c r="H410" s="5" t="str">
        <f>IFERROR(__xludf.DUMMYFUNCTION("""COMPUTED_VALUE"""),"ছাত্র/ছাত্রী")</f>
        <v>ছাত্র/ছাত্রী</v>
      </c>
      <c r="I410" s="5">
        <f>IFERROR(__xludf.DUMMYFUNCTION("""COMPUTED_VALUE"""),742.0)</f>
        <v>742</v>
      </c>
      <c r="J410" s="5" t="str">
        <f>IFERROR(__xludf.DUMMYFUNCTION("""COMPUTED_VALUE""")," গাড়াডোব")</f>
        <v> গাড়াডোব</v>
      </c>
      <c r="K410" s="5" t="str">
        <f>IFERROR(__xludf.DUMMYFUNCTION("""COMPUTED_VALUE""")," গাংনী")</f>
        <v> গাংনী</v>
      </c>
      <c r="L410" s="5" t="str">
        <f>IFERROR(__xludf.DUMMYFUNCTION("""COMPUTED_VALUE""")," মেহেরপুর")</f>
        <v> মেহেরপুর</v>
      </c>
    </row>
    <row r="411" ht="15.75" customHeight="1">
      <c r="A411" s="7" t="s">
        <v>7276</v>
      </c>
      <c r="B411" s="5">
        <f>IFERROR(__xludf.DUMMYFUNCTION("SPLIT(A411,"","")"),2564.0)</f>
        <v>2564</v>
      </c>
      <c r="C411" s="5" t="str">
        <f>IFERROR(__xludf.DUMMYFUNCTION("""COMPUTED_VALUE"""),"মোছাঃ রানী খাতুন")</f>
        <v>মোছাঃ রানী খাতুন</v>
      </c>
      <c r="D411" s="5">
        <f>IFERROR(__xludf.DUMMYFUNCTION("""COMPUTED_VALUE"""),5.70038544986E11)</f>
        <v>570038544986</v>
      </c>
      <c r="E411" s="5" t="str">
        <f>IFERROR(__xludf.DUMMYFUNCTION("""COMPUTED_VALUE"""),"মোঃ আনোয়ার হোসেন")</f>
        <v>মোঃ আনোয়ার হোসেন</v>
      </c>
      <c r="F411" s="5" t="str">
        <f>IFERROR(__xludf.DUMMYFUNCTION("""COMPUTED_VALUE"""),"মোছাঃ শিউলি খাতুন")</f>
        <v>মোছাঃ শিউলি খাতুন</v>
      </c>
      <c r="G411" s="5" t="str">
        <f>IFERROR(__xludf.DUMMYFUNCTION("""COMPUTED_VALUE"""),"৩০/১২/১৯৯৭")</f>
        <v>৩০/১২/১৯৯৭</v>
      </c>
      <c r="H411" s="5" t="str">
        <f>IFERROR(__xludf.DUMMYFUNCTION("""COMPUTED_VALUE"""),"ছাত্র/ছাত্রী")</f>
        <v>ছাত্র/ছাত্রী</v>
      </c>
      <c r="I411" s="5">
        <f>IFERROR(__xludf.DUMMYFUNCTION("""COMPUTED_VALUE"""),1298.0)</f>
        <v>1298</v>
      </c>
      <c r="J411" s="5" t="str">
        <f>IFERROR(__xludf.DUMMYFUNCTION("""COMPUTED_VALUE""")," গাড়াডোব")</f>
        <v> গাড়াডোব</v>
      </c>
      <c r="K411" s="5" t="str">
        <f>IFERROR(__xludf.DUMMYFUNCTION("""COMPUTED_VALUE""")," গাংনী")</f>
        <v> গাংনী</v>
      </c>
      <c r="L411" s="5" t="str">
        <f>IFERROR(__xludf.DUMMYFUNCTION("""COMPUTED_VALUE""")," মেহেরপুর")</f>
        <v> মেহেরপুর</v>
      </c>
    </row>
    <row r="412" ht="15.75" customHeight="1">
      <c r="A412" s="7" t="s">
        <v>7277</v>
      </c>
      <c r="B412" s="5">
        <f>IFERROR(__xludf.DUMMYFUNCTION("SPLIT(A412,"","")"),2565.0)</f>
        <v>2565</v>
      </c>
      <c r="C412" s="5" t="str">
        <f>IFERROR(__xludf.DUMMYFUNCTION("""COMPUTED_VALUE"""),"মোছাঃ জ্যামি খাতুন")</f>
        <v>মোছাঃ জ্যামি খাতুন</v>
      </c>
      <c r="D412" s="5">
        <f>IFERROR(__xludf.DUMMYFUNCTION("""COMPUTED_VALUE"""),5.70038544992E11)</f>
        <v>570038544992</v>
      </c>
      <c r="E412" s="5" t="str">
        <f>IFERROR(__xludf.DUMMYFUNCTION("""COMPUTED_VALUE"""),"মোঃ মখলেছুর রহমান")</f>
        <v>মোঃ মখলেছুর রহমান</v>
      </c>
      <c r="F412" s="5" t="str">
        <f>IFERROR(__xludf.DUMMYFUNCTION("""COMPUTED_VALUE"""),"মোছাঃ নাসরিন খাতুন")</f>
        <v>মোছাঃ নাসরিন খাতুন</v>
      </c>
      <c r="G412" s="5" t="str">
        <f>IFERROR(__xludf.DUMMYFUNCTION("""COMPUTED_VALUE"""),"১৪/০৪/২০০১")</f>
        <v>১৪/০৪/২০০১</v>
      </c>
      <c r="H412" s="5" t="str">
        <f>IFERROR(__xludf.DUMMYFUNCTION("""COMPUTED_VALUE"""),"গৃহিনী")</f>
        <v>গৃহিনী</v>
      </c>
      <c r="I412" s="5" t="str">
        <f>IFERROR(__xludf.DUMMYFUNCTION("""COMPUTED_VALUE"""),"গাড়াডোব")</f>
        <v>গাড়াডোব</v>
      </c>
      <c r="J412" s="5" t="str">
        <f>IFERROR(__xludf.DUMMYFUNCTION("""COMPUTED_VALUE""")," গাংনী")</f>
        <v> গাংনী</v>
      </c>
      <c r="K412" s="5" t="str">
        <f>IFERROR(__xludf.DUMMYFUNCTION("""COMPUTED_VALUE""")," মেহেরপুর")</f>
        <v> মেহেরপুর</v>
      </c>
    </row>
    <row r="413" ht="15.75" customHeight="1">
      <c r="A413" s="7" t="s">
        <v>7278</v>
      </c>
      <c r="B413" s="5">
        <f>IFERROR(__xludf.DUMMYFUNCTION("SPLIT(A413,"","")"),2566.0)</f>
        <v>2566</v>
      </c>
      <c r="C413" s="5" t="str">
        <f>IFERROR(__xludf.DUMMYFUNCTION("""COMPUTED_VALUE"""),"নাম: শিখা আক্তার")</f>
        <v>নাম: শিখা আক্তার</v>
      </c>
      <c r="D413" s="5">
        <f>IFERROR(__xludf.DUMMYFUNCTION("""COMPUTED_VALUE"""),5.70038544993E11)</f>
        <v>570038544993</v>
      </c>
      <c r="E413" s="5" t="str">
        <f>IFERROR(__xludf.DUMMYFUNCTION("""COMPUTED_VALUE"""),"আব্দুল মান্নান")</f>
        <v>আব্দুল মান্নান</v>
      </c>
      <c r="F413" s="5" t="str">
        <f>IFERROR(__xludf.DUMMYFUNCTION("""COMPUTED_VALUE"""),"মাতা: উরমীলা")</f>
        <v>মাতা: উরমীলা</v>
      </c>
      <c r="G413" s="5" t="str">
        <f>IFERROR(__xludf.DUMMYFUNCTION("""COMPUTED_VALUE"""),"২০/০৪/২০০০")</f>
        <v>২০/০৪/২০০০</v>
      </c>
      <c r="H413" s="5" t="str">
        <f>IFERROR(__xludf.DUMMYFUNCTION("""COMPUTED_VALUE"""),"গৃহিনী")</f>
        <v>গৃহিনী</v>
      </c>
      <c r="I413" s="5" t="str">
        <f>IFERROR(__xludf.DUMMYFUNCTION("""COMPUTED_VALUE"""),"গাড়াডোব")</f>
        <v>গাড়াডোব</v>
      </c>
      <c r="J413" s="5" t="str">
        <f>IFERROR(__xludf.DUMMYFUNCTION("""COMPUTED_VALUE""")," গাংনী")</f>
        <v> গাংনী</v>
      </c>
      <c r="K413" s="5" t="str">
        <f>IFERROR(__xludf.DUMMYFUNCTION("""COMPUTED_VALUE""")," মেহেরপুর")</f>
        <v> মেহেরপুর</v>
      </c>
    </row>
    <row r="414" ht="15.75" customHeight="1">
      <c r="A414" s="7" t="s">
        <v>7279</v>
      </c>
      <c r="B414" s="5">
        <f>IFERROR(__xludf.DUMMYFUNCTION("SPLIT(A414,"","")"),2567.0)</f>
        <v>2567</v>
      </c>
      <c r="C414" s="5" t="str">
        <f>IFERROR(__xludf.DUMMYFUNCTION("""COMPUTED_VALUE"""),"মোছাঃ মুন্নি আকতার নাজমিন")</f>
        <v>মোছাঃ মুন্নি আকতার নাজমিন</v>
      </c>
      <c r="D414" s="5">
        <f>IFERROR(__xludf.DUMMYFUNCTION("""COMPUTED_VALUE"""),5.70038544994E11)</f>
        <v>570038544994</v>
      </c>
      <c r="E414" s="5" t="str">
        <f>IFERROR(__xludf.DUMMYFUNCTION("""COMPUTED_VALUE"""),"মোঃ খাইরুল ইসলাম")</f>
        <v>মোঃ খাইরুল ইসলাম</v>
      </c>
      <c r="F414" s="5" t="str">
        <f>IFERROR(__xludf.DUMMYFUNCTION("""COMPUTED_VALUE"""),"মোছাঃ আছিয়া খাতুন")</f>
        <v>মোছাঃ আছিয়া খাতুন</v>
      </c>
      <c r="G414" s="5" t="str">
        <f>IFERROR(__xludf.DUMMYFUNCTION("""COMPUTED_VALUE"""),"০৯/০৭/২০০৩")</f>
        <v>০৯/০৭/২০০৩</v>
      </c>
      <c r="H414" s="5" t="str">
        <f>IFERROR(__xludf.DUMMYFUNCTION("""COMPUTED_VALUE"""),"গৃহিনী")</f>
        <v>গৃহিনী</v>
      </c>
      <c r="I414" s="5" t="str">
        <f>IFERROR(__xludf.DUMMYFUNCTION("""COMPUTED_VALUE"""),"গাড়াডোড")</f>
        <v>গাড়াডোড</v>
      </c>
      <c r="J414" s="5" t="str">
        <f>IFERROR(__xludf.DUMMYFUNCTION("""COMPUTED_VALUE""")," গাংনী")</f>
        <v> গাংনী</v>
      </c>
      <c r="K414" s="5" t="str">
        <f>IFERROR(__xludf.DUMMYFUNCTION("""COMPUTED_VALUE""")," মেহেরপুর")</f>
        <v> মেহেরপুর</v>
      </c>
    </row>
    <row r="415" ht="15.75" customHeight="1">
      <c r="A415" s="7" t="s">
        <v>7280</v>
      </c>
      <c r="B415" s="5">
        <f>IFERROR(__xludf.DUMMYFUNCTION("SPLIT(A415,"","")"),2568.0)</f>
        <v>2568</v>
      </c>
      <c r="C415" s="5" t="str">
        <f>IFERROR(__xludf.DUMMYFUNCTION("""COMPUTED_VALUE"""),"মোছাঃ সোহাগী খাতুন")</f>
        <v>মোছাঃ সোহাগী খাতুন</v>
      </c>
      <c r="D415" s="5">
        <f>IFERROR(__xludf.DUMMYFUNCTION("""COMPUTED_VALUE"""),5.70038544995E11)</f>
        <v>570038544995</v>
      </c>
      <c r="E415" s="5" t="str">
        <f>IFERROR(__xludf.DUMMYFUNCTION("""COMPUTED_VALUE"""),"মোঃ খেজুমদ্দিন")</f>
        <v>মোঃ খেজুমদ্দিন</v>
      </c>
      <c r="F415" s="5" t="str">
        <f>IFERROR(__xludf.DUMMYFUNCTION("""COMPUTED_VALUE"""),"মোছাঃ সখিনা খাতুন")</f>
        <v>মোছাঃ সখিনা খাতুন</v>
      </c>
      <c r="G415" s="5" t="str">
        <f>IFERROR(__xludf.DUMMYFUNCTION("""COMPUTED_VALUE"""),"০৪/০৭/১৯৯৪")</f>
        <v>০৪/০৭/১৯৯৪</v>
      </c>
      <c r="H415" s="5" t="str">
        <f>IFERROR(__xludf.DUMMYFUNCTION("""COMPUTED_VALUE"""),"গৃহিনী")</f>
        <v>গৃহিনী</v>
      </c>
      <c r="I415" s="5" t="str">
        <f>IFERROR(__xludf.DUMMYFUNCTION("""COMPUTED_VALUE"""),"গাড়াডোব")</f>
        <v>গাড়াডোব</v>
      </c>
      <c r="J415" s="5" t="str">
        <f>IFERROR(__xludf.DUMMYFUNCTION("""COMPUTED_VALUE""")," গাংনী")</f>
        <v> গাংনী</v>
      </c>
      <c r="K415" s="5" t="str">
        <f>IFERROR(__xludf.DUMMYFUNCTION("""COMPUTED_VALUE""")," মেহেরপুর")</f>
        <v> মেহেরপুর</v>
      </c>
    </row>
    <row r="416" ht="15.75" customHeight="1">
      <c r="A416" s="7" t="s">
        <v>7281</v>
      </c>
      <c r="B416" s="5">
        <f>IFERROR(__xludf.DUMMYFUNCTION("SPLIT(A416,"","")"),2569.0)</f>
        <v>2569</v>
      </c>
      <c r="C416" s="5" t="str">
        <f>IFERROR(__xludf.DUMMYFUNCTION("""COMPUTED_VALUE"""),"নাম: আশা আক্তার")</f>
        <v>নাম: আশা আক্তার</v>
      </c>
      <c r="D416" s="5">
        <f>IFERROR(__xludf.DUMMYFUNCTION("""COMPUTED_VALUE"""),5.70038544996E11)</f>
        <v>570038544996</v>
      </c>
      <c r="E416" s="5" t="str">
        <f>IFERROR(__xludf.DUMMYFUNCTION("""COMPUTED_VALUE"""),"মোঃ জামাল উদ্দীন")</f>
        <v>মোঃ জামাল উদ্দীন</v>
      </c>
      <c r="F416" s="5" t="str">
        <f>IFERROR(__xludf.DUMMYFUNCTION("""COMPUTED_VALUE"""),"মাতা: ঝিনুক")</f>
        <v>মাতা: ঝিনুক</v>
      </c>
      <c r="G416" s="5" t="str">
        <f>IFERROR(__xludf.DUMMYFUNCTION("""COMPUTED_VALUE"""),"২৮/১২/১৯৯৮")</f>
        <v>২৮/১২/১৯৯৮</v>
      </c>
      <c r="H416" s="5" t="str">
        <f>IFERROR(__xludf.DUMMYFUNCTION("""COMPUTED_VALUE"""),"ছাত্র/ছাত্রী")</f>
        <v>ছাত্র/ছাত্রী</v>
      </c>
      <c r="I416" s="5" t="str">
        <f>IFERROR(__xludf.DUMMYFUNCTION("""COMPUTED_VALUE"""),"গাড়াডোব")</f>
        <v>গাড়াডোব</v>
      </c>
      <c r="J416" s="5" t="str">
        <f>IFERROR(__xludf.DUMMYFUNCTION("""COMPUTED_VALUE""")," গাংনী")</f>
        <v> গাংনী</v>
      </c>
      <c r="K416" s="5" t="str">
        <f>IFERROR(__xludf.DUMMYFUNCTION("""COMPUTED_VALUE""")," মেহেরপুর")</f>
        <v> মেহেরপুর</v>
      </c>
    </row>
    <row r="417" ht="15.75" customHeight="1">
      <c r="A417" s="7" t="s">
        <v>7282</v>
      </c>
      <c r="B417" s="5">
        <f>IFERROR(__xludf.DUMMYFUNCTION("SPLIT(A417,"","")"),2570.0)</f>
        <v>2570</v>
      </c>
      <c r="C417" s="5" t="str">
        <f>IFERROR(__xludf.DUMMYFUNCTION("""COMPUTED_VALUE"""),"মোছাঃ সিমা খাতুন")</f>
        <v>মোছাঃ সিমা খাতুন</v>
      </c>
      <c r="D417" s="5">
        <f>IFERROR(__xludf.DUMMYFUNCTION("""COMPUTED_VALUE"""),5.70038544997E11)</f>
        <v>570038544997</v>
      </c>
      <c r="E417" s="5" t="str">
        <f>IFERROR(__xludf.DUMMYFUNCTION("""COMPUTED_VALUE"""),"মোঃ আসাদুল ইসলাম")</f>
        <v>মোঃ আসাদুল ইসলাম</v>
      </c>
      <c r="F417" s="5" t="str">
        <f>IFERROR(__xludf.DUMMYFUNCTION("""COMPUTED_VALUE"""),"মোছাঃ শারমিনা খাতুন")</f>
        <v>মোছাঃ শারমিনা খাতুন</v>
      </c>
      <c r="G417" s="5" t="str">
        <f>IFERROR(__xludf.DUMMYFUNCTION("""COMPUTED_VALUE"""),"০২/০১/২০০১")</f>
        <v>০২/০১/২০০১</v>
      </c>
      <c r="H417" s="5" t="str">
        <f>IFERROR(__xludf.DUMMYFUNCTION("""COMPUTED_VALUE"""),"গৃহিনী")</f>
        <v>গৃহিনী</v>
      </c>
      <c r="I417" s="5" t="str">
        <f>IFERROR(__xludf.DUMMYFUNCTION("""COMPUTED_VALUE"""),"গাড়াডোব")</f>
        <v>গাড়াডোব</v>
      </c>
      <c r="J417" s="5" t="str">
        <f>IFERROR(__xludf.DUMMYFUNCTION("""COMPUTED_VALUE""")," গাংনী")</f>
        <v> গাংনী</v>
      </c>
      <c r="K417" s="5" t="str">
        <f>IFERROR(__xludf.DUMMYFUNCTION("""COMPUTED_VALUE""")," মেহেরপুর")</f>
        <v> মেহেরপুর</v>
      </c>
    </row>
    <row r="418" ht="15.75" customHeight="1">
      <c r="A418" s="7" t="s">
        <v>7283</v>
      </c>
      <c r="B418" s="5">
        <f>IFERROR(__xludf.DUMMYFUNCTION("SPLIT(A418,"","")"),2571.0)</f>
        <v>2571</v>
      </c>
      <c r="C418" s="5" t="str">
        <f>IFERROR(__xludf.DUMMYFUNCTION("""COMPUTED_VALUE"""),"মোছাঃ সোহাগী")</f>
        <v>মোছাঃ সোহাগী</v>
      </c>
      <c r="D418" s="5">
        <f>IFERROR(__xludf.DUMMYFUNCTION("""COMPUTED_VALUE"""),5.70038544998E11)</f>
        <v>570038544998</v>
      </c>
      <c r="E418" s="5" t="str">
        <f>IFERROR(__xludf.DUMMYFUNCTION("""COMPUTED_VALUE"""),"মোঃ আবুল খায়ের")</f>
        <v>মোঃ আবুল খায়ের</v>
      </c>
      <c r="F418" s="5" t="str">
        <f>IFERROR(__xludf.DUMMYFUNCTION("""COMPUTED_VALUE"""),"মোছাঃ নুরনাহার বেগম")</f>
        <v>মোছাঃ নুরনাহার বেগম</v>
      </c>
      <c r="G418" s="5" t="str">
        <f>IFERROR(__xludf.DUMMYFUNCTION("""COMPUTED_VALUE"""),"০৩/০৪/১৯৯৫")</f>
        <v>০৩/০৪/১৯৯৫</v>
      </c>
      <c r="H418" s="5" t="str">
        <f>IFERROR(__xludf.DUMMYFUNCTION("""COMPUTED_VALUE"""),"গৃহিনী")</f>
        <v>গৃহিনী</v>
      </c>
      <c r="I418" s="5" t="str">
        <f>IFERROR(__xludf.DUMMYFUNCTION("""COMPUTED_VALUE"""),"গাড়াডোব")</f>
        <v>গাড়াডোব</v>
      </c>
      <c r="J418" s="5" t="str">
        <f>IFERROR(__xludf.DUMMYFUNCTION("""COMPUTED_VALUE""")," গাংনী")</f>
        <v> গাংনী</v>
      </c>
      <c r="K418" s="5" t="str">
        <f>IFERROR(__xludf.DUMMYFUNCTION("""COMPUTED_VALUE""")," মেহেরপুর")</f>
        <v> মেহেরপুর</v>
      </c>
    </row>
    <row r="419" ht="15.75" customHeight="1">
      <c r="A419" s="7" t="s">
        <v>7284</v>
      </c>
      <c r="B419" s="5">
        <f>IFERROR(__xludf.DUMMYFUNCTION("SPLIT(A419,"","")"),2618.0)</f>
        <v>2618</v>
      </c>
      <c r="C419" s="5" t="str">
        <f>IFERROR(__xludf.DUMMYFUNCTION("""COMPUTED_VALUE"""),"মোছাঃ সাবরিনা স্বপ্না")</f>
        <v>মোছাঃ সাবরিনা স্বপ্না</v>
      </c>
      <c r="D419" s="5">
        <f>IFERROR(__xludf.DUMMYFUNCTION("""COMPUTED_VALUE"""),5.70038001711E11)</f>
        <v>570038001711</v>
      </c>
      <c r="E419" s="5" t="str">
        <f>IFERROR(__xludf.DUMMYFUNCTION("""COMPUTED_VALUE"""),"মোঃ কিতাব আলি")</f>
        <v>মোঃ কিতাব আলি</v>
      </c>
      <c r="F419" s="5" t="str">
        <f>IFERROR(__xludf.DUMMYFUNCTION("""COMPUTED_VALUE"""),"মোছাঃ জহুরা খাতুন")</f>
        <v>মোছাঃ জহুরা খাতুন</v>
      </c>
      <c r="G419" s="5" t="str">
        <f>IFERROR(__xludf.DUMMYFUNCTION("""COMPUTED_VALUE"""),"১২/০৪/২০০৫")</f>
        <v>১২/০৪/২০০৫</v>
      </c>
      <c r="H419" s="5" t="str">
        <f>IFERROR(__xludf.DUMMYFUNCTION("""COMPUTED_VALUE"""),"ছাত্র/ছাত্রী")</f>
        <v>ছাত্র/ছাত্রী</v>
      </c>
      <c r="I419" s="5" t="str">
        <f>IFERROR(__xludf.DUMMYFUNCTION("""COMPUTED_VALUE"""),"গাড়াডোব")</f>
        <v>গাড়াডোব</v>
      </c>
      <c r="J419" s="5" t="str">
        <f>IFERROR(__xludf.DUMMYFUNCTION("""COMPUTED_VALUE""")," গাংনী")</f>
        <v> গাংনী</v>
      </c>
      <c r="K419" s="5" t="str">
        <f>IFERROR(__xludf.DUMMYFUNCTION("""COMPUTED_VALUE""")," মেহেরপুর")</f>
        <v> মেহেরপুর</v>
      </c>
    </row>
    <row r="420" ht="15.75" customHeight="1">
      <c r="A420" s="7" t="s">
        <v>7285</v>
      </c>
      <c r="B420" s="5">
        <f>IFERROR(__xludf.DUMMYFUNCTION("SPLIT(A420,"","")"),2619.0)</f>
        <v>2619</v>
      </c>
      <c r="C420" s="5" t="str">
        <f>IFERROR(__xludf.DUMMYFUNCTION("""COMPUTED_VALUE"""),"নাম: রাদিয়া জামান স্বর্ণ")</f>
        <v>নাম: রাদিয়া জামান স্বর্ণ</v>
      </c>
      <c r="D420" s="5">
        <f>IFERROR(__xludf.DUMMYFUNCTION("""COMPUTED_VALUE"""),5.70038001713E11)</f>
        <v>570038001713</v>
      </c>
      <c r="E420" s="5" t="str">
        <f>IFERROR(__xludf.DUMMYFUNCTION("""COMPUTED_VALUE"""),"মোঃ রোকনুজ্জামান চপল")</f>
        <v>মোঃ রোকনুজ্জামান চপল</v>
      </c>
      <c r="F420" s="5" t="str">
        <f>IFERROR(__xludf.DUMMYFUNCTION("""COMPUTED_VALUE"""),"মোছাঃ নার্গিস খানম")</f>
        <v>মোছাঃ নার্গিস খানম</v>
      </c>
      <c r="G420" s="5" t="str">
        <f>IFERROR(__xludf.DUMMYFUNCTION("""COMPUTED_VALUE"""),"২৮/১২/২০০৫")</f>
        <v>২৮/১২/২০০৫</v>
      </c>
      <c r="H420" s="5" t="str">
        <f>IFERROR(__xludf.DUMMYFUNCTION("""COMPUTED_VALUE"""),"ছাত্র/ছাত্রী")</f>
        <v>ছাত্র/ছাত্রী</v>
      </c>
      <c r="I420" s="5" t="str">
        <f>IFERROR(__xludf.DUMMYFUNCTION("""COMPUTED_VALUE"""),"গাড়াডোব")</f>
        <v>গাড়াডোব</v>
      </c>
      <c r="J420" s="5" t="str">
        <f>IFERROR(__xludf.DUMMYFUNCTION("""COMPUTED_VALUE""")," গাংনী")</f>
        <v> গাংনী</v>
      </c>
      <c r="K420" s="5" t="str">
        <f>IFERROR(__xludf.DUMMYFUNCTION("""COMPUTED_VALUE""")," মেহেরপুর")</f>
        <v> মেহেরপুর</v>
      </c>
    </row>
    <row r="421" ht="15.75" customHeight="1">
      <c r="A421" s="7" t="s">
        <v>7286</v>
      </c>
      <c r="B421" s="5">
        <f>IFERROR(__xludf.DUMMYFUNCTION("SPLIT(A421,"","")"),2620.0)</f>
        <v>2620</v>
      </c>
      <c r="C421" s="5" t="str">
        <f>IFERROR(__xludf.DUMMYFUNCTION("""COMPUTED_VALUE"""),"মোছাঃ খুশি")</f>
        <v>মোছাঃ খুশি</v>
      </c>
      <c r="D421" s="5">
        <f>IFERROR(__xludf.DUMMYFUNCTION("""COMPUTED_VALUE"""),5.70038001719E11)</f>
        <v>570038001719</v>
      </c>
      <c r="E421" s="5" t="str">
        <f>IFERROR(__xludf.DUMMYFUNCTION("""COMPUTED_VALUE"""),"মোঃ বদরুজ্জামান")</f>
        <v>মোঃ বদরুজ্জামান</v>
      </c>
      <c r="F421" s="5" t="str">
        <f>IFERROR(__xludf.DUMMYFUNCTION("""COMPUTED_VALUE"""),"মোছাঃ ফিরোজা")</f>
        <v>মোছাঃ ফিরোজা</v>
      </c>
      <c r="G421" s="5" t="str">
        <f>IFERROR(__xludf.DUMMYFUNCTION("""COMPUTED_VALUE"""),"০১/০৩/২০০৫")</f>
        <v>০১/০৩/২০০৫</v>
      </c>
      <c r="H421" s="5" t="str">
        <f>IFERROR(__xludf.DUMMYFUNCTION("""COMPUTED_VALUE"""),"ছাত্র/ছাত্রী")</f>
        <v>ছাত্র/ছাত্রী</v>
      </c>
      <c r="I421" s="5" t="str">
        <f>IFERROR(__xludf.DUMMYFUNCTION("""COMPUTED_VALUE"""),"গাড়াডোব")</f>
        <v>গাড়াডোব</v>
      </c>
      <c r="J421" s="5" t="str">
        <f>IFERROR(__xludf.DUMMYFUNCTION("""COMPUTED_VALUE""")," গাংনী")</f>
        <v> গাংনী</v>
      </c>
      <c r="K421" s="5" t="str">
        <f>IFERROR(__xludf.DUMMYFUNCTION("""COMPUTED_VALUE""")," মেহেরপুর")</f>
        <v> মেহেরপুর</v>
      </c>
    </row>
    <row r="422" ht="15.75" customHeight="1">
      <c r="A422" s="7" t="s">
        <v>7287</v>
      </c>
      <c r="B422" s="5">
        <f>IFERROR(__xludf.DUMMYFUNCTION("SPLIT(A422,"","")"),2621.0)</f>
        <v>2621</v>
      </c>
      <c r="C422" s="5" t="str">
        <f>IFERROR(__xludf.DUMMYFUNCTION("""COMPUTED_VALUE"""),"মোছাঃ সুমাইয়া আক্তার আশা")</f>
        <v>মোছাঃ সুমাইয়া আক্তার আশা</v>
      </c>
      <c r="D422" s="5">
        <f>IFERROR(__xludf.DUMMYFUNCTION("""COMPUTED_VALUE"""),5.70038001722E11)</f>
        <v>570038001722</v>
      </c>
      <c r="E422" s="5" t="str">
        <f>IFERROR(__xludf.DUMMYFUNCTION("""COMPUTED_VALUE"""),"মোঃ মালেক")</f>
        <v>মোঃ মালেক</v>
      </c>
      <c r="F422" s="5" t="str">
        <f>IFERROR(__xludf.DUMMYFUNCTION("""COMPUTED_VALUE"""),"মোছাঃ টগর বানু")</f>
        <v>মোছাঃ টগর বানু</v>
      </c>
      <c r="G422" s="5" t="str">
        <f>IFERROR(__xludf.DUMMYFUNCTION("""COMPUTED_VALUE"""),"১৪/০৮/২০০৫")</f>
        <v>১৪/০৮/২০০৫</v>
      </c>
      <c r="H422" s="5" t="str">
        <f>IFERROR(__xludf.DUMMYFUNCTION("""COMPUTED_VALUE"""),"ছাত্র/ছাত্রী")</f>
        <v>ছাত্র/ছাত্রী</v>
      </c>
      <c r="I422" s="5">
        <f>IFERROR(__xludf.DUMMYFUNCTION("""COMPUTED_VALUE"""),660.0)</f>
        <v>660</v>
      </c>
      <c r="J422" s="5" t="str">
        <f>IFERROR(__xludf.DUMMYFUNCTION("""COMPUTED_VALUE""")," গাড়াডোব")</f>
        <v> গাড়াডোব</v>
      </c>
      <c r="K422" s="5" t="str">
        <f>IFERROR(__xludf.DUMMYFUNCTION("""COMPUTED_VALUE""")," গাংনী")</f>
        <v> গাংনী</v>
      </c>
      <c r="L422" s="5" t="str">
        <f>IFERROR(__xludf.DUMMYFUNCTION("""COMPUTED_VALUE""")," মেহেরপুর")</f>
        <v> মেহেরপুর</v>
      </c>
    </row>
    <row r="423" ht="15.75" customHeight="1">
      <c r="A423" s="7" t="s">
        <v>7288</v>
      </c>
      <c r="B423" s="5">
        <f>IFERROR(__xludf.DUMMYFUNCTION("SPLIT(A423,"","")"),2622.0)</f>
        <v>2622</v>
      </c>
      <c r="C423" s="5" t="str">
        <f>IFERROR(__xludf.DUMMYFUNCTION("""COMPUTED_VALUE"""),"মোছাঃ মুন্নি খাতুন")</f>
        <v>মোছাঃ মুন্নি খাতুন</v>
      </c>
      <c r="D423" s="5">
        <f>IFERROR(__xludf.DUMMYFUNCTION("""COMPUTED_VALUE"""),5.70038001724E11)</f>
        <v>570038001724</v>
      </c>
      <c r="E423" s="5" t="str">
        <f>IFERROR(__xludf.DUMMYFUNCTION("""COMPUTED_VALUE"""),"মোঃ মনিরুল")</f>
        <v>মোঃ মনিরুল</v>
      </c>
      <c r="F423" s="5" t="str">
        <f>IFERROR(__xludf.DUMMYFUNCTION("""COMPUTED_VALUE"""),"মোছাঃ পারভীনা")</f>
        <v>মোছাঃ পারভীনা</v>
      </c>
      <c r="G423" s="5" t="str">
        <f>IFERROR(__xludf.DUMMYFUNCTION("""COMPUTED_VALUE"""),"০৩/০১/২০০৫")</f>
        <v>০৩/০১/২০০৫</v>
      </c>
      <c r="H423" s="5" t="str">
        <f>IFERROR(__xludf.DUMMYFUNCTION("""COMPUTED_VALUE"""),"গৃহিনী")</f>
        <v>গৃহিনী</v>
      </c>
      <c r="I423" s="5" t="str">
        <f>IFERROR(__xludf.DUMMYFUNCTION("""COMPUTED_VALUE"""),"গাড়াডোব")</f>
        <v>গাড়াডোব</v>
      </c>
      <c r="J423" s="5" t="str">
        <f>IFERROR(__xludf.DUMMYFUNCTION("""COMPUTED_VALUE""")," গাংনী")</f>
        <v> গাংনী</v>
      </c>
      <c r="K423" s="5" t="str">
        <f>IFERROR(__xludf.DUMMYFUNCTION("""COMPUTED_VALUE""")," মেহেরপুর")</f>
        <v> মেহেরপুর</v>
      </c>
    </row>
    <row r="424" ht="15.75" customHeight="1">
      <c r="A424" s="7" t="s">
        <v>7289</v>
      </c>
      <c r="B424" s="5">
        <f>IFERROR(__xludf.DUMMYFUNCTION("SPLIT(A424,"","")"),2623.0)</f>
        <v>2623</v>
      </c>
      <c r="C424" s="5" t="str">
        <f>IFERROR(__xludf.DUMMYFUNCTION("""COMPUTED_VALUE"""),"মোছাঃ সানজিদা খাতুন")</f>
        <v>মোছাঃ সানজিদা খাতুন</v>
      </c>
      <c r="D424" s="5">
        <f>IFERROR(__xludf.DUMMYFUNCTION("""COMPUTED_VALUE"""),5.70038001725E11)</f>
        <v>570038001725</v>
      </c>
      <c r="E424" s="5" t="str">
        <f>IFERROR(__xludf.DUMMYFUNCTION("""COMPUTED_VALUE"""),"মোঃ আবুল বাসার")</f>
        <v>মোঃ আবুল বাসার</v>
      </c>
      <c r="F424" s="5" t="str">
        <f>IFERROR(__xludf.DUMMYFUNCTION("""COMPUTED_VALUE"""),"মোছাঃ বানেছা খাতুন")</f>
        <v>মোছাঃ বানেছা খাতুন</v>
      </c>
      <c r="G424" s="5" t="str">
        <f>IFERROR(__xludf.DUMMYFUNCTION("""COMPUTED_VALUE"""),"০৫/১২/২০০৫")</f>
        <v>০৫/১২/২০০৫</v>
      </c>
      <c r="H424" s="5" t="str">
        <f>IFERROR(__xludf.DUMMYFUNCTION("""COMPUTED_VALUE"""),"ছাত্র/ছাত্রী")</f>
        <v>ছাত্র/ছাত্রী</v>
      </c>
      <c r="I424" s="5" t="str">
        <f>IFERROR(__xludf.DUMMYFUNCTION("""COMPUTED_VALUE"""),"গাড়াডোভারা")</f>
        <v>গাড়াডোভারা</v>
      </c>
      <c r="J424" s="5" t="str">
        <f>IFERROR(__xludf.DUMMYFUNCTION("""COMPUTED_VALUE""")," গাংনী")</f>
        <v> গাংনী</v>
      </c>
      <c r="K424" s="5" t="str">
        <f>IFERROR(__xludf.DUMMYFUNCTION("""COMPUTED_VALUE""")," মেহেরপুর")</f>
        <v> মেহেরপুর</v>
      </c>
    </row>
    <row r="425" ht="15.75" customHeight="1">
      <c r="A425" s="7" t="s">
        <v>7290</v>
      </c>
      <c r="B425" s="5">
        <f>IFERROR(__xludf.DUMMYFUNCTION("SPLIT(A425,"","")"),2624.0)</f>
        <v>2624</v>
      </c>
      <c r="C425" s="5" t="str">
        <f>IFERROR(__xludf.DUMMYFUNCTION("""COMPUTED_VALUE"""),"মোছাঃ রুমিয়া আক্তার মীমা")</f>
        <v>মোছাঃ রুমিয়া আক্তার মীমা</v>
      </c>
      <c r="D425" s="5">
        <f>IFERROR(__xludf.DUMMYFUNCTION("""COMPUTED_VALUE"""),5.70038001727E11)</f>
        <v>570038001727</v>
      </c>
      <c r="E425" s="5" t="str">
        <f>IFERROR(__xludf.DUMMYFUNCTION("""COMPUTED_VALUE"""),"মোঃ মনছুর আলী")</f>
        <v>মোঃ মনছুর আলী</v>
      </c>
      <c r="F425" s="5" t="str">
        <f>IFERROR(__xludf.DUMMYFUNCTION("""COMPUTED_VALUE"""),"মোছাঃ রোকেয়া খাতুন")</f>
        <v>মোছাঃ রোকেয়া খাতুন</v>
      </c>
      <c r="G425" s="5" t="str">
        <f>IFERROR(__xludf.DUMMYFUNCTION("""COMPUTED_VALUE"""),"১৩/০৮/২০০৫")</f>
        <v>১৩/০৮/২০০৫</v>
      </c>
      <c r="H425" s="5" t="str">
        <f>IFERROR(__xludf.DUMMYFUNCTION("""COMPUTED_VALUE"""),"ছাত্র/ছাত্রী")</f>
        <v>ছাত্র/ছাত্রী</v>
      </c>
      <c r="I425" s="5">
        <f>IFERROR(__xludf.DUMMYFUNCTION("""COMPUTED_VALUE"""),260.0)</f>
        <v>260</v>
      </c>
      <c r="J425" s="5" t="str">
        <f>IFERROR(__xludf.DUMMYFUNCTION("""COMPUTED_VALUE""")," গাড়াডোব")</f>
        <v> গাড়াডোব</v>
      </c>
      <c r="K425" s="5" t="str">
        <f>IFERROR(__xludf.DUMMYFUNCTION("""COMPUTED_VALUE""")," গাংনী")</f>
        <v> গাংনী</v>
      </c>
      <c r="L425" s="5" t="str">
        <f>IFERROR(__xludf.DUMMYFUNCTION("""COMPUTED_VALUE""")," মেহেরপুর")</f>
        <v> মেহেরপুর</v>
      </c>
    </row>
    <row r="426" ht="15.75" customHeight="1">
      <c r="A426" s="7" t="s">
        <v>7291</v>
      </c>
      <c r="B426" s="5">
        <f>IFERROR(__xludf.DUMMYFUNCTION("SPLIT(A426,"","")"),2625.0)</f>
        <v>2625</v>
      </c>
      <c r="C426" s="5" t="str">
        <f>IFERROR(__xludf.DUMMYFUNCTION("""COMPUTED_VALUE"""),"মোছাঃ রজনী খাতুন")</f>
        <v>মোছাঃ রজনী খাতুন</v>
      </c>
      <c r="D426" s="5">
        <f>IFERROR(__xludf.DUMMYFUNCTION("""COMPUTED_VALUE"""),5.70038001729E11)</f>
        <v>570038001729</v>
      </c>
      <c r="E426" s="5" t="str">
        <f>IFERROR(__xludf.DUMMYFUNCTION("""COMPUTED_VALUE"""),"মোঃ আব্দুর রাজ্জাক")</f>
        <v>মোঃ আব্দুর রাজ্জাক</v>
      </c>
      <c r="F426" s="5" t="str">
        <f>IFERROR(__xludf.DUMMYFUNCTION("""COMPUTED_VALUE"""),"মোছাঃ শম্পা খাতুন")</f>
        <v>মোছাঃ শম্পা খাতুন</v>
      </c>
      <c r="G426" s="5" t="str">
        <f>IFERROR(__xludf.DUMMYFUNCTION("""COMPUTED_VALUE"""),"২৭/১২/২০০৫")</f>
        <v>২৭/১২/২০০৫</v>
      </c>
      <c r="H426" s="5" t="str">
        <f>IFERROR(__xludf.DUMMYFUNCTION("""COMPUTED_VALUE"""),"গৃহিনী")</f>
        <v>গৃহিনী</v>
      </c>
      <c r="I426" s="5" t="str">
        <f>IFERROR(__xludf.DUMMYFUNCTION("""COMPUTED_VALUE"""),"গাড়াডোব")</f>
        <v>গাড়াডোব</v>
      </c>
      <c r="J426" s="5" t="str">
        <f>IFERROR(__xludf.DUMMYFUNCTION("""COMPUTED_VALUE""")," গাংনী")</f>
        <v> গাংনী</v>
      </c>
      <c r="K426" s="5" t="str">
        <f>IFERROR(__xludf.DUMMYFUNCTION("""COMPUTED_VALUE""")," মেহেরপুর")</f>
        <v> মেহেরপুর</v>
      </c>
    </row>
    <row r="427" ht="15.75" customHeight="1">
      <c r="A427" s="7" t="s">
        <v>7292</v>
      </c>
      <c r="B427" s="5">
        <f>IFERROR(__xludf.DUMMYFUNCTION("SPLIT(A427,"","")"),2626.0)</f>
        <v>2626</v>
      </c>
      <c r="C427" s="5" t="str">
        <f>IFERROR(__xludf.DUMMYFUNCTION("""COMPUTED_VALUE"""),"মোছাঃ বৃষ্টি খাতুন")</f>
        <v>মোছাঃ বৃষ্টি খাতুন</v>
      </c>
      <c r="D427" s="5">
        <f>IFERROR(__xludf.DUMMYFUNCTION("""COMPUTED_VALUE"""),5.70038001733E11)</f>
        <v>570038001733</v>
      </c>
      <c r="E427" s="5" t="str">
        <f>IFERROR(__xludf.DUMMYFUNCTION("""COMPUTED_VALUE"""),"মোঃ আব্দুল মজিদ")</f>
        <v>মোঃ আব্দুল মজিদ</v>
      </c>
      <c r="F427" s="5" t="str">
        <f>IFERROR(__xludf.DUMMYFUNCTION("""COMPUTED_VALUE"""),"মোছাঃ শাহানারা খাতুন")</f>
        <v>মোছাঃ শাহানারা খাতুন</v>
      </c>
      <c r="G427" s="5" t="str">
        <f>IFERROR(__xludf.DUMMYFUNCTION("""COMPUTED_VALUE"""),"১০/০৪/২০০৫")</f>
        <v>১০/০৪/২০০৫</v>
      </c>
      <c r="H427" s="5" t="str">
        <f>IFERROR(__xludf.DUMMYFUNCTION("""COMPUTED_VALUE"""),"ছাত্র/ছাত্রী")</f>
        <v>ছাত্র/ছাত্রী</v>
      </c>
      <c r="I427" s="5" t="str">
        <f>IFERROR(__xludf.DUMMYFUNCTION("""COMPUTED_VALUE"""),"গাড়াডোব")</f>
        <v>গাড়াডোব</v>
      </c>
      <c r="J427" s="5" t="str">
        <f>IFERROR(__xludf.DUMMYFUNCTION("""COMPUTED_VALUE""")," গাংনী")</f>
        <v> গাংনী</v>
      </c>
      <c r="K427" s="5" t="str">
        <f>IFERROR(__xludf.DUMMYFUNCTION("""COMPUTED_VALUE""")," মেহেরপুর")</f>
        <v> মেহেরপুর</v>
      </c>
    </row>
    <row r="428" ht="15.75" customHeight="1">
      <c r="A428" s="7" t="s">
        <v>7293</v>
      </c>
      <c r="B428" s="5">
        <f>IFERROR(__xludf.DUMMYFUNCTION("SPLIT(A428,"","")"),2627.0)</f>
        <v>2627</v>
      </c>
      <c r="C428" s="5" t="str">
        <f>IFERROR(__xludf.DUMMYFUNCTION("""COMPUTED_VALUE"""),"মোছাঃ ইয়াসমিন খাতুন")</f>
        <v>মোছাঃ ইয়াসমিন খাতুন</v>
      </c>
      <c r="D428" s="5">
        <f>IFERROR(__xludf.DUMMYFUNCTION("""COMPUTED_VALUE"""),5.70038001737E11)</f>
        <v>570038001737</v>
      </c>
      <c r="E428" s="5" t="str">
        <f>IFERROR(__xludf.DUMMYFUNCTION("""COMPUTED_VALUE"""),"মোঃ ইয়ারুল ইসলাম")</f>
        <v>মোঃ ইয়ারুল ইসলাম</v>
      </c>
      <c r="F428" s="5" t="str">
        <f>IFERROR(__xludf.DUMMYFUNCTION("""COMPUTED_VALUE"""),"মোছাঃ রহিলা খাতুন")</f>
        <v>মোছাঃ রহিলা খাতুন</v>
      </c>
      <c r="G428" s="5" t="str">
        <f>IFERROR(__xludf.DUMMYFUNCTION("""COMPUTED_VALUE"""),"২১/১০/২০০৫")</f>
        <v>২১/১০/২০০৫</v>
      </c>
      <c r="H428" s="5" t="str">
        <f>IFERROR(__xludf.DUMMYFUNCTION("""COMPUTED_VALUE"""),"ছাত্র/ছাত্রী")</f>
        <v>ছাত্র/ছাত্রী</v>
      </c>
      <c r="I428" s="5" t="str">
        <f>IFERROR(__xludf.DUMMYFUNCTION("""COMPUTED_VALUE"""),"গাড়াডোব")</f>
        <v>গাড়াডোব</v>
      </c>
      <c r="J428" s="5" t="str">
        <f>IFERROR(__xludf.DUMMYFUNCTION("""COMPUTED_VALUE""")," গাংনী")</f>
        <v> গাংনী</v>
      </c>
      <c r="K428" s="5" t="str">
        <f>IFERROR(__xludf.DUMMYFUNCTION("""COMPUTED_VALUE""")," মেহেরপুর")</f>
        <v> মেহেরপুর</v>
      </c>
    </row>
    <row r="429" ht="15.75" customHeight="1">
      <c r="A429" s="7" t="s">
        <v>7294</v>
      </c>
      <c r="B429" s="5">
        <f>IFERROR(__xludf.DUMMYFUNCTION("SPLIT(A429,"","")"),2628.0)</f>
        <v>2628</v>
      </c>
      <c r="C429" s="5" t="str">
        <f>IFERROR(__xludf.DUMMYFUNCTION("""COMPUTED_VALUE"""),"মোছাঃ কাকলি খাতুন")</f>
        <v>মোছাঃ কাকলি খাতুন</v>
      </c>
      <c r="D429" s="5">
        <f>IFERROR(__xludf.DUMMYFUNCTION("""COMPUTED_VALUE"""),5.70038001745E11)</f>
        <v>570038001745</v>
      </c>
      <c r="E429" s="5" t="str">
        <f>IFERROR(__xludf.DUMMYFUNCTION("""COMPUTED_VALUE"""),"মোঃ শফিকুল ইসলাম")</f>
        <v>মোঃ শফিকুল ইসলাম</v>
      </c>
      <c r="F429" s="5" t="str">
        <f>IFERROR(__xludf.DUMMYFUNCTION("""COMPUTED_VALUE"""),"মোছাঃ মালী খাতুন")</f>
        <v>মোছাঃ মালী খাতুন</v>
      </c>
      <c r="G429" s="5" t="str">
        <f>IFERROR(__xludf.DUMMYFUNCTION("""COMPUTED_VALUE"""),"০৭/০৬/২০০৫")</f>
        <v>০৭/০৬/২০০৫</v>
      </c>
      <c r="H429" s="5" t="str">
        <f>IFERROR(__xludf.DUMMYFUNCTION("""COMPUTED_VALUE"""),"ছাত্র/ছাত্রী")</f>
        <v>ছাত্র/ছাত্রী</v>
      </c>
      <c r="I429" s="5" t="str">
        <f>IFERROR(__xludf.DUMMYFUNCTION("""COMPUTED_VALUE"""),"গাড়াডোব")</f>
        <v>গাড়াডোব</v>
      </c>
      <c r="J429" s="5" t="str">
        <f>IFERROR(__xludf.DUMMYFUNCTION("""COMPUTED_VALUE""")," গাংনী")</f>
        <v> গাংনী</v>
      </c>
      <c r="K429" s="5" t="str">
        <f>IFERROR(__xludf.DUMMYFUNCTION("""COMPUTED_VALUE""")," মেহেরপুর")</f>
        <v> মেহেরপুর</v>
      </c>
    </row>
    <row r="430" ht="15.75" customHeight="1">
      <c r="A430" s="7" t="s">
        <v>7295</v>
      </c>
      <c r="B430" s="5">
        <f>IFERROR(__xludf.DUMMYFUNCTION("SPLIT(A430,"","")"),2629.0)</f>
        <v>2629</v>
      </c>
      <c r="C430" s="5" t="str">
        <f>IFERROR(__xludf.DUMMYFUNCTION("""COMPUTED_VALUE"""),"মোছাঃ হালিমা খাতুন")</f>
        <v>মোছাঃ হালিমা খাতুন</v>
      </c>
      <c r="D430" s="5">
        <f>IFERROR(__xludf.DUMMYFUNCTION("""COMPUTED_VALUE"""),5.70038001746E11)</f>
        <v>570038001746</v>
      </c>
      <c r="E430" s="5" t="str">
        <f>IFERROR(__xludf.DUMMYFUNCTION("""COMPUTED_VALUE"""),"মোঃ আবু ইউসুফ")</f>
        <v>মোঃ আবু ইউসুফ</v>
      </c>
      <c r="F430" s="5" t="str">
        <f>IFERROR(__xludf.DUMMYFUNCTION("""COMPUTED_VALUE"""),"মোছাঃ রাশিদা খাতুন")</f>
        <v>মোছাঃ রাশিদা খাতুন</v>
      </c>
      <c r="G430" s="5" t="str">
        <f>IFERROR(__xludf.DUMMYFUNCTION("""COMPUTED_VALUE"""),"০১/০৮/২০০৫")</f>
        <v>০১/০৮/২০০৫</v>
      </c>
      <c r="H430" s="5" t="str">
        <f>IFERROR(__xludf.DUMMYFUNCTION("""COMPUTED_VALUE"""),"ছাত্র/ছাত্রী")</f>
        <v>ছাত্র/ছাত্রী</v>
      </c>
      <c r="I430" s="5">
        <f>IFERROR(__xludf.DUMMYFUNCTION("""COMPUTED_VALUE"""),294.0)</f>
        <v>294</v>
      </c>
      <c r="J430" s="5" t="str">
        <f>IFERROR(__xludf.DUMMYFUNCTION("""COMPUTED_VALUE""")," গাড়াডোব")</f>
        <v> গাড়াডোব</v>
      </c>
      <c r="K430" s="5" t="str">
        <f>IFERROR(__xludf.DUMMYFUNCTION("""COMPUTED_VALUE""")," গাংনী")</f>
        <v> গাংনী</v>
      </c>
      <c r="L430" s="5" t="str">
        <f>IFERROR(__xludf.DUMMYFUNCTION("""COMPUTED_VALUE""")," মেহেরপুর")</f>
        <v> মেহেরপুর</v>
      </c>
    </row>
    <row r="431" ht="15.75" customHeight="1">
      <c r="A431" s="7" t="s">
        <v>7296</v>
      </c>
      <c r="B431" s="5">
        <f>IFERROR(__xludf.DUMMYFUNCTION("SPLIT(A431,"","")"),2630.0)</f>
        <v>2630</v>
      </c>
      <c r="C431" s="5" t="str">
        <f>IFERROR(__xludf.DUMMYFUNCTION("""COMPUTED_VALUE"""),"মোছাঃ তাফসিরা আক্তার তমা")</f>
        <v>মোছাঃ তাফসিরা আক্তার তমা</v>
      </c>
      <c r="D431" s="5">
        <f>IFERROR(__xludf.DUMMYFUNCTION("""COMPUTED_VALUE"""),5.70038001747E11)</f>
        <v>570038001747</v>
      </c>
      <c r="E431" s="5" t="str">
        <f>IFERROR(__xludf.DUMMYFUNCTION("""COMPUTED_VALUE"""),"মোঃ হাফিজুর রহমান")</f>
        <v>মোঃ হাফিজুর রহমান</v>
      </c>
      <c r="F431" s="5" t="str">
        <f>IFERROR(__xludf.DUMMYFUNCTION("""COMPUTED_VALUE"""),"মোছাঃ শাহানাজ পারভীন")</f>
        <v>মোছাঃ শাহানাজ পারভীন</v>
      </c>
      <c r="G431" s="5" t="str">
        <f>IFERROR(__xludf.DUMMYFUNCTION("""COMPUTED_VALUE"""),"০৩/০৭/২০০৫")</f>
        <v>০৩/০৭/২০০৫</v>
      </c>
      <c r="H431" s="5" t="str">
        <f>IFERROR(__xludf.DUMMYFUNCTION("""COMPUTED_VALUE"""),"ছাত্র/ছাত্রী")</f>
        <v>ছাত্র/ছাত্রী</v>
      </c>
      <c r="I431" s="5" t="str">
        <f>IFERROR(__xludf.DUMMYFUNCTION("""COMPUTED_VALUE"""),"গাড়াডোব")</f>
        <v>গাড়াডোব</v>
      </c>
      <c r="J431" s="5" t="str">
        <f>IFERROR(__xludf.DUMMYFUNCTION("""COMPUTED_VALUE""")," গাংনী")</f>
        <v> গাংনী</v>
      </c>
      <c r="K431" s="5" t="str">
        <f>IFERROR(__xludf.DUMMYFUNCTION("""COMPUTED_VALUE""")," মেহেরপুর")</f>
        <v> মেহেরপুর</v>
      </c>
    </row>
    <row r="432" ht="15.75" customHeight="1">
      <c r="A432" s="7" t="s">
        <v>7297</v>
      </c>
      <c r="B432" s="5">
        <f>IFERROR(__xludf.DUMMYFUNCTION("SPLIT(A432,"","")"),2631.0)</f>
        <v>2631</v>
      </c>
      <c r="C432" s="5" t="str">
        <f>IFERROR(__xludf.DUMMYFUNCTION("""COMPUTED_VALUE"""),"মোছাঃ শারমিন সুলতানা")</f>
        <v>মোছাঃ শারমিন সুলতানা</v>
      </c>
      <c r="D432" s="5">
        <f>IFERROR(__xludf.DUMMYFUNCTION("""COMPUTED_VALUE"""),5.70038001749E11)</f>
        <v>570038001749</v>
      </c>
      <c r="E432" s="5" t="str">
        <f>IFERROR(__xludf.DUMMYFUNCTION("""COMPUTED_VALUE"""),"মোঃ শহিদুল ইসলাম")</f>
        <v>মোঃ শহিদুল ইসলাম</v>
      </c>
      <c r="F432" s="5" t="str">
        <f>IFERROR(__xludf.DUMMYFUNCTION("""COMPUTED_VALUE"""),"মোছাঃ শেফালী খাতুন")</f>
        <v>মোছাঃ শেফালী খাতুন</v>
      </c>
      <c r="G432" s="5" t="str">
        <f>IFERROR(__xludf.DUMMYFUNCTION("""COMPUTED_VALUE"""),"৩০/০৬/২০০৫")</f>
        <v>৩০/০৬/২০০৫</v>
      </c>
      <c r="H432" s="5" t="str">
        <f>IFERROR(__xludf.DUMMYFUNCTION("""COMPUTED_VALUE"""),"ছাত্র/ছাত্রী")</f>
        <v>ছাত্র/ছাত্রী</v>
      </c>
      <c r="I432" s="5" t="str">
        <f>IFERROR(__xludf.DUMMYFUNCTION("""COMPUTED_VALUE"""),"গাড়াডোব")</f>
        <v>গাড়াডোব</v>
      </c>
      <c r="J432" s="5" t="str">
        <f>IFERROR(__xludf.DUMMYFUNCTION("""COMPUTED_VALUE""")," গাংনী")</f>
        <v> গাংনী</v>
      </c>
      <c r="K432" s="5" t="str">
        <f>IFERROR(__xludf.DUMMYFUNCTION("""COMPUTED_VALUE""")," মেহেরপুর")</f>
        <v> মেহেরপুর</v>
      </c>
    </row>
    <row r="433" ht="15.75" customHeight="1">
      <c r="A433" s="7" t="s">
        <v>7298</v>
      </c>
      <c r="B433" s="5">
        <f>IFERROR(__xludf.DUMMYFUNCTION("SPLIT(A433,"","")"),2632.0)</f>
        <v>2632</v>
      </c>
      <c r="C433" s="5" t="str">
        <f>IFERROR(__xludf.DUMMYFUNCTION("""COMPUTED_VALUE"""),"নাম: জেসমিন আরা")</f>
        <v>নাম: জেসমিন আরা</v>
      </c>
      <c r="D433" s="5">
        <f>IFERROR(__xludf.DUMMYFUNCTION("""COMPUTED_VALUE"""),5.70038001754E11)</f>
        <v>570038001754</v>
      </c>
      <c r="E433" s="5" t="str">
        <f>IFERROR(__xludf.DUMMYFUNCTION("""COMPUTED_VALUE"""),"পিতা: জিয়ারুল")</f>
        <v>পিতা: জিয়ারুল</v>
      </c>
      <c r="F433" s="5" t="str">
        <f>IFERROR(__xludf.DUMMYFUNCTION("""COMPUTED_VALUE"""),"মাতা: শরিফা")</f>
        <v>মাতা: শরিফা</v>
      </c>
      <c r="G433" s="5" t="str">
        <f>IFERROR(__xludf.DUMMYFUNCTION("""COMPUTED_VALUE"""),"০১/০১/২০০৬")</f>
        <v>০১/০১/২০০৬</v>
      </c>
      <c r="H433" s="5" t="str">
        <f>IFERROR(__xludf.DUMMYFUNCTION("""COMPUTED_VALUE"""),"গৃহিনী")</f>
        <v>গৃহিনী</v>
      </c>
      <c r="I433" s="5" t="str">
        <f>IFERROR(__xludf.DUMMYFUNCTION("""COMPUTED_VALUE"""),"গাড়াডোব")</f>
        <v>গাড়াডোব</v>
      </c>
      <c r="J433" s="5" t="str">
        <f>IFERROR(__xludf.DUMMYFUNCTION("""COMPUTED_VALUE""")," গাংনী")</f>
        <v> গাংনী</v>
      </c>
      <c r="K433" s="5" t="str">
        <f>IFERROR(__xludf.DUMMYFUNCTION("""COMPUTED_VALUE""")," মেহেরপুর")</f>
        <v> মেহেরপুর</v>
      </c>
    </row>
    <row r="434" ht="15.75" customHeight="1">
      <c r="A434" s="7" t="s">
        <v>7299</v>
      </c>
      <c r="B434" s="5">
        <f>IFERROR(__xludf.DUMMYFUNCTION("SPLIT(A434,"","")"),2633.0)</f>
        <v>2633</v>
      </c>
      <c r="C434" s="5" t="str">
        <f>IFERROR(__xludf.DUMMYFUNCTION("""COMPUTED_VALUE"""),"মোছাঃ শারমিন সিনহা বিথী")</f>
        <v>মোছাঃ শারমিন সিনহা বিথী</v>
      </c>
      <c r="D434" s="5">
        <f>IFERROR(__xludf.DUMMYFUNCTION("""COMPUTED_VALUE"""),5.70038001755E11)</f>
        <v>570038001755</v>
      </c>
      <c r="E434" s="5" t="str">
        <f>IFERROR(__xludf.DUMMYFUNCTION("""COMPUTED_VALUE"""),"মোঃ সাহাবুদ্দীন")</f>
        <v>মোঃ সাহাবুদ্দীন</v>
      </c>
      <c r="F434" s="5" t="str">
        <f>IFERROR(__xludf.DUMMYFUNCTION("""COMPUTED_VALUE"""),"মোছাঃ সামসুন্নাহার")</f>
        <v>মোছাঃ সামসুন্নাহার</v>
      </c>
      <c r="G434" s="5" t="str">
        <f>IFERROR(__xludf.DUMMYFUNCTION("""COMPUTED_VALUE"""),"০৩/০৩/২০০৫")</f>
        <v>০৩/০৩/২০০৫</v>
      </c>
      <c r="H434" s="5" t="str">
        <f>IFERROR(__xludf.DUMMYFUNCTION("""COMPUTED_VALUE"""),"ছাত্র/ছাত্রী")</f>
        <v>ছাত্র/ছাত্রী</v>
      </c>
      <c r="I434" s="5">
        <f>IFERROR(__xludf.DUMMYFUNCTION("""COMPUTED_VALUE"""),6.0)</f>
        <v>6</v>
      </c>
      <c r="J434" s="5" t="str">
        <f>IFERROR(__xludf.DUMMYFUNCTION("""COMPUTED_VALUE""")," গাড়াডোব")</f>
        <v> গাড়াডোব</v>
      </c>
      <c r="K434" s="5" t="str">
        <f>IFERROR(__xludf.DUMMYFUNCTION("""COMPUTED_VALUE""")," গাংনী")</f>
        <v> গাংনী</v>
      </c>
      <c r="L434" s="5" t="str">
        <f>IFERROR(__xludf.DUMMYFUNCTION("""COMPUTED_VALUE""")," মেহেরপুর")</f>
        <v> মেহেরপুর</v>
      </c>
    </row>
    <row r="435" ht="15.75" customHeight="1">
      <c r="A435" s="7" t="s">
        <v>7300</v>
      </c>
      <c r="B435" s="5">
        <f>IFERROR(__xludf.DUMMYFUNCTION("SPLIT(A435,"","")"),2634.0)</f>
        <v>2634</v>
      </c>
      <c r="C435" s="5" t="str">
        <f>IFERROR(__xludf.DUMMYFUNCTION("""COMPUTED_VALUE"""),"মোছাঃ আলিয়া খাতুন")</f>
        <v>মোছাঃ আলিয়া খাতুন</v>
      </c>
      <c r="D435" s="5">
        <f>IFERROR(__xludf.DUMMYFUNCTION("""COMPUTED_VALUE"""),5.70038001757E11)</f>
        <v>570038001757</v>
      </c>
      <c r="E435" s="5" t="str">
        <f>IFERROR(__xludf.DUMMYFUNCTION("""COMPUTED_VALUE"""),"মোঃ রাজব আলী")</f>
        <v>মোঃ রাজব আলী</v>
      </c>
      <c r="F435" s="5" t="str">
        <f>IFERROR(__xludf.DUMMYFUNCTION("""COMPUTED_VALUE"""),"মোছাঃ টগর বেগম")</f>
        <v>মোছাঃ টগর বেগম</v>
      </c>
      <c r="G435" s="5" t="str">
        <f>IFERROR(__xludf.DUMMYFUNCTION("""COMPUTED_VALUE"""),"০৮/১১/২০০৫")</f>
        <v>০৮/১১/২০০৫</v>
      </c>
      <c r="H435" s="5" t="str">
        <f>IFERROR(__xludf.DUMMYFUNCTION("""COMPUTED_VALUE"""),"ছাত্র/ছাত্রী")</f>
        <v>ছাত্র/ছাত্রী</v>
      </c>
      <c r="I435" s="5" t="str">
        <f>IFERROR(__xludf.DUMMYFUNCTION("""COMPUTED_VALUE"""),"গাড়াডোব")</f>
        <v>গাড়াডোব</v>
      </c>
      <c r="J435" s="5" t="str">
        <f>IFERROR(__xludf.DUMMYFUNCTION("""COMPUTED_VALUE""")," গাংনী")</f>
        <v> গাংনী</v>
      </c>
      <c r="K435" s="5" t="str">
        <f>IFERROR(__xludf.DUMMYFUNCTION("""COMPUTED_VALUE""")," মেহেরপুর")</f>
        <v> মেহেরপুর</v>
      </c>
    </row>
    <row r="436" ht="15.75" customHeight="1">
      <c r="A436" s="7" t="s">
        <v>7301</v>
      </c>
      <c r="B436" s="5">
        <f>IFERROR(__xludf.DUMMYFUNCTION("SPLIT(A436,"","")"),2635.0)</f>
        <v>2635</v>
      </c>
      <c r="C436" s="5" t="str">
        <f>IFERROR(__xludf.DUMMYFUNCTION("""COMPUTED_VALUE"""),"নাম: লামিয়া আক্তার")</f>
        <v>নাম: লামিয়া আক্তার</v>
      </c>
      <c r="D436" s="5">
        <f>IFERROR(__xludf.DUMMYFUNCTION("""COMPUTED_VALUE"""),5.70038001758E11)</f>
        <v>570038001758</v>
      </c>
      <c r="E436" s="5" t="str">
        <f>IFERROR(__xludf.DUMMYFUNCTION("""COMPUTED_VALUE"""),"পিতা: ওয়াজেদ আলী")</f>
        <v>পিতা: ওয়াজেদ আলী</v>
      </c>
      <c r="F436" s="5" t="str">
        <f>IFERROR(__xludf.DUMMYFUNCTION("""COMPUTED_VALUE"""),"মোছাঃ ছাপিয়ার খাতুন")</f>
        <v>মোছাঃ ছাপিয়ার খাতুন</v>
      </c>
      <c r="G436" s="5" t="str">
        <f>IFERROR(__xludf.DUMMYFUNCTION("""COMPUTED_VALUE"""),"১৮/০১/২০০৫")</f>
        <v>১৮/০১/২০০৫</v>
      </c>
      <c r="H436" s="5" t="str">
        <f>IFERROR(__xludf.DUMMYFUNCTION("""COMPUTED_VALUE"""),"গৃহিনী")</f>
        <v>গৃহিনী</v>
      </c>
      <c r="I436" s="5" t="str">
        <f>IFERROR(__xludf.DUMMYFUNCTION("""COMPUTED_VALUE"""),"গাড়াডোব")</f>
        <v>গাড়াডোব</v>
      </c>
      <c r="J436" s="5" t="str">
        <f>IFERROR(__xludf.DUMMYFUNCTION("""COMPUTED_VALUE""")," গাংনী")</f>
        <v> গাংনী</v>
      </c>
      <c r="K436" s="5" t="str">
        <f>IFERROR(__xludf.DUMMYFUNCTION("""COMPUTED_VALUE""")," মেহেরপুর")</f>
        <v> মেহেরপুর</v>
      </c>
    </row>
    <row r="437" ht="15.75" customHeight="1">
      <c r="A437" s="7" t="s">
        <v>7302</v>
      </c>
      <c r="B437" s="5">
        <f>IFERROR(__xludf.DUMMYFUNCTION("SPLIT(A437,"","")"),2572.0)</f>
        <v>2572</v>
      </c>
      <c r="C437" s="5" t="str">
        <f>IFERROR(__xludf.DUMMYFUNCTION("""COMPUTED_VALUE"""),"মোছাঃ শেফালী খাতুন")</f>
        <v>মোছাঃ শেফালী খাতুন</v>
      </c>
      <c r="D437" s="5">
        <f>IFERROR(__xludf.DUMMYFUNCTION("""COMPUTED_VALUE"""),5.70038544999E11)</f>
        <v>570038544999</v>
      </c>
      <c r="E437" s="5" t="str">
        <f>IFERROR(__xludf.DUMMYFUNCTION("""COMPUTED_VALUE"""),"মোঃ আলামীন")</f>
        <v>মোঃ আলামীন</v>
      </c>
      <c r="F437" s="5" t="str">
        <f>IFERROR(__xludf.DUMMYFUNCTION("""COMPUTED_VALUE"""),"মোছাঃ মর্জিনা খাতুন")</f>
        <v>মোছাঃ মর্জিনা খাতুন</v>
      </c>
      <c r="G437" s="5" t="str">
        <f>IFERROR(__xludf.DUMMYFUNCTION("""COMPUTED_VALUE"""),"১৮/১১/১৯৯১")</f>
        <v>১৮/১১/১৯৯১</v>
      </c>
      <c r="H437" s="5" t="str">
        <f>IFERROR(__xludf.DUMMYFUNCTION("""COMPUTED_VALUE"""),"গৃহিনী")</f>
        <v>গৃহিনী</v>
      </c>
      <c r="I437" s="5" t="str">
        <f>IFERROR(__xludf.DUMMYFUNCTION("""COMPUTED_VALUE"""),"গাড়াডোব")</f>
        <v>গাড়াডোব</v>
      </c>
      <c r="J437" s="5" t="str">
        <f>IFERROR(__xludf.DUMMYFUNCTION("""COMPUTED_VALUE""")," গাংনী")</f>
        <v> গাংনী</v>
      </c>
      <c r="K437" s="5" t="str">
        <f>IFERROR(__xludf.DUMMYFUNCTION("""COMPUTED_VALUE""")," মেহেরপুর")</f>
        <v> মেহেরপুর</v>
      </c>
    </row>
    <row r="438" ht="15.75" customHeight="1">
      <c r="A438" s="7" t="s">
        <v>7303</v>
      </c>
      <c r="B438" s="5">
        <f>IFERROR(__xludf.DUMMYFUNCTION("SPLIT(A438,"","")"),2573.0)</f>
        <v>2573</v>
      </c>
      <c r="C438" s="5" t="str">
        <f>IFERROR(__xludf.DUMMYFUNCTION("""COMPUTED_VALUE"""),"নাম: শিলা খাতুন")</f>
        <v>নাম: শিলা খাতুন</v>
      </c>
      <c r="D438" s="5">
        <f>IFERROR(__xludf.DUMMYFUNCTION("""COMPUTED_VALUE"""),5.70038545E11)</f>
        <v>570038545000</v>
      </c>
      <c r="E438" s="5" t="str">
        <f>IFERROR(__xludf.DUMMYFUNCTION("""COMPUTED_VALUE"""),"মোঃ আমিরুল ইসলাম")</f>
        <v>মোঃ আমিরুল ইসলাম</v>
      </c>
      <c r="F438" s="5" t="str">
        <f>IFERROR(__xludf.DUMMYFUNCTION("""COMPUTED_VALUE"""),"মোছাঃ জবেদা খাতুন")</f>
        <v>মোছাঃ জবেদা খাতুন</v>
      </c>
      <c r="G438" s="5" t="str">
        <f>IFERROR(__xludf.DUMMYFUNCTION("""COMPUTED_VALUE"""),"০৩/১০/২০০০")</f>
        <v>০৩/১০/২০০০</v>
      </c>
      <c r="H438" s="5" t="str">
        <f>IFERROR(__xludf.DUMMYFUNCTION("""COMPUTED_VALUE"""),"গৃহিনী")</f>
        <v>গৃহিনী</v>
      </c>
      <c r="I438" s="5" t="str">
        <f>IFERROR(__xludf.DUMMYFUNCTION("""COMPUTED_VALUE"""),"গাড়াডোব")</f>
        <v>গাড়াডোব</v>
      </c>
      <c r="J438" s="5" t="str">
        <f>IFERROR(__xludf.DUMMYFUNCTION("""COMPUTED_VALUE""")," গাংনী")</f>
        <v> গাংনী</v>
      </c>
      <c r="K438" s="5" t="str">
        <f>IFERROR(__xludf.DUMMYFUNCTION("""COMPUTED_VALUE""")," মেহেরপুর")</f>
        <v> মেহেরপুর</v>
      </c>
    </row>
    <row r="439" ht="15.75" customHeight="1">
      <c r="A439" s="7" t="s">
        <v>7304</v>
      </c>
      <c r="B439" s="5">
        <f>IFERROR(__xludf.DUMMYFUNCTION("SPLIT(A439,"","")"),2574.0)</f>
        <v>2574</v>
      </c>
      <c r="C439" s="5" t="str">
        <f>IFERROR(__xludf.DUMMYFUNCTION("""COMPUTED_VALUE"""),"মোছাঃ জোসমিন আক্তার সেতু")</f>
        <v>মোছাঃ জোসমিন আক্তার সেতু</v>
      </c>
      <c r="D439" s="5">
        <f>IFERROR(__xludf.DUMMYFUNCTION("""COMPUTED_VALUE"""),5.70038545001E11)</f>
        <v>570038545001</v>
      </c>
      <c r="E439" s="5" t="str">
        <f>IFERROR(__xludf.DUMMYFUNCTION("""COMPUTED_VALUE"""),"মোঃ হাববুল")</f>
        <v>মোঃ হাববুল</v>
      </c>
      <c r="F439" s="5" t="str">
        <f>IFERROR(__xludf.DUMMYFUNCTION("""COMPUTED_VALUE"""),"মোছাঃ আম্বিয়া খাতুন")</f>
        <v>মোছাঃ আম্বিয়া খাতুন</v>
      </c>
      <c r="G439" s="5" t="str">
        <f>IFERROR(__xludf.DUMMYFUNCTION("""COMPUTED_VALUE"""),"১২/১২/১৯৯৬")</f>
        <v>১২/১২/১৯৯৬</v>
      </c>
      <c r="H439" s="5" t="str">
        <f>IFERROR(__xludf.DUMMYFUNCTION("""COMPUTED_VALUE"""),"গৃহিনী")</f>
        <v>গৃহিনী</v>
      </c>
      <c r="I439" s="5" t="str">
        <f>IFERROR(__xludf.DUMMYFUNCTION("""COMPUTED_VALUE"""),"-")</f>
        <v>-</v>
      </c>
      <c r="J439" s="5" t="str">
        <f>IFERROR(__xludf.DUMMYFUNCTION("""COMPUTED_VALUE""")," গাড়াডোব")</f>
        <v> গাড়াডোব</v>
      </c>
      <c r="K439" s="5" t="str">
        <f>IFERROR(__xludf.DUMMYFUNCTION("""COMPUTED_VALUE""")," গাংনী")</f>
        <v> গাংনী</v>
      </c>
      <c r="L439" s="5" t="str">
        <f>IFERROR(__xludf.DUMMYFUNCTION("""COMPUTED_VALUE""")," মেহেরপুর")</f>
        <v> মেহেরপুর</v>
      </c>
    </row>
    <row r="440" ht="15.75" customHeight="1">
      <c r="A440" s="7" t="s">
        <v>7305</v>
      </c>
      <c r="B440" s="5">
        <f>IFERROR(__xludf.DUMMYFUNCTION("SPLIT(A440,"","")"),2575.0)</f>
        <v>2575</v>
      </c>
      <c r="C440" s="5" t="str">
        <f>IFERROR(__xludf.DUMMYFUNCTION("""COMPUTED_VALUE"""),"মোছাঃ রিনা খাতুন")</f>
        <v>মোছাঃ রিনা খাতুন</v>
      </c>
      <c r="D440" s="5">
        <f>IFERROR(__xludf.DUMMYFUNCTION("""COMPUTED_VALUE"""),5.70038545004E11)</f>
        <v>570038545004</v>
      </c>
      <c r="E440" s="5" t="str">
        <f>IFERROR(__xludf.DUMMYFUNCTION("""COMPUTED_VALUE"""),"মোঃ ইয়াদ আলী")</f>
        <v>মোঃ ইয়াদ আলী</v>
      </c>
      <c r="F440" s="5" t="str">
        <f>IFERROR(__xludf.DUMMYFUNCTION("""COMPUTED_VALUE"""),"মোছাঃ কলিমন নেছা")</f>
        <v>মোছাঃ কলিমন নেছা</v>
      </c>
      <c r="G440" s="5" t="str">
        <f>IFERROR(__xludf.DUMMYFUNCTION("""COMPUTED_VALUE"""),"১৩/০৮/১৯৯৭")</f>
        <v>১৩/০৮/১৯৯৭</v>
      </c>
      <c r="H440" s="5" t="str">
        <f>IFERROR(__xludf.DUMMYFUNCTION("""COMPUTED_VALUE"""),"গৃহিনী")</f>
        <v>গৃহিনী</v>
      </c>
      <c r="I440" s="5" t="str">
        <f>IFERROR(__xludf.DUMMYFUNCTION("""COMPUTED_VALUE"""),"গাড়াডোব")</f>
        <v>গাড়াডোব</v>
      </c>
      <c r="J440" s="5" t="str">
        <f>IFERROR(__xludf.DUMMYFUNCTION("""COMPUTED_VALUE""")," গাংনী")</f>
        <v> গাংনী</v>
      </c>
      <c r="K440" s="5" t="str">
        <f>IFERROR(__xludf.DUMMYFUNCTION("""COMPUTED_VALUE""")," মেহেরপুর")</f>
        <v> মেহেরপুর</v>
      </c>
    </row>
    <row r="441" ht="15.75" customHeight="1">
      <c r="A441" s="7" t="s">
        <v>7306</v>
      </c>
      <c r="B441" s="5">
        <f>IFERROR(__xludf.DUMMYFUNCTION("SPLIT(A441,"","")"),2576.0)</f>
        <v>2576</v>
      </c>
      <c r="C441" s="5" t="str">
        <f>IFERROR(__xludf.DUMMYFUNCTION("""COMPUTED_VALUE"""),"নাম: ফারজিনা")</f>
        <v>নাম: ফারজিনা</v>
      </c>
      <c r="D441" s="5">
        <f>IFERROR(__xludf.DUMMYFUNCTION("""COMPUTED_VALUE"""),5.70038545006E11)</f>
        <v>570038545006</v>
      </c>
      <c r="E441" s="5" t="str">
        <f>IFERROR(__xludf.DUMMYFUNCTION("""COMPUTED_VALUE"""),"পিতা: ফারুক হোসেন")</f>
        <v>পিতা: ফারুক হোসেন</v>
      </c>
      <c r="F441" s="5" t="str">
        <f>IFERROR(__xludf.DUMMYFUNCTION("""COMPUTED_VALUE"""),"মাতা: রেশমা খাতুন")</f>
        <v>মাতা: রেশমা খাতুন</v>
      </c>
      <c r="G441" s="5" t="str">
        <f>IFERROR(__xludf.DUMMYFUNCTION("""COMPUTED_VALUE"""),"১২/০৮/২০০১")</f>
        <v>১২/০৮/২০০১</v>
      </c>
      <c r="H441" s="5" t="str">
        <f>IFERROR(__xludf.DUMMYFUNCTION("""COMPUTED_VALUE"""),"গৃহিনী")</f>
        <v>গৃহিনী</v>
      </c>
      <c r="I441" s="5" t="str">
        <f>IFERROR(__xludf.DUMMYFUNCTION("""COMPUTED_VALUE"""),"গাড়াডোব")</f>
        <v>গাড়াডোব</v>
      </c>
      <c r="J441" s="5" t="str">
        <f>IFERROR(__xludf.DUMMYFUNCTION("""COMPUTED_VALUE""")," গাংনী")</f>
        <v> গাংনী</v>
      </c>
      <c r="K441" s="5" t="str">
        <f>IFERROR(__xludf.DUMMYFUNCTION("""COMPUTED_VALUE""")," মেহেরপুর")</f>
        <v> মেহেরপুর</v>
      </c>
    </row>
    <row r="442" ht="15.75" customHeight="1">
      <c r="A442" s="7" t="s">
        <v>7307</v>
      </c>
      <c r="B442" s="5">
        <f>IFERROR(__xludf.DUMMYFUNCTION("SPLIT(A442,"","")"),2577.0)</f>
        <v>2577</v>
      </c>
      <c r="C442" s="5" t="str">
        <f>IFERROR(__xludf.DUMMYFUNCTION("""COMPUTED_VALUE"""),"মোছাঃ জেসমিন")</f>
        <v>মোছাঃ জেসমিন</v>
      </c>
      <c r="D442" s="5">
        <f>IFERROR(__xludf.DUMMYFUNCTION("""COMPUTED_VALUE"""),5.70038545008E11)</f>
        <v>570038545008</v>
      </c>
      <c r="E442" s="5" t="str">
        <f>IFERROR(__xludf.DUMMYFUNCTION("""COMPUTED_VALUE"""),"মোঃ কালু")</f>
        <v>মোঃ কালু</v>
      </c>
      <c r="F442" s="5" t="str">
        <f>IFERROR(__xludf.DUMMYFUNCTION("""COMPUTED_VALUE"""),"মোছাঃ রজিফা খাতুন")</f>
        <v>মোছাঃ রজিফা খাতুন</v>
      </c>
      <c r="G442" s="5" t="str">
        <f>IFERROR(__xludf.DUMMYFUNCTION("""COMPUTED_VALUE"""),"০৯/০২/২০০২")</f>
        <v>০৯/০২/২০০২</v>
      </c>
      <c r="H442" s="5" t="str">
        <f>IFERROR(__xludf.DUMMYFUNCTION("""COMPUTED_VALUE"""),"গৃহিনী")</f>
        <v>গৃহিনী</v>
      </c>
      <c r="I442" s="5" t="str">
        <f>IFERROR(__xludf.DUMMYFUNCTION("""COMPUTED_VALUE"""),"গাড়াডোব")</f>
        <v>গাড়াডোব</v>
      </c>
      <c r="J442" s="5" t="str">
        <f>IFERROR(__xludf.DUMMYFUNCTION("""COMPUTED_VALUE""")," গাংনী")</f>
        <v> গাংনী</v>
      </c>
      <c r="K442" s="5" t="str">
        <f>IFERROR(__xludf.DUMMYFUNCTION("""COMPUTED_VALUE""")," মেহেরপুর")</f>
        <v> মেহেরপুর</v>
      </c>
    </row>
    <row r="443" ht="15.75" customHeight="1">
      <c r="A443" s="7" t="s">
        <v>7308</v>
      </c>
      <c r="B443" s="5">
        <f>IFERROR(__xludf.DUMMYFUNCTION("SPLIT(A443,"","")"),2578.0)</f>
        <v>2578</v>
      </c>
      <c r="C443" s="5" t="str">
        <f>IFERROR(__xludf.DUMMYFUNCTION("""COMPUTED_VALUE"""),"মোছাঃ রিয়া খাতুন")</f>
        <v>মোছাঃ রিয়া খাতুন</v>
      </c>
      <c r="D443" s="5">
        <f>IFERROR(__xludf.DUMMYFUNCTION("""COMPUTED_VALUE"""),5.7003854501E11)</f>
        <v>570038545010</v>
      </c>
      <c r="E443" s="5" t="str">
        <f>IFERROR(__xludf.DUMMYFUNCTION("""COMPUTED_VALUE"""),"মোঃ আব্দুর রাজ্জাক")</f>
        <v>মোঃ আব্দুর রাজ্জাক</v>
      </c>
      <c r="F443" s="5" t="str">
        <f>IFERROR(__xludf.DUMMYFUNCTION("""COMPUTED_VALUE"""),"মোছাঃ তহুরা খাতুন")</f>
        <v>মোছাঃ তহুরা খাতুন</v>
      </c>
      <c r="G443" s="5" t="str">
        <f>IFERROR(__xludf.DUMMYFUNCTION("""COMPUTED_VALUE"""),"১৫/০৩/২০০৩")</f>
        <v>১৫/০৩/২০০৩</v>
      </c>
      <c r="H443" s="5" t="str">
        <f>IFERROR(__xludf.DUMMYFUNCTION("""COMPUTED_VALUE"""),"ছাত্র/ছাত্রী")</f>
        <v>ছাত্র/ছাত্রী</v>
      </c>
      <c r="I443" s="5" t="str">
        <f>IFERROR(__xludf.DUMMYFUNCTION("""COMPUTED_VALUE"""),"গাড়াডোব")</f>
        <v>গাড়াডোব</v>
      </c>
      <c r="J443" s="5" t="str">
        <f>IFERROR(__xludf.DUMMYFUNCTION("""COMPUTED_VALUE""")," গাংনী")</f>
        <v> গাংনী</v>
      </c>
      <c r="K443" s="5" t="str">
        <f>IFERROR(__xludf.DUMMYFUNCTION("""COMPUTED_VALUE""")," মেহেরপুর")</f>
        <v> মেহেরপুর</v>
      </c>
    </row>
    <row r="444" ht="15.75" customHeight="1">
      <c r="A444" s="7" t="s">
        <v>7309</v>
      </c>
      <c r="B444" s="5">
        <f>IFERROR(__xludf.DUMMYFUNCTION("SPLIT(A444,"","")"),2579.0)</f>
        <v>2579</v>
      </c>
      <c r="C444" s="5" t="str">
        <f>IFERROR(__xludf.DUMMYFUNCTION("""COMPUTED_VALUE"""),"মোছাঃ জুলিয়া খাতুন")</f>
        <v>মোছাঃ জুলিয়া খাতুন</v>
      </c>
      <c r="D444" s="5">
        <f>IFERROR(__xludf.DUMMYFUNCTION("""COMPUTED_VALUE"""),5.70038545011E11)</f>
        <v>570038545011</v>
      </c>
      <c r="E444" s="5" t="str">
        <f>IFERROR(__xludf.DUMMYFUNCTION("""COMPUTED_VALUE"""),"মোঃ জবেদ আলী")</f>
        <v>মোঃ জবেদ আলী</v>
      </c>
      <c r="F444" s="5" t="str">
        <f>IFERROR(__xludf.DUMMYFUNCTION("""COMPUTED_VALUE"""),"মোছাঃ রাজিয়া খাতুন")</f>
        <v>মোছাঃ রাজিয়া খাতুন</v>
      </c>
      <c r="G444" s="5" t="str">
        <f>IFERROR(__xludf.DUMMYFUNCTION("""COMPUTED_VALUE"""),"০৫/০৩/১৯৯৪")</f>
        <v>০৫/০৩/১৯৯৪</v>
      </c>
      <c r="H444" s="5" t="str">
        <f>IFERROR(__xludf.DUMMYFUNCTION("""COMPUTED_VALUE"""),"গৃহিনী")</f>
        <v>গৃহিনী</v>
      </c>
      <c r="I444" s="5" t="str">
        <f>IFERROR(__xludf.DUMMYFUNCTION("""COMPUTED_VALUE"""),"গাড়াডোব")</f>
        <v>গাড়াডোব</v>
      </c>
      <c r="J444" s="5" t="str">
        <f>IFERROR(__xludf.DUMMYFUNCTION("""COMPUTED_VALUE""")," গাংনী")</f>
        <v> গাংনী</v>
      </c>
      <c r="K444" s="5" t="str">
        <f>IFERROR(__xludf.DUMMYFUNCTION("""COMPUTED_VALUE""")," মেহেরপুর")</f>
        <v> মেহেরপুর</v>
      </c>
    </row>
    <row r="445" ht="15.75" customHeight="1">
      <c r="A445" s="7" t="s">
        <v>7310</v>
      </c>
      <c r="B445" s="5">
        <f>IFERROR(__xludf.DUMMYFUNCTION("SPLIT(A445,"","")"),2580.0)</f>
        <v>2580</v>
      </c>
      <c r="C445" s="5" t="str">
        <f>IFERROR(__xludf.DUMMYFUNCTION("""COMPUTED_VALUE"""),"মোছাঃ রুপালী খাতুন")</f>
        <v>মোছাঃ রুপালী খাতুন</v>
      </c>
      <c r="D445" s="5">
        <f>IFERROR(__xludf.DUMMYFUNCTION("""COMPUTED_VALUE"""),5.70038545012E11)</f>
        <v>570038545012</v>
      </c>
      <c r="E445" s="5" t="str">
        <f>IFERROR(__xludf.DUMMYFUNCTION("""COMPUTED_VALUE"""),"মোঃ আব্দুর রশিদ")</f>
        <v>মোঃ আব্দুর রশিদ</v>
      </c>
      <c r="F445" s="5" t="str">
        <f>IFERROR(__xludf.DUMMYFUNCTION("""COMPUTED_VALUE"""),"মোছাঃ পারভীনা খাতুন")</f>
        <v>মোছাঃ পারভীনা খাতুন</v>
      </c>
      <c r="G445" s="5" t="str">
        <f>IFERROR(__xludf.DUMMYFUNCTION("""COMPUTED_VALUE"""),"০৬/০৫/১৯৯৯")</f>
        <v>০৬/০৫/১৯৯৯</v>
      </c>
      <c r="H445" s="5" t="str">
        <f>IFERROR(__xludf.DUMMYFUNCTION("""COMPUTED_VALUE"""),"গৃহিনী")</f>
        <v>গৃহিনী</v>
      </c>
      <c r="I445" s="5" t="str">
        <f>IFERROR(__xludf.DUMMYFUNCTION("""COMPUTED_VALUE"""),"গাড়াডোব")</f>
        <v>গাড়াডোব</v>
      </c>
      <c r="J445" s="5" t="str">
        <f>IFERROR(__xludf.DUMMYFUNCTION("""COMPUTED_VALUE""")," গাংনী")</f>
        <v> গাংনী</v>
      </c>
      <c r="K445" s="5" t="str">
        <f>IFERROR(__xludf.DUMMYFUNCTION("""COMPUTED_VALUE""")," মেহেরপুর")</f>
        <v> মেহেরপুর</v>
      </c>
    </row>
    <row r="446" ht="15.75" customHeight="1">
      <c r="A446" s="7" t="s">
        <v>7311</v>
      </c>
      <c r="B446" s="5">
        <f>IFERROR(__xludf.DUMMYFUNCTION("SPLIT(A446,"","")"),2581.0)</f>
        <v>2581</v>
      </c>
      <c r="C446" s="5" t="str">
        <f>IFERROR(__xludf.DUMMYFUNCTION("""COMPUTED_VALUE"""),"মোছাঃ লাবনী খাতুন")</f>
        <v>মোছাঃ লাবনী খাতুন</v>
      </c>
      <c r="D446" s="5">
        <f>IFERROR(__xludf.DUMMYFUNCTION("""COMPUTED_VALUE"""),5.70038545013E11)</f>
        <v>570038545013</v>
      </c>
      <c r="E446" s="5" t="str">
        <f>IFERROR(__xludf.DUMMYFUNCTION("""COMPUTED_VALUE"""),"মোঃ খেদের আলী")</f>
        <v>মোঃ খেদের আলী</v>
      </c>
      <c r="F446" s="5" t="str">
        <f>IFERROR(__xludf.DUMMYFUNCTION("""COMPUTED_VALUE"""),"মোছাঃ আরজিনা বেগম")</f>
        <v>মোছাঃ আরজিনা বেগম</v>
      </c>
      <c r="G446" s="5" t="str">
        <f>IFERROR(__xludf.DUMMYFUNCTION("""COMPUTED_VALUE"""),"১১/০৪/২০০২")</f>
        <v>১১/০৪/২০০২</v>
      </c>
      <c r="H446" s="5" t="str">
        <f>IFERROR(__xludf.DUMMYFUNCTION("""COMPUTED_VALUE"""),"গৃহিনী")</f>
        <v>গৃহিনী</v>
      </c>
      <c r="I446" s="5">
        <f>IFERROR(__xludf.DUMMYFUNCTION("""COMPUTED_VALUE"""),571.0)</f>
        <v>571</v>
      </c>
      <c r="J446" s="5" t="str">
        <f>IFERROR(__xludf.DUMMYFUNCTION("""COMPUTED_VALUE""")," গাড়াডোব")</f>
        <v> গাড়াডোব</v>
      </c>
      <c r="K446" s="5" t="str">
        <f>IFERROR(__xludf.DUMMYFUNCTION("""COMPUTED_VALUE""")," গাংনী")</f>
        <v> গাংনী</v>
      </c>
      <c r="L446" s="5" t="str">
        <f>IFERROR(__xludf.DUMMYFUNCTION("""COMPUTED_VALUE""")," মেহেরপুর")</f>
        <v> মেহেরপুর</v>
      </c>
    </row>
    <row r="447" ht="15.75" customHeight="1">
      <c r="A447" s="7" t="s">
        <v>7312</v>
      </c>
      <c r="B447" s="5">
        <f>IFERROR(__xludf.DUMMYFUNCTION("SPLIT(A447,"","")"),2582.0)</f>
        <v>2582</v>
      </c>
      <c r="C447" s="5" t="str">
        <f>IFERROR(__xludf.DUMMYFUNCTION("""COMPUTED_VALUE"""),"মোছাঃ এরিনা খাতুন")</f>
        <v>মোছাঃ এরিনা খাতুন</v>
      </c>
      <c r="D447" s="5">
        <f>IFERROR(__xludf.DUMMYFUNCTION("""COMPUTED_VALUE"""),5.70038545014E11)</f>
        <v>570038545014</v>
      </c>
      <c r="E447" s="5" t="str">
        <f>IFERROR(__xludf.DUMMYFUNCTION("""COMPUTED_VALUE"""),"মোঃ আব্দুল বারেক")</f>
        <v>মোঃ আব্দুল বারেক</v>
      </c>
      <c r="F447" s="5" t="str">
        <f>IFERROR(__xludf.DUMMYFUNCTION("""COMPUTED_VALUE"""),"মোছাঃ আলেছা খাতুন")</f>
        <v>মোছাঃ আলেছা খাতুন</v>
      </c>
      <c r="G447" s="5" t="str">
        <f>IFERROR(__xludf.DUMMYFUNCTION("""COMPUTED_VALUE"""),"২৫/০৫/২০০০")</f>
        <v>২৫/০৫/২০০০</v>
      </c>
      <c r="H447" s="5" t="str">
        <f>IFERROR(__xludf.DUMMYFUNCTION("""COMPUTED_VALUE"""),"গৃহিনী")</f>
        <v>গৃহিনী</v>
      </c>
      <c r="I447" s="5" t="str">
        <f>IFERROR(__xludf.DUMMYFUNCTION("""COMPUTED_VALUE"""),"গাড়াডোভারা")</f>
        <v>গাড়াডোভারা</v>
      </c>
      <c r="J447" s="5" t="str">
        <f>IFERROR(__xludf.DUMMYFUNCTION("""COMPUTED_VALUE""")," গাংনী")</f>
        <v> গাংনী</v>
      </c>
      <c r="K447" s="5" t="str">
        <f>IFERROR(__xludf.DUMMYFUNCTION("""COMPUTED_VALUE""")," মেহেরপুর")</f>
        <v> মেহেরপুর</v>
      </c>
    </row>
    <row r="448" ht="15.75" customHeight="1">
      <c r="A448" s="7" t="s">
        <v>7313</v>
      </c>
      <c r="B448" s="5">
        <f>IFERROR(__xludf.DUMMYFUNCTION("SPLIT(A448,"","")"),2583.0)</f>
        <v>2583</v>
      </c>
      <c r="C448" s="5" t="str">
        <f>IFERROR(__xludf.DUMMYFUNCTION("""COMPUTED_VALUE"""),"মোছাঃ রিক্তা খাতুন")</f>
        <v>মোছাঃ রিক্তা খাতুন</v>
      </c>
      <c r="D448" s="5">
        <f>IFERROR(__xludf.DUMMYFUNCTION("""COMPUTED_VALUE"""),5.70038545016E11)</f>
        <v>570038545016</v>
      </c>
      <c r="E448" s="5" t="str">
        <f>IFERROR(__xludf.DUMMYFUNCTION("""COMPUTED_VALUE"""),"মোঃ গোলজার হোসেন")</f>
        <v>মোঃ গোলজার হোসেন</v>
      </c>
      <c r="F448" s="5" t="str">
        <f>IFERROR(__xludf.DUMMYFUNCTION("""COMPUTED_VALUE"""),"মোছাঃ দেলোয়ারা খাতুন")</f>
        <v>মোছাঃ দেলোয়ারা খাতুন</v>
      </c>
      <c r="G448" s="5" t="str">
        <f>IFERROR(__xludf.DUMMYFUNCTION("""COMPUTED_VALUE"""),"১৪/০৩/১৯৯৭")</f>
        <v>১৪/০৩/১৯৯৭</v>
      </c>
      <c r="H448" s="5" t="str">
        <f>IFERROR(__xludf.DUMMYFUNCTION("""COMPUTED_VALUE"""),"গৃহিনী")</f>
        <v>গৃহিনী</v>
      </c>
      <c r="I448" s="5" t="str">
        <f>IFERROR(__xludf.DUMMYFUNCTION("""COMPUTED_VALUE"""),"গাড়াডোব")</f>
        <v>গাড়াডোব</v>
      </c>
      <c r="J448" s="5" t="str">
        <f>IFERROR(__xludf.DUMMYFUNCTION("""COMPUTED_VALUE""")," গাংনী")</f>
        <v> গাংনী</v>
      </c>
      <c r="K448" s="5" t="str">
        <f>IFERROR(__xludf.DUMMYFUNCTION("""COMPUTED_VALUE""")," মেহেরপুর")</f>
        <v> মেহেরপুর</v>
      </c>
    </row>
    <row r="449" ht="15.75" customHeight="1">
      <c r="A449" s="7" t="s">
        <v>7314</v>
      </c>
      <c r="B449" s="5">
        <f>IFERROR(__xludf.DUMMYFUNCTION("SPLIT(A449,"","")"),2584.0)</f>
        <v>2584</v>
      </c>
      <c r="C449" s="5" t="str">
        <f>IFERROR(__xludf.DUMMYFUNCTION("""COMPUTED_VALUE"""),"মোছাঃ পিংকি আরা")</f>
        <v>মোছাঃ পিংকি আরা</v>
      </c>
      <c r="D449" s="5">
        <f>IFERROR(__xludf.DUMMYFUNCTION("""COMPUTED_VALUE"""),5.70038545018E11)</f>
        <v>570038545018</v>
      </c>
      <c r="E449" s="5" t="str">
        <f>IFERROR(__xludf.DUMMYFUNCTION("""COMPUTED_VALUE"""),"মোঃ বিনারুল ইসলাম")</f>
        <v>মোঃ বিনারুল ইসলাম</v>
      </c>
      <c r="F449" s="5" t="str">
        <f>IFERROR(__xludf.DUMMYFUNCTION("""COMPUTED_VALUE"""),"মোছাঃ বিলকিস খাতুন")</f>
        <v>মোছাঃ বিলকিস খাতুন</v>
      </c>
      <c r="G449" s="5" t="str">
        <f>IFERROR(__xludf.DUMMYFUNCTION("""COMPUTED_VALUE"""),"১৩/০৪/২০০৩")</f>
        <v>১৩/০৪/২০০৩</v>
      </c>
      <c r="H449" s="5" t="str">
        <f>IFERROR(__xludf.DUMMYFUNCTION("""COMPUTED_VALUE"""),"ছাত্র/ছাত্রী")</f>
        <v>ছাত্র/ছাত্রী</v>
      </c>
      <c r="I449" s="5" t="str">
        <f>IFERROR(__xludf.DUMMYFUNCTION("""COMPUTED_VALUE"""),"গাড়াডোব")</f>
        <v>গাড়াডোব</v>
      </c>
      <c r="J449" s="5" t="str">
        <f>IFERROR(__xludf.DUMMYFUNCTION("""COMPUTED_VALUE""")," গাংনী")</f>
        <v> গাংনী</v>
      </c>
      <c r="K449" s="5" t="str">
        <f>IFERROR(__xludf.DUMMYFUNCTION("""COMPUTED_VALUE""")," মেহেরপুর")</f>
        <v> মেহেরপুর</v>
      </c>
    </row>
    <row r="450" ht="15.75" customHeight="1">
      <c r="A450" s="7" t="s">
        <v>7315</v>
      </c>
      <c r="B450" s="5">
        <f>IFERROR(__xludf.DUMMYFUNCTION("SPLIT(A450,"","")"),2585.0)</f>
        <v>2585</v>
      </c>
      <c r="C450" s="5" t="str">
        <f>IFERROR(__xludf.DUMMYFUNCTION("""COMPUTED_VALUE"""),"মোছাঃ খাদিজা খাতুন")</f>
        <v>মোছাঃ খাদিজা খাতুন</v>
      </c>
      <c r="D450" s="5">
        <f>IFERROR(__xludf.DUMMYFUNCTION("""COMPUTED_VALUE"""),5.70038545021E11)</f>
        <v>570038545021</v>
      </c>
      <c r="E450" s="5" t="str">
        <f>IFERROR(__xludf.DUMMYFUNCTION("""COMPUTED_VALUE"""),"মোঃ হামিদুল ইসলাম")</f>
        <v>মোঃ হামিদুল ইসলাম</v>
      </c>
      <c r="F450" s="5" t="str">
        <f>IFERROR(__xludf.DUMMYFUNCTION("""COMPUTED_VALUE"""),"মোছাঃ নাজেরা খাতুন")</f>
        <v>মোছাঃ নাজেরা খাতুন</v>
      </c>
      <c r="G450" s="5" t="str">
        <f>IFERROR(__xludf.DUMMYFUNCTION("""COMPUTED_VALUE"""),"০৪/০৭/২০০১")</f>
        <v>০৪/০৭/২০০১</v>
      </c>
      <c r="H450" s="5" t="str">
        <f>IFERROR(__xludf.DUMMYFUNCTION("""COMPUTED_VALUE"""),"গৃহিনী")</f>
        <v>গৃহিনী</v>
      </c>
      <c r="I450" s="5" t="str">
        <f>IFERROR(__xludf.DUMMYFUNCTION("""COMPUTED_VALUE"""),"গাড়াডোব")</f>
        <v>গাড়াডোব</v>
      </c>
      <c r="J450" s="5" t="str">
        <f>IFERROR(__xludf.DUMMYFUNCTION("""COMPUTED_VALUE""")," গাংনী")</f>
        <v> গাংনী</v>
      </c>
      <c r="K450" s="5" t="str">
        <f>IFERROR(__xludf.DUMMYFUNCTION("""COMPUTED_VALUE""")," মেহেরপুর")</f>
        <v> মেহেরপুর</v>
      </c>
    </row>
    <row r="451" ht="15.75" customHeight="1">
      <c r="A451" s="7" t="s">
        <v>7316</v>
      </c>
      <c r="B451" s="5">
        <f>IFERROR(__xludf.DUMMYFUNCTION("SPLIT(A451,"","")"),2586.0)</f>
        <v>2586</v>
      </c>
      <c r="C451" s="5" t="str">
        <f>IFERROR(__xludf.DUMMYFUNCTION("""COMPUTED_VALUE"""),"নাম: রেশমা খাতুন")</f>
        <v>নাম: রেশমা খাতুন</v>
      </c>
      <c r="D451" s="5">
        <f>IFERROR(__xludf.DUMMYFUNCTION("""COMPUTED_VALUE"""),5.70038545022E11)</f>
        <v>570038545022</v>
      </c>
      <c r="E451" s="5" t="str">
        <f>IFERROR(__xludf.DUMMYFUNCTION("""COMPUTED_VALUE"""),"পিতা: নওসাদ মন্ডল")</f>
        <v>পিতা: নওসাদ মন্ডল</v>
      </c>
      <c r="F451" s="5" t="str">
        <f>IFERROR(__xludf.DUMMYFUNCTION("""COMPUTED_VALUE"""),"মাতা: মুকিলা বেগম")</f>
        <v>মাতা: মুকিলা বেগম</v>
      </c>
      <c r="G451" s="5" t="str">
        <f>IFERROR(__xludf.DUMMYFUNCTION("""COMPUTED_VALUE"""),"০১/০২/২০০২")</f>
        <v>০১/০২/২০০২</v>
      </c>
      <c r="H451" s="5" t="str">
        <f>IFERROR(__xludf.DUMMYFUNCTION("""COMPUTED_VALUE"""),"গৃহিনী")</f>
        <v>গৃহিনী</v>
      </c>
      <c r="I451" s="5" t="str">
        <f>IFERROR(__xludf.DUMMYFUNCTION("""COMPUTED_VALUE"""),"গাড়াডোব")</f>
        <v>গাড়াডোব</v>
      </c>
      <c r="J451" s="5" t="str">
        <f>IFERROR(__xludf.DUMMYFUNCTION("""COMPUTED_VALUE""")," গাংনী")</f>
        <v> গাংনী</v>
      </c>
      <c r="K451" s="5" t="str">
        <f>IFERROR(__xludf.DUMMYFUNCTION("""COMPUTED_VALUE""")," মেহেরপুর")</f>
        <v> মেহেরপুর</v>
      </c>
    </row>
    <row r="452" ht="15.75" customHeight="1">
      <c r="A452" s="7" t="s">
        <v>7317</v>
      </c>
      <c r="B452" s="5">
        <f>IFERROR(__xludf.DUMMYFUNCTION("SPLIT(A452,"","")"),2587.0)</f>
        <v>2587</v>
      </c>
      <c r="C452" s="5" t="str">
        <f>IFERROR(__xludf.DUMMYFUNCTION("""COMPUTED_VALUE"""),"মোছাঃ রেহবিনা খাতুন")</f>
        <v>মোছাঃ রেহবিনা খাতুন</v>
      </c>
      <c r="D452" s="5">
        <f>IFERROR(__xludf.DUMMYFUNCTION("""COMPUTED_VALUE"""),5.70038545023E11)</f>
        <v>570038545023</v>
      </c>
      <c r="E452" s="5" t="str">
        <f>IFERROR(__xludf.DUMMYFUNCTION("""COMPUTED_VALUE"""),"মোঃ শাহিন আলী")</f>
        <v>মোঃ শাহিন আলী</v>
      </c>
      <c r="F452" s="5" t="str">
        <f>IFERROR(__xludf.DUMMYFUNCTION("""COMPUTED_VALUE"""),"মোছাঃ শিরিনা খাতুন")</f>
        <v>মোছাঃ শিরিনা খাতুন</v>
      </c>
      <c r="G452" s="5" t="str">
        <f>IFERROR(__xludf.DUMMYFUNCTION("""COMPUTED_VALUE"""),"০২/০৪/২০০০")</f>
        <v>০২/০৪/২০০০</v>
      </c>
      <c r="H452" s="5" t="str">
        <f>IFERROR(__xludf.DUMMYFUNCTION("""COMPUTED_VALUE"""),"গৃহিনী")</f>
        <v>গৃহিনী</v>
      </c>
      <c r="I452" s="5" t="str">
        <f>IFERROR(__xludf.DUMMYFUNCTION("""COMPUTED_VALUE"""),"গাড়াডোব")</f>
        <v>গাড়াডোব</v>
      </c>
      <c r="J452" s="5" t="str">
        <f>IFERROR(__xludf.DUMMYFUNCTION("""COMPUTED_VALUE""")," গাংনী")</f>
        <v> গাংনী</v>
      </c>
      <c r="K452" s="5" t="str">
        <f>IFERROR(__xludf.DUMMYFUNCTION("""COMPUTED_VALUE""")," মেহেরপুর")</f>
        <v> মেহেরপুর</v>
      </c>
    </row>
    <row r="453" ht="15.75" customHeight="1">
      <c r="A453" s="7" t="s">
        <v>7318</v>
      </c>
      <c r="B453" s="5">
        <f>IFERROR(__xludf.DUMMYFUNCTION("SPLIT(A453,"","")"),2588.0)</f>
        <v>2588</v>
      </c>
      <c r="C453" s="5" t="str">
        <f>IFERROR(__xludf.DUMMYFUNCTION("""COMPUTED_VALUE"""),"নাম: নদিয়া খাতুন")</f>
        <v>নাম: নদিয়া খাতুন</v>
      </c>
      <c r="D453" s="5">
        <f>IFERROR(__xludf.DUMMYFUNCTION("""COMPUTED_VALUE"""),5.70038545025E11)</f>
        <v>570038545025</v>
      </c>
      <c r="E453" s="5" t="str">
        <f>IFERROR(__xludf.DUMMYFUNCTION("""COMPUTED_VALUE"""),"মোঃ নাসিরুল ইসলাম")</f>
        <v>মোঃ নাসিরুল ইসলাম</v>
      </c>
      <c r="F453" s="5" t="str">
        <f>IFERROR(__xludf.DUMMYFUNCTION("""COMPUTED_VALUE"""),"মাতা: জেসমিন খাতুন")</f>
        <v>মাতা: জেসমিন খাতুন</v>
      </c>
      <c r="G453" s="5" t="str">
        <f>IFERROR(__xludf.DUMMYFUNCTION("""COMPUTED_VALUE"""),"০১/০১/২০০৪")</f>
        <v>০১/০১/২০০৪</v>
      </c>
      <c r="H453" s="5" t="str">
        <f>IFERROR(__xludf.DUMMYFUNCTION("""COMPUTED_VALUE"""),"ছাত্র/ছাত্রী")</f>
        <v>ছাত্র/ছাত্রী</v>
      </c>
      <c r="I453" s="5" t="str">
        <f>IFERROR(__xludf.DUMMYFUNCTION("""COMPUTED_VALUE"""),"গাড়াডোভারা")</f>
        <v>গাড়াডোভারা</v>
      </c>
      <c r="J453" s="5" t="str">
        <f>IFERROR(__xludf.DUMMYFUNCTION("""COMPUTED_VALUE""")," গাংনী")</f>
        <v> গাংনী</v>
      </c>
      <c r="K453" s="5" t="str">
        <f>IFERROR(__xludf.DUMMYFUNCTION("""COMPUTED_VALUE""")," মেহেরপুর")</f>
        <v> মেহেরপুর</v>
      </c>
    </row>
    <row r="454" ht="15.75" customHeight="1">
      <c r="A454" s="7" t="s">
        <v>7319</v>
      </c>
      <c r="B454" s="5">
        <f>IFERROR(__xludf.DUMMYFUNCTION("SPLIT(A454,"","")"),2589.0)</f>
        <v>2589</v>
      </c>
      <c r="C454" s="5" t="str">
        <f>IFERROR(__xludf.DUMMYFUNCTION("""COMPUTED_VALUE"""),"মোছাঃ রুনা খাতুন")</f>
        <v>মোছাঃ রুনা খাতুন</v>
      </c>
      <c r="D454" s="5">
        <f>IFERROR(__xludf.DUMMYFUNCTION("""COMPUTED_VALUE"""),5.70038545026E11)</f>
        <v>570038545026</v>
      </c>
      <c r="E454" s="5" t="str">
        <f>IFERROR(__xludf.DUMMYFUNCTION("""COMPUTED_VALUE"""),"মোঃ মিয়ারুল ইসলাম")</f>
        <v>মোঃ মিয়ারুল ইসলাম</v>
      </c>
      <c r="F454" s="5" t="str">
        <f>IFERROR(__xludf.DUMMYFUNCTION("""COMPUTED_VALUE"""),"মোছাঃ বিলকিচ")</f>
        <v>মোছাঃ বিলকিচ</v>
      </c>
      <c r="G454" s="5" t="str">
        <f>IFERROR(__xludf.DUMMYFUNCTION("""COMPUTED_VALUE"""),"০২/০৪/১৯৯৪")</f>
        <v>০২/০৪/১৯৯৪</v>
      </c>
      <c r="H454" s="5" t="str">
        <f>IFERROR(__xludf.DUMMYFUNCTION("""COMPUTED_VALUE"""),"গৃহিনী")</f>
        <v>গৃহিনী</v>
      </c>
      <c r="I454" s="5" t="str">
        <f>IFERROR(__xludf.DUMMYFUNCTION("""COMPUTED_VALUE"""),"গাড়াডোব")</f>
        <v>গাড়াডোব</v>
      </c>
      <c r="J454" s="5" t="str">
        <f>IFERROR(__xludf.DUMMYFUNCTION("""COMPUTED_VALUE""")," গাংনী")</f>
        <v> গাংনী</v>
      </c>
      <c r="K454" s="5" t="str">
        <f>IFERROR(__xludf.DUMMYFUNCTION("""COMPUTED_VALUE""")," মেহেরপুর")</f>
        <v> মেহেরপুর</v>
      </c>
    </row>
    <row r="455" ht="15.75" customHeight="1">
      <c r="A455" s="7" t="s">
        <v>7320</v>
      </c>
      <c r="B455" s="5">
        <f>IFERROR(__xludf.DUMMYFUNCTION("SPLIT(A455,"","")"),2590.0)</f>
        <v>2590</v>
      </c>
      <c r="C455" s="5" t="str">
        <f>IFERROR(__xludf.DUMMYFUNCTION("""COMPUTED_VALUE"""),"মোছাঃ সুমাইয়া খাতুন")</f>
        <v>মোছাঃ সুমাইয়া খাতুন</v>
      </c>
      <c r="D455" s="5">
        <f>IFERROR(__xludf.DUMMYFUNCTION("""COMPUTED_VALUE"""),5.70038545028E11)</f>
        <v>570038545028</v>
      </c>
      <c r="E455" s="5" t="str">
        <f>IFERROR(__xludf.DUMMYFUNCTION("""COMPUTED_VALUE"""),"মোঃ আশরাফুল")</f>
        <v>মোঃ আশরাফুল</v>
      </c>
      <c r="F455" s="5" t="str">
        <f>IFERROR(__xludf.DUMMYFUNCTION("""COMPUTED_VALUE"""),"মোছাঃ শেফালী খাতুন")</f>
        <v>মোছাঃ শেফালী খাতুন</v>
      </c>
      <c r="G455" s="5" t="str">
        <f>IFERROR(__xludf.DUMMYFUNCTION("""COMPUTED_VALUE"""),"০১/০৩/২০০১")</f>
        <v>০১/০৩/২০০১</v>
      </c>
      <c r="H455" s="5" t="str">
        <f>IFERROR(__xludf.DUMMYFUNCTION("""COMPUTED_VALUE"""),"গৃহিনী")</f>
        <v>গৃহিনী</v>
      </c>
      <c r="I455" s="5" t="str">
        <f>IFERROR(__xludf.DUMMYFUNCTION("""COMPUTED_VALUE"""),"গাড়াডোব")</f>
        <v>গাড়াডোব</v>
      </c>
      <c r="J455" s="5" t="str">
        <f>IFERROR(__xludf.DUMMYFUNCTION("""COMPUTED_VALUE""")," গাংনী")</f>
        <v> গাংনী</v>
      </c>
      <c r="K455" s="5" t="str">
        <f>IFERROR(__xludf.DUMMYFUNCTION("""COMPUTED_VALUE""")," মেহেরপুর")</f>
        <v> মেহেরপুর</v>
      </c>
    </row>
    <row r="456" ht="15.75" customHeight="1">
      <c r="A456" s="7" t="s">
        <v>7321</v>
      </c>
      <c r="B456" s="5">
        <f>IFERROR(__xludf.DUMMYFUNCTION("SPLIT(A456,"","")"),2591.0)</f>
        <v>2591</v>
      </c>
      <c r="C456" s="5" t="str">
        <f>IFERROR(__xludf.DUMMYFUNCTION("""COMPUTED_VALUE"""),"নাম: সৈয়দা শর্মিলা আশরাফ শিমু")</f>
        <v>নাম: সৈয়দা শর্মিলা আশরাফ শিমু</v>
      </c>
      <c r="D456" s="5">
        <f>IFERROR(__xludf.DUMMYFUNCTION("""COMPUTED_VALUE"""),5.70038545029E11)</f>
        <v>570038545029</v>
      </c>
      <c r="E456" s="5" t="str">
        <f>IFERROR(__xludf.DUMMYFUNCTION("""COMPUTED_VALUE"""),"এস. এম শফিউল ইসলাম")</f>
        <v>এস. এম শফিউল ইসলাম</v>
      </c>
      <c r="F456" s="5" t="str">
        <f>IFERROR(__xludf.DUMMYFUNCTION("""COMPUTED_VALUE"""),"মাতা: সৈয়দা তহমিনা আশরাফ")</f>
        <v>মাতা: সৈয়দা তহমিনা আশরাফ</v>
      </c>
      <c r="G456" s="5" t="str">
        <f>IFERROR(__xludf.DUMMYFUNCTION("""COMPUTED_VALUE"""),"১০/০১/২০০৩")</f>
        <v>১০/০১/২০০৩</v>
      </c>
      <c r="H456" s="5" t="str">
        <f>IFERROR(__xludf.DUMMYFUNCTION("""COMPUTED_VALUE"""),"ছাত্র/ছাত্রী")</f>
        <v>ছাত্র/ছাত্রী</v>
      </c>
      <c r="I456" s="5" t="str">
        <f>IFERROR(__xludf.DUMMYFUNCTION("""COMPUTED_VALUE"""),"গাড়াডোব")</f>
        <v>গাড়াডোব</v>
      </c>
      <c r="J456" s="5" t="str">
        <f>IFERROR(__xludf.DUMMYFUNCTION("""COMPUTED_VALUE""")," গাংনী")</f>
        <v> গাংনী</v>
      </c>
      <c r="K456" s="5" t="str">
        <f>IFERROR(__xludf.DUMMYFUNCTION("""COMPUTED_VALUE""")," মেহেরপুর")</f>
        <v> মেহেরপুর</v>
      </c>
    </row>
    <row r="457" ht="15.75" customHeight="1">
      <c r="A457" s="7" t="s">
        <v>7322</v>
      </c>
      <c r="B457" s="5">
        <f>IFERROR(__xludf.DUMMYFUNCTION("SPLIT(A457,"","")"),2592.0)</f>
        <v>2592</v>
      </c>
      <c r="C457" s="5" t="str">
        <f>IFERROR(__xludf.DUMMYFUNCTION("""COMPUTED_VALUE"""),"মোছাঃ মানিয়ারা")</f>
        <v>মোছাঃ মানিয়ারা</v>
      </c>
      <c r="D457" s="5">
        <f>IFERROR(__xludf.DUMMYFUNCTION("""COMPUTED_VALUE"""),5.7003854503E11)</f>
        <v>570038545030</v>
      </c>
      <c r="E457" s="5" t="str">
        <f>IFERROR(__xludf.DUMMYFUNCTION("""COMPUTED_VALUE"""),"মোঃ কাওছার")</f>
        <v>মোঃ কাওছার</v>
      </c>
      <c r="F457" s="5" t="str">
        <f>IFERROR(__xludf.DUMMYFUNCTION("""COMPUTED_VALUE"""),"মোছাঃ আছিয়া")</f>
        <v>মোছাঃ আছিয়া</v>
      </c>
      <c r="G457" s="5" t="str">
        <f>IFERROR(__xludf.DUMMYFUNCTION("""COMPUTED_VALUE"""),"৩০/০৩/২০০০")</f>
        <v>৩০/০৩/২০০০</v>
      </c>
      <c r="H457" s="5" t="str">
        <f>IFERROR(__xludf.DUMMYFUNCTION("""COMPUTED_VALUE"""),"গৃহিনী")</f>
        <v>গৃহিনী</v>
      </c>
      <c r="I457" s="5" t="str">
        <f>IFERROR(__xludf.DUMMYFUNCTION("""COMPUTED_VALUE"""),"গাড়াডোব")</f>
        <v>গাড়াডোব</v>
      </c>
      <c r="J457" s="5" t="str">
        <f>IFERROR(__xludf.DUMMYFUNCTION("""COMPUTED_VALUE""")," গাংনী")</f>
        <v> গাংনী</v>
      </c>
      <c r="K457" s="5" t="str">
        <f>IFERROR(__xludf.DUMMYFUNCTION("""COMPUTED_VALUE""")," মেহেরপুর")</f>
        <v> মেহেরপুর</v>
      </c>
    </row>
    <row r="458" ht="15.75" customHeight="1">
      <c r="A458" s="7" t="s">
        <v>7323</v>
      </c>
      <c r="B458" s="5">
        <f>IFERROR(__xludf.DUMMYFUNCTION("SPLIT(A458,"","")"),2593.0)</f>
        <v>2593</v>
      </c>
      <c r="C458" s="5" t="str">
        <f>IFERROR(__xludf.DUMMYFUNCTION("""COMPUTED_VALUE"""),"মোছাঃ ক্যামি খাতুন")</f>
        <v>মোছাঃ ক্যামি খাতুন</v>
      </c>
      <c r="D458" s="5">
        <f>IFERROR(__xludf.DUMMYFUNCTION("""COMPUTED_VALUE"""),5.70038545031E11)</f>
        <v>570038545031</v>
      </c>
      <c r="E458" s="5" t="str">
        <f>IFERROR(__xludf.DUMMYFUNCTION("""COMPUTED_VALUE"""),"মোঃ মখলেছুর রহমান")</f>
        <v>মোঃ মখলেছুর রহমান</v>
      </c>
      <c r="F458" s="5" t="str">
        <f>IFERROR(__xludf.DUMMYFUNCTION("""COMPUTED_VALUE"""),"মোছাঃ নাসরিন খাতুন")</f>
        <v>মোছাঃ নাসরিন খাতুন</v>
      </c>
      <c r="G458" s="5" t="str">
        <f>IFERROR(__xludf.DUMMYFUNCTION("""COMPUTED_VALUE"""),"৩১/১২/১৯৯৭")</f>
        <v>৩১/১২/১৯৯৭</v>
      </c>
      <c r="H458" s="5" t="str">
        <f>IFERROR(__xludf.DUMMYFUNCTION("""COMPUTED_VALUE"""),"গৃহিনী")</f>
        <v>গৃহিনী</v>
      </c>
      <c r="I458" s="5" t="str">
        <f>IFERROR(__xludf.DUMMYFUNCTION("""COMPUTED_VALUE"""),"গাড়াডোব")</f>
        <v>গাড়াডোব</v>
      </c>
      <c r="J458" s="5" t="str">
        <f>IFERROR(__xludf.DUMMYFUNCTION("""COMPUTED_VALUE""")," গাংনী")</f>
        <v> গাংনী</v>
      </c>
      <c r="K458" s="5" t="str">
        <f>IFERROR(__xludf.DUMMYFUNCTION("""COMPUTED_VALUE""")," মেহেরপুর")</f>
        <v> মেহেরপুর</v>
      </c>
    </row>
    <row r="459" ht="15.75" customHeight="1">
      <c r="A459" s="7" t="s">
        <v>7324</v>
      </c>
      <c r="B459" s="5">
        <f>IFERROR(__xludf.DUMMYFUNCTION("SPLIT(A459,"","")"),2594.0)</f>
        <v>2594</v>
      </c>
      <c r="C459" s="5" t="str">
        <f>IFERROR(__xludf.DUMMYFUNCTION("""COMPUTED_VALUE"""),"মোছাঃ মিনতি পারভীন")</f>
        <v>মোছাঃ মিনতি পারভীন</v>
      </c>
      <c r="D459" s="5">
        <f>IFERROR(__xludf.DUMMYFUNCTION("""COMPUTED_VALUE"""),5.70038545033E11)</f>
        <v>570038545033</v>
      </c>
      <c r="E459" s="5" t="str">
        <f>IFERROR(__xludf.DUMMYFUNCTION("""COMPUTED_VALUE"""),"মোঃ মিনারুল ইসলাম")</f>
        <v>মোঃ মিনারুল ইসলাম</v>
      </c>
      <c r="F459" s="5" t="str">
        <f>IFERROR(__xludf.DUMMYFUNCTION("""COMPUTED_VALUE"""),"মোছাঃ কাজল রেখা")</f>
        <v>মোছাঃ কাজল রেখা</v>
      </c>
      <c r="G459" s="5" t="str">
        <f>IFERROR(__xludf.DUMMYFUNCTION("""COMPUTED_VALUE"""),"২৫/০৪/২০০২")</f>
        <v>২৫/০৪/২০০২</v>
      </c>
      <c r="H459" s="5" t="str">
        <f>IFERROR(__xludf.DUMMYFUNCTION("""COMPUTED_VALUE"""),"গৃহিনী")</f>
        <v>গৃহিনী</v>
      </c>
      <c r="I459" s="5" t="str">
        <f>IFERROR(__xludf.DUMMYFUNCTION("""COMPUTED_VALUE"""),"গাড়াডোব")</f>
        <v>গাড়াডোব</v>
      </c>
      <c r="J459" s="5" t="str">
        <f>IFERROR(__xludf.DUMMYFUNCTION("""COMPUTED_VALUE""")," গাংনী")</f>
        <v> গাংনী</v>
      </c>
      <c r="K459" s="5" t="str">
        <f>IFERROR(__xludf.DUMMYFUNCTION("""COMPUTED_VALUE""")," মেহেরপুর")</f>
        <v> মেহেরপুর</v>
      </c>
    </row>
    <row r="460" ht="15.75" customHeight="1">
      <c r="A460" s="7" t="s">
        <v>7325</v>
      </c>
      <c r="B460" s="5">
        <f>IFERROR(__xludf.DUMMYFUNCTION("SPLIT(A460,"","")"),2595.0)</f>
        <v>2595</v>
      </c>
      <c r="C460" s="5" t="str">
        <f>IFERROR(__xludf.DUMMYFUNCTION("""COMPUTED_VALUE"""),"মোছাঃ তামান্না খাতুন")</f>
        <v>মোছাঃ তামান্না খাতুন</v>
      </c>
      <c r="D460" s="5">
        <f>IFERROR(__xludf.DUMMYFUNCTION("""COMPUTED_VALUE"""),5.70038545036E11)</f>
        <v>570038545036</v>
      </c>
      <c r="E460" s="5" t="str">
        <f>IFERROR(__xludf.DUMMYFUNCTION("""COMPUTED_VALUE"""),"মোঃ ইমদাদুল হক")</f>
        <v>মোঃ ইমদাদুল হক</v>
      </c>
      <c r="F460" s="5" t="str">
        <f>IFERROR(__xludf.DUMMYFUNCTION("""COMPUTED_VALUE"""),"মোছাঃ পুনকী খাতুন")</f>
        <v>মোছাঃ পুনকী খাতুন</v>
      </c>
      <c r="G460" s="5" t="str">
        <f>IFERROR(__xludf.DUMMYFUNCTION("""COMPUTED_VALUE"""),"১৭/১১/২০০০")</f>
        <v>১৭/১১/২০০০</v>
      </c>
      <c r="H460" s="5" t="str">
        <f>IFERROR(__xludf.DUMMYFUNCTION("""COMPUTED_VALUE"""),"গৃহিনী")</f>
        <v>গৃহিনী</v>
      </c>
      <c r="I460" s="5" t="str">
        <f>IFERROR(__xludf.DUMMYFUNCTION("""COMPUTED_VALUE"""),"গাড়াডোব")</f>
        <v>গাড়াডোব</v>
      </c>
      <c r="J460" s="5" t="str">
        <f>IFERROR(__xludf.DUMMYFUNCTION("""COMPUTED_VALUE""")," গাংনী")</f>
        <v> গাংনী</v>
      </c>
      <c r="K460" s="5" t="str">
        <f>IFERROR(__xludf.DUMMYFUNCTION("""COMPUTED_VALUE""")," মেহেরপুর")</f>
        <v> মেহেরপুর</v>
      </c>
    </row>
    <row r="461" ht="15.75" customHeight="1">
      <c r="A461" s="7" t="s">
        <v>7326</v>
      </c>
      <c r="B461" s="5">
        <f>IFERROR(__xludf.DUMMYFUNCTION("SPLIT(A461,"","")"),2596.0)</f>
        <v>2596</v>
      </c>
      <c r="C461" s="5" t="str">
        <f>IFERROR(__xludf.DUMMYFUNCTION("""COMPUTED_VALUE"""),"মোছাঃ ঝর্না খাতুন")</f>
        <v>মোছাঃ ঝর্না খাতুন</v>
      </c>
      <c r="D461" s="5">
        <f>IFERROR(__xludf.DUMMYFUNCTION("""COMPUTED_VALUE"""),5.70038545037E11)</f>
        <v>570038545037</v>
      </c>
      <c r="E461" s="5" t="str">
        <f>IFERROR(__xludf.DUMMYFUNCTION("""COMPUTED_VALUE"""),"মোঃ খেজমত আলী")</f>
        <v>মোঃ খেজমত আলী</v>
      </c>
      <c r="F461" s="5" t="str">
        <f>IFERROR(__xludf.DUMMYFUNCTION("""COMPUTED_VALUE"""),"মোছাঃ জহুরা খাতুন")</f>
        <v>মোছাঃ জহুরা খাতুন</v>
      </c>
      <c r="G461" s="5" t="str">
        <f>IFERROR(__xludf.DUMMYFUNCTION("""COMPUTED_VALUE"""),"০১/০২/২০০৩")</f>
        <v>০১/০২/২০০৩</v>
      </c>
      <c r="H461" s="5" t="str">
        <f>IFERROR(__xludf.DUMMYFUNCTION("""COMPUTED_VALUE"""),"গৃহিনী")</f>
        <v>গৃহিনী</v>
      </c>
      <c r="I461" s="5" t="str">
        <f>IFERROR(__xludf.DUMMYFUNCTION("""COMPUTED_VALUE"""),"গাড়াডোব")</f>
        <v>গাড়াডোব</v>
      </c>
      <c r="J461" s="5" t="str">
        <f>IFERROR(__xludf.DUMMYFUNCTION("""COMPUTED_VALUE""")," গাংনী")</f>
        <v> গাংনী</v>
      </c>
      <c r="K461" s="5" t="str">
        <f>IFERROR(__xludf.DUMMYFUNCTION("""COMPUTED_VALUE""")," মেহেরপুর")</f>
        <v> মেহেরপুর</v>
      </c>
    </row>
    <row r="462" ht="15.75" customHeight="1">
      <c r="A462" s="7" t="s">
        <v>7327</v>
      </c>
      <c r="B462" s="5">
        <f>IFERROR(__xludf.DUMMYFUNCTION("SPLIT(A462,"","")"),2597.0)</f>
        <v>2597</v>
      </c>
      <c r="C462" s="5" t="str">
        <f>IFERROR(__xludf.DUMMYFUNCTION("""COMPUTED_VALUE"""),"নাম: জেসমিন")</f>
        <v>নাম: জেসমিন</v>
      </c>
      <c r="D462" s="5">
        <f>IFERROR(__xludf.DUMMYFUNCTION("""COMPUTED_VALUE"""),5.70038545039E11)</f>
        <v>570038545039</v>
      </c>
      <c r="E462" s="5" t="str">
        <f>IFERROR(__xludf.DUMMYFUNCTION("""COMPUTED_VALUE"""),"পিতা: ফজলুল হক")</f>
        <v>পিতা: ফজলুল হক</v>
      </c>
      <c r="F462" s="5" t="str">
        <f>IFERROR(__xludf.DUMMYFUNCTION("""COMPUTED_VALUE"""),"মাতা: সুফিয়া খাতুন")</f>
        <v>মাতা: সুফিয়া খাতুন</v>
      </c>
      <c r="G462" s="5" t="str">
        <f>IFERROR(__xludf.DUMMYFUNCTION("""COMPUTED_VALUE"""),"০৪/০৫/২০০০")</f>
        <v>০৪/০৫/২০০০</v>
      </c>
      <c r="H462" s="5" t="str">
        <f>IFERROR(__xludf.DUMMYFUNCTION("""COMPUTED_VALUE"""),"গৃহিনী")</f>
        <v>গৃহিনী</v>
      </c>
      <c r="I462" s="5" t="str">
        <f>IFERROR(__xludf.DUMMYFUNCTION("""COMPUTED_VALUE"""),"গাড়াডোব")</f>
        <v>গাড়াডোব</v>
      </c>
      <c r="J462" s="5" t="str">
        <f>IFERROR(__xludf.DUMMYFUNCTION("""COMPUTED_VALUE""")," গাংনী")</f>
        <v> গাংনী</v>
      </c>
      <c r="K462" s="5" t="str">
        <f>IFERROR(__xludf.DUMMYFUNCTION("""COMPUTED_VALUE""")," মেহেরপুর")</f>
        <v> মেহেরপুর</v>
      </c>
    </row>
    <row r="463" ht="15.75" customHeight="1">
      <c r="A463" s="7" t="s">
        <v>7328</v>
      </c>
      <c r="B463" s="5">
        <f>IFERROR(__xludf.DUMMYFUNCTION("SPLIT(A463,"","")"),2598.0)</f>
        <v>2598</v>
      </c>
      <c r="C463" s="5" t="str">
        <f>IFERROR(__xludf.DUMMYFUNCTION("""COMPUTED_VALUE"""),"মোছাঃ তামান্না খাতুন")</f>
        <v>মোছাঃ তামান্না খাতুন</v>
      </c>
      <c r="D463" s="5">
        <f>IFERROR(__xludf.DUMMYFUNCTION("""COMPUTED_VALUE"""),5.70038545041E11)</f>
        <v>570038545041</v>
      </c>
      <c r="E463" s="5" t="str">
        <f>IFERROR(__xludf.DUMMYFUNCTION("""COMPUTED_VALUE"""),"মোঃ শওকত আলী")</f>
        <v>মোঃ শওকত আলী</v>
      </c>
      <c r="F463" s="5" t="str">
        <f>IFERROR(__xludf.DUMMYFUNCTION("""COMPUTED_VALUE"""),"মোছাঃ পুনকা খাতুন")</f>
        <v>মোছাঃ পুনকা খাতুন</v>
      </c>
      <c r="G463" s="5" t="str">
        <f>IFERROR(__xludf.DUMMYFUNCTION("""COMPUTED_VALUE"""),"৩০/০৬/২০০২")</f>
        <v>৩০/০৬/২০০২</v>
      </c>
      <c r="H463" s="5" t="str">
        <f>IFERROR(__xludf.DUMMYFUNCTION("""COMPUTED_VALUE"""),"গৃহিনী")</f>
        <v>গৃহিনী</v>
      </c>
      <c r="I463" s="5" t="str">
        <f>IFERROR(__xludf.DUMMYFUNCTION("""COMPUTED_VALUE"""),"গাড়াডোব")</f>
        <v>গাড়াডোব</v>
      </c>
      <c r="J463" s="5" t="str">
        <f>IFERROR(__xludf.DUMMYFUNCTION("""COMPUTED_VALUE""")," গাংনী")</f>
        <v> গাংনী</v>
      </c>
      <c r="K463" s="5" t="str">
        <f>IFERROR(__xludf.DUMMYFUNCTION("""COMPUTED_VALUE""")," মেহেরপুর")</f>
        <v> মেহেরপুর</v>
      </c>
    </row>
    <row r="464" ht="15.75" customHeight="1">
      <c r="A464" s="7" t="s">
        <v>7329</v>
      </c>
      <c r="B464" s="5">
        <f>IFERROR(__xludf.DUMMYFUNCTION("SPLIT(A464,"","")"),2599.0)</f>
        <v>2599</v>
      </c>
      <c r="C464" s="5" t="str">
        <f>IFERROR(__xludf.DUMMYFUNCTION("""COMPUTED_VALUE"""),"মোছাঃ রোকসানা খাতুন")</f>
        <v>মোছাঃ রোকসানা খাতুন</v>
      </c>
      <c r="D464" s="5">
        <f>IFERROR(__xludf.DUMMYFUNCTION("""COMPUTED_VALUE"""),5.70038545043E11)</f>
        <v>570038545043</v>
      </c>
      <c r="E464" s="5" t="str">
        <f>IFERROR(__xludf.DUMMYFUNCTION("""COMPUTED_VALUE"""),"মোঃ হিরোকুজ্জামান")</f>
        <v>মোঃ হিরোকুজ্জামান</v>
      </c>
      <c r="F464" s="5" t="str">
        <f>IFERROR(__xludf.DUMMYFUNCTION("""COMPUTED_VALUE"""),"মোছাঃ রাহেলা খাতুন")</f>
        <v>মোছাঃ রাহেলা খাতুন</v>
      </c>
      <c r="G464" s="5" t="str">
        <f>IFERROR(__xludf.DUMMYFUNCTION("""COMPUTED_VALUE"""),"১৫/০৬/২০০৩")</f>
        <v>১৫/০৬/২০০৩</v>
      </c>
      <c r="H464" s="5" t="str">
        <f>IFERROR(__xludf.DUMMYFUNCTION("""COMPUTED_VALUE"""),"গৃহিনী")</f>
        <v>গৃহিনী</v>
      </c>
      <c r="I464" s="5" t="str">
        <f>IFERROR(__xludf.DUMMYFUNCTION("""COMPUTED_VALUE"""),"গাড়াডোব")</f>
        <v>গাড়াডোব</v>
      </c>
      <c r="J464" s="5" t="str">
        <f>IFERROR(__xludf.DUMMYFUNCTION("""COMPUTED_VALUE""")," গাংনী")</f>
        <v> গাংনী</v>
      </c>
      <c r="K464" s="5" t="str">
        <f>IFERROR(__xludf.DUMMYFUNCTION("""COMPUTED_VALUE""")," মেহেরপুর")</f>
        <v> মেহেরপুর</v>
      </c>
    </row>
    <row r="465" ht="15.75" customHeight="1">
      <c r="A465" s="7" t="s">
        <v>7330</v>
      </c>
      <c r="B465" s="5">
        <f>IFERROR(__xludf.DUMMYFUNCTION("SPLIT(A465,"","")"),2600.0)</f>
        <v>2600</v>
      </c>
      <c r="C465" s="5" t="str">
        <f>IFERROR(__xludf.DUMMYFUNCTION("""COMPUTED_VALUE"""),"মোছাঃ হাসিনা খাতুন")</f>
        <v>মোছাঃ হাসিনা খাতুন</v>
      </c>
      <c r="D465" s="5">
        <f>IFERROR(__xludf.DUMMYFUNCTION("""COMPUTED_VALUE"""),5.70038545045E11)</f>
        <v>570038545045</v>
      </c>
      <c r="E465" s="5" t="str">
        <f>IFERROR(__xludf.DUMMYFUNCTION("""COMPUTED_VALUE"""),"মোঃ কুদ্দুস আলী")</f>
        <v>মোঃ কুদ্দুস আলী</v>
      </c>
      <c r="F465" s="5" t="str">
        <f>IFERROR(__xludf.DUMMYFUNCTION("""COMPUTED_VALUE"""),"মোছাঃ মাছুরা খাতুন")</f>
        <v>মোছাঃ মাছুরা খাতুন</v>
      </c>
      <c r="G465" s="5" t="str">
        <f>IFERROR(__xludf.DUMMYFUNCTION("""COMPUTED_VALUE"""),"০১/০২/২০০০")</f>
        <v>০১/০২/২০০০</v>
      </c>
      <c r="H465" s="5" t="str">
        <f>IFERROR(__xludf.DUMMYFUNCTION("""COMPUTED_VALUE"""),"গৃহিনী")</f>
        <v>গৃহিনী</v>
      </c>
      <c r="I465" s="5" t="str">
        <f>IFERROR(__xludf.DUMMYFUNCTION("""COMPUTED_VALUE"""),"গাড়াডোব")</f>
        <v>গাড়াডোব</v>
      </c>
      <c r="J465" s="5" t="str">
        <f>IFERROR(__xludf.DUMMYFUNCTION("""COMPUTED_VALUE""")," গাংনী")</f>
        <v> গাংনী</v>
      </c>
      <c r="K465" s="5" t="str">
        <f>IFERROR(__xludf.DUMMYFUNCTION("""COMPUTED_VALUE""")," মেহেরপুর")</f>
        <v> মেহেরপুর</v>
      </c>
    </row>
    <row r="466" ht="15.75" customHeight="1">
      <c r="A466" s="7" t="s">
        <v>7331</v>
      </c>
      <c r="B466" s="5">
        <f>IFERROR(__xludf.DUMMYFUNCTION("SPLIT(A466,"","")"),2601.0)</f>
        <v>2601</v>
      </c>
      <c r="C466" s="5" t="str">
        <f>IFERROR(__xludf.DUMMYFUNCTION("""COMPUTED_VALUE"""),"মোছাঃ হাফছা খাতুন")</f>
        <v>মোছাঃ হাফছা খাতুন</v>
      </c>
      <c r="D466" s="5">
        <f>IFERROR(__xludf.DUMMYFUNCTION("""COMPUTED_VALUE"""),5.70038545046E11)</f>
        <v>570038545046</v>
      </c>
      <c r="E466" s="5" t="str">
        <f>IFERROR(__xludf.DUMMYFUNCTION("""COMPUTED_VALUE"""),"মোঃ শরিফুল ইসলাম")</f>
        <v>মোঃ শরিফুল ইসলাম</v>
      </c>
      <c r="F466" s="5" t="str">
        <f>IFERROR(__xludf.DUMMYFUNCTION("""COMPUTED_VALUE"""),"মোছাঃ শরিফা খাতুন")</f>
        <v>মোছাঃ শরিফা খাতুন</v>
      </c>
      <c r="G466" s="5" t="str">
        <f>IFERROR(__xludf.DUMMYFUNCTION("""COMPUTED_VALUE"""),"০১/০৩/১৯৯৯")</f>
        <v>০১/০৩/১৯৯৯</v>
      </c>
      <c r="H466" s="5" t="str">
        <f>IFERROR(__xludf.DUMMYFUNCTION("""COMPUTED_VALUE"""),"গৃহিনী")</f>
        <v>গৃহিনী</v>
      </c>
      <c r="I466" s="5" t="str">
        <f>IFERROR(__xludf.DUMMYFUNCTION("""COMPUTED_VALUE"""),"গাড়াডোব")</f>
        <v>গাড়াডোব</v>
      </c>
      <c r="J466" s="5" t="str">
        <f>IFERROR(__xludf.DUMMYFUNCTION("""COMPUTED_VALUE""")," গাংনী")</f>
        <v> গাংনী</v>
      </c>
      <c r="K466" s="5" t="str">
        <f>IFERROR(__xludf.DUMMYFUNCTION("""COMPUTED_VALUE""")," মেহেরপুর")</f>
        <v> মেহেরপুর</v>
      </c>
    </row>
    <row r="467" ht="15.75" customHeight="1">
      <c r="A467" s="7" t="s">
        <v>7332</v>
      </c>
      <c r="B467" s="5">
        <f>IFERROR(__xludf.DUMMYFUNCTION("SPLIT(A467,"","")"),2602.0)</f>
        <v>2602</v>
      </c>
      <c r="C467" s="5" t="str">
        <f>IFERROR(__xludf.DUMMYFUNCTION("""COMPUTED_VALUE"""),"মোছাঃ আছমা খাতুন")</f>
        <v>মোছাঃ আছমা খাতুন</v>
      </c>
      <c r="D467" s="5">
        <f>IFERROR(__xludf.DUMMYFUNCTION("""COMPUTED_VALUE"""),5.70038545048E11)</f>
        <v>570038545048</v>
      </c>
      <c r="E467" s="5" t="str">
        <f>IFERROR(__xludf.DUMMYFUNCTION("""COMPUTED_VALUE"""),"মোঃ আজমত আলী")</f>
        <v>মোঃ আজমত আলী</v>
      </c>
      <c r="F467" s="5" t="str">
        <f>IFERROR(__xludf.DUMMYFUNCTION("""COMPUTED_VALUE"""),"মোছাঃ হাসিনা খাতুন")</f>
        <v>মোছাঃ হাসিনা খাতুন</v>
      </c>
      <c r="G467" s="5" t="str">
        <f>IFERROR(__xludf.DUMMYFUNCTION("""COMPUTED_VALUE"""),"১৬/০৮/২০০০")</f>
        <v>১৬/০৮/২০০০</v>
      </c>
      <c r="H467" s="5" t="str">
        <f>IFERROR(__xludf.DUMMYFUNCTION("""COMPUTED_VALUE"""),"গৃহিনী")</f>
        <v>গৃহিনী</v>
      </c>
      <c r="I467" s="5" t="str">
        <f>IFERROR(__xludf.DUMMYFUNCTION("""COMPUTED_VALUE"""),"গাড়াডোব")</f>
        <v>গাড়াডোব</v>
      </c>
      <c r="J467" s="5" t="str">
        <f>IFERROR(__xludf.DUMMYFUNCTION("""COMPUTED_VALUE""")," গাংনী")</f>
        <v> গাংনী</v>
      </c>
      <c r="K467" s="5" t="str">
        <f>IFERROR(__xludf.DUMMYFUNCTION("""COMPUTED_VALUE""")," মেহেরপুর")</f>
        <v> মেহেরপুর</v>
      </c>
    </row>
    <row r="468" ht="15.75" customHeight="1">
      <c r="A468" s="7" t="s">
        <v>7333</v>
      </c>
      <c r="B468" s="5">
        <f>IFERROR(__xludf.DUMMYFUNCTION("SPLIT(A468,"","")"),2603.0)</f>
        <v>2603</v>
      </c>
      <c r="C468" s="5" t="str">
        <f>IFERROR(__xludf.DUMMYFUNCTION("""COMPUTED_VALUE"""),"মোছাঃ সিমা খাতুন")</f>
        <v>মোছাঃ সিমা খাতুন</v>
      </c>
      <c r="D468" s="5">
        <f>IFERROR(__xludf.DUMMYFUNCTION("""COMPUTED_VALUE"""),5.7003854505E11)</f>
        <v>570038545050</v>
      </c>
      <c r="E468" s="5" t="str">
        <f>IFERROR(__xludf.DUMMYFUNCTION("""COMPUTED_VALUE"""),"মোঃ আকছেদ আলী")</f>
        <v>মোঃ আকছেদ আলী</v>
      </c>
      <c r="F468" s="5" t="str">
        <f>IFERROR(__xludf.DUMMYFUNCTION("""COMPUTED_VALUE"""),"মোছাঃ মর্জিনা খাতুন")</f>
        <v>মোছাঃ মর্জিনা খাতুন</v>
      </c>
      <c r="G468" s="5" t="str">
        <f>IFERROR(__xludf.DUMMYFUNCTION("""COMPUTED_VALUE"""),"০১/০১/২০০২")</f>
        <v>০১/০১/২০০২</v>
      </c>
      <c r="H468" s="5" t="str">
        <f>IFERROR(__xludf.DUMMYFUNCTION("""COMPUTED_VALUE"""),"গৃহিনী")</f>
        <v>গৃহিনী</v>
      </c>
      <c r="I468" s="5">
        <f>IFERROR(__xludf.DUMMYFUNCTION("""COMPUTED_VALUE"""),646.0)</f>
        <v>646</v>
      </c>
      <c r="J468" s="5" t="str">
        <f>IFERROR(__xludf.DUMMYFUNCTION("""COMPUTED_VALUE""")," গাড়াডোব")</f>
        <v> গাড়াডোব</v>
      </c>
      <c r="K468" s="5" t="str">
        <f>IFERROR(__xludf.DUMMYFUNCTION("""COMPUTED_VALUE""")," গাংনী")</f>
        <v> গাংনী</v>
      </c>
      <c r="L468" s="5" t="str">
        <f>IFERROR(__xludf.DUMMYFUNCTION("""COMPUTED_VALUE""")," মেহেরপুর")</f>
        <v> মেহেরপুর</v>
      </c>
    </row>
    <row r="469" ht="15.75" customHeight="1">
      <c r="A469" s="7" t="s">
        <v>7334</v>
      </c>
      <c r="B469" s="5">
        <f>IFERROR(__xludf.DUMMYFUNCTION("SPLIT(A469,"","")"),2604.0)</f>
        <v>2604</v>
      </c>
      <c r="C469" s="5" t="str">
        <f>IFERROR(__xludf.DUMMYFUNCTION("""COMPUTED_VALUE"""),"মোছাঃ ক্যামি খাতুন")</f>
        <v>মোছাঃ ক্যামি খাতুন</v>
      </c>
      <c r="D469" s="5">
        <f>IFERROR(__xludf.DUMMYFUNCTION("""COMPUTED_VALUE"""),5.70038545051E11)</f>
        <v>570038545051</v>
      </c>
      <c r="E469" s="5" t="str">
        <f>IFERROR(__xludf.DUMMYFUNCTION("""COMPUTED_VALUE"""),"মোঃ আমজাদ হোসেন")</f>
        <v>মোঃ আমজাদ হোসেন</v>
      </c>
      <c r="F469" s="5" t="str">
        <f>IFERROR(__xludf.DUMMYFUNCTION("""COMPUTED_VALUE"""),"মোছাঃ ইসমতারা")</f>
        <v>মোছাঃ ইসমতারা</v>
      </c>
      <c r="G469" s="5" t="str">
        <f>IFERROR(__xludf.DUMMYFUNCTION("""COMPUTED_VALUE"""),"২০/০৭/২০০৩")</f>
        <v>২০/০৭/২০০৩</v>
      </c>
      <c r="H469" s="5" t="str">
        <f>IFERROR(__xludf.DUMMYFUNCTION("""COMPUTED_VALUE"""),"ছাত্র/ছাত্রী")</f>
        <v>ছাত্র/ছাত্রী</v>
      </c>
      <c r="I469" s="5" t="str">
        <f>IFERROR(__xludf.DUMMYFUNCTION("""COMPUTED_VALUE"""),"গাড়াডোব")</f>
        <v>গাড়াডোব</v>
      </c>
      <c r="J469" s="5" t="str">
        <f>IFERROR(__xludf.DUMMYFUNCTION("""COMPUTED_VALUE""")," গাংনী")</f>
        <v> গাংনী</v>
      </c>
      <c r="K469" s="5" t="str">
        <f>IFERROR(__xludf.DUMMYFUNCTION("""COMPUTED_VALUE""")," মেহেরপুর")</f>
        <v> মেহেরপুর</v>
      </c>
    </row>
    <row r="470" ht="15.75" customHeight="1">
      <c r="A470" s="7" t="s">
        <v>7335</v>
      </c>
      <c r="B470" s="5">
        <f>IFERROR(__xludf.DUMMYFUNCTION("SPLIT(A470,"","")"),2605.0)</f>
        <v>2605</v>
      </c>
      <c r="C470" s="5" t="str">
        <f>IFERROR(__xludf.DUMMYFUNCTION("""COMPUTED_VALUE"""),"মোছাঃ রজনী খাতুন")</f>
        <v>মোছাঃ রজনী খাতুন</v>
      </c>
      <c r="D470" s="5">
        <f>IFERROR(__xludf.DUMMYFUNCTION("""COMPUTED_VALUE"""),5.70038545052E11)</f>
        <v>570038545052</v>
      </c>
      <c r="E470" s="5" t="str">
        <f>IFERROR(__xludf.DUMMYFUNCTION("""COMPUTED_VALUE"""),"মোঃ জহুরুল ইসলাম")</f>
        <v>মোঃ জহুরুল ইসলাম</v>
      </c>
      <c r="F470" s="5" t="str">
        <f>IFERROR(__xludf.DUMMYFUNCTION("""COMPUTED_VALUE"""),"মোছাঃ সোহাগী খাতুন")</f>
        <v>মোছাঃ সোহাগী খাতুন</v>
      </c>
      <c r="G470" s="5" t="str">
        <f>IFERROR(__xludf.DUMMYFUNCTION("""COMPUTED_VALUE"""),"১২/০৩/২০০১")</f>
        <v>১২/০৩/২০০১</v>
      </c>
      <c r="H470" s="5" t="str">
        <f>IFERROR(__xludf.DUMMYFUNCTION("""COMPUTED_VALUE"""),"গৃহিনী")</f>
        <v>গৃহিনী</v>
      </c>
      <c r="I470" s="5" t="str">
        <f>IFERROR(__xludf.DUMMYFUNCTION("""COMPUTED_VALUE"""),"গাড়াডোব")</f>
        <v>গাড়াডোব</v>
      </c>
      <c r="J470" s="5" t="str">
        <f>IFERROR(__xludf.DUMMYFUNCTION("""COMPUTED_VALUE""")," গাংনী")</f>
        <v> গাংনী</v>
      </c>
      <c r="K470" s="5" t="str">
        <f>IFERROR(__xludf.DUMMYFUNCTION("""COMPUTED_VALUE""")," মেহেরপুর")</f>
        <v> মেহেরপুর</v>
      </c>
    </row>
    <row r="471" ht="15.75" customHeight="1">
      <c r="A471" s="7" t="s">
        <v>7336</v>
      </c>
      <c r="B471" s="5">
        <f>IFERROR(__xludf.DUMMYFUNCTION("SPLIT(A471,"","")"),2606.0)</f>
        <v>2606</v>
      </c>
      <c r="C471" s="5" t="str">
        <f>IFERROR(__xludf.DUMMYFUNCTION("""COMPUTED_VALUE"""),"মোছাঃ শারমিন আক্তার")</f>
        <v>মোছাঃ শারমিন আক্তার</v>
      </c>
      <c r="D471" s="5">
        <f>IFERROR(__xludf.DUMMYFUNCTION("""COMPUTED_VALUE"""),5.70038545054E11)</f>
        <v>570038545054</v>
      </c>
      <c r="E471" s="5" t="str">
        <f>IFERROR(__xludf.DUMMYFUNCTION("""COMPUTED_VALUE"""),"মোঃ ওমর আলী")</f>
        <v>মোঃ ওমর আলী</v>
      </c>
      <c r="F471" s="5" t="str">
        <f>IFERROR(__xludf.DUMMYFUNCTION("""COMPUTED_VALUE"""),"মোছাঃ পান্না খাতুন")</f>
        <v>মোছাঃ পান্না খাতুন</v>
      </c>
      <c r="G471" s="5" t="str">
        <f>IFERROR(__xludf.DUMMYFUNCTION("""COMPUTED_VALUE"""),"২০/০৮/২০০২")</f>
        <v>২০/০৮/২০০২</v>
      </c>
      <c r="H471" s="5" t="str">
        <f>IFERROR(__xludf.DUMMYFUNCTION("""COMPUTED_VALUE"""),"গৃহিনী")</f>
        <v>গৃহিনী</v>
      </c>
      <c r="I471" s="5">
        <f>IFERROR(__xludf.DUMMYFUNCTION("""COMPUTED_VALUE"""),260.0)</f>
        <v>260</v>
      </c>
      <c r="J471" s="5" t="str">
        <f>IFERROR(__xludf.DUMMYFUNCTION("""COMPUTED_VALUE""")," গাড়াডোব")</f>
        <v> গাড়াডোব</v>
      </c>
      <c r="K471" s="5" t="str">
        <f>IFERROR(__xludf.DUMMYFUNCTION("""COMPUTED_VALUE""")," গাংনী")</f>
        <v> গাংনী</v>
      </c>
      <c r="L471" s="5" t="str">
        <f>IFERROR(__xludf.DUMMYFUNCTION("""COMPUTED_VALUE""")," মেহেরপুর")</f>
        <v> মেহেরপুর</v>
      </c>
    </row>
    <row r="472" ht="15.75" customHeight="1">
      <c r="A472" s="7" t="s">
        <v>7337</v>
      </c>
      <c r="B472" s="5">
        <f>IFERROR(__xludf.DUMMYFUNCTION("SPLIT(A472,"","")"),2607.0)</f>
        <v>2607</v>
      </c>
      <c r="C472" s="5" t="str">
        <f>IFERROR(__xludf.DUMMYFUNCTION("""COMPUTED_VALUE"""),"মোছাঃ হাসিয়ারা খাতুন")</f>
        <v>মোছাঃ হাসিয়ারা খাতুন</v>
      </c>
      <c r="D472" s="5">
        <f>IFERROR(__xludf.DUMMYFUNCTION("""COMPUTED_VALUE"""),5.70038545057E11)</f>
        <v>570038545057</v>
      </c>
      <c r="E472" s="5" t="str">
        <f>IFERROR(__xludf.DUMMYFUNCTION("""COMPUTED_VALUE"""),"মোঃ ইছাত আলী")</f>
        <v>মোঃ ইছাত আলী</v>
      </c>
      <c r="F472" s="5" t="str">
        <f>IFERROR(__xludf.DUMMYFUNCTION("""COMPUTED_VALUE"""),"মোছাঃ রাশিদা খাতুন")</f>
        <v>মোছাঃ রাশিদা খাতুন</v>
      </c>
      <c r="G472" s="5" t="str">
        <f>IFERROR(__xludf.DUMMYFUNCTION("""COMPUTED_VALUE"""),"০১/০২/২০০৩")</f>
        <v>০১/০২/২০০৩</v>
      </c>
      <c r="H472" s="5" t="str">
        <f>IFERROR(__xludf.DUMMYFUNCTION("""COMPUTED_VALUE"""),"ছাত্র/ছাত্রী")</f>
        <v>ছাত্র/ছাত্রী</v>
      </c>
      <c r="I472" s="5" t="str">
        <f>IFERROR(__xludf.DUMMYFUNCTION("""COMPUTED_VALUE"""),"গাড়াডোব")</f>
        <v>গাড়াডোব</v>
      </c>
      <c r="J472" s="5" t="str">
        <f>IFERROR(__xludf.DUMMYFUNCTION("""COMPUTED_VALUE""")," গাংনী")</f>
        <v> গাংনী</v>
      </c>
      <c r="K472" s="5" t="str">
        <f>IFERROR(__xludf.DUMMYFUNCTION("""COMPUTED_VALUE""")," মেহেরপুর")</f>
        <v> মেহেরপুর</v>
      </c>
    </row>
    <row r="473" ht="15.75" customHeight="1"/>
    <row r="474" ht="15.75" customHeight="1"/>
    <row r="475" ht="15.75" customHeight="1"/>
    <row r="476" ht="15.75" customHeight="1">
      <c r="A476" s="2">
        <v>212.0</v>
      </c>
      <c r="B476" s="1" t="s">
        <v>2632</v>
      </c>
      <c r="C476" s="2">
        <v>5.70038001968E11</v>
      </c>
      <c r="D476" s="1" t="s">
        <v>67</v>
      </c>
      <c r="E476" s="1" t="s">
        <v>368</v>
      </c>
      <c r="F476" s="1" t="s">
        <v>5366</v>
      </c>
      <c r="G476" s="1" t="s">
        <v>135</v>
      </c>
      <c r="H476" s="3" t="s">
        <v>5610</v>
      </c>
      <c r="I476" s="1"/>
      <c r="J476" s="1"/>
    </row>
    <row r="477" ht="15.75" customHeight="1">
      <c r="A477" s="2">
        <v>213.0</v>
      </c>
      <c r="B477" s="1" t="s">
        <v>7338</v>
      </c>
      <c r="C477" s="2">
        <v>5.70038001971E11</v>
      </c>
      <c r="D477" s="1" t="s">
        <v>3901</v>
      </c>
      <c r="E477" s="1" t="s">
        <v>1209</v>
      </c>
      <c r="F477" s="1" t="s">
        <v>5369</v>
      </c>
      <c r="G477" s="1" t="s">
        <v>135</v>
      </c>
      <c r="H477" s="3" t="s">
        <v>5610</v>
      </c>
      <c r="I477" s="1"/>
      <c r="J477" s="1"/>
    </row>
    <row r="478" ht="15.75" customHeight="1">
      <c r="A478" s="2">
        <v>214.0</v>
      </c>
      <c r="B478" s="1" t="s">
        <v>4662</v>
      </c>
      <c r="C478" s="2">
        <v>5.70038001972E11</v>
      </c>
      <c r="D478" s="1" t="s">
        <v>5660</v>
      </c>
      <c r="E478" s="1" t="s">
        <v>490</v>
      </c>
      <c r="F478" s="1" t="s">
        <v>5371</v>
      </c>
      <c r="G478" s="1" t="s">
        <v>3846</v>
      </c>
      <c r="H478" s="3" t="s">
        <v>5610</v>
      </c>
      <c r="I478" s="1"/>
      <c r="J478" s="1"/>
    </row>
    <row r="479" ht="15.75" customHeight="1">
      <c r="A479" s="2">
        <v>215.0</v>
      </c>
      <c r="B479" s="1" t="s">
        <v>7339</v>
      </c>
      <c r="C479" s="2">
        <v>5.70038001976E11</v>
      </c>
      <c r="D479" s="1" t="s">
        <v>5373</v>
      </c>
      <c r="E479" s="1" t="s">
        <v>5374</v>
      </c>
      <c r="F479" s="1" t="s">
        <v>5375</v>
      </c>
      <c r="G479" s="1" t="s">
        <v>135</v>
      </c>
      <c r="H479" s="3" t="s">
        <v>5610</v>
      </c>
      <c r="I479" s="1"/>
      <c r="J479" s="1"/>
    </row>
    <row r="480" ht="15.75" customHeight="1">
      <c r="A480" s="2">
        <v>216.0</v>
      </c>
      <c r="B480" s="1" t="s">
        <v>3984</v>
      </c>
      <c r="C480" s="2">
        <v>5.70038001977E11</v>
      </c>
      <c r="D480" s="1" t="s">
        <v>7340</v>
      </c>
      <c r="E480" s="1" t="s">
        <v>770</v>
      </c>
      <c r="F480" s="1" t="s">
        <v>5377</v>
      </c>
      <c r="G480" s="1" t="s">
        <v>3846</v>
      </c>
      <c r="H480" s="3" t="s">
        <v>5610</v>
      </c>
      <c r="I480" s="1"/>
      <c r="J480" s="1"/>
    </row>
    <row r="481" ht="15.75" customHeight="1">
      <c r="A481" s="2">
        <v>217.0</v>
      </c>
      <c r="B481" s="1" t="s">
        <v>5378</v>
      </c>
      <c r="C481" s="2">
        <v>5.70038001979E11</v>
      </c>
      <c r="D481" s="1" t="s">
        <v>7341</v>
      </c>
      <c r="E481" s="1" t="s">
        <v>513</v>
      </c>
      <c r="F481" s="1" t="s">
        <v>5380</v>
      </c>
      <c r="G481" s="1" t="s">
        <v>135</v>
      </c>
      <c r="H481" s="3" t="s">
        <v>5610</v>
      </c>
      <c r="I481" s="1"/>
      <c r="J481" s="1"/>
    </row>
    <row r="482" ht="15.75" customHeight="1">
      <c r="A482" s="2">
        <v>218.0</v>
      </c>
      <c r="B482" s="1" t="s">
        <v>297</v>
      </c>
      <c r="C482" s="2">
        <v>5.7003800198E11</v>
      </c>
      <c r="D482" s="1" t="s">
        <v>7342</v>
      </c>
      <c r="E482" s="1" t="s">
        <v>4350</v>
      </c>
      <c r="F482" s="1" t="s">
        <v>5382</v>
      </c>
      <c r="G482" s="1" t="s">
        <v>135</v>
      </c>
      <c r="H482" s="3" t="s">
        <v>5610</v>
      </c>
      <c r="I482" s="1"/>
      <c r="J482" s="1"/>
    </row>
    <row r="483" ht="15.75" customHeight="1">
      <c r="A483" s="2">
        <v>219.0</v>
      </c>
      <c r="B483" s="1" t="s">
        <v>5383</v>
      </c>
      <c r="C483" s="2">
        <v>5.70038001981E11</v>
      </c>
      <c r="D483" s="1" t="s">
        <v>7343</v>
      </c>
      <c r="E483" s="1" t="s">
        <v>1904</v>
      </c>
      <c r="F483" s="1" t="s">
        <v>5385</v>
      </c>
      <c r="G483" s="1" t="s">
        <v>135</v>
      </c>
      <c r="H483" s="3" t="s">
        <v>5610</v>
      </c>
      <c r="I483" s="1"/>
      <c r="J483" s="1"/>
    </row>
    <row r="484" ht="15.75" customHeight="1">
      <c r="A484" s="2">
        <v>230.0</v>
      </c>
      <c r="B484" s="1" t="s">
        <v>1609</v>
      </c>
      <c r="C484" s="2">
        <v>5.70038001982E11</v>
      </c>
      <c r="D484" s="1" t="s">
        <v>7344</v>
      </c>
      <c r="E484" s="1" t="s">
        <v>532</v>
      </c>
      <c r="F484" s="1" t="s">
        <v>5387</v>
      </c>
      <c r="G484" s="1" t="s">
        <v>135</v>
      </c>
      <c r="H484" s="3" t="s">
        <v>5610</v>
      </c>
      <c r="I484" s="1"/>
      <c r="J484" s="1"/>
    </row>
    <row r="485" ht="15.75" customHeight="1">
      <c r="A485" s="2">
        <v>231.0</v>
      </c>
      <c r="B485" s="1" t="s">
        <v>2905</v>
      </c>
      <c r="C485" s="2">
        <v>5.70038001983E11</v>
      </c>
      <c r="D485" s="1" t="s">
        <v>6827</v>
      </c>
      <c r="E485" s="1" t="s">
        <v>1287</v>
      </c>
      <c r="F485" s="1" t="s">
        <v>5389</v>
      </c>
      <c r="G485" s="1" t="s">
        <v>135</v>
      </c>
      <c r="H485" s="3" t="s">
        <v>5610</v>
      </c>
      <c r="I485" s="1"/>
      <c r="J485" s="1"/>
    </row>
    <row r="486" ht="15.75" customHeight="1">
      <c r="A486" s="2">
        <v>232.0</v>
      </c>
      <c r="B486" s="1" t="s">
        <v>2907</v>
      </c>
      <c r="C486" s="2">
        <v>5.70038001984E11</v>
      </c>
      <c r="D486" s="1" t="s">
        <v>404</v>
      </c>
      <c r="E486" s="1" t="s">
        <v>4738</v>
      </c>
      <c r="F486" s="1" t="s">
        <v>5390</v>
      </c>
      <c r="G486" s="1" t="s">
        <v>135</v>
      </c>
      <c r="H486" s="3" t="s">
        <v>5610</v>
      </c>
      <c r="I486" s="1"/>
      <c r="J486" s="1"/>
    </row>
    <row r="487" ht="15.75" customHeight="1">
      <c r="A487" s="2">
        <v>233.0</v>
      </c>
      <c r="B487" s="1" t="s">
        <v>7345</v>
      </c>
      <c r="C487" s="2">
        <v>5.70038001985E11</v>
      </c>
      <c r="D487" s="1" t="s">
        <v>5281</v>
      </c>
      <c r="E487" s="1" t="s">
        <v>2310</v>
      </c>
      <c r="F487" s="1" t="s">
        <v>5393</v>
      </c>
      <c r="G487" s="1" t="s">
        <v>135</v>
      </c>
      <c r="H487" s="3" t="s">
        <v>5610</v>
      </c>
      <c r="I487" s="1"/>
      <c r="J487" s="1"/>
    </row>
    <row r="488" ht="15.75" customHeight="1">
      <c r="A488" s="2">
        <v>234.0</v>
      </c>
      <c r="B488" s="1" t="s">
        <v>5394</v>
      </c>
      <c r="C488" s="2">
        <v>5.70038001989E11</v>
      </c>
      <c r="D488" s="1" t="s">
        <v>4094</v>
      </c>
      <c r="E488" s="1" t="s">
        <v>273</v>
      </c>
      <c r="F488" s="1" t="s">
        <v>5396</v>
      </c>
      <c r="G488" s="1" t="s">
        <v>135</v>
      </c>
      <c r="H488" s="3" t="s">
        <v>5610</v>
      </c>
      <c r="I488" s="1"/>
      <c r="J488" s="1"/>
    </row>
    <row r="489" ht="15.75" customHeight="1">
      <c r="A489" s="2">
        <v>235.0</v>
      </c>
      <c r="B489" s="1" t="s">
        <v>5335</v>
      </c>
      <c r="C489" s="2">
        <v>5.7003800199E11</v>
      </c>
      <c r="D489" s="1" t="s">
        <v>4663</v>
      </c>
      <c r="E489" s="1" t="s">
        <v>228</v>
      </c>
      <c r="F489" s="1" t="s">
        <v>5398</v>
      </c>
      <c r="G489" s="1" t="s">
        <v>135</v>
      </c>
      <c r="H489" s="3" t="s">
        <v>5610</v>
      </c>
      <c r="I489" s="1"/>
      <c r="J489" s="1"/>
    </row>
    <row r="490" ht="15.75" customHeight="1">
      <c r="A490" s="2">
        <v>236.0</v>
      </c>
      <c r="B490" s="1" t="s">
        <v>5399</v>
      </c>
      <c r="C490" s="2">
        <v>5.70038001992E11</v>
      </c>
      <c r="D490" s="1" t="s">
        <v>7346</v>
      </c>
      <c r="E490" s="1" t="s">
        <v>7347</v>
      </c>
      <c r="F490" s="1" t="s">
        <v>5401</v>
      </c>
      <c r="G490" s="1" t="s">
        <v>135</v>
      </c>
      <c r="H490" s="3" t="s">
        <v>5610</v>
      </c>
      <c r="I490" s="1"/>
      <c r="J490" s="1"/>
    </row>
    <row r="491" ht="15.75" customHeight="1">
      <c r="A491" s="2">
        <v>237.0</v>
      </c>
      <c r="B491" s="1" t="s">
        <v>5402</v>
      </c>
      <c r="C491" s="2">
        <v>5.70038001994E11</v>
      </c>
      <c r="D491" s="1" t="s">
        <v>1242</v>
      </c>
      <c r="E491" s="1" t="s">
        <v>822</v>
      </c>
      <c r="F491" s="1" t="s">
        <v>5380</v>
      </c>
      <c r="G491" s="1" t="s">
        <v>135</v>
      </c>
      <c r="H491" s="3" t="s">
        <v>5610</v>
      </c>
      <c r="I491" s="1"/>
      <c r="J491" s="1"/>
    </row>
    <row r="492" ht="15.75" customHeight="1">
      <c r="A492" s="2">
        <v>238.0</v>
      </c>
      <c r="B492" s="1" t="s">
        <v>3721</v>
      </c>
      <c r="C492" s="2">
        <v>5.70038001E11</v>
      </c>
      <c r="D492" s="1" t="s">
        <v>7348</v>
      </c>
      <c r="E492" s="1" t="s">
        <v>540</v>
      </c>
      <c r="F492" s="1" t="s">
        <v>5405</v>
      </c>
      <c r="G492" s="1" t="s">
        <v>135</v>
      </c>
      <c r="H492" s="3" t="s">
        <v>5610</v>
      </c>
      <c r="I492" s="1"/>
      <c r="J492" s="1"/>
    </row>
    <row r="493" ht="15.75" customHeight="1">
      <c r="A493" s="2">
        <v>239.0</v>
      </c>
      <c r="B493" s="1" t="s">
        <v>5406</v>
      </c>
      <c r="C493" s="2">
        <v>5.70038001005E11</v>
      </c>
      <c r="D493" s="1" t="s">
        <v>5407</v>
      </c>
      <c r="E493" s="1" t="s">
        <v>5408</v>
      </c>
      <c r="F493" s="1" t="s">
        <v>5409</v>
      </c>
      <c r="G493" s="1" t="s">
        <v>135</v>
      </c>
      <c r="H493" s="3" t="s">
        <v>5610</v>
      </c>
      <c r="I493" s="1"/>
      <c r="J493" s="1"/>
    </row>
    <row r="494" ht="15.75" customHeight="1">
      <c r="A494" s="2">
        <v>240.0</v>
      </c>
      <c r="B494" s="1" t="s">
        <v>5410</v>
      </c>
      <c r="C494" s="2">
        <v>5.70038001008E11</v>
      </c>
      <c r="D494" s="1" t="s">
        <v>1570</v>
      </c>
      <c r="E494" s="1" t="s">
        <v>5956</v>
      </c>
      <c r="F494" s="1" t="s">
        <v>5412</v>
      </c>
      <c r="G494" s="1" t="s">
        <v>135</v>
      </c>
      <c r="H494" s="3" t="s">
        <v>5610</v>
      </c>
      <c r="I494" s="1"/>
      <c r="J494" s="1"/>
    </row>
    <row r="495" ht="15.75" customHeight="1">
      <c r="A495" s="2">
        <v>241.0</v>
      </c>
      <c r="B495" s="1" t="s">
        <v>4662</v>
      </c>
      <c r="C495" s="2">
        <v>5.70038001009E11</v>
      </c>
      <c r="D495" s="1" t="s">
        <v>749</v>
      </c>
      <c r="E495" s="1" t="s">
        <v>42</v>
      </c>
      <c r="F495" s="1" t="s">
        <v>5390</v>
      </c>
      <c r="G495" s="1" t="s">
        <v>135</v>
      </c>
      <c r="H495" s="3" t="s">
        <v>5610</v>
      </c>
      <c r="I495" s="1"/>
      <c r="J495" s="1"/>
    </row>
    <row r="496" ht="15.75" customHeight="1">
      <c r="A496" s="2">
        <v>242.0</v>
      </c>
      <c r="B496" s="1" t="s">
        <v>5413</v>
      </c>
      <c r="C496" s="2">
        <v>5.70038001012E11</v>
      </c>
      <c r="D496" s="1" t="s">
        <v>7349</v>
      </c>
      <c r="E496" s="1" t="s">
        <v>77</v>
      </c>
      <c r="F496" s="1" t="s">
        <v>5415</v>
      </c>
      <c r="G496" s="1" t="s">
        <v>135</v>
      </c>
      <c r="H496" s="3" t="s">
        <v>5610</v>
      </c>
      <c r="I496" s="1"/>
      <c r="J496" s="1"/>
    </row>
    <row r="497" ht="15.75" customHeight="1">
      <c r="A497" s="2">
        <v>243.0</v>
      </c>
      <c r="B497" s="1" t="s">
        <v>4143</v>
      </c>
      <c r="C497" s="2">
        <v>5.70038001016E11</v>
      </c>
      <c r="D497" s="1" t="s">
        <v>6374</v>
      </c>
      <c r="E497" s="1" t="s">
        <v>2020</v>
      </c>
      <c r="F497" s="1" t="s">
        <v>5417</v>
      </c>
      <c r="G497" s="1" t="s">
        <v>135</v>
      </c>
      <c r="H497" s="3" t="s">
        <v>5610</v>
      </c>
      <c r="I497" s="1"/>
      <c r="J497" s="1"/>
    </row>
    <row r="498" ht="15.75" customHeight="1">
      <c r="A498" s="2">
        <v>244.0</v>
      </c>
      <c r="B498" s="1" t="s">
        <v>5418</v>
      </c>
      <c r="C498" s="2">
        <v>5.70038001017E11</v>
      </c>
      <c r="D498" s="1" t="s">
        <v>6001</v>
      </c>
      <c r="E498" s="1" t="s">
        <v>1765</v>
      </c>
      <c r="F498" s="1" t="s">
        <v>5420</v>
      </c>
      <c r="G498" s="1" t="s">
        <v>135</v>
      </c>
      <c r="H498" s="3" t="s">
        <v>5610</v>
      </c>
      <c r="I498" s="1"/>
      <c r="J498" s="1"/>
    </row>
    <row r="499" ht="15.75" customHeight="1">
      <c r="A499" s="2">
        <v>245.0</v>
      </c>
      <c r="B499" s="1" t="s">
        <v>397</v>
      </c>
      <c r="C499" s="2">
        <v>5.70038001018E11</v>
      </c>
      <c r="D499" s="1" t="s">
        <v>4094</v>
      </c>
      <c r="E499" s="1" t="s">
        <v>7350</v>
      </c>
      <c r="F499" s="1" t="s">
        <v>5421</v>
      </c>
      <c r="G499" s="1" t="s">
        <v>5422</v>
      </c>
      <c r="H499" s="3" t="s">
        <v>5610</v>
      </c>
      <c r="I499" s="1"/>
      <c r="J499" s="1"/>
    </row>
    <row r="500" ht="15.75" customHeight="1">
      <c r="A500" s="2">
        <v>246.0</v>
      </c>
      <c r="B500" s="1" t="s">
        <v>7351</v>
      </c>
      <c r="C500" s="2">
        <v>5.70038001019E11</v>
      </c>
      <c r="D500" s="1" t="s">
        <v>958</v>
      </c>
      <c r="E500" s="1" t="s">
        <v>228</v>
      </c>
      <c r="F500" s="1" t="s">
        <v>5424</v>
      </c>
      <c r="G500" s="1" t="s">
        <v>135</v>
      </c>
      <c r="H500" s="3" t="s">
        <v>5610</v>
      </c>
      <c r="I500" s="1"/>
      <c r="J500" s="1"/>
    </row>
    <row r="501" ht="15.75" customHeight="1">
      <c r="A501" s="2">
        <v>247.0</v>
      </c>
      <c r="B501" s="1" t="s">
        <v>281</v>
      </c>
      <c r="C501" s="2">
        <v>5.70038001947E11</v>
      </c>
      <c r="D501" s="1" t="s">
        <v>7352</v>
      </c>
      <c r="E501" s="1" t="s">
        <v>870</v>
      </c>
      <c r="F501" s="1" t="s">
        <v>5427</v>
      </c>
      <c r="G501" s="1" t="s">
        <v>3846</v>
      </c>
      <c r="H501" s="3" t="s">
        <v>5610</v>
      </c>
      <c r="I501" s="1"/>
      <c r="J501" s="1"/>
    </row>
    <row r="502" ht="15.75" customHeight="1">
      <c r="A502" s="2">
        <v>248.0</v>
      </c>
      <c r="B502" s="1" t="s">
        <v>1142</v>
      </c>
      <c r="C502" s="2">
        <v>5.70038001948E11</v>
      </c>
      <c r="D502" s="1" t="s">
        <v>3602</v>
      </c>
      <c r="E502" s="1" t="s">
        <v>7353</v>
      </c>
      <c r="F502" s="1" t="s">
        <v>1560</v>
      </c>
      <c r="G502" s="1" t="s">
        <v>3846</v>
      </c>
      <c r="H502" s="3" t="s">
        <v>5610</v>
      </c>
      <c r="I502" s="1"/>
      <c r="J502" s="1"/>
    </row>
    <row r="503" ht="15.75" customHeight="1">
      <c r="A503" s="2">
        <v>249.0</v>
      </c>
      <c r="B503" s="1" t="s">
        <v>5335</v>
      </c>
      <c r="C503" s="2">
        <v>5.7003800195E11</v>
      </c>
      <c r="D503" s="1" t="s">
        <v>7354</v>
      </c>
      <c r="E503" s="1" t="s">
        <v>7355</v>
      </c>
      <c r="F503" s="1" t="s">
        <v>5433</v>
      </c>
      <c r="G503" s="1" t="s">
        <v>3846</v>
      </c>
      <c r="H503" s="3" t="s">
        <v>5610</v>
      </c>
      <c r="I503" s="1"/>
      <c r="J503" s="1"/>
    </row>
    <row r="504" ht="15.75" customHeight="1">
      <c r="A504" s="2">
        <v>250.0</v>
      </c>
      <c r="B504" s="1" t="s">
        <v>5434</v>
      </c>
      <c r="C504" s="2">
        <v>5.70038001951E11</v>
      </c>
      <c r="D504" s="1" t="s">
        <v>749</v>
      </c>
      <c r="E504" s="1" t="s">
        <v>415</v>
      </c>
      <c r="F504" s="1" t="s">
        <v>5435</v>
      </c>
      <c r="G504" s="1" t="s">
        <v>3846</v>
      </c>
      <c r="H504" s="3" t="s">
        <v>5610</v>
      </c>
      <c r="I504" s="1"/>
      <c r="J504" s="1"/>
    </row>
    <row r="505" ht="15.75" customHeight="1">
      <c r="A505" s="2">
        <v>251.0</v>
      </c>
      <c r="B505" s="1" t="s">
        <v>5436</v>
      </c>
      <c r="C505" s="2">
        <v>5.70038001953E11</v>
      </c>
      <c r="D505" s="1" t="s">
        <v>5437</v>
      </c>
      <c r="E505" s="1" t="s">
        <v>1515</v>
      </c>
      <c r="F505" s="1" t="s">
        <v>5067</v>
      </c>
      <c r="G505" s="1" t="s">
        <v>3846</v>
      </c>
      <c r="H505" s="3" t="s">
        <v>5610</v>
      </c>
      <c r="I505" s="1"/>
      <c r="J505" s="1"/>
    </row>
    <row r="506" ht="15.75" customHeight="1">
      <c r="A506" s="2">
        <v>252.0</v>
      </c>
      <c r="B506" s="1" t="s">
        <v>5438</v>
      </c>
      <c r="C506" s="2">
        <v>5.70038001955E11</v>
      </c>
      <c r="D506" s="1" t="s">
        <v>7356</v>
      </c>
      <c r="E506" s="1" t="s">
        <v>5440</v>
      </c>
      <c r="F506" s="1" t="s">
        <v>5441</v>
      </c>
      <c r="G506" s="1" t="s">
        <v>135</v>
      </c>
      <c r="H506" s="3" t="s">
        <v>5610</v>
      </c>
      <c r="I506" s="1"/>
      <c r="J506" s="1"/>
    </row>
    <row r="507" ht="15.75" customHeight="1">
      <c r="A507" s="2">
        <v>253.0</v>
      </c>
      <c r="B507" s="1" t="s">
        <v>7357</v>
      </c>
      <c r="C507" s="2">
        <v>5.70038001956E11</v>
      </c>
      <c r="D507" s="1" t="s">
        <v>2592</v>
      </c>
      <c r="E507" s="1" t="s">
        <v>5444</v>
      </c>
      <c r="F507" s="1" t="s">
        <v>5445</v>
      </c>
      <c r="G507" s="1" t="s">
        <v>3846</v>
      </c>
      <c r="H507" s="3" t="s">
        <v>5610</v>
      </c>
      <c r="I507" s="1"/>
      <c r="J507" s="1"/>
    </row>
    <row r="508" ht="15.75" customHeight="1">
      <c r="A508" s="2">
        <v>254.0</v>
      </c>
      <c r="B508" s="1" t="s">
        <v>5446</v>
      </c>
      <c r="C508" s="2">
        <v>5.70038001025E11</v>
      </c>
      <c r="D508" s="1" t="s">
        <v>2693</v>
      </c>
      <c r="E508" s="1" t="s">
        <v>660</v>
      </c>
      <c r="F508" s="1" t="s">
        <v>5448</v>
      </c>
      <c r="G508" s="1" t="s">
        <v>3846</v>
      </c>
      <c r="H508" s="3" t="s">
        <v>7358</v>
      </c>
      <c r="I508" s="1"/>
      <c r="J508" s="1"/>
    </row>
    <row r="509" ht="15.75" customHeight="1">
      <c r="A509" s="2">
        <v>255.0</v>
      </c>
      <c r="B509" s="1" t="s">
        <v>5450</v>
      </c>
      <c r="C509" s="2">
        <v>5.70038001026E11</v>
      </c>
      <c r="D509" s="1" t="s">
        <v>5451</v>
      </c>
      <c r="E509" s="1" t="s">
        <v>5452</v>
      </c>
      <c r="F509" s="1" t="s">
        <v>5453</v>
      </c>
      <c r="G509" s="1" t="s">
        <v>135</v>
      </c>
      <c r="H509" s="3" t="s">
        <v>5610</v>
      </c>
      <c r="I509" s="1"/>
      <c r="J509" s="1"/>
    </row>
    <row r="510" ht="15.75" customHeight="1">
      <c r="A510" s="2">
        <v>256.0</v>
      </c>
      <c r="B510" s="1" t="s">
        <v>4427</v>
      </c>
      <c r="C510" s="2">
        <v>5.70038001027E11</v>
      </c>
      <c r="D510" s="1" t="s">
        <v>5454</v>
      </c>
      <c r="E510" s="1" t="s">
        <v>7359</v>
      </c>
      <c r="F510" s="1" t="s">
        <v>5456</v>
      </c>
      <c r="G510" s="1" t="s">
        <v>3846</v>
      </c>
      <c r="H510" s="3" t="s">
        <v>5610</v>
      </c>
      <c r="I510" s="1"/>
      <c r="J510" s="1"/>
    </row>
    <row r="511" ht="15.75" customHeight="1">
      <c r="A511" s="2">
        <v>257.0</v>
      </c>
      <c r="B511" s="1" t="s">
        <v>1193</v>
      </c>
      <c r="C511" s="2">
        <v>5.70038001032E11</v>
      </c>
      <c r="D511" s="1" t="s">
        <v>4668</v>
      </c>
      <c r="E511" s="1" t="s">
        <v>7360</v>
      </c>
      <c r="F511" s="1" t="s">
        <v>5459</v>
      </c>
      <c r="G511" s="1" t="s">
        <v>3846</v>
      </c>
      <c r="H511" s="3" t="s">
        <v>7361</v>
      </c>
      <c r="I511" s="1"/>
      <c r="J511" s="1"/>
    </row>
    <row r="512" ht="15.75" customHeight="1">
      <c r="A512" s="2">
        <v>258.0</v>
      </c>
      <c r="B512" s="1" t="s">
        <v>5461</v>
      </c>
      <c r="C512" s="2">
        <v>5.70038001034E11</v>
      </c>
      <c r="D512" s="1" t="s">
        <v>5462</v>
      </c>
      <c r="E512" s="1" t="s">
        <v>3466</v>
      </c>
      <c r="F512" s="1" t="s">
        <v>5463</v>
      </c>
      <c r="G512" s="1" t="s">
        <v>3846</v>
      </c>
      <c r="H512" s="3" t="s">
        <v>5610</v>
      </c>
      <c r="I512" s="1"/>
      <c r="J512" s="1"/>
    </row>
    <row r="513" ht="15.75" customHeight="1">
      <c r="A513" s="2">
        <v>259.0</v>
      </c>
      <c r="B513" s="1" t="s">
        <v>2743</v>
      </c>
      <c r="C513" s="2">
        <v>5.70038001036E11</v>
      </c>
      <c r="D513" s="1" t="s">
        <v>7362</v>
      </c>
      <c r="E513" s="1" t="s">
        <v>5465</v>
      </c>
      <c r="F513" s="1" t="s">
        <v>5466</v>
      </c>
      <c r="G513" s="1" t="s">
        <v>135</v>
      </c>
      <c r="H513" s="3" t="s">
        <v>5610</v>
      </c>
      <c r="I513" s="1"/>
      <c r="J513" s="1"/>
    </row>
    <row r="514" ht="15.75" customHeight="1">
      <c r="A514" s="2">
        <v>260.0</v>
      </c>
      <c r="B514" s="1" t="s">
        <v>5467</v>
      </c>
      <c r="C514" s="2">
        <v>5.7003800104E11</v>
      </c>
      <c r="D514" s="1" t="s">
        <v>5468</v>
      </c>
      <c r="E514" s="1" t="s">
        <v>5469</v>
      </c>
      <c r="F514" s="1" t="s">
        <v>5470</v>
      </c>
      <c r="G514" s="1" t="s">
        <v>3846</v>
      </c>
      <c r="H514" s="3" t="s">
        <v>7363</v>
      </c>
      <c r="I514" s="1"/>
      <c r="J514" s="1"/>
    </row>
    <row r="515" ht="15.75" customHeight="1">
      <c r="A515" s="2">
        <v>261.0</v>
      </c>
      <c r="B515" s="1" t="s">
        <v>2753</v>
      </c>
      <c r="C515" s="2">
        <v>5.70038001041E11</v>
      </c>
      <c r="D515" s="1" t="s">
        <v>1575</v>
      </c>
      <c r="E515" s="1" t="s">
        <v>50</v>
      </c>
      <c r="F515" s="1" t="s">
        <v>5473</v>
      </c>
      <c r="G515" s="1" t="s">
        <v>3846</v>
      </c>
      <c r="H515" s="3" t="s">
        <v>5610</v>
      </c>
      <c r="I515" s="1"/>
      <c r="J515" s="1"/>
    </row>
    <row r="516" ht="15.75" customHeight="1">
      <c r="A516" s="2">
        <v>262.0</v>
      </c>
      <c r="B516" s="1" t="s">
        <v>127</v>
      </c>
      <c r="C516" s="2">
        <v>5.70038001042E11</v>
      </c>
      <c r="D516" s="1" t="s">
        <v>2844</v>
      </c>
      <c r="E516" s="1" t="s">
        <v>1774</v>
      </c>
      <c r="F516" s="1" t="s">
        <v>5474</v>
      </c>
      <c r="G516" s="1" t="s">
        <v>3846</v>
      </c>
      <c r="H516" s="3" t="s">
        <v>7364</v>
      </c>
      <c r="I516" s="1"/>
      <c r="J516" s="1"/>
    </row>
    <row r="517" ht="15.75" customHeight="1">
      <c r="A517" s="2">
        <v>263.0</v>
      </c>
      <c r="B517" s="1" t="s">
        <v>5476</v>
      </c>
      <c r="C517" s="2">
        <v>5.70038001048E11</v>
      </c>
      <c r="D517" s="1" t="s">
        <v>7365</v>
      </c>
      <c r="E517" s="1" t="s">
        <v>5478</v>
      </c>
      <c r="F517" s="1" t="s">
        <v>5479</v>
      </c>
      <c r="G517" s="1" t="s">
        <v>3846</v>
      </c>
      <c r="H517" s="3" t="s">
        <v>7366</v>
      </c>
      <c r="I517" s="1"/>
      <c r="J517" s="1"/>
    </row>
    <row r="518" ht="15.75" customHeight="1">
      <c r="A518" s="2">
        <v>264.0</v>
      </c>
      <c r="B518" s="1" t="s">
        <v>7367</v>
      </c>
      <c r="C518" s="2">
        <v>5.70038001049E11</v>
      </c>
      <c r="D518" s="1" t="s">
        <v>5482</v>
      </c>
      <c r="E518" s="1" t="s">
        <v>179</v>
      </c>
      <c r="F518" s="1" t="s">
        <v>5483</v>
      </c>
      <c r="G518" s="1" t="s">
        <v>135</v>
      </c>
      <c r="H518" s="3" t="s">
        <v>5610</v>
      </c>
      <c r="I518" s="1"/>
      <c r="J518" s="1"/>
    </row>
    <row r="519" ht="15.75" customHeight="1">
      <c r="A519" s="2">
        <v>265.0</v>
      </c>
      <c r="B519" s="1" t="s">
        <v>897</v>
      </c>
      <c r="C519" s="2">
        <v>5.7003800105E11</v>
      </c>
      <c r="D519" s="1" t="s">
        <v>5484</v>
      </c>
      <c r="E519" s="1" t="s">
        <v>5485</v>
      </c>
      <c r="F519" s="1" t="s">
        <v>5486</v>
      </c>
      <c r="G519" s="1" t="s">
        <v>3846</v>
      </c>
      <c r="H519" s="3" t="s">
        <v>5610</v>
      </c>
      <c r="I519" s="1"/>
      <c r="J519" s="1"/>
    </row>
    <row r="520" ht="15.75" customHeight="1">
      <c r="A520" s="2">
        <v>266.0</v>
      </c>
      <c r="B520" s="1" t="s">
        <v>5487</v>
      </c>
      <c r="C520" s="2">
        <v>5.70038001051E11</v>
      </c>
      <c r="D520" s="1" t="s">
        <v>7368</v>
      </c>
      <c r="E520" s="1" t="s">
        <v>346</v>
      </c>
      <c r="F520" s="1" t="s">
        <v>5489</v>
      </c>
      <c r="G520" s="1" t="s">
        <v>3846</v>
      </c>
      <c r="H520" s="3" t="s">
        <v>7369</v>
      </c>
      <c r="I520" s="1"/>
      <c r="J520" s="1"/>
    </row>
    <row r="521" ht="15.75" customHeight="1">
      <c r="A521" s="2">
        <v>267.0</v>
      </c>
      <c r="B521" s="1" t="s">
        <v>462</v>
      </c>
      <c r="C521" s="2">
        <v>5.70038001053E11</v>
      </c>
      <c r="D521" s="1" t="s">
        <v>7370</v>
      </c>
      <c r="E521" s="1" t="s">
        <v>7371</v>
      </c>
      <c r="F521" s="1" t="s">
        <v>5329</v>
      </c>
      <c r="G521" s="1" t="s">
        <v>3846</v>
      </c>
      <c r="H521" s="3" t="s">
        <v>5610</v>
      </c>
      <c r="I521" s="1"/>
      <c r="J521" s="1"/>
    </row>
    <row r="522" ht="15.75" customHeight="1">
      <c r="A522" s="2">
        <v>268.0</v>
      </c>
      <c r="B522" s="1" t="s">
        <v>2907</v>
      </c>
      <c r="C522" s="2">
        <v>5.70038001054E11</v>
      </c>
      <c r="D522" s="1" t="s">
        <v>132</v>
      </c>
      <c r="E522" s="1" t="s">
        <v>362</v>
      </c>
      <c r="F522" s="1" t="s">
        <v>5494</v>
      </c>
      <c r="G522" s="1" t="s">
        <v>135</v>
      </c>
      <c r="H522" s="3" t="s">
        <v>7372</v>
      </c>
      <c r="I522" s="1"/>
      <c r="J522" s="1"/>
    </row>
    <row r="523" ht="15.75" customHeight="1">
      <c r="A523" s="2">
        <v>269.0</v>
      </c>
      <c r="B523" s="1" t="s">
        <v>5496</v>
      </c>
      <c r="C523" s="2">
        <v>5.70038001055E11</v>
      </c>
      <c r="D523" s="1" t="s">
        <v>3383</v>
      </c>
      <c r="E523" s="1" t="s">
        <v>5498</v>
      </c>
      <c r="F523" s="1" t="s">
        <v>5499</v>
      </c>
      <c r="G523" s="1" t="s">
        <v>3846</v>
      </c>
      <c r="H523" s="3" t="s">
        <v>5610</v>
      </c>
      <c r="I523" s="1"/>
      <c r="J523" s="1"/>
    </row>
    <row r="524" ht="15.75" customHeight="1">
      <c r="A524" s="2">
        <v>270.0</v>
      </c>
      <c r="B524" s="1" t="s">
        <v>5500</v>
      </c>
      <c r="C524" s="2">
        <v>5.70038001056E11</v>
      </c>
      <c r="D524" s="1" t="s">
        <v>7373</v>
      </c>
      <c r="E524" s="1" t="s">
        <v>5502</v>
      </c>
      <c r="F524" s="1" t="s">
        <v>5321</v>
      </c>
      <c r="G524" s="1" t="s">
        <v>135</v>
      </c>
      <c r="H524" s="3" t="s">
        <v>5610</v>
      </c>
      <c r="I524" s="1"/>
      <c r="J524" s="1"/>
    </row>
    <row r="525" ht="15.75" customHeight="1">
      <c r="A525" s="2">
        <v>271.0</v>
      </c>
      <c r="B525" s="1" t="s">
        <v>5503</v>
      </c>
      <c r="C525" s="2">
        <v>5.70038001057E11</v>
      </c>
      <c r="D525" s="1" t="s">
        <v>5504</v>
      </c>
      <c r="E525" s="1" t="s">
        <v>5505</v>
      </c>
      <c r="F525" s="1" t="s">
        <v>5506</v>
      </c>
      <c r="G525" s="1" t="s">
        <v>3846</v>
      </c>
      <c r="H525" s="3" t="s">
        <v>5610</v>
      </c>
      <c r="I525" s="1"/>
      <c r="J525" s="1"/>
    </row>
    <row r="526" ht="15.75" customHeight="1">
      <c r="A526" s="2">
        <v>272.0</v>
      </c>
      <c r="B526" s="1" t="s">
        <v>5507</v>
      </c>
      <c r="C526" s="2">
        <v>5.70038001058E11</v>
      </c>
      <c r="D526" s="1" t="s">
        <v>7374</v>
      </c>
      <c r="E526" s="1" t="s">
        <v>5508</v>
      </c>
      <c r="F526" s="1" t="s">
        <v>5509</v>
      </c>
      <c r="G526" s="1" t="s">
        <v>3846</v>
      </c>
      <c r="H526" s="3" t="s">
        <v>5610</v>
      </c>
      <c r="I526" s="1"/>
      <c r="J526" s="1"/>
    </row>
    <row r="527" ht="15.75" customHeight="1">
      <c r="A527" s="2">
        <v>273.0</v>
      </c>
      <c r="B527" s="1" t="s">
        <v>3230</v>
      </c>
      <c r="C527" s="2">
        <v>5.7003800106E11</v>
      </c>
      <c r="D527" s="1" t="s">
        <v>7375</v>
      </c>
      <c r="E527" s="1" t="s">
        <v>77</v>
      </c>
      <c r="F527" s="1" t="s">
        <v>4848</v>
      </c>
      <c r="G527" s="1" t="s">
        <v>3846</v>
      </c>
      <c r="H527" s="3" t="s">
        <v>5610</v>
      </c>
      <c r="I527" s="1"/>
      <c r="J527" s="1"/>
    </row>
    <row r="528" ht="15.75" customHeight="1">
      <c r="A528" s="2">
        <v>274.0</v>
      </c>
      <c r="B528" s="1" t="s">
        <v>5511</v>
      </c>
      <c r="C528" s="2">
        <v>5.70038001061E11</v>
      </c>
      <c r="D528" s="1" t="s">
        <v>7376</v>
      </c>
      <c r="E528" s="1" t="s">
        <v>5513</v>
      </c>
      <c r="F528" s="1" t="s">
        <v>5514</v>
      </c>
      <c r="G528" s="1" t="s">
        <v>3846</v>
      </c>
      <c r="H528" s="3" t="s">
        <v>5610</v>
      </c>
      <c r="I528" s="1"/>
      <c r="J528" s="1"/>
    </row>
    <row r="529" ht="15.75" customHeight="1">
      <c r="A529" s="2">
        <v>275.0</v>
      </c>
      <c r="B529" s="1" t="s">
        <v>7377</v>
      </c>
      <c r="C529" s="2">
        <v>5.70038001063E11</v>
      </c>
      <c r="D529" s="1" t="s">
        <v>7378</v>
      </c>
      <c r="E529" s="1" t="s">
        <v>872</v>
      </c>
      <c r="F529" s="1" t="s">
        <v>5047</v>
      </c>
      <c r="G529" s="1" t="s">
        <v>135</v>
      </c>
      <c r="H529" s="3" t="s">
        <v>5610</v>
      </c>
      <c r="I529" s="1"/>
      <c r="J529" s="1"/>
    </row>
    <row r="530" ht="15.75" customHeight="1">
      <c r="A530" s="2">
        <v>276.0</v>
      </c>
      <c r="B530" s="1" t="s">
        <v>1774</v>
      </c>
      <c r="C530" s="2">
        <v>5.70038001065E11</v>
      </c>
      <c r="D530" s="1" t="s">
        <v>7379</v>
      </c>
      <c r="E530" s="1" t="s">
        <v>5518</v>
      </c>
      <c r="F530" s="1" t="s">
        <v>5519</v>
      </c>
      <c r="G530" s="1" t="s">
        <v>135</v>
      </c>
      <c r="H530" s="3" t="s">
        <v>5610</v>
      </c>
      <c r="I530" s="1"/>
      <c r="J530" s="1"/>
    </row>
    <row r="531" ht="15.75" customHeight="1">
      <c r="A531" s="2">
        <v>277.0</v>
      </c>
      <c r="B531" s="1" t="s">
        <v>3984</v>
      </c>
      <c r="C531" s="2">
        <v>5.70038001067E11</v>
      </c>
      <c r="D531" s="1" t="s">
        <v>7380</v>
      </c>
      <c r="E531" s="1" t="s">
        <v>3056</v>
      </c>
      <c r="F531" s="1" t="s">
        <v>5266</v>
      </c>
      <c r="G531" s="1" t="s">
        <v>3846</v>
      </c>
      <c r="H531" s="3" t="s">
        <v>7381</v>
      </c>
      <c r="I531" s="1"/>
      <c r="J531" s="1"/>
    </row>
    <row r="532" ht="15.75" customHeight="1">
      <c r="A532" s="2">
        <v>278.0</v>
      </c>
      <c r="B532" s="1" t="s">
        <v>5522</v>
      </c>
      <c r="C532" s="2">
        <v>5.70038001072E11</v>
      </c>
      <c r="D532" s="1" t="s">
        <v>580</v>
      </c>
      <c r="E532" s="1" t="s">
        <v>7382</v>
      </c>
      <c r="F532" s="1" t="s">
        <v>5525</v>
      </c>
      <c r="G532" s="1" t="s">
        <v>3846</v>
      </c>
      <c r="H532" s="3" t="s">
        <v>7383</v>
      </c>
      <c r="I532" s="1"/>
      <c r="J532" s="1"/>
    </row>
    <row r="533" ht="15.75" customHeight="1">
      <c r="A533" s="2">
        <v>279.0</v>
      </c>
      <c r="B533" s="1" t="s">
        <v>157</v>
      </c>
      <c r="C533" s="2">
        <v>5.70038001073E11</v>
      </c>
      <c r="D533" s="1" t="s">
        <v>5527</v>
      </c>
      <c r="E533" s="1" t="s">
        <v>5528</v>
      </c>
      <c r="F533" s="1" t="s">
        <v>5529</v>
      </c>
      <c r="G533" s="1" t="s">
        <v>3846</v>
      </c>
      <c r="H533" s="3" t="s">
        <v>7369</v>
      </c>
      <c r="I533" s="1"/>
      <c r="J533" s="1"/>
    </row>
    <row r="534" ht="15.75" customHeight="1">
      <c r="A534" s="2">
        <v>280.0</v>
      </c>
      <c r="B534" s="1" t="s">
        <v>2743</v>
      </c>
      <c r="C534" s="2">
        <v>5.70038001074E11</v>
      </c>
      <c r="D534" s="1" t="s">
        <v>5530</v>
      </c>
      <c r="E534" s="1" t="s">
        <v>5505</v>
      </c>
      <c r="F534" s="1" t="s">
        <v>5531</v>
      </c>
      <c r="G534" s="1" t="s">
        <v>3846</v>
      </c>
      <c r="H534" s="3" t="s">
        <v>7384</v>
      </c>
      <c r="I534" s="1"/>
      <c r="J534" s="1"/>
    </row>
    <row r="535" ht="15.75" customHeight="1">
      <c r="A535" s="2">
        <v>281.0</v>
      </c>
      <c r="B535" s="1" t="s">
        <v>5533</v>
      </c>
      <c r="C535" s="2">
        <v>5.70038001076E11</v>
      </c>
      <c r="D535" s="1" t="s">
        <v>7385</v>
      </c>
      <c r="E535" s="1" t="s">
        <v>5535</v>
      </c>
      <c r="F535" s="1" t="s">
        <v>5536</v>
      </c>
      <c r="G535" s="1" t="s">
        <v>3846</v>
      </c>
      <c r="H535" s="3" t="s">
        <v>5610</v>
      </c>
      <c r="I535" s="1"/>
      <c r="J535" s="1"/>
    </row>
    <row r="536" ht="15.75" customHeight="1">
      <c r="A536" s="2">
        <v>282.0</v>
      </c>
      <c r="B536" s="1" t="s">
        <v>5006</v>
      </c>
      <c r="C536" s="2">
        <v>5.70038001077E11</v>
      </c>
      <c r="D536" s="1" t="s">
        <v>7386</v>
      </c>
      <c r="E536" s="1" t="s">
        <v>7387</v>
      </c>
      <c r="F536" s="1" t="s">
        <v>5273</v>
      </c>
      <c r="G536" s="1" t="s">
        <v>3846</v>
      </c>
      <c r="H536" s="3" t="s">
        <v>7381</v>
      </c>
      <c r="I536" s="1"/>
      <c r="J536" s="1"/>
    </row>
    <row r="537" ht="15.75" customHeight="1">
      <c r="A537" s="2">
        <v>283.0</v>
      </c>
      <c r="B537" s="1" t="s">
        <v>5538</v>
      </c>
      <c r="C537" s="2">
        <v>5.70038001079E11</v>
      </c>
      <c r="D537" s="1" t="s">
        <v>5539</v>
      </c>
      <c r="E537" s="1" t="s">
        <v>5540</v>
      </c>
      <c r="F537" s="1" t="s">
        <v>5541</v>
      </c>
      <c r="G537" s="1" t="s">
        <v>3846</v>
      </c>
      <c r="H537" s="3" t="s">
        <v>7364</v>
      </c>
      <c r="I537" s="1"/>
      <c r="J537" s="1"/>
    </row>
    <row r="538" ht="15.75" customHeight="1">
      <c r="A538" s="2">
        <v>284.0</v>
      </c>
      <c r="B538" s="1" t="s">
        <v>5542</v>
      </c>
      <c r="C538" s="2">
        <v>5.7003800108E11</v>
      </c>
      <c r="D538" s="1" t="s">
        <v>15</v>
      </c>
      <c r="E538" s="1" t="s">
        <v>5543</v>
      </c>
      <c r="F538" s="1" t="s">
        <v>5544</v>
      </c>
      <c r="G538" s="1" t="s">
        <v>3846</v>
      </c>
      <c r="H538" s="3" t="s">
        <v>7363</v>
      </c>
      <c r="I538" s="1"/>
      <c r="J538" s="1"/>
    </row>
    <row r="539" ht="15.75" customHeight="1">
      <c r="A539" s="2">
        <v>285.0</v>
      </c>
      <c r="B539" s="1" t="s">
        <v>1264</v>
      </c>
      <c r="C539" s="2">
        <v>5.70038001081E11</v>
      </c>
      <c r="D539" s="1" t="s">
        <v>5128</v>
      </c>
      <c r="E539" s="1" t="s">
        <v>775</v>
      </c>
      <c r="F539" s="1" t="s">
        <v>5546</v>
      </c>
      <c r="G539" s="1" t="s">
        <v>135</v>
      </c>
      <c r="H539" s="3" t="s">
        <v>7369</v>
      </c>
      <c r="I539" s="1"/>
      <c r="J539" s="1"/>
    </row>
    <row r="540" ht="15.75" customHeight="1">
      <c r="A540" s="2">
        <v>286.0</v>
      </c>
      <c r="B540" s="1" t="s">
        <v>679</v>
      </c>
      <c r="C540" s="2">
        <v>5.70038001083E11</v>
      </c>
      <c r="D540" s="1" t="s">
        <v>7388</v>
      </c>
      <c r="E540" s="1" t="s">
        <v>1323</v>
      </c>
      <c r="F540" s="1" t="s">
        <v>7389</v>
      </c>
      <c r="G540" s="1" t="s">
        <v>3846</v>
      </c>
      <c r="H540" s="3" t="s">
        <v>7363</v>
      </c>
      <c r="I540" s="1"/>
      <c r="J540" s="1"/>
    </row>
    <row r="541" ht="15.75" customHeight="1">
      <c r="A541" s="2">
        <v>287.0</v>
      </c>
      <c r="B541" s="1" t="s">
        <v>5006</v>
      </c>
      <c r="C541" s="2">
        <v>5.70038001084E11</v>
      </c>
      <c r="D541" s="1" t="s">
        <v>7390</v>
      </c>
      <c r="E541" s="1" t="s">
        <v>2862</v>
      </c>
      <c r="F541" s="1" t="s">
        <v>5550</v>
      </c>
      <c r="G541" s="1" t="s">
        <v>135</v>
      </c>
      <c r="H541" s="3" t="s">
        <v>5610</v>
      </c>
      <c r="I541" s="1"/>
      <c r="J541" s="1"/>
    </row>
    <row r="542" ht="15.75" customHeight="1">
      <c r="A542" s="2">
        <v>288.0</v>
      </c>
      <c r="B542" s="1" t="s">
        <v>1950</v>
      </c>
      <c r="C542" s="2">
        <v>5.70038001085E11</v>
      </c>
      <c r="D542" s="1" t="s">
        <v>7391</v>
      </c>
      <c r="E542" s="1" t="s">
        <v>1893</v>
      </c>
      <c r="F542" s="1" t="s">
        <v>4879</v>
      </c>
      <c r="G542" s="1" t="s">
        <v>3846</v>
      </c>
      <c r="H542" s="3" t="s">
        <v>5610</v>
      </c>
      <c r="I542" s="1"/>
      <c r="J542" s="1"/>
    </row>
    <row r="543" ht="15.75" customHeight="1">
      <c r="A543" s="2">
        <v>289.0</v>
      </c>
      <c r="B543" s="1" t="s">
        <v>2545</v>
      </c>
      <c r="C543" s="2">
        <v>5.70038001087E11</v>
      </c>
      <c r="D543" s="1" t="s">
        <v>820</v>
      </c>
      <c r="E543" s="1" t="s">
        <v>5552</v>
      </c>
      <c r="F543" s="1" t="s">
        <v>5553</v>
      </c>
      <c r="G543" s="1" t="s">
        <v>3846</v>
      </c>
      <c r="H543" s="3" t="s">
        <v>5610</v>
      </c>
      <c r="I543" s="1"/>
      <c r="J543" s="1"/>
    </row>
    <row r="544" ht="15.75" customHeight="1">
      <c r="A544" s="2">
        <v>290.0</v>
      </c>
      <c r="B544" s="1" t="s">
        <v>77</v>
      </c>
      <c r="C544" s="2">
        <v>5.7003800109E11</v>
      </c>
      <c r="D544" s="1" t="s">
        <v>7392</v>
      </c>
      <c r="E544" s="1" t="s">
        <v>4835</v>
      </c>
      <c r="F544" s="1" t="s">
        <v>5555</v>
      </c>
      <c r="G544" s="1" t="s">
        <v>3846</v>
      </c>
      <c r="H544" s="3" t="s">
        <v>5610</v>
      </c>
      <c r="I544" s="1"/>
      <c r="J544" s="1"/>
    </row>
    <row r="545" ht="15.75" customHeight="1">
      <c r="A545" s="2">
        <v>291.0</v>
      </c>
      <c r="B545" s="1" t="s">
        <v>1503</v>
      </c>
      <c r="C545" s="2">
        <v>5.70038001092E11</v>
      </c>
      <c r="D545" s="1" t="s">
        <v>5556</v>
      </c>
      <c r="E545" s="1" t="s">
        <v>7393</v>
      </c>
      <c r="F545" s="1" t="s">
        <v>5557</v>
      </c>
      <c r="G545" s="1" t="s">
        <v>3846</v>
      </c>
      <c r="H545" s="3" t="s">
        <v>5610</v>
      </c>
      <c r="I545" s="1"/>
      <c r="J545" s="1"/>
    </row>
    <row r="546" ht="15.75" customHeight="1">
      <c r="A546" s="2">
        <v>292.0</v>
      </c>
      <c r="B546" s="1" t="s">
        <v>5558</v>
      </c>
      <c r="C546" s="2">
        <v>5.70038001093E11</v>
      </c>
      <c r="D546" s="1" t="s">
        <v>6502</v>
      </c>
      <c r="E546" s="1" t="s">
        <v>1308</v>
      </c>
      <c r="F546" s="1" t="s">
        <v>5560</v>
      </c>
      <c r="G546" s="1" t="s">
        <v>3846</v>
      </c>
      <c r="H546" s="3" t="s">
        <v>7394</v>
      </c>
      <c r="I546" s="1"/>
      <c r="J546" s="1"/>
    </row>
    <row r="547" ht="15.75" customHeight="1">
      <c r="A547" s="2">
        <v>293.0</v>
      </c>
      <c r="B547" s="1" t="s">
        <v>5562</v>
      </c>
      <c r="C547" s="2">
        <v>5.70038001095E11</v>
      </c>
      <c r="D547" s="1" t="s">
        <v>7395</v>
      </c>
      <c r="E547" s="1" t="s">
        <v>5564</v>
      </c>
      <c r="F547" s="1" t="s">
        <v>5565</v>
      </c>
      <c r="G547" s="1" t="s">
        <v>3846</v>
      </c>
      <c r="H547" s="3" t="s">
        <v>5610</v>
      </c>
      <c r="I547" s="1"/>
      <c r="J547" s="1"/>
    </row>
    <row r="548" ht="15.75" customHeight="1">
      <c r="A548" s="2">
        <v>294.0</v>
      </c>
      <c r="B548" s="1" t="s">
        <v>5566</v>
      </c>
      <c r="C548" s="2">
        <v>5.700380011E11</v>
      </c>
      <c r="D548" s="1" t="s">
        <v>369</v>
      </c>
      <c r="E548" s="1" t="s">
        <v>2993</v>
      </c>
      <c r="F548" s="1" t="s">
        <v>5567</v>
      </c>
      <c r="G548" s="1" t="s">
        <v>3846</v>
      </c>
      <c r="H548" s="3" t="s">
        <v>5610</v>
      </c>
      <c r="I548" s="1"/>
      <c r="J548" s="1"/>
    </row>
    <row r="549" ht="15.75" customHeight="1">
      <c r="A549" s="2">
        <v>295.0</v>
      </c>
      <c r="B549" s="1" t="s">
        <v>4822</v>
      </c>
      <c r="C549" s="2">
        <v>5.70038001101E11</v>
      </c>
      <c r="D549" s="1" t="s">
        <v>7396</v>
      </c>
      <c r="E549" s="1" t="s">
        <v>7397</v>
      </c>
      <c r="F549" s="1" t="s">
        <v>5570</v>
      </c>
      <c r="G549" s="1" t="s">
        <v>3846</v>
      </c>
      <c r="H549" s="3" t="s">
        <v>7398</v>
      </c>
      <c r="I549" s="1"/>
      <c r="J549" s="1"/>
    </row>
    <row r="550" ht="15.75" customHeight="1">
      <c r="A550" s="2">
        <v>296.0</v>
      </c>
      <c r="B550" s="1" t="s">
        <v>2643</v>
      </c>
      <c r="C550" s="2">
        <v>5.70038001103E11</v>
      </c>
      <c r="D550" s="1" t="s">
        <v>4972</v>
      </c>
      <c r="E550" s="1" t="s">
        <v>5573</v>
      </c>
      <c r="F550" s="1" t="s">
        <v>5574</v>
      </c>
      <c r="G550" s="1" t="s">
        <v>3846</v>
      </c>
      <c r="H550" s="3" t="s">
        <v>5610</v>
      </c>
      <c r="I550" s="1"/>
      <c r="J550" s="1"/>
    </row>
    <row r="551" ht="15.75" customHeight="1">
      <c r="A551" s="2">
        <v>297.0</v>
      </c>
      <c r="B551" s="1" t="s">
        <v>5575</v>
      </c>
      <c r="C551" s="2">
        <v>5.70038001104E11</v>
      </c>
      <c r="D551" s="1" t="s">
        <v>7399</v>
      </c>
      <c r="E551" s="1" t="s">
        <v>7400</v>
      </c>
      <c r="F551" s="1" t="s">
        <v>5390</v>
      </c>
      <c r="G551" s="1" t="s">
        <v>135</v>
      </c>
      <c r="H551" s="3" t="s">
        <v>5610</v>
      </c>
      <c r="I551" s="1"/>
      <c r="J551" s="1"/>
    </row>
    <row r="552" ht="15.75" customHeight="1">
      <c r="A552" s="2">
        <v>298.0</v>
      </c>
      <c r="B552" s="1" t="s">
        <v>1904</v>
      </c>
      <c r="C552" s="2">
        <v>5.70038001105E11</v>
      </c>
      <c r="D552" s="1" t="s">
        <v>7401</v>
      </c>
      <c r="E552" s="1" t="s">
        <v>5579</v>
      </c>
      <c r="F552" s="1" t="s">
        <v>5580</v>
      </c>
      <c r="G552" s="1" t="s">
        <v>3846</v>
      </c>
      <c r="H552" s="3" t="s">
        <v>7402</v>
      </c>
      <c r="I552" s="1"/>
      <c r="J552" s="1"/>
    </row>
    <row r="553" ht="15.75" customHeight="1">
      <c r="A553" s="2">
        <v>299.0</v>
      </c>
      <c r="B553" s="1" t="s">
        <v>5582</v>
      </c>
      <c r="C553" s="2">
        <v>5.70038001106E11</v>
      </c>
      <c r="D553" s="1" t="s">
        <v>491</v>
      </c>
      <c r="E553" s="1" t="s">
        <v>5679</v>
      </c>
      <c r="F553" s="1" t="s">
        <v>5584</v>
      </c>
      <c r="G553" s="1" t="s">
        <v>135</v>
      </c>
      <c r="H553" s="3" t="s">
        <v>5610</v>
      </c>
      <c r="I553" s="1"/>
      <c r="J553" s="1"/>
    </row>
    <row r="554" ht="15.75" customHeight="1">
      <c r="A554" s="2">
        <v>2200.0</v>
      </c>
      <c r="B554" s="1" t="s">
        <v>5585</v>
      </c>
      <c r="C554" s="2">
        <v>5.70038001108E11</v>
      </c>
      <c r="D554" s="1" t="s">
        <v>1293</v>
      </c>
      <c r="E554" s="1" t="s">
        <v>7403</v>
      </c>
      <c r="F554" s="1" t="s">
        <v>5588</v>
      </c>
      <c r="G554" s="1" t="s">
        <v>135</v>
      </c>
      <c r="H554" s="3" t="s">
        <v>5610</v>
      </c>
      <c r="I554" s="1"/>
      <c r="J554" s="1"/>
    </row>
    <row r="555" ht="15.75" customHeight="1">
      <c r="A555" s="2">
        <v>2201.0</v>
      </c>
      <c r="B555" s="1" t="s">
        <v>5589</v>
      </c>
      <c r="C555" s="2">
        <v>5.70038001109E11</v>
      </c>
      <c r="D555" s="1" t="s">
        <v>7404</v>
      </c>
      <c r="E555" s="1" t="s">
        <v>7405</v>
      </c>
      <c r="F555" s="1" t="s">
        <v>5591</v>
      </c>
      <c r="G555" s="1" t="s">
        <v>3846</v>
      </c>
      <c r="H555" s="3" t="s">
        <v>5610</v>
      </c>
      <c r="I555" s="1"/>
      <c r="J555" s="1"/>
    </row>
    <row r="556" ht="15.75" customHeight="1">
      <c r="A556" s="2">
        <v>2202.0</v>
      </c>
      <c r="B556" s="1" t="s">
        <v>5592</v>
      </c>
      <c r="C556" s="2">
        <v>5.70038001111E11</v>
      </c>
      <c r="D556" s="1" t="s">
        <v>7406</v>
      </c>
      <c r="E556" s="1" t="s">
        <v>124</v>
      </c>
      <c r="F556" s="1" t="s">
        <v>5580</v>
      </c>
      <c r="G556" s="1" t="s">
        <v>135</v>
      </c>
      <c r="H556" s="3" t="s">
        <v>7381</v>
      </c>
      <c r="I556" s="1"/>
      <c r="J556" s="1"/>
    </row>
    <row r="557" ht="15.75" customHeight="1">
      <c r="A557" s="2">
        <v>2203.0</v>
      </c>
      <c r="B557" s="1" t="s">
        <v>5594</v>
      </c>
      <c r="C557" s="2">
        <v>5.70038001114E11</v>
      </c>
      <c r="D557" s="1" t="s">
        <v>5595</v>
      </c>
      <c r="E557" s="1" t="s">
        <v>5596</v>
      </c>
      <c r="F557" s="1" t="s">
        <v>5597</v>
      </c>
      <c r="G557" s="1" t="s">
        <v>135</v>
      </c>
      <c r="H557" s="3" t="s">
        <v>5610</v>
      </c>
      <c r="I557" s="1"/>
      <c r="J557" s="1"/>
    </row>
    <row r="558" ht="15.75" customHeight="1">
      <c r="A558" s="2">
        <v>2204.0</v>
      </c>
      <c r="B558" s="1" t="s">
        <v>738</v>
      </c>
      <c r="C558" s="2">
        <v>5.700380033383E12</v>
      </c>
      <c r="D558" s="1" t="s">
        <v>6862</v>
      </c>
      <c r="E558" s="1" t="s">
        <v>734</v>
      </c>
      <c r="F558" s="1" t="s">
        <v>2326</v>
      </c>
      <c r="G558" s="1" t="s">
        <v>135</v>
      </c>
      <c r="H558" s="3" t="s">
        <v>5610</v>
      </c>
      <c r="I558" s="1"/>
      <c r="J558" s="1"/>
    </row>
    <row r="559" ht="15.75" customHeight="1">
      <c r="A559" s="2">
        <v>2205.0</v>
      </c>
      <c r="B559" s="1" t="s">
        <v>571</v>
      </c>
      <c r="C559" s="2">
        <v>5.70038001024E11</v>
      </c>
      <c r="D559" s="1" t="s">
        <v>737</v>
      </c>
      <c r="E559" s="1" t="s">
        <v>5599</v>
      </c>
      <c r="F559" s="1" t="s">
        <v>5600</v>
      </c>
      <c r="G559" s="1" t="s">
        <v>417</v>
      </c>
      <c r="H559" s="3" t="s">
        <v>5610</v>
      </c>
      <c r="I559" s="1"/>
      <c r="J559" s="1"/>
    </row>
    <row r="560" ht="15.75" customHeight="1">
      <c r="A560" s="2">
        <v>2206.0</v>
      </c>
      <c r="B560" s="1" t="s">
        <v>5601</v>
      </c>
      <c r="C560" s="2">
        <v>5.70038001116E11</v>
      </c>
      <c r="D560" s="1" t="s">
        <v>7407</v>
      </c>
      <c r="E560" s="1" t="s">
        <v>5603</v>
      </c>
      <c r="F560" s="1" t="s">
        <v>2950</v>
      </c>
      <c r="G560" s="1" t="s">
        <v>3846</v>
      </c>
      <c r="H560" s="3" t="s">
        <v>5610</v>
      </c>
      <c r="I560" s="1"/>
      <c r="J560" s="1"/>
    </row>
    <row r="561" ht="15.75" customHeight="1">
      <c r="A561" s="2">
        <v>2207.0</v>
      </c>
      <c r="B561" s="1" t="s">
        <v>1734</v>
      </c>
      <c r="C561" s="2">
        <v>5.70038001118E11</v>
      </c>
      <c r="D561" s="1" t="s">
        <v>2673</v>
      </c>
      <c r="E561" s="1" t="s">
        <v>5604</v>
      </c>
      <c r="F561" s="1" t="s">
        <v>5605</v>
      </c>
      <c r="G561" s="1" t="s">
        <v>2758</v>
      </c>
      <c r="H561" s="3" t="s">
        <v>5610</v>
      </c>
      <c r="I561" s="1"/>
      <c r="J561" s="1"/>
    </row>
    <row r="562" ht="15.75" customHeight="1">
      <c r="A562" s="2">
        <v>2208.0</v>
      </c>
      <c r="B562" s="1" t="s">
        <v>1641</v>
      </c>
      <c r="C562" s="2">
        <v>5.70038001119E11</v>
      </c>
      <c r="D562" s="1" t="s">
        <v>5131</v>
      </c>
      <c r="E562" s="1" t="s">
        <v>230</v>
      </c>
      <c r="F562" s="1" t="s">
        <v>1602</v>
      </c>
      <c r="G562" s="1" t="s">
        <v>3846</v>
      </c>
      <c r="H562" s="3" t="s">
        <v>5610</v>
      </c>
      <c r="I562" s="1"/>
      <c r="J562" s="1"/>
    </row>
    <row r="563" ht="15.75" customHeight="1">
      <c r="A563" s="2">
        <v>2209.0</v>
      </c>
      <c r="B563" s="1" t="s">
        <v>7408</v>
      </c>
      <c r="C563" s="2">
        <v>5.7003800112E11</v>
      </c>
      <c r="D563" s="1" t="s">
        <v>631</v>
      </c>
      <c r="E563" s="1" t="s">
        <v>734</v>
      </c>
      <c r="F563" s="1" t="s">
        <v>5608</v>
      </c>
      <c r="G563" s="1" t="s">
        <v>3846</v>
      </c>
      <c r="H563" s="3" t="s">
        <v>5610</v>
      </c>
      <c r="I563" s="1"/>
      <c r="J563" s="1"/>
    </row>
    <row r="564" ht="15.75" customHeight="1">
      <c r="A564" s="2">
        <v>2210.0</v>
      </c>
      <c r="B564" s="1" t="s">
        <v>825</v>
      </c>
      <c r="C564" s="2">
        <v>5.70038001121E11</v>
      </c>
      <c r="D564" s="1" t="s">
        <v>262</v>
      </c>
      <c r="E564" s="1" t="s">
        <v>775</v>
      </c>
      <c r="F564" s="1" t="s">
        <v>5609</v>
      </c>
      <c r="G564" s="1" t="s">
        <v>135</v>
      </c>
      <c r="H564" s="3" t="s">
        <v>5610</v>
      </c>
      <c r="I564" s="1"/>
      <c r="J564" s="1"/>
    </row>
    <row r="565" ht="15.75" customHeight="1">
      <c r="A565" s="2">
        <v>2211.0</v>
      </c>
      <c r="B565" s="1" t="s">
        <v>2545</v>
      </c>
      <c r="C565" s="2">
        <v>5.70038001122E11</v>
      </c>
      <c r="D565" s="1" t="s">
        <v>5611</v>
      </c>
      <c r="E565" s="1" t="s">
        <v>3630</v>
      </c>
      <c r="F565" s="1" t="s">
        <v>866</v>
      </c>
      <c r="G565" s="1" t="s">
        <v>3846</v>
      </c>
      <c r="H565" s="3" t="s">
        <v>5610</v>
      </c>
      <c r="I565" s="1"/>
      <c r="J565" s="1"/>
    </row>
    <row r="566" ht="15.75" customHeight="1">
      <c r="A566" s="2">
        <v>2212.0</v>
      </c>
      <c r="B566" s="1" t="s">
        <v>1581</v>
      </c>
      <c r="C566" s="2">
        <v>5.70038001125E11</v>
      </c>
      <c r="D566" s="1" t="s">
        <v>5612</v>
      </c>
      <c r="E566" s="1" t="s">
        <v>5613</v>
      </c>
      <c r="F566" s="1" t="s">
        <v>831</v>
      </c>
      <c r="G566" s="1" t="s">
        <v>3846</v>
      </c>
      <c r="H566" s="3" t="s">
        <v>5610</v>
      </c>
      <c r="I566" s="1"/>
      <c r="J566" s="1"/>
    </row>
    <row r="567" ht="15.75" customHeight="1">
      <c r="A567" s="2">
        <v>2213.0</v>
      </c>
      <c r="B567" s="1" t="s">
        <v>228</v>
      </c>
      <c r="C567" s="2">
        <v>5.70038001127E11</v>
      </c>
      <c r="D567" s="1" t="s">
        <v>5614</v>
      </c>
      <c r="E567" s="1" t="s">
        <v>1477</v>
      </c>
      <c r="F567" s="1" t="s">
        <v>5615</v>
      </c>
      <c r="G567" s="1" t="s">
        <v>3846</v>
      </c>
      <c r="H567" s="3" t="s">
        <v>5610</v>
      </c>
      <c r="I567" s="1"/>
      <c r="J567" s="1"/>
    </row>
    <row r="568" ht="15.75" customHeight="1">
      <c r="A568" s="2">
        <v>2214.0</v>
      </c>
      <c r="B568" s="1" t="s">
        <v>5616</v>
      </c>
      <c r="C568" s="2">
        <v>5.70038001131E11</v>
      </c>
      <c r="D568" s="1" t="s">
        <v>2356</v>
      </c>
      <c r="E568" s="1" t="s">
        <v>5617</v>
      </c>
      <c r="F568" s="1" t="s">
        <v>5618</v>
      </c>
      <c r="G568" s="1" t="s">
        <v>3846</v>
      </c>
      <c r="H568" s="3" t="s">
        <v>5610</v>
      </c>
      <c r="I568" s="1"/>
      <c r="J568" s="1"/>
    </row>
    <row r="569" ht="15.75" customHeight="1">
      <c r="A569" s="2">
        <v>2215.0</v>
      </c>
      <c r="B569" s="1" t="s">
        <v>4835</v>
      </c>
      <c r="C569" s="2">
        <v>5.70038001133E11</v>
      </c>
      <c r="D569" s="1" t="s">
        <v>5619</v>
      </c>
      <c r="E569" s="1" t="s">
        <v>1407</v>
      </c>
      <c r="F569" s="1" t="s">
        <v>5620</v>
      </c>
      <c r="G569" s="1" t="s">
        <v>3846</v>
      </c>
      <c r="H569" s="3" t="s">
        <v>5610</v>
      </c>
      <c r="I569" s="1"/>
      <c r="J569" s="1"/>
    </row>
    <row r="570" ht="15.75" customHeight="1">
      <c r="A570" s="2">
        <v>2216.0</v>
      </c>
      <c r="B570" s="1" t="s">
        <v>5621</v>
      </c>
      <c r="C570" s="2">
        <v>5.70038001135E11</v>
      </c>
      <c r="D570" s="1" t="s">
        <v>5622</v>
      </c>
      <c r="E570" s="1" t="s">
        <v>267</v>
      </c>
      <c r="F570" s="1" t="s">
        <v>5459</v>
      </c>
      <c r="G570" s="1" t="s">
        <v>3846</v>
      </c>
      <c r="H570" s="3" t="s">
        <v>5610</v>
      </c>
      <c r="I570" s="1"/>
      <c r="J570" s="1"/>
    </row>
    <row r="571" ht="15.75" customHeight="1">
      <c r="A571" s="2">
        <v>2217.0</v>
      </c>
      <c r="B571" s="1" t="s">
        <v>1581</v>
      </c>
      <c r="C571" s="2">
        <v>5.70038001139E11</v>
      </c>
      <c r="D571" s="1" t="s">
        <v>1415</v>
      </c>
      <c r="E571" s="1" t="s">
        <v>1199</v>
      </c>
      <c r="F571" s="1" t="s">
        <v>5623</v>
      </c>
      <c r="G571" s="1" t="s">
        <v>3846</v>
      </c>
      <c r="H571" s="3" t="s">
        <v>5610</v>
      </c>
      <c r="I571" s="1"/>
      <c r="J571" s="1"/>
    </row>
    <row r="572" ht="15.75" customHeight="1">
      <c r="A572" s="2">
        <v>2218.0</v>
      </c>
      <c r="B572" s="1" t="s">
        <v>5114</v>
      </c>
      <c r="C572" s="2">
        <v>5.70038001145E11</v>
      </c>
      <c r="D572" s="1" t="s">
        <v>446</v>
      </c>
      <c r="E572" s="1" t="s">
        <v>3486</v>
      </c>
      <c r="F572" s="1" t="s">
        <v>5624</v>
      </c>
      <c r="G572" s="1" t="s">
        <v>3846</v>
      </c>
      <c r="H572" s="3" t="s">
        <v>5610</v>
      </c>
      <c r="I572" s="1"/>
      <c r="J572" s="1"/>
    </row>
    <row r="573" ht="15.75" customHeight="1">
      <c r="A573" s="2">
        <v>2219.0</v>
      </c>
      <c r="B573" s="1" t="s">
        <v>4484</v>
      </c>
      <c r="C573" s="2">
        <v>5.70038001148E11</v>
      </c>
      <c r="D573" s="1" t="s">
        <v>642</v>
      </c>
      <c r="E573" s="1" t="s">
        <v>60</v>
      </c>
      <c r="F573" s="1" t="s">
        <v>5625</v>
      </c>
      <c r="G573" s="1" t="s">
        <v>3846</v>
      </c>
      <c r="H573" s="3" t="s">
        <v>5610</v>
      </c>
      <c r="I573" s="1"/>
      <c r="J573" s="1"/>
    </row>
    <row r="574" ht="15.75" customHeight="1">
      <c r="A574" s="2">
        <v>2220.0</v>
      </c>
      <c r="B574" s="1" t="s">
        <v>5006</v>
      </c>
      <c r="C574" s="2">
        <v>5.70038001149E11</v>
      </c>
      <c r="D574" s="1" t="s">
        <v>5626</v>
      </c>
      <c r="E574" s="1" t="s">
        <v>594</v>
      </c>
      <c r="F574" s="1" t="s">
        <v>5627</v>
      </c>
      <c r="G574" s="1" t="s">
        <v>3846</v>
      </c>
      <c r="H574" s="3" t="s">
        <v>5610</v>
      </c>
      <c r="I574" s="1"/>
      <c r="J574" s="1"/>
    </row>
    <row r="575" ht="15.75" customHeight="1">
      <c r="A575" s="2">
        <v>2221.0</v>
      </c>
      <c r="B575" s="1" t="s">
        <v>2005</v>
      </c>
      <c r="C575" s="2">
        <v>5.70038001153E11</v>
      </c>
      <c r="D575" s="1" t="s">
        <v>5628</v>
      </c>
      <c r="E575" s="1" t="s">
        <v>543</v>
      </c>
      <c r="F575" s="1" t="s">
        <v>5629</v>
      </c>
      <c r="G575" s="1" t="s">
        <v>3846</v>
      </c>
      <c r="H575" s="3" t="s">
        <v>5610</v>
      </c>
      <c r="I575" s="1"/>
      <c r="J575" s="1"/>
    </row>
    <row r="576" ht="15.75" customHeight="1">
      <c r="A576" s="2">
        <v>2222.0</v>
      </c>
      <c r="B576" s="1" t="s">
        <v>571</v>
      </c>
      <c r="C576" s="2">
        <v>5.70038001155E11</v>
      </c>
      <c r="D576" s="1" t="s">
        <v>5630</v>
      </c>
      <c r="E576" s="1" t="s">
        <v>5631</v>
      </c>
      <c r="F576" s="1" t="s">
        <v>5632</v>
      </c>
      <c r="G576" s="1" t="s">
        <v>3846</v>
      </c>
      <c r="H576" s="3" t="s">
        <v>5610</v>
      </c>
      <c r="I576" s="1"/>
      <c r="J576" s="1"/>
    </row>
    <row r="577" ht="15.75" customHeight="1">
      <c r="A577" s="2">
        <v>2223.0</v>
      </c>
      <c r="B577" s="1" t="s">
        <v>2643</v>
      </c>
      <c r="C577" s="2">
        <v>5.70038001159E11</v>
      </c>
      <c r="D577" s="1" t="s">
        <v>1253</v>
      </c>
      <c r="E577" s="1" t="s">
        <v>781</v>
      </c>
      <c r="F577" s="1" t="s">
        <v>5633</v>
      </c>
      <c r="G577" s="1" t="s">
        <v>135</v>
      </c>
      <c r="H577" s="3" t="s">
        <v>5610</v>
      </c>
      <c r="I577" s="1"/>
      <c r="J577" s="1"/>
    </row>
    <row r="578" ht="15.75" customHeight="1">
      <c r="A578" s="2">
        <v>2224.0</v>
      </c>
      <c r="B578" s="1" t="s">
        <v>5634</v>
      </c>
      <c r="C578" s="2">
        <v>5.7003800116E11</v>
      </c>
      <c r="D578" s="1" t="s">
        <v>954</v>
      </c>
      <c r="E578" s="1" t="s">
        <v>2230</v>
      </c>
      <c r="F578" s="1" t="s">
        <v>5635</v>
      </c>
      <c r="G578" s="1" t="s">
        <v>135</v>
      </c>
      <c r="H578" s="3" t="s">
        <v>5610</v>
      </c>
      <c r="I578" s="1"/>
      <c r="J578" s="1"/>
    </row>
    <row r="579" ht="15.75" customHeight="1">
      <c r="A579" s="2">
        <v>2225.0</v>
      </c>
      <c r="B579" s="1" t="s">
        <v>5636</v>
      </c>
      <c r="C579" s="2">
        <v>5.70038001161E11</v>
      </c>
      <c r="D579" s="1" t="s">
        <v>5637</v>
      </c>
      <c r="E579" s="1" t="s">
        <v>172</v>
      </c>
      <c r="F579" s="1" t="s">
        <v>5638</v>
      </c>
      <c r="G579" s="1" t="s">
        <v>135</v>
      </c>
      <c r="H579" s="3" t="s">
        <v>5610</v>
      </c>
      <c r="I579" s="1"/>
      <c r="J579" s="1"/>
    </row>
    <row r="580" ht="15.75" customHeight="1">
      <c r="A580" s="2">
        <v>2226.0</v>
      </c>
      <c r="B580" s="1" t="s">
        <v>550</v>
      </c>
      <c r="C580" s="2">
        <v>5.70038001162E11</v>
      </c>
      <c r="D580" s="1" t="s">
        <v>1578</v>
      </c>
      <c r="E580" s="1" t="s">
        <v>1603</v>
      </c>
      <c r="F580" s="1" t="s">
        <v>5639</v>
      </c>
      <c r="G580" s="1" t="s">
        <v>135</v>
      </c>
      <c r="H580" s="3" t="s">
        <v>5610</v>
      </c>
      <c r="I580" s="1"/>
      <c r="J580" s="1"/>
    </row>
    <row r="581" ht="15.75" customHeight="1">
      <c r="A581" s="2">
        <v>2227.0</v>
      </c>
      <c r="B581" s="1" t="s">
        <v>1824</v>
      </c>
      <c r="C581" s="2">
        <v>5.70038001163E11</v>
      </c>
      <c r="D581" s="1" t="s">
        <v>4415</v>
      </c>
      <c r="E581" s="1" t="s">
        <v>1548</v>
      </c>
      <c r="F581" s="1" t="s">
        <v>5640</v>
      </c>
      <c r="G581" s="1" t="s">
        <v>3846</v>
      </c>
      <c r="H581" s="3" t="s">
        <v>5610</v>
      </c>
      <c r="I581" s="1"/>
      <c r="J581" s="1"/>
    </row>
    <row r="582" ht="15.75" customHeight="1">
      <c r="A582" s="2">
        <v>2228.0</v>
      </c>
      <c r="B582" s="1" t="s">
        <v>10</v>
      </c>
      <c r="C582" s="2">
        <v>5.70038001164E11</v>
      </c>
      <c r="D582" s="1" t="s">
        <v>5641</v>
      </c>
      <c r="E582" s="1" t="s">
        <v>1386</v>
      </c>
      <c r="F582" s="1" t="s">
        <v>5642</v>
      </c>
      <c r="G582" s="1" t="s">
        <v>3846</v>
      </c>
      <c r="H582" s="3" t="s">
        <v>5610</v>
      </c>
      <c r="I582" s="1"/>
      <c r="J582" s="1"/>
    </row>
    <row r="583" ht="15.75" customHeight="1">
      <c r="A583" s="2">
        <v>2229.0</v>
      </c>
      <c r="B583" s="1" t="s">
        <v>3944</v>
      </c>
      <c r="C583" s="2">
        <v>5.70038001165E11</v>
      </c>
      <c r="D583" s="1" t="s">
        <v>3901</v>
      </c>
      <c r="E583" s="1" t="s">
        <v>1209</v>
      </c>
      <c r="F583" s="1" t="s">
        <v>5643</v>
      </c>
      <c r="G583" s="1" t="s">
        <v>135</v>
      </c>
      <c r="H583" s="3" t="s">
        <v>5610</v>
      </c>
      <c r="I583" s="1"/>
      <c r="J583" s="1"/>
    </row>
    <row r="584" ht="15.75" customHeight="1">
      <c r="A584" s="2">
        <v>2230.0</v>
      </c>
      <c r="B584" s="1" t="s">
        <v>4920</v>
      </c>
      <c r="C584" s="2">
        <v>5.70038001166E11</v>
      </c>
      <c r="D584" s="1" t="s">
        <v>5644</v>
      </c>
      <c r="E584" s="1" t="s">
        <v>2643</v>
      </c>
      <c r="F584" s="1" t="s">
        <v>5645</v>
      </c>
      <c r="G584" s="1" t="s">
        <v>135</v>
      </c>
      <c r="H584" s="3" t="s">
        <v>5610</v>
      </c>
      <c r="I584" s="1"/>
      <c r="J584" s="1"/>
    </row>
    <row r="585" ht="15.75" customHeight="1">
      <c r="A585" s="2">
        <v>2231.0</v>
      </c>
      <c r="B585" s="1" t="s">
        <v>462</v>
      </c>
      <c r="C585" s="2">
        <v>5.70038001167E11</v>
      </c>
      <c r="D585" s="1" t="s">
        <v>5628</v>
      </c>
      <c r="E585" s="1" t="s">
        <v>2423</v>
      </c>
      <c r="F585" s="1" t="s">
        <v>5646</v>
      </c>
      <c r="G585" s="1" t="s">
        <v>3846</v>
      </c>
      <c r="H585" s="3" t="s">
        <v>5610</v>
      </c>
      <c r="I585" s="1"/>
      <c r="J585" s="1"/>
    </row>
    <row r="586" ht="15.75" customHeight="1">
      <c r="A586" s="2">
        <v>2232.0</v>
      </c>
      <c r="B586" s="1" t="s">
        <v>5647</v>
      </c>
      <c r="C586" s="2">
        <v>5.70038001168E11</v>
      </c>
      <c r="D586" s="1" t="s">
        <v>4820</v>
      </c>
      <c r="E586" s="1" t="s">
        <v>3439</v>
      </c>
      <c r="F586" s="1" t="s">
        <v>5648</v>
      </c>
      <c r="G586" s="1" t="s">
        <v>135</v>
      </c>
      <c r="H586" s="3" t="s">
        <v>5610</v>
      </c>
      <c r="I586" s="1"/>
      <c r="J586" s="1"/>
    </row>
    <row r="587" ht="15.75" customHeight="1">
      <c r="A587" s="2">
        <v>2233.0</v>
      </c>
      <c r="B587" s="1" t="s">
        <v>4687</v>
      </c>
      <c r="C587" s="2">
        <v>5.70038001169E11</v>
      </c>
      <c r="D587" s="1" t="s">
        <v>5649</v>
      </c>
      <c r="E587" s="1" t="s">
        <v>60</v>
      </c>
      <c r="F587" s="1" t="s">
        <v>5650</v>
      </c>
      <c r="G587" s="1" t="s">
        <v>135</v>
      </c>
      <c r="H587" s="3" t="s">
        <v>5610</v>
      </c>
      <c r="I587" s="1"/>
      <c r="J587" s="1"/>
    </row>
    <row r="588" ht="15.75" customHeight="1">
      <c r="A588" s="2">
        <v>2234.0</v>
      </c>
      <c r="B588" s="1" t="s">
        <v>5651</v>
      </c>
      <c r="C588" s="2">
        <v>5.70038001171E11</v>
      </c>
      <c r="D588" s="1" t="s">
        <v>1415</v>
      </c>
      <c r="E588" s="1" t="s">
        <v>1674</v>
      </c>
      <c r="F588" s="1" t="s">
        <v>5652</v>
      </c>
      <c r="G588" s="1" t="s">
        <v>135</v>
      </c>
      <c r="H588" s="3" t="s">
        <v>5610</v>
      </c>
      <c r="I588" s="1"/>
      <c r="J588" s="1"/>
    </row>
    <row r="589" ht="15.75" customHeight="1">
      <c r="A589" s="2">
        <v>2235.0</v>
      </c>
      <c r="B589" s="1" t="s">
        <v>333</v>
      </c>
      <c r="C589" s="2">
        <v>5.70038001174E11</v>
      </c>
      <c r="D589" s="1" t="s">
        <v>1415</v>
      </c>
      <c r="E589" s="1" t="s">
        <v>1649</v>
      </c>
      <c r="F589" s="1" t="s">
        <v>5653</v>
      </c>
      <c r="G589" s="1" t="s">
        <v>135</v>
      </c>
      <c r="H589" s="3" t="s">
        <v>5610</v>
      </c>
      <c r="I589" s="1"/>
      <c r="J589" s="1"/>
    </row>
    <row r="590" ht="15.75" customHeight="1">
      <c r="A590" s="2">
        <v>2236.0</v>
      </c>
      <c r="B590" s="1" t="s">
        <v>471</v>
      </c>
      <c r="C590" s="2">
        <v>5.70038001178E11</v>
      </c>
      <c r="D590" s="1" t="s">
        <v>5654</v>
      </c>
      <c r="E590" s="1" t="s">
        <v>157</v>
      </c>
      <c r="F590" s="1" t="s">
        <v>5655</v>
      </c>
      <c r="G590" s="1" t="s">
        <v>3846</v>
      </c>
      <c r="H590" s="3" t="s">
        <v>5610</v>
      </c>
      <c r="I590" s="1"/>
      <c r="J590" s="1"/>
    </row>
    <row r="591" ht="15.75" customHeight="1">
      <c r="A591" s="2">
        <v>2237.0</v>
      </c>
      <c r="B591" s="1" t="s">
        <v>335</v>
      </c>
      <c r="C591" s="2">
        <v>5.70038001181E11</v>
      </c>
      <c r="D591" s="1" t="s">
        <v>5656</v>
      </c>
      <c r="E591" s="1" t="s">
        <v>2265</v>
      </c>
      <c r="F591" s="1" t="s">
        <v>5657</v>
      </c>
      <c r="G591" s="1" t="s">
        <v>3846</v>
      </c>
      <c r="H591" s="3" t="s">
        <v>5610</v>
      </c>
      <c r="I591" s="1"/>
      <c r="J591" s="1"/>
    </row>
    <row r="592" ht="15.75" customHeight="1">
      <c r="A592" s="2">
        <v>2238.0</v>
      </c>
      <c r="B592" s="1" t="s">
        <v>5658</v>
      </c>
      <c r="C592" s="2">
        <v>5.70038001182E11</v>
      </c>
      <c r="D592" s="1" t="s">
        <v>1242</v>
      </c>
      <c r="E592" s="1" t="s">
        <v>431</v>
      </c>
      <c r="F592" s="1" t="s">
        <v>5659</v>
      </c>
      <c r="G592" s="1" t="s">
        <v>3846</v>
      </c>
      <c r="H592" s="3" t="s">
        <v>5610</v>
      </c>
      <c r="I592" s="1"/>
      <c r="J592" s="1"/>
    </row>
    <row r="593" ht="15.75" customHeight="1">
      <c r="A593" s="2">
        <v>2239.0</v>
      </c>
      <c r="B593" s="1" t="s">
        <v>1052</v>
      </c>
      <c r="C593" s="2">
        <v>5.70038001183E11</v>
      </c>
      <c r="D593" s="1" t="s">
        <v>5660</v>
      </c>
      <c r="E593" s="1" t="s">
        <v>5569</v>
      </c>
      <c r="F593" s="1" t="s">
        <v>5661</v>
      </c>
      <c r="G593" s="1" t="s">
        <v>135</v>
      </c>
      <c r="H593" s="3" t="s">
        <v>5610</v>
      </c>
      <c r="I593" s="1"/>
      <c r="J593" s="1"/>
    </row>
    <row r="594" ht="15.75" customHeight="1">
      <c r="A594" s="2">
        <v>2240.0</v>
      </c>
      <c r="B594" s="1" t="s">
        <v>5662</v>
      </c>
      <c r="C594" s="2">
        <v>5.70038001184E11</v>
      </c>
      <c r="D594" s="1" t="s">
        <v>5663</v>
      </c>
      <c r="E594" s="1" t="s">
        <v>928</v>
      </c>
      <c r="F594" s="1" t="s">
        <v>5664</v>
      </c>
      <c r="G594" s="1" t="s">
        <v>135</v>
      </c>
      <c r="H594" s="3" t="s">
        <v>5610</v>
      </c>
      <c r="I594" s="1"/>
      <c r="J594" s="1"/>
    </row>
    <row r="595" ht="15.75" customHeight="1">
      <c r="A595" s="2">
        <v>2241.0</v>
      </c>
      <c r="B595" s="1" t="s">
        <v>5665</v>
      </c>
      <c r="C595" s="2">
        <v>5.70038001185E11</v>
      </c>
      <c r="D595" s="1" t="s">
        <v>5666</v>
      </c>
      <c r="E595" s="1" t="s">
        <v>183</v>
      </c>
      <c r="F595" s="1" t="s">
        <v>5667</v>
      </c>
      <c r="G595" s="1" t="s">
        <v>135</v>
      </c>
      <c r="H595" s="3" t="s">
        <v>5610</v>
      </c>
      <c r="I595" s="1"/>
      <c r="J595" s="1"/>
    </row>
    <row r="596" ht="15.75" customHeight="1">
      <c r="A596" s="2">
        <v>2242.0</v>
      </c>
      <c r="B596" s="1" t="s">
        <v>5668</v>
      </c>
      <c r="C596" s="2">
        <v>5.70038001188E11</v>
      </c>
      <c r="D596" s="1" t="s">
        <v>5669</v>
      </c>
      <c r="E596" s="1" t="s">
        <v>5670</v>
      </c>
      <c r="F596" s="1" t="s">
        <v>5671</v>
      </c>
      <c r="G596" s="1" t="s">
        <v>3846</v>
      </c>
      <c r="H596" s="3" t="s">
        <v>5610</v>
      </c>
      <c r="I596" s="1"/>
      <c r="J596" s="1"/>
    </row>
    <row r="597" ht="15.75" customHeight="1">
      <c r="A597" s="2">
        <v>2243.0</v>
      </c>
      <c r="B597" s="1" t="s">
        <v>928</v>
      </c>
      <c r="C597" s="2">
        <v>5.70038001189E11</v>
      </c>
      <c r="D597" s="1" t="s">
        <v>1313</v>
      </c>
      <c r="E597" s="1" t="s">
        <v>161</v>
      </c>
      <c r="F597" s="1" t="s">
        <v>5339</v>
      </c>
      <c r="G597" s="1" t="s">
        <v>3846</v>
      </c>
      <c r="H597" s="3" t="s">
        <v>5610</v>
      </c>
      <c r="I597" s="1"/>
      <c r="J597" s="1"/>
    </row>
    <row r="598" ht="15.75" customHeight="1">
      <c r="A598" s="2">
        <v>2244.0</v>
      </c>
      <c r="B598" s="1" t="s">
        <v>1287</v>
      </c>
      <c r="C598" s="2">
        <v>5.7003800119E11</v>
      </c>
      <c r="D598" s="1" t="s">
        <v>5672</v>
      </c>
      <c r="E598" s="1" t="s">
        <v>2247</v>
      </c>
      <c r="F598" s="1" t="s">
        <v>5673</v>
      </c>
      <c r="G598" s="1" t="s">
        <v>3846</v>
      </c>
      <c r="H598" s="3" t="s">
        <v>5610</v>
      </c>
      <c r="I598" s="1"/>
      <c r="J598" s="1"/>
    </row>
    <row r="599" ht="15.75" customHeight="1">
      <c r="A599" s="2">
        <v>2245.0</v>
      </c>
      <c r="B599" s="1" t="s">
        <v>5674</v>
      </c>
      <c r="C599" s="2">
        <v>5.70038001193E11</v>
      </c>
      <c r="D599" s="1" t="s">
        <v>5675</v>
      </c>
      <c r="E599" s="1" t="s">
        <v>203</v>
      </c>
      <c r="F599" s="1" t="s">
        <v>5676</v>
      </c>
      <c r="G599" s="1" t="s">
        <v>135</v>
      </c>
      <c r="H599" s="3" t="s">
        <v>5610</v>
      </c>
      <c r="I599" s="1"/>
      <c r="J599" s="1"/>
    </row>
    <row r="600" ht="15.75" customHeight="1">
      <c r="A600" s="2">
        <v>2246.0</v>
      </c>
      <c r="B600" s="1" t="s">
        <v>397</v>
      </c>
      <c r="C600" s="2">
        <v>5.70038001195E11</v>
      </c>
      <c r="D600" s="1" t="s">
        <v>55</v>
      </c>
      <c r="E600" s="1" t="s">
        <v>5340</v>
      </c>
      <c r="F600" s="1" t="s">
        <v>5677</v>
      </c>
      <c r="G600" s="1" t="s">
        <v>3846</v>
      </c>
      <c r="H600" s="3" t="s">
        <v>5610</v>
      </c>
      <c r="I600" s="1"/>
      <c r="J600" s="1"/>
    </row>
    <row r="601" ht="15.75" customHeight="1">
      <c r="A601" s="2">
        <v>2247.0</v>
      </c>
      <c r="B601" s="1" t="s">
        <v>5678</v>
      </c>
      <c r="C601" s="2">
        <v>5.70038001197E11</v>
      </c>
      <c r="D601" s="1" t="s">
        <v>491</v>
      </c>
      <c r="E601" s="1" t="s">
        <v>5679</v>
      </c>
      <c r="F601" s="1" t="s">
        <v>5680</v>
      </c>
      <c r="G601" s="1" t="s">
        <v>135</v>
      </c>
      <c r="H601" s="3" t="s">
        <v>5610</v>
      </c>
      <c r="I601" s="1"/>
      <c r="J601" s="1"/>
    </row>
    <row r="602" ht="15.75" customHeight="1">
      <c r="A602" s="2">
        <v>2248.0</v>
      </c>
      <c r="B602" s="1" t="s">
        <v>5681</v>
      </c>
      <c r="C602" s="2">
        <v>5.70038001199E11</v>
      </c>
      <c r="D602" s="1" t="s">
        <v>3749</v>
      </c>
      <c r="E602" s="1" t="s">
        <v>295</v>
      </c>
      <c r="F602" s="1" t="s">
        <v>5682</v>
      </c>
      <c r="G602" s="1" t="s">
        <v>135</v>
      </c>
      <c r="H602" s="3" t="s">
        <v>5610</v>
      </c>
      <c r="I602" s="1"/>
      <c r="J602" s="1"/>
    </row>
    <row r="603" ht="15.75" customHeight="1">
      <c r="A603" s="2">
        <v>2249.0</v>
      </c>
      <c r="B603" s="1" t="s">
        <v>453</v>
      </c>
      <c r="C603" s="2">
        <v>5.700380012E11</v>
      </c>
      <c r="D603" s="1" t="s">
        <v>2693</v>
      </c>
      <c r="E603" s="1" t="s">
        <v>5683</v>
      </c>
      <c r="F603" s="1" t="s">
        <v>5684</v>
      </c>
      <c r="G603" s="1" t="s">
        <v>3846</v>
      </c>
      <c r="H603" s="3" t="s">
        <v>5610</v>
      </c>
      <c r="I603" s="1"/>
      <c r="J603" s="1"/>
    </row>
    <row r="604" ht="15.75" customHeight="1">
      <c r="A604" s="2">
        <v>2250.0</v>
      </c>
      <c r="B604" s="1" t="s">
        <v>5685</v>
      </c>
      <c r="C604" s="2">
        <v>5.70038001202E11</v>
      </c>
      <c r="D604" s="1" t="s">
        <v>5317</v>
      </c>
      <c r="E604" s="1" t="s">
        <v>333</v>
      </c>
      <c r="F604" s="1" t="s">
        <v>5686</v>
      </c>
      <c r="G604" s="1" t="s">
        <v>135</v>
      </c>
      <c r="H604" s="3" t="s">
        <v>5610</v>
      </c>
      <c r="I604" s="1"/>
      <c r="J604" s="1"/>
    </row>
    <row r="605" ht="15.75" customHeight="1">
      <c r="A605" s="2">
        <v>2251.0</v>
      </c>
      <c r="B605" s="1" t="s">
        <v>5687</v>
      </c>
      <c r="C605" s="2">
        <v>5.70038001203E11</v>
      </c>
      <c r="D605" s="1" t="s">
        <v>5688</v>
      </c>
      <c r="E605" s="1" t="s">
        <v>477</v>
      </c>
      <c r="F605" s="1" t="s">
        <v>5689</v>
      </c>
      <c r="G605" s="1" t="s">
        <v>3846</v>
      </c>
      <c r="H605" s="3" t="s">
        <v>5610</v>
      </c>
      <c r="I605" s="1"/>
      <c r="J605" s="1"/>
    </row>
    <row r="606" ht="15.75" customHeight="1">
      <c r="A606" s="2">
        <v>2252.0</v>
      </c>
      <c r="B606" s="1" t="s">
        <v>4163</v>
      </c>
      <c r="C606" s="2">
        <v>5.70038001206E11</v>
      </c>
      <c r="D606" s="1" t="s">
        <v>398</v>
      </c>
      <c r="E606" s="1" t="s">
        <v>5690</v>
      </c>
      <c r="F606" s="1" t="s">
        <v>5691</v>
      </c>
      <c r="G606" s="1" t="s">
        <v>3846</v>
      </c>
      <c r="H606" s="3" t="s">
        <v>5610</v>
      </c>
      <c r="I606" s="1"/>
      <c r="J606" s="1"/>
    </row>
    <row r="607" ht="15.75" customHeight="1">
      <c r="A607" s="2">
        <v>2253.0</v>
      </c>
      <c r="B607" s="1" t="s">
        <v>5692</v>
      </c>
      <c r="C607" s="2">
        <v>5.70038001207E11</v>
      </c>
      <c r="D607" s="1" t="s">
        <v>5693</v>
      </c>
      <c r="E607" s="1" t="s">
        <v>462</v>
      </c>
      <c r="F607" s="1" t="s">
        <v>5632</v>
      </c>
      <c r="G607" s="1" t="s">
        <v>135</v>
      </c>
      <c r="H607" s="3" t="s">
        <v>5610</v>
      </c>
      <c r="I607" s="1"/>
      <c r="J607" s="1"/>
    </row>
    <row r="608" ht="15.75" customHeight="1">
      <c r="A608" s="2">
        <v>2254.0</v>
      </c>
      <c r="B608" s="1" t="s">
        <v>2714</v>
      </c>
      <c r="C608" s="2">
        <v>5.70038001209E11</v>
      </c>
      <c r="D608" s="1" t="s">
        <v>4843</v>
      </c>
      <c r="E608" s="1" t="s">
        <v>335</v>
      </c>
      <c r="F608" s="1" t="s">
        <v>5694</v>
      </c>
      <c r="G608" s="1" t="s">
        <v>3846</v>
      </c>
      <c r="H608" s="3" t="s">
        <v>5610</v>
      </c>
      <c r="I608" s="1"/>
      <c r="J608" s="1"/>
    </row>
    <row r="609" ht="15.75" customHeight="1">
      <c r="A609" s="2">
        <v>2255.0</v>
      </c>
      <c r="B609" s="1" t="s">
        <v>5695</v>
      </c>
      <c r="C609" s="2">
        <v>5.70038001211E11</v>
      </c>
      <c r="D609" s="1" t="s">
        <v>204</v>
      </c>
      <c r="E609" s="1" t="s">
        <v>5696</v>
      </c>
      <c r="F609" s="1" t="s">
        <v>5697</v>
      </c>
      <c r="G609" s="1" t="s">
        <v>135</v>
      </c>
      <c r="H609" s="3" t="s">
        <v>5610</v>
      </c>
      <c r="I609" s="1"/>
      <c r="J609" s="1"/>
    </row>
    <row r="610" ht="15.75" customHeight="1">
      <c r="A610" s="2">
        <v>2256.0</v>
      </c>
      <c r="B610" s="1" t="s">
        <v>5698</v>
      </c>
      <c r="C610" s="2">
        <v>5.70038001214E11</v>
      </c>
      <c r="D610" s="1" t="s">
        <v>5247</v>
      </c>
      <c r="E610" s="1" t="s">
        <v>5699</v>
      </c>
      <c r="F610" s="1" t="s">
        <v>5550</v>
      </c>
      <c r="G610" s="1" t="s">
        <v>3846</v>
      </c>
      <c r="H610" s="3" t="s">
        <v>5610</v>
      </c>
      <c r="I610" s="1"/>
      <c r="J610" s="1"/>
    </row>
    <row r="611" ht="15.75" customHeight="1">
      <c r="A611" s="2">
        <v>2257.0</v>
      </c>
      <c r="B611" s="1" t="s">
        <v>5700</v>
      </c>
      <c r="C611" s="2">
        <v>5.70038001218E11</v>
      </c>
      <c r="D611" s="1" t="s">
        <v>755</v>
      </c>
      <c r="E611" s="1" t="s">
        <v>258</v>
      </c>
      <c r="F611" s="1" t="s">
        <v>5701</v>
      </c>
      <c r="G611" s="1" t="s">
        <v>135</v>
      </c>
      <c r="H611" s="3" t="s">
        <v>5610</v>
      </c>
      <c r="I611" s="1"/>
      <c r="J611" s="1"/>
    </row>
    <row r="612" ht="15.75" customHeight="1">
      <c r="A612" s="2">
        <v>2258.0</v>
      </c>
      <c r="B612" s="1" t="s">
        <v>5702</v>
      </c>
      <c r="C612" s="2">
        <v>5.70038001223E11</v>
      </c>
      <c r="D612" s="1" t="s">
        <v>4972</v>
      </c>
      <c r="E612" s="1" t="s">
        <v>3751</v>
      </c>
      <c r="F612" s="1" t="s">
        <v>5703</v>
      </c>
      <c r="G612" s="1" t="s">
        <v>135</v>
      </c>
      <c r="H612" s="3" t="s">
        <v>5610</v>
      </c>
      <c r="I612" s="1"/>
      <c r="J612" s="1"/>
    </row>
    <row r="613" ht="15.75" customHeight="1">
      <c r="A613" s="2">
        <v>2259.0</v>
      </c>
      <c r="B613" s="1" t="s">
        <v>40</v>
      </c>
      <c r="C613" s="2">
        <v>5.70038001229E11</v>
      </c>
      <c r="D613" s="1" t="s">
        <v>5704</v>
      </c>
      <c r="E613" s="1" t="s">
        <v>552</v>
      </c>
      <c r="F613" s="1" t="s">
        <v>5705</v>
      </c>
      <c r="G613" s="1" t="s">
        <v>135</v>
      </c>
      <c r="H613" s="3" t="s">
        <v>5610</v>
      </c>
      <c r="I613" s="1"/>
      <c r="J613" s="1"/>
    </row>
    <row r="614" ht="15.75" customHeight="1">
      <c r="A614" s="2">
        <v>2260.0</v>
      </c>
      <c r="B614" s="1" t="s">
        <v>2005</v>
      </c>
      <c r="C614" s="2">
        <v>5.7003800123E11</v>
      </c>
      <c r="D614" s="1" t="s">
        <v>5706</v>
      </c>
      <c r="E614" s="1" t="s">
        <v>5707</v>
      </c>
      <c r="F614" s="1" t="s">
        <v>5466</v>
      </c>
      <c r="G614" s="1" t="s">
        <v>3846</v>
      </c>
      <c r="H614" s="3" t="s">
        <v>5610</v>
      </c>
      <c r="I614" s="1"/>
      <c r="J614" s="1"/>
    </row>
    <row r="615" ht="15.75" customHeight="1">
      <c r="A615" s="2">
        <v>2261.0</v>
      </c>
      <c r="B615" s="1" t="s">
        <v>4328</v>
      </c>
      <c r="C615" s="2">
        <v>5.70038001231E11</v>
      </c>
      <c r="D615" s="1" t="s">
        <v>5708</v>
      </c>
      <c r="E615" s="1" t="s">
        <v>5709</v>
      </c>
      <c r="F615" s="1" t="s">
        <v>5710</v>
      </c>
      <c r="G615" s="1" t="s">
        <v>3846</v>
      </c>
      <c r="H615" s="3" t="s">
        <v>5610</v>
      </c>
      <c r="I615" s="1"/>
      <c r="J615" s="1"/>
    </row>
    <row r="616" ht="15.75" customHeight="1">
      <c r="A616" s="2">
        <v>2262.0</v>
      </c>
      <c r="B616" s="1" t="s">
        <v>5711</v>
      </c>
      <c r="C616" s="2">
        <v>5.70038001232E11</v>
      </c>
      <c r="D616" s="1" t="s">
        <v>5712</v>
      </c>
      <c r="E616" s="1" t="s">
        <v>5713</v>
      </c>
      <c r="F616" s="1" t="s">
        <v>5714</v>
      </c>
      <c r="G616" s="1" t="s">
        <v>135</v>
      </c>
      <c r="H616" s="3" t="s">
        <v>5610</v>
      </c>
      <c r="I616" s="1"/>
      <c r="J616" s="1"/>
    </row>
    <row r="617" ht="15.75" customHeight="1">
      <c r="A617" s="2">
        <v>2263.0</v>
      </c>
      <c r="B617" s="1" t="s">
        <v>2300</v>
      </c>
      <c r="C617" s="2">
        <v>5.70038001233E11</v>
      </c>
      <c r="D617" s="1" t="s">
        <v>4641</v>
      </c>
      <c r="E617" s="1" t="s">
        <v>451</v>
      </c>
      <c r="F617" s="1" t="s">
        <v>5715</v>
      </c>
      <c r="G617" s="1" t="s">
        <v>135</v>
      </c>
      <c r="H617" s="3" t="s">
        <v>5610</v>
      </c>
      <c r="I617" s="1"/>
      <c r="J617" s="1"/>
    </row>
    <row r="618" ht="15.75" customHeight="1">
      <c r="A618" s="2">
        <v>2264.0</v>
      </c>
      <c r="B618" s="1" t="s">
        <v>5716</v>
      </c>
      <c r="C618" s="2">
        <v>5.70038001235E11</v>
      </c>
      <c r="D618" s="1" t="s">
        <v>435</v>
      </c>
      <c r="E618" s="1" t="s">
        <v>1694</v>
      </c>
      <c r="F618" s="1" t="s">
        <v>5717</v>
      </c>
      <c r="G618" s="1" t="s">
        <v>3846</v>
      </c>
      <c r="H618" s="3" t="s">
        <v>5610</v>
      </c>
      <c r="I618" s="1"/>
      <c r="J618" s="1"/>
    </row>
    <row r="619" ht="15.75" customHeight="1">
      <c r="A619" s="2">
        <v>2265.0</v>
      </c>
      <c r="B619" s="1" t="s">
        <v>48</v>
      </c>
      <c r="C619" s="2">
        <v>5.70038001236E11</v>
      </c>
      <c r="D619" s="1" t="s">
        <v>911</v>
      </c>
      <c r="E619" s="1" t="s">
        <v>5718</v>
      </c>
      <c r="F619" s="1" t="s">
        <v>5719</v>
      </c>
      <c r="G619" s="1" t="s">
        <v>3846</v>
      </c>
      <c r="H619" s="3" t="s">
        <v>5610</v>
      </c>
      <c r="I619" s="1"/>
      <c r="J619" s="1"/>
    </row>
    <row r="620" ht="15.75" customHeight="1">
      <c r="A620" s="2">
        <v>2266.0</v>
      </c>
      <c r="B620" s="1" t="s">
        <v>1080</v>
      </c>
      <c r="C620" s="2">
        <v>5.70038001237E11</v>
      </c>
      <c r="D620" s="1" t="s">
        <v>5720</v>
      </c>
      <c r="E620" s="1" t="s">
        <v>77</v>
      </c>
      <c r="F620" s="1" t="s">
        <v>5721</v>
      </c>
      <c r="G620" s="1" t="s">
        <v>3846</v>
      </c>
      <c r="H620" s="3" t="s">
        <v>5610</v>
      </c>
      <c r="I620" s="1"/>
      <c r="J620" s="1"/>
    </row>
    <row r="621" ht="15.75" customHeight="1">
      <c r="A621" s="2">
        <v>2267.0</v>
      </c>
      <c r="B621" s="1" t="s">
        <v>2570</v>
      </c>
      <c r="C621" s="2">
        <v>5.70038001238E11</v>
      </c>
      <c r="D621" s="1" t="s">
        <v>5722</v>
      </c>
      <c r="E621" s="1" t="s">
        <v>5723</v>
      </c>
      <c r="F621" s="1" t="s">
        <v>5724</v>
      </c>
      <c r="G621" s="1" t="s">
        <v>3846</v>
      </c>
      <c r="H621" s="3" t="s">
        <v>5610</v>
      </c>
      <c r="I621" s="1"/>
      <c r="J621" s="1"/>
    </row>
    <row r="622" ht="15.75" customHeight="1">
      <c r="A622" s="2">
        <v>2268.0</v>
      </c>
      <c r="B622" s="1" t="s">
        <v>5348</v>
      </c>
      <c r="C622" s="2">
        <v>5.70038001242E11</v>
      </c>
      <c r="D622" s="1" t="s">
        <v>1415</v>
      </c>
      <c r="E622" s="1" t="s">
        <v>1627</v>
      </c>
      <c r="F622" s="1" t="s">
        <v>5570</v>
      </c>
      <c r="G622" s="1" t="s">
        <v>3846</v>
      </c>
      <c r="H622" s="3" t="s">
        <v>5610</v>
      </c>
      <c r="I622" s="1"/>
      <c r="J622" s="1"/>
    </row>
    <row r="623" ht="15.75" customHeight="1">
      <c r="A623" s="2">
        <v>2269.0</v>
      </c>
      <c r="B623" s="1" t="s">
        <v>5725</v>
      </c>
      <c r="C623" s="2">
        <v>5.70038001245E11</v>
      </c>
      <c r="D623" s="1" t="s">
        <v>5726</v>
      </c>
      <c r="E623" s="1" t="s">
        <v>5727</v>
      </c>
      <c r="F623" s="1" t="s">
        <v>5728</v>
      </c>
      <c r="G623" s="1" t="s">
        <v>135</v>
      </c>
      <c r="H623" s="3" t="s">
        <v>5610</v>
      </c>
      <c r="I623" s="1"/>
      <c r="J623" s="1"/>
    </row>
    <row r="624" ht="15.75" customHeight="1">
      <c r="A624" s="2">
        <v>2270.0</v>
      </c>
      <c r="B624" s="1" t="s">
        <v>5729</v>
      </c>
      <c r="C624" s="2">
        <v>5.70038001249E11</v>
      </c>
      <c r="D624" s="1" t="s">
        <v>4422</v>
      </c>
      <c r="E624" s="1" t="s">
        <v>290</v>
      </c>
      <c r="F624" s="1" t="s">
        <v>5730</v>
      </c>
      <c r="G624" s="1" t="s">
        <v>3846</v>
      </c>
      <c r="H624" s="3" t="s">
        <v>5610</v>
      </c>
      <c r="I624" s="1"/>
      <c r="J624" s="1"/>
    </row>
    <row r="625" ht="15.75" customHeight="1">
      <c r="A625" s="2">
        <v>2271.0</v>
      </c>
      <c r="B625" s="1" t="s">
        <v>4586</v>
      </c>
      <c r="C625" s="2">
        <v>5.70038001253E11</v>
      </c>
      <c r="D625" s="1" t="s">
        <v>5731</v>
      </c>
      <c r="E625" s="1" t="s">
        <v>5732</v>
      </c>
      <c r="F625" s="1" t="s">
        <v>5733</v>
      </c>
      <c r="G625" s="1" t="s">
        <v>3846</v>
      </c>
      <c r="H625" s="3" t="s">
        <v>5610</v>
      </c>
      <c r="I625" s="1"/>
      <c r="J625" s="1"/>
    </row>
    <row r="626" ht="15.75" customHeight="1">
      <c r="A626" s="2">
        <v>2272.0</v>
      </c>
      <c r="B626" s="1" t="s">
        <v>5734</v>
      </c>
      <c r="C626" s="2">
        <v>5.70038001256E11</v>
      </c>
      <c r="D626" s="1" t="s">
        <v>5735</v>
      </c>
      <c r="E626" s="1" t="s">
        <v>5736</v>
      </c>
      <c r="F626" s="1" t="s">
        <v>5737</v>
      </c>
      <c r="G626" s="1" t="s">
        <v>3846</v>
      </c>
      <c r="H626" s="3" t="s">
        <v>5610</v>
      </c>
      <c r="I626" s="1"/>
      <c r="J626" s="1"/>
    </row>
    <row r="627" ht="15.75" customHeight="1">
      <c r="A627" s="2">
        <v>2273.0</v>
      </c>
      <c r="B627" s="1" t="s">
        <v>4758</v>
      </c>
      <c r="C627" s="2">
        <v>5.70038001257E11</v>
      </c>
      <c r="D627" s="1" t="s">
        <v>5738</v>
      </c>
      <c r="E627" s="1" t="s">
        <v>5739</v>
      </c>
      <c r="F627" s="1" t="s">
        <v>5740</v>
      </c>
      <c r="G627" s="1" t="s">
        <v>3846</v>
      </c>
      <c r="H627" s="3" t="s">
        <v>5610</v>
      </c>
      <c r="I627" s="1"/>
      <c r="J627" s="1"/>
    </row>
    <row r="628" ht="15.75" customHeight="1">
      <c r="A628" s="2">
        <v>2274.0</v>
      </c>
      <c r="B628" s="1" t="s">
        <v>5741</v>
      </c>
      <c r="C628" s="2">
        <v>5.70038001258E11</v>
      </c>
      <c r="D628" s="1" t="s">
        <v>369</v>
      </c>
      <c r="E628" s="1" t="s">
        <v>48</v>
      </c>
      <c r="F628" s="1" t="s">
        <v>5742</v>
      </c>
      <c r="G628" s="1" t="s">
        <v>3846</v>
      </c>
      <c r="H628" s="3" t="s">
        <v>5610</v>
      </c>
      <c r="I628" s="1"/>
      <c r="J628" s="1"/>
    </row>
    <row r="629" ht="15.75" customHeight="1">
      <c r="A629" s="2">
        <v>2275.0</v>
      </c>
      <c r="B629" s="1" t="s">
        <v>5743</v>
      </c>
      <c r="C629" s="2">
        <v>5.70038001261E11</v>
      </c>
      <c r="D629" s="1" t="s">
        <v>176</v>
      </c>
      <c r="E629" s="1" t="s">
        <v>161</v>
      </c>
      <c r="F629" s="1" t="s">
        <v>5744</v>
      </c>
      <c r="G629" s="1" t="s">
        <v>3846</v>
      </c>
      <c r="H629" s="3" t="s">
        <v>5610</v>
      </c>
      <c r="I629" s="1"/>
      <c r="J629" s="1"/>
    </row>
    <row r="630" ht="15.75" customHeight="1">
      <c r="A630" s="2">
        <v>2276.0</v>
      </c>
      <c r="B630" s="1" t="s">
        <v>5745</v>
      </c>
      <c r="C630" s="2">
        <v>5.70038001263E11</v>
      </c>
      <c r="D630" s="1" t="s">
        <v>5746</v>
      </c>
      <c r="E630" s="1" t="s">
        <v>710</v>
      </c>
      <c r="F630" s="1" t="s">
        <v>5747</v>
      </c>
      <c r="G630" s="1" t="s">
        <v>135</v>
      </c>
      <c r="H630" s="3" t="s">
        <v>5610</v>
      </c>
      <c r="I630" s="1"/>
      <c r="J630" s="1"/>
    </row>
    <row r="631" ht="15.75" customHeight="1">
      <c r="A631" s="2">
        <v>2277.0</v>
      </c>
      <c r="B631" s="1" t="s">
        <v>5748</v>
      </c>
      <c r="C631" s="2">
        <v>5.70038001265E11</v>
      </c>
      <c r="D631" s="1" t="s">
        <v>3541</v>
      </c>
      <c r="E631" s="1" t="s">
        <v>4073</v>
      </c>
      <c r="F631" s="1" t="s">
        <v>5749</v>
      </c>
      <c r="G631" s="1" t="s">
        <v>135</v>
      </c>
      <c r="H631" s="3" t="s">
        <v>5610</v>
      </c>
      <c r="I631" s="1"/>
      <c r="J631" s="1"/>
    </row>
    <row r="632" ht="15.75" customHeight="1">
      <c r="A632" s="2">
        <v>2278.0</v>
      </c>
      <c r="B632" s="1" t="s">
        <v>5750</v>
      </c>
      <c r="C632" s="2">
        <v>5.70038001266E11</v>
      </c>
      <c r="D632" s="1" t="s">
        <v>5751</v>
      </c>
      <c r="E632" s="1" t="s">
        <v>566</v>
      </c>
      <c r="F632" s="1" t="s">
        <v>5752</v>
      </c>
      <c r="G632" s="1" t="s">
        <v>3846</v>
      </c>
      <c r="H632" s="3" t="s">
        <v>5610</v>
      </c>
      <c r="I632" s="1"/>
      <c r="J632" s="1"/>
    </row>
    <row r="633" ht="15.75" customHeight="1">
      <c r="A633" s="2">
        <v>2279.0</v>
      </c>
      <c r="B633" s="1" t="s">
        <v>5753</v>
      </c>
      <c r="C633" s="2">
        <v>5.70038001267E11</v>
      </c>
      <c r="D633" s="1" t="s">
        <v>4603</v>
      </c>
      <c r="E633" s="1" t="s">
        <v>5303</v>
      </c>
      <c r="F633" s="1" t="s">
        <v>5754</v>
      </c>
      <c r="G633" s="1" t="s">
        <v>135</v>
      </c>
      <c r="H633" s="3" t="s">
        <v>5610</v>
      </c>
      <c r="I633" s="1"/>
      <c r="J633" s="1"/>
    </row>
    <row r="634" ht="15.75" customHeight="1">
      <c r="A634" s="2">
        <v>2280.0</v>
      </c>
      <c r="B634" s="1" t="s">
        <v>230</v>
      </c>
      <c r="C634" s="2">
        <v>5.7003800127E11</v>
      </c>
      <c r="D634" s="1" t="s">
        <v>647</v>
      </c>
      <c r="E634" s="1" t="s">
        <v>263</v>
      </c>
      <c r="F634" s="1" t="s">
        <v>4838</v>
      </c>
      <c r="G634" s="1" t="s">
        <v>3846</v>
      </c>
      <c r="H634" s="3" t="s">
        <v>5610</v>
      </c>
      <c r="I634" s="1"/>
      <c r="J634" s="1"/>
    </row>
    <row r="635" ht="15.75" customHeight="1">
      <c r="A635" s="2">
        <v>2281.0</v>
      </c>
      <c r="B635" s="1" t="s">
        <v>5291</v>
      </c>
      <c r="C635" s="2">
        <v>5.70038001272E11</v>
      </c>
      <c r="D635" s="1" t="s">
        <v>5755</v>
      </c>
      <c r="E635" s="1" t="s">
        <v>161</v>
      </c>
      <c r="F635" s="1" t="s">
        <v>5756</v>
      </c>
      <c r="G635" s="1" t="s">
        <v>3846</v>
      </c>
      <c r="H635" s="3" t="s">
        <v>5610</v>
      </c>
      <c r="I635" s="1"/>
      <c r="J635" s="1"/>
    </row>
    <row r="636" ht="15.75" customHeight="1">
      <c r="A636" s="2">
        <v>2282.0</v>
      </c>
      <c r="B636" s="1" t="s">
        <v>725</v>
      </c>
      <c r="C636" s="2">
        <v>5.70038001273E11</v>
      </c>
      <c r="D636" s="1" t="s">
        <v>369</v>
      </c>
      <c r="E636" s="1" t="s">
        <v>127</v>
      </c>
      <c r="F636" s="1" t="s">
        <v>5757</v>
      </c>
      <c r="G636" s="1" t="s">
        <v>3846</v>
      </c>
      <c r="H636" s="3" t="s">
        <v>5610</v>
      </c>
      <c r="I636" s="1"/>
      <c r="J636" s="1"/>
    </row>
    <row r="637" ht="15.75" customHeight="1">
      <c r="A637" s="2">
        <v>2283.0</v>
      </c>
      <c r="B637" s="1" t="s">
        <v>172</v>
      </c>
      <c r="C637" s="2">
        <v>5.70038001274E11</v>
      </c>
      <c r="D637" s="1" t="s">
        <v>516</v>
      </c>
      <c r="E637" s="1" t="s">
        <v>362</v>
      </c>
      <c r="F637" s="1" t="s">
        <v>5758</v>
      </c>
      <c r="G637" s="1" t="s">
        <v>3846</v>
      </c>
      <c r="H637" s="3" t="s">
        <v>5610</v>
      </c>
      <c r="I637" s="1"/>
      <c r="J637" s="1"/>
    </row>
    <row r="638" ht="15.75" customHeight="1">
      <c r="A638" s="2">
        <v>2284.0</v>
      </c>
      <c r="B638" s="1" t="s">
        <v>5759</v>
      </c>
      <c r="C638" s="2">
        <v>5.70038001277E11</v>
      </c>
      <c r="D638" s="1" t="s">
        <v>5760</v>
      </c>
      <c r="E638" s="1" t="s">
        <v>1561</v>
      </c>
      <c r="F638" s="1" t="s">
        <v>5761</v>
      </c>
      <c r="G638" s="1" t="s">
        <v>3846</v>
      </c>
      <c r="H638" s="3" t="s">
        <v>5610</v>
      </c>
      <c r="I638" s="1"/>
      <c r="J638" s="1"/>
    </row>
    <row r="639" ht="15.75" customHeight="1">
      <c r="A639" s="2">
        <v>2285.0</v>
      </c>
      <c r="B639" s="1" t="s">
        <v>5762</v>
      </c>
      <c r="C639" s="2">
        <v>5.7003800128E11</v>
      </c>
      <c r="D639" s="1" t="s">
        <v>2797</v>
      </c>
      <c r="E639" s="1" t="s">
        <v>324</v>
      </c>
      <c r="F639" s="1" t="s">
        <v>5763</v>
      </c>
      <c r="G639" s="1" t="s">
        <v>3846</v>
      </c>
      <c r="H639" s="3" t="s">
        <v>5610</v>
      </c>
      <c r="I639" s="1"/>
      <c r="J639" s="1"/>
    </row>
    <row r="640" ht="15.75" customHeight="1">
      <c r="A640" s="2">
        <v>2286.0</v>
      </c>
      <c r="B640" s="1" t="s">
        <v>5764</v>
      </c>
      <c r="C640" s="2">
        <v>5.70038001284E11</v>
      </c>
      <c r="D640" s="1" t="s">
        <v>5765</v>
      </c>
      <c r="E640" s="1" t="s">
        <v>5766</v>
      </c>
      <c r="F640" s="1" t="s">
        <v>5767</v>
      </c>
      <c r="G640" s="1" t="s">
        <v>3846</v>
      </c>
      <c r="H640" s="3" t="s">
        <v>5610</v>
      </c>
      <c r="I640" s="1"/>
      <c r="J640" s="1"/>
    </row>
    <row r="641" ht="15.75" customHeight="1">
      <c r="A641" s="2">
        <v>2287.0</v>
      </c>
      <c r="B641" s="1" t="s">
        <v>16</v>
      </c>
      <c r="C641" s="2">
        <v>5.70038001285E11</v>
      </c>
      <c r="D641" s="1" t="s">
        <v>204</v>
      </c>
      <c r="E641" s="1" t="s">
        <v>97</v>
      </c>
      <c r="F641" s="1" t="s">
        <v>5768</v>
      </c>
      <c r="G641" s="1" t="s">
        <v>135</v>
      </c>
      <c r="H641" s="3" t="s">
        <v>5610</v>
      </c>
      <c r="I641" s="1"/>
      <c r="J641" s="1"/>
    </row>
    <row r="642" ht="15.75" customHeight="1">
      <c r="A642" s="2">
        <v>2288.0</v>
      </c>
      <c r="B642" s="1" t="s">
        <v>5769</v>
      </c>
      <c r="C642" s="2">
        <v>5.70038001286E11</v>
      </c>
      <c r="D642" s="1" t="s">
        <v>3963</v>
      </c>
      <c r="E642" s="1" t="s">
        <v>5770</v>
      </c>
      <c r="F642" s="1" t="s">
        <v>5771</v>
      </c>
      <c r="G642" s="1" t="s">
        <v>3846</v>
      </c>
      <c r="H642" s="3" t="s">
        <v>5610</v>
      </c>
      <c r="I642" s="1"/>
      <c r="J642" s="1"/>
    </row>
    <row r="643" ht="15.75" customHeight="1">
      <c r="A643" s="2">
        <v>2289.0</v>
      </c>
      <c r="B643" s="1" t="s">
        <v>2077</v>
      </c>
      <c r="C643" s="2">
        <v>5.70038001291E11</v>
      </c>
      <c r="D643" s="1" t="s">
        <v>1313</v>
      </c>
      <c r="E643" s="1" t="s">
        <v>97</v>
      </c>
      <c r="F643" s="1" t="s">
        <v>5772</v>
      </c>
      <c r="G643" s="1" t="s">
        <v>3846</v>
      </c>
      <c r="H643" s="3" t="s">
        <v>5610</v>
      </c>
      <c r="I643" s="1"/>
      <c r="J643" s="1"/>
    </row>
    <row r="644" ht="15.75" customHeight="1">
      <c r="A644" s="2">
        <v>2290.0</v>
      </c>
      <c r="B644" s="1" t="s">
        <v>5773</v>
      </c>
      <c r="C644" s="2">
        <v>5.70038001294E11</v>
      </c>
      <c r="D644" s="1" t="s">
        <v>5774</v>
      </c>
      <c r="E644" s="1" t="s">
        <v>775</v>
      </c>
      <c r="F644" s="1" t="s">
        <v>5775</v>
      </c>
      <c r="G644" s="1" t="s">
        <v>135</v>
      </c>
      <c r="H644" s="3" t="s">
        <v>5610</v>
      </c>
      <c r="I644" s="1"/>
      <c r="J644" s="1"/>
    </row>
    <row r="645" ht="15.75" customHeight="1">
      <c r="A645" s="2">
        <v>2291.0</v>
      </c>
      <c r="B645" s="1" t="s">
        <v>1609</v>
      </c>
      <c r="C645" s="2">
        <v>5.70038001302E11</v>
      </c>
      <c r="D645" s="1" t="s">
        <v>5776</v>
      </c>
      <c r="E645" s="1" t="s">
        <v>5777</v>
      </c>
      <c r="F645" s="1" t="s">
        <v>5778</v>
      </c>
      <c r="G645" s="1" t="s">
        <v>3846</v>
      </c>
      <c r="H645" s="3" t="s">
        <v>5610</v>
      </c>
      <c r="I645" s="1"/>
      <c r="J645" s="1"/>
    </row>
    <row r="646" ht="15.75" customHeight="1">
      <c r="A646" s="2">
        <v>2292.0</v>
      </c>
      <c r="B646" s="1" t="s">
        <v>543</v>
      </c>
      <c r="C646" s="2">
        <v>5.70038001303E11</v>
      </c>
      <c r="D646" s="1" t="s">
        <v>5779</v>
      </c>
      <c r="E646" s="1" t="s">
        <v>1047</v>
      </c>
      <c r="F646" s="1" t="s">
        <v>5780</v>
      </c>
      <c r="G646" s="1" t="s">
        <v>3846</v>
      </c>
      <c r="H646" s="3" t="s">
        <v>5610</v>
      </c>
      <c r="I646" s="1"/>
      <c r="J646" s="1"/>
    </row>
    <row r="647" ht="15.75" customHeight="1">
      <c r="A647" s="2">
        <v>2293.0</v>
      </c>
      <c r="B647" s="1" t="s">
        <v>5781</v>
      </c>
      <c r="C647" s="2">
        <v>5.70038001309E11</v>
      </c>
      <c r="D647" s="1" t="s">
        <v>4469</v>
      </c>
      <c r="E647" s="1" t="s">
        <v>3601</v>
      </c>
      <c r="F647" s="1" t="s">
        <v>5782</v>
      </c>
      <c r="G647" s="1" t="s">
        <v>3846</v>
      </c>
      <c r="H647" s="3" t="s">
        <v>5610</v>
      </c>
      <c r="I647" s="1"/>
      <c r="J647" s="1"/>
    </row>
    <row r="648" ht="15.75" customHeight="1">
      <c r="A648" s="2">
        <v>2294.0</v>
      </c>
      <c r="B648" s="1" t="s">
        <v>5348</v>
      </c>
      <c r="C648" s="2">
        <v>5.7003800131E11</v>
      </c>
      <c r="D648" s="1" t="s">
        <v>3334</v>
      </c>
      <c r="E648" s="1" t="s">
        <v>174</v>
      </c>
      <c r="F648" s="1" t="s">
        <v>5783</v>
      </c>
      <c r="G648" s="1" t="s">
        <v>3846</v>
      </c>
      <c r="H648" s="3" t="s">
        <v>5610</v>
      </c>
      <c r="I648" s="1"/>
      <c r="J648" s="1"/>
    </row>
    <row r="649" ht="15.75" customHeight="1">
      <c r="A649" s="2">
        <v>2295.0</v>
      </c>
      <c r="B649" s="1" t="s">
        <v>1618</v>
      </c>
      <c r="C649" s="2">
        <v>5.70038001311E11</v>
      </c>
      <c r="D649" s="1" t="s">
        <v>323</v>
      </c>
      <c r="E649" s="1" t="s">
        <v>5784</v>
      </c>
      <c r="F649" s="1" t="s">
        <v>5785</v>
      </c>
      <c r="G649" s="1" t="s">
        <v>3846</v>
      </c>
      <c r="H649" s="3" t="s">
        <v>5610</v>
      </c>
      <c r="I649" s="1"/>
      <c r="J649" s="1"/>
    </row>
    <row r="650" ht="15.75" customHeight="1">
      <c r="A650" s="2">
        <v>2296.0</v>
      </c>
      <c r="B650" s="1" t="s">
        <v>5193</v>
      </c>
      <c r="C650" s="2">
        <v>5.70038001312E11</v>
      </c>
      <c r="D650" s="1" t="s">
        <v>5786</v>
      </c>
      <c r="E650" s="1" t="s">
        <v>1911</v>
      </c>
      <c r="F650" s="1" t="s">
        <v>4946</v>
      </c>
      <c r="G650" s="1" t="s">
        <v>3846</v>
      </c>
      <c r="H650" s="3" t="s">
        <v>5610</v>
      </c>
      <c r="I650" s="1"/>
      <c r="J650" s="1"/>
    </row>
    <row r="651" ht="15.75" customHeight="1">
      <c r="A651" s="2">
        <v>2297.0</v>
      </c>
      <c r="B651" s="1" t="s">
        <v>5787</v>
      </c>
      <c r="C651" s="2">
        <v>5.70038001314E11</v>
      </c>
      <c r="D651" s="1" t="s">
        <v>5788</v>
      </c>
      <c r="E651" s="1" t="s">
        <v>5789</v>
      </c>
      <c r="F651" s="1" t="s">
        <v>5790</v>
      </c>
      <c r="G651" s="1" t="s">
        <v>3846</v>
      </c>
      <c r="H651" s="3" t="s">
        <v>5610</v>
      </c>
      <c r="I651" s="1"/>
      <c r="J651" s="1"/>
    </row>
    <row r="652" ht="15.75" customHeight="1">
      <c r="A652" s="2">
        <v>2298.0</v>
      </c>
      <c r="B652" s="1" t="s">
        <v>1904</v>
      </c>
      <c r="C652" s="2">
        <v>5.70038001315E11</v>
      </c>
      <c r="D652" s="1" t="s">
        <v>5791</v>
      </c>
      <c r="E652" s="1" t="s">
        <v>5792</v>
      </c>
      <c r="F652" s="1" t="s">
        <v>5793</v>
      </c>
      <c r="G652" s="1" t="s">
        <v>3846</v>
      </c>
      <c r="H652" s="3" t="s">
        <v>5610</v>
      </c>
      <c r="I652" s="1"/>
      <c r="J652" s="1"/>
    </row>
    <row r="653" ht="15.75" customHeight="1">
      <c r="A653" s="2">
        <v>2299.0</v>
      </c>
      <c r="B653" s="1" t="s">
        <v>5794</v>
      </c>
      <c r="C653" s="2">
        <v>5.70038001317E11</v>
      </c>
      <c r="D653" s="1" t="s">
        <v>5795</v>
      </c>
      <c r="E653" s="1" t="s">
        <v>4296</v>
      </c>
      <c r="F653" s="1" t="s">
        <v>5796</v>
      </c>
      <c r="G653" s="1" t="s">
        <v>135</v>
      </c>
      <c r="H653" s="3" t="s">
        <v>5610</v>
      </c>
      <c r="I653" s="1"/>
      <c r="J653" s="1"/>
    </row>
    <row r="654" ht="15.75" customHeight="1">
      <c r="A654" s="2">
        <v>2300.0</v>
      </c>
      <c r="B654" s="1" t="s">
        <v>5797</v>
      </c>
      <c r="C654" s="2">
        <v>5.70038001318E11</v>
      </c>
      <c r="D654" s="1" t="s">
        <v>5798</v>
      </c>
      <c r="E654" s="1" t="s">
        <v>224</v>
      </c>
      <c r="F654" s="1" t="s">
        <v>5799</v>
      </c>
      <c r="G654" s="1" t="s">
        <v>135</v>
      </c>
      <c r="H654" s="3" t="s">
        <v>5610</v>
      </c>
      <c r="I654" s="1"/>
      <c r="J654" s="1"/>
    </row>
    <row r="655" ht="15.75" customHeight="1">
      <c r="A655" s="2">
        <v>2301.0</v>
      </c>
      <c r="B655" s="1" t="s">
        <v>5800</v>
      </c>
      <c r="C655" s="2">
        <v>5.70038001322E11</v>
      </c>
      <c r="D655" s="1" t="s">
        <v>5801</v>
      </c>
      <c r="E655" s="1" t="s">
        <v>1979</v>
      </c>
      <c r="F655" s="1" t="s">
        <v>5802</v>
      </c>
      <c r="G655" s="1" t="s">
        <v>3846</v>
      </c>
      <c r="H655" s="3" t="s">
        <v>5610</v>
      </c>
      <c r="I655" s="1"/>
      <c r="J655" s="1"/>
    </row>
    <row r="656" ht="15.75" customHeight="1">
      <c r="A656" s="2">
        <v>2302.0</v>
      </c>
      <c r="B656" s="1" t="s">
        <v>5803</v>
      </c>
      <c r="C656" s="2">
        <v>5.70038001325E11</v>
      </c>
      <c r="D656" s="1" t="s">
        <v>5804</v>
      </c>
      <c r="E656" s="1" t="s">
        <v>2809</v>
      </c>
      <c r="F656" s="1" t="s">
        <v>5805</v>
      </c>
      <c r="G656" s="1" t="s">
        <v>3846</v>
      </c>
      <c r="H656" s="3" t="s">
        <v>5610</v>
      </c>
      <c r="I656" s="1"/>
      <c r="J656" s="1"/>
    </row>
    <row r="657" ht="15.75" customHeight="1">
      <c r="A657" s="2">
        <v>2303.0</v>
      </c>
      <c r="B657" s="1" t="s">
        <v>445</v>
      </c>
      <c r="C657" s="2">
        <v>5.70038001328E11</v>
      </c>
      <c r="D657" s="1" t="s">
        <v>631</v>
      </c>
      <c r="E657" s="1" t="s">
        <v>1191</v>
      </c>
      <c r="F657" s="1" t="s">
        <v>5806</v>
      </c>
      <c r="G657" s="1" t="s">
        <v>3846</v>
      </c>
      <c r="H657" s="3" t="s">
        <v>5610</v>
      </c>
      <c r="I657" s="1"/>
      <c r="J657" s="1"/>
    </row>
    <row r="658" ht="15.75" customHeight="1">
      <c r="A658" s="2">
        <v>2304.0</v>
      </c>
      <c r="B658" s="1" t="s">
        <v>5807</v>
      </c>
      <c r="C658" s="2">
        <v>5.7003800133E11</v>
      </c>
      <c r="D658" s="1" t="s">
        <v>1081</v>
      </c>
      <c r="E658" s="1" t="s">
        <v>431</v>
      </c>
      <c r="F658" s="1" t="s">
        <v>5808</v>
      </c>
      <c r="G658" s="1" t="s">
        <v>135</v>
      </c>
      <c r="H658" s="3" t="s">
        <v>5610</v>
      </c>
      <c r="I658" s="1"/>
      <c r="J658" s="1"/>
    </row>
    <row r="659" ht="15.75" customHeight="1">
      <c r="A659" s="2">
        <v>2305.0</v>
      </c>
      <c r="B659" s="1" t="s">
        <v>5809</v>
      </c>
      <c r="C659" s="2">
        <v>5.70038001331E11</v>
      </c>
      <c r="D659" s="1" t="s">
        <v>2963</v>
      </c>
      <c r="E659" s="1" t="s">
        <v>5810</v>
      </c>
      <c r="F659" s="1" t="s">
        <v>5811</v>
      </c>
      <c r="G659" s="1" t="s">
        <v>135</v>
      </c>
      <c r="H659" s="3" t="s">
        <v>5610</v>
      </c>
      <c r="I659" s="1"/>
      <c r="J659" s="1"/>
    </row>
    <row r="660" ht="15.75" customHeight="1">
      <c r="A660" s="2">
        <v>2306.0</v>
      </c>
      <c r="B660" s="1" t="s">
        <v>5812</v>
      </c>
      <c r="C660" s="2">
        <v>5.70038001332E11</v>
      </c>
      <c r="D660" s="1" t="s">
        <v>5813</v>
      </c>
      <c r="E660" s="1" t="s">
        <v>534</v>
      </c>
      <c r="F660" s="1" t="s">
        <v>5814</v>
      </c>
      <c r="G660" s="1" t="s">
        <v>135</v>
      </c>
      <c r="H660" s="3" t="s">
        <v>5610</v>
      </c>
      <c r="I660" s="1"/>
      <c r="J660" s="1"/>
    </row>
    <row r="661" ht="15.75" customHeight="1">
      <c r="A661" s="2">
        <v>2307.0</v>
      </c>
      <c r="B661" s="1" t="s">
        <v>4513</v>
      </c>
      <c r="C661" s="2">
        <v>5.70038001333E11</v>
      </c>
      <c r="D661" s="1" t="s">
        <v>5815</v>
      </c>
      <c r="E661" s="1" t="s">
        <v>3559</v>
      </c>
      <c r="F661" s="1" t="s">
        <v>5574</v>
      </c>
      <c r="G661" s="1" t="s">
        <v>3846</v>
      </c>
      <c r="H661" s="3" t="s">
        <v>5610</v>
      </c>
      <c r="I661" s="1"/>
      <c r="J661" s="1"/>
    </row>
    <row r="662" ht="15.75" customHeight="1">
      <c r="A662" s="2">
        <v>2308.0</v>
      </c>
      <c r="B662" s="1" t="s">
        <v>1287</v>
      </c>
      <c r="C662" s="2">
        <v>5.70038001334E11</v>
      </c>
      <c r="D662" s="1" t="s">
        <v>5816</v>
      </c>
      <c r="E662" s="1" t="s">
        <v>146</v>
      </c>
      <c r="F662" s="1" t="s">
        <v>5817</v>
      </c>
      <c r="G662" s="1" t="s">
        <v>135</v>
      </c>
      <c r="H662" s="3" t="s">
        <v>5610</v>
      </c>
      <c r="I662" s="1"/>
      <c r="J662" s="1"/>
    </row>
    <row r="663" ht="15.75" customHeight="1">
      <c r="A663" s="2">
        <v>2309.0</v>
      </c>
      <c r="B663" s="1" t="s">
        <v>5818</v>
      </c>
      <c r="C663" s="2">
        <v>5.70038001335E11</v>
      </c>
      <c r="D663" s="1" t="s">
        <v>3749</v>
      </c>
      <c r="E663" s="1" t="s">
        <v>1036</v>
      </c>
      <c r="F663" s="1" t="s">
        <v>5819</v>
      </c>
      <c r="G663" s="1" t="s">
        <v>3846</v>
      </c>
      <c r="H663" s="3" t="s">
        <v>5610</v>
      </c>
      <c r="I663" s="1"/>
      <c r="J663" s="1"/>
    </row>
    <row r="664" ht="15.75" customHeight="1">
      <c r="A664" s="2">
        <v>2310.0</v>
      </c>
      <c r="B664" s="1" t="s">
        <v>5820</v>
      </c>
      <c r="C664" s="2">
        <v>5.70038001338E11</v>
      </c>
      <c r="D664" s="1" t="s">
        <v>67</v>
      </c>
      <c r="E664" s="1" t="s">
        <v>513</v>
      </c>
      <c r="F664" s="1" t="s">
        <v>5821</v>
      </c>
      <c r="G664" s="1" t="s">
        <v>135</v>
      </c>
      <c r="H664" s="3" t="s">
        <v>5610</v>
      </c>
      <c r="I664" s="1"/>
      <c r="J664" s="1"/>
    </row>
    <row r="665" ht="15.75" customHeight="1">
      <c r="A665" s="2">
        <v>2311.0</v>
      </c>
      <c r="B665" s="1" t="s">
        <v>1581</v>
      </c>
      <c r="C665" s="2">
        <v>5.70038001339E11</v>
      </c>
      <c r="D665" s="1" t="s">
        <v>5822</v>
      </c>
      <c r="E665" s="1" t="s">
        <v>5823</v>
      </c>
      <c r="F665" s="1" t="s">
        <v>5824</v>
      </c>
      <c r="G665" s="1" t="s">
        <v>135</v>
      </c>
      <c r="H665" s="3" t="s">
        <v>5610</v>
      </c>
      <c r="I665" s="1"/>
      <c r="J665" s="1"/>
    </row>
    <row r="666" ht="15.75" customHeight="1">
      <c r="A666" s="2">
        <v>2312.0</v>
      </c>
      <c r="B666" s="1" t="s">
        <v>5825</v>
      </c>
      <c r="C666" s="2">
        <v>5.7003800134E11</v>
      </c>
      <c r="D666" s="1" t="s">
        <v>4517</v>
      </c>
      <c r="E666" s="1" t="s">
        <v>58</v>
      </c>
      <c r="F666" s="1" t="s">
        <v>5826</v>
      </c>
      <c r="G666" s="1" t="s">
        <v>135</v>
      </c>
      <c r="H666" s="3" t="s">
        <v>5610</v>
      </c>
      <c r="I666" s="1"/>
      <c r="J666" s="1"/>
    </row>
    <row r="667" ht="15.75" customHeight="1">
      <c r="A667" s="2">
        <v>2313.0</v>
      </c>
      <c r="B667" s="1" t="s">
        <v>2907</v>
      </c>
      <c r="C667" s="2">
        <v>5.70038001341E11</v>
      </c>
      <c r="D667" s="1" t="s">
        <v>5827</v>
      </c>
      <c r="E667" s="1" t="s">
        <v>1285</v>
      </c>
      <c r="F667" s="1" t="s">
        <v>5828</v>
      </c>
      <c r="G667" s="1" t="s">
        <v>135</v>
      </c>
      <c r="H667" s="3" t="s">
        <v>5610</v>
      </c>
      <c r="I667" s="1"/>
      <c r="J667" s="1"/>
    </row>
    <row r="668" ht="15.75" customHeight="1">
      <c r="A668" s="2">
        <v>2314.0</v>
      </c>
      <c r="B668" s="1" t="s">
        <v>5829</v>
      </c>
      <c r="C668" s="2">
        <v>5.70038001342E11</v>
      </c>
      <c r="D668" s="1" t="s">
        <v>5830</v>
      </c>
      <c r="E668" s="1" t="s">
        <v>3927</v>
      </c>
      <c r="F668" s="1" t="s">
        <v>5831</v>
      </c>
      <c r="G668" s="1" t="s">
        <v>3846</v>
      </c>
      <c r="H668" s="3" t="s">
        <v>5610</v>
      </c>
      <c r="I668" s="1"/>
      <c r="J668" s="1"/>
    </row>
    <row r="669" ht="15.75" customHeight="1">
      <c r="A669" s="2">
        <v>2315.0</v>
      </c>
      <c r="B669" s="1" t="s">
        <v>258</v>
      </c>
      <c r="C669" s="2">
        <v>5.70038001345E11</v>
      </c>
      <c r="D669" s="1" t="s">
        <v>5021</v>
      </c>
      <c r="E669" s="1" t="s">
        <v>944</v>
      </c>
      <c r="F669" s="1" t="s">
        <v>5832</v>
      </c>
      <c r="G669" s="1" t="s">
        <v>135</v>
      </c>
      <c r="H669" s="3" t="s">
        <v>5610</v>
      </c>
      <c r="I669" s="1"/>
      <c r="J669" s="1"/>
    </row>
    <row r="670" ht="15.75" customHeight="1">
      <c r="A670" s="2">
        <v>2316.0</v>
      </c>
      <c r="B670" s="1" t="s">
        <v>5833</v>
      </c>
      <c r="C670" s="2">
        <v>5.70038001351E11</v>
      </c>
      <c r="D670" s="1" t="s">
        <v>5660</v>
      </c>
      <c r="E670" s="1" t="s">
        <v>5834</v>
      </c>
      <c r="F670" s="1" t="s">
        <v>5835</v>
      </c>
      <c r="G670" s="1" t="s">
        <v>135</v>
      </c>
      <c r="H670" s="3" t="s">
        <v>5610</v>
      </c>
      <c r="I670" s="1"/>
      <c r="J670" s="1"/>
    </row>
    <row r="671" ht="15.75" customHeight="1">
      <c r="A671" s="2">
        <v>2317.0</v>
      </c>
      <c r="B671" s="1" t="s">
        <v>5836</v>
      </c>
      <c r="C671" s="2">
        <v>5.70038001355E11</v>
      </c>
      <c r="D671" s="1" t="s">
        <v>414</v>
      </c>
      <c r="E671" s="1" t="s">
        <v>1644</v>
      </c>
      <c r="F671" s="1" t="s">
        <v>5837</v>
      </c>
      <c r="G671" s="1" t="s">
        <v>3846</v>
      </c>
      <c r="H671" s="3" t="s">
        <v>5610</v>
      </c>
      <c r="I671" s="1"/>
      <c r="J671" s="1"/>
    </row>
    <row r="672" ht="15.75" customHeight="1">
      <c r="A672" s="2">
        <v>2318.0</v>
      </c>
      <c r="B672" s="1" t="s">
        <v>5838</v>
      </c>
      <c r="C672" s="2">
        <v>5.70038001356E11</v>
      </c>
      <c r="D672" s="1" t="s">
        <v>5839</v>
      </c>
      <c r="E672" s="1" t="s">
        <v>5569</v>
      </c>
      <c r="F672" s="1" t="s">
        <v>5840</v>
      </c>
      <c r="G672" s="1" t="s">
        <v>135</v>
      </c>
      <c r="H672" s="3" t="s">
        <v>5610</v>
      </c>
      <c r="I672" s="1"/>
      <c r="J672" s="1"/>
    </row>
    <row r="673" ht="15.75" customHeight="1">
      <c r="A673" s="2">
        <v>2319.0</v>
      </c>
      <c r="B673" s="1" t="s">
        <v>4662</v>
      </c>
      <c r="C673" s="2">
        <v>5.70038001357E11</v>
      </c>
      <c r="D673" s="1" t="s">
        <v>5841</v>
      </c>
      <c r="E673" s="1" t="s">
        <v>2350</v>
      </c>
      <c r="F673" s="1" t="s">
        <v>5842</v>
      </c>
      <c r="G673" s="1" t="s">
        <v>3846</v>
      </c>
      <c r="H673" s="3" t="s">
        <v>5610</v>
      </c>
      <c r="I673" s="1"/>
      <c r="J673" s="1"/>
    </row>
    <row r="674" ht="15.75" customHeight="1">
      <c r="A674" s="2">
        <v>2320.0</v>
      </c>
      <c r="B674" s="1" t="s">
        <v>5748</v>
      </c>
      <c r="C674" s="2">
        <v>5.70038001364E11</v>
      </c>
      <c r="D674" s="1" t="s">
        <v>1081</v>
      </c>
      <c r="E674" s="1" t="s">
        <v>515</v>
      </c>
      <c r="F674" s="1" t="s">
        <v>5843</v>
      </c>
      <c r="G674" s="1" t="s">
        <v>135</v>
      </c>
      <c r="H674" s="3" t="s">
        <v>5610</v>
      </c>
      <c r="I674" s="1"/>
      <c r="J674" s="1"/>
    </row>
    <row r="675" ht="15.75" customHeight="1">
      <c r="A675" s="2">
        <v>2321.0</v>
      </c>
      <c r="B675" s="1" t="s">
        <v>5844</v>
      </c>
      <c r="C675" s="2">
        <v>5.70038001365E11</v>
      </c>
      <c r="D675" s="1" t="s">
        <v>2678</v>
      </c>
      <c r="E675" s="1" t="s">
        <v>333</v>
      </c>
      <c r="F675" s="1" t="s">
        <v>5845</v>
      </c>
      <c r="G675" s="1" t="s">
        <v>3846</v>
      </c>
      <c r="H675" s="3" t="s">
        <v>5610</v>
      </c>
      <c r="I675" s="1"/>
      <c r="J675" s="1"/>
    </row>
    <row r="676" ht="15.75" customHeight="1">
      <c r="A676" s="2">
        <v>2322.0</v>
      </c>
      <c r="B676" s="1" t="s">
        <v>5846</v>
      </c>
      <c r="C676" s="2">
        <v>5.70038001366E11</v>
      </c>
      <c r="D676" s="1" t="s">
        <v>5847</v>
      </c>
      <c r="E676" s="1" t="s">
        <v>462</v>
      </c>
      <c r="F676" s="1" t="s">
        <v>5848</v>
      </c>
      <c r="G676" s="1" t="s">
        <v>3846</v>
      </c>
      <c r="H676" s="3" t="s">
        <v>5610</v>
      </c>
      <c r="I676" s="1"/>
      <c r="J676" s="1"/>
    </row>
    <row r="677" ht="15.75" customHeight="1">
      <c r="A677" s="2">
        <v>2323.0</v>
      </c>
      <c r="B677" s="1" t="s">
        <v>1506</v>
      </c>
      <c r="C677" s="2">
        <v>5.70038001367E11</v>
      </c>
      <c r="D677" s="1" t="s">
        <v>5849</v>
      </c>
      <c r="E677" s="1" t="s">
        <v>161</v>
      </c>
      <c r="F677" s="1" t="s">
        <v>4372</v>
      </c>
      <c r="G677" s="1" t="s">
        <v>3846</v>
      </c>
      <c r="H677" s="3" t="s">
        <v>5610</v>
      </c>
      <c r="I677" s="1"/>
      <c r="J677" s="1"/>
    </row>
    <row r="678" ht="15.75" customHeight="1">
      <c r="A678" s="2">
        <v>2324.0</v>
      </c>
      <c r="B678" s="1" t="s">
        <v>5193</v>
      </c>
      <c r="C678" s="2">
        <v>5.70038001368E11</v>
      </c>
      <c r="D678" s="1" t="s">
        <v>5850</v>
      </c>
      <c r="E678" s="1" t="s">
        <v>177</v>
      </c>
      <c r="F678" s="1" t="s">
        <v>5851</v>
      </c>
      <c r="G678" s="1" t="s">
        <v>3846</v>
      </c>
      <c r="H678" s="3" t="s">
        <v>5610</v>
      </c>
      <c r="I678" s="1"/>
      <c r="J678" s="1"/>
    </row>
    <row r="679" ht="15.75" customHeight="1">
      <c r="A679" s="2">
        <v>2325.0</v>
      </c>
      <c r="B679" s="1" t="s">
        <v>5852</v>
      </c>
      <c r="C679" s="2">
        <v>5.7003800137E11</v>
      </c>
      <c r="D679" s="1" t="s">
        <v>5853</v>
      </c>
      <c r="E679" s="1" t="s">
        <v>133</v>
      </c>
      <c r="F679" s="1" t="s">
        <v>5854</v>
      </c>
      <c r="G679" s="1" t="s">
        <v>3846</v>
      </c>
      <c r="H679" s="3" t="s">
        <v>5610</v>
      </c>
      <c r="I679" s="1"/>
      <c r="J679" s="1"/>
    </row>
    <row r="680" ht="15.75" customHeight="1">
      <c r="A680" s="2">
        <v>2326.0</v>
      </c>
      <c r="B680" s="1" t="s">
        <v>5855</v>
      </c>
      <c r="C680" s="2">
        <v>5.70038001371E11</v>
      </c>
      <c r="D680" s="1" t="s">
        <v>5856</v>
      </c>
      <c r="E680" s="1" t="s">
        <v>1197</v>
      </c>
      <c r="F680" s="1" t="s">
        <v>5635</v>
      </c>
      <c r="G680" s="1" t="s">
        <v>135</v>
      </c>
      <c r="H680" s="3" t="s">
        <v>5610</v>
      </c>
      <c r="I680" s="1"/>
      <c r="J680" s="1"/>
    </row>
    <row r="681" ht="15.75" customHeight="1">
      <c r="A681" s="2">
        <v>2327.0</v>
      </c>
      <c r="B681" s="1" t="s">
        <v>199</v>
      </c>
      <c r="C681" s="2">
        <v>5.70038001372E11</v>
      </c>
      <c r="D681" s="1" t="s">
        <v>2844</v>
      </c>
      <c r="E681" s="1" t="s">
        <v>5857</v>
      </c>
      <c r="F681" s="1" t="s">
        <v>5858</v>
      </c>
      <c r="G681" s="1" t="s">
        <v>3846</v>
      </c>
      <c r="H681" s="3" t="s">
        <v>5610</v>
      </c>
      <c r="I681" s="1"/>
      <c r="J681" s="1"/>
    </row>
    <row r="682" ht="15.75" customHeight="1">
      <c r="A682" s="2">
        <v>2328.0</v>
      </c>
      <c r="B682" s="1" t="s">
        <v>5859</v>
      </c>
      <c r="C682" s="2">
        <v>5.70038001374E11</v>
      </c>
      <c r="D682" s="1" t="s">
        <v>5860</v>
      </c>
      <c r="E682" s="1" t="s">
        <v>42</v>
      </c>
      <c r="F682" s="1" t="s">
        <v>5861</v>
      </c>
      <c r="G682" s="1" t="s">
        <v>135</v>
      </c>
      <c r="H682" s="3" t="s">
        <v>5610</v>
      </c>
      <c r="I682" s="1"/>
      <c r="J682" s="1"/>
    </row>
    <row r="683" ht="15.75" customHeight="1">
      <c r="A683" s="2">
        <v>2329.0</v>
      </c>
      <c r="B683" s="1" t="s">
        <v>5862</v>
      </c>
      <c r="C683" s="2">
        <v>5.70038001379E11</v>
      </c>
      <c r="D683" s="1" t="s">
        <v>4603</v>
      </c>
      <c r="E683" s="1" t="s">
        <v>5863</v>
      </c>
      <c r="F683" s="1" t="s">
        <v>5864</v>
      </c>
      <c r="G683" s="1" t="s">
        <v>3846</v>
      </c>
      <c r="H683" s="3" t="s">
        <v>5610</v>
      </c>
      <c r="I683" s="1"/>
      <c r="J683" s="1"/>
    </row>
    <row r="684" ht="15.75" customHeight="1">
      <c r="A684" s="2">
        <v>2330.0</v>
      </c>
      <c r="B684" s="1" t="s">
        <v>5748</v>
      </c>
      <c r="C684" s="2">
        <v>5.70038001391E11</v>
      </c>
      <c r="D684" s="1" t="s">
        <v>4965</v>
      </c>
      <c r="E684" s="1" t="s">
        <v>5865</v>
      </c>
      <c r="F684" s="1" t="s">
        <v>5866</v>
      </c>
      <c r="G684" s="1" t="s">
        <v>135</v>
      </c>
      <c r="H684" s="3" t="s">
        <v>5610</v>
      </c>
      <c r="I684" s="1"/>
      <c r="J684" s="1"/>
    </row>
    <row r="685" ht="15.75" customHeight="1">
      <c r="A685" s="2">
        <v>2331.0</v>
      </c>
      <c r="B685" s="1" t="s">
        <v>5662</v>
      </c>
      <c r="C685" s="2">
        <v>5.70038001392E11</v>
      </c>
      <c r="D685" s="1" t="s">
        <v>204</v>
      </c>
      <c r="E685" s="1" t="s">
        <v>10</v>
      </c>
      <c r="F685" s="1" t="s">
        <v>5867</v>
      </c>
      <c r="G685" s="1" t="s">
        <v>135</v>
      </c>
      <c r="H685" s="3" t="s">
        <v>5610</v>
      </c>
      <c r="I685" s="1"/>
      <c r="J685" s="1"/>
    </row>
    <row r="686" ht="15.75" customHeight="1">
      <c r="A686" s="2">
        <v>2332.0</v>
      </c>
      <c r="B686" s="1" t="s">
        <v>1323</v>
      </c>
      <c r="C686" s="2">
        <v>5.70038001396E11</v>
      </c>
      <c r="D686" s="1" t="s">
        <v>5868</v>
      </c>
      <c r="E686" s="1" t="s">
        <v>18</v>
      </c>
      <c r="F686" s="1" t="s">
        <v>5869</v>
      </c>
      <c r="G686" s="1" t="s">
        <v>3846</v>
      </c>
      <c r="H686" s="3" t="s">
        <v>5610</v>
      </c>
      <c r="I686" s="1"/>
      <c r="J686" s="1"/>
    </row>
    <row r="687" ht="15.75" customHeight="1">
      <c r="A687" s="2">
        <v>2333.0</v>
      </c>
      <c r="B687" s="1" t="s">
        <v>10</v>
      </c>
      <c r="C687" s="2">
        <v>5.70038001402E11</v>
      </c>
      <c r="D687" s="1" t="s">
        <v>4923</v>
      </c>
      <c r="E687" s="1" t="s">
        <v>1577</v>
      </c>
      <c r="F687" s="1" t="s">
        <v>5870</v>
      </c>
      <c r="G687" s="1" t="s">
        <v>3846</v>
      </c>
      <c r="H687" s="3" t="s">
        <v>5610</v>
      </c>
      <c r="I687" s="1"/>
      <c r="J687" s="1"/>
    </row>
    <row r="688" ht="15.75" customHeight="1">
      <c r="A688" s="2">
        <v>2334.0</v>
      </c>
      <c r="B688" s="1" t="s">
        <v>4822</v>
      </c>
      <c r="C688" s="2">
        <v>5.70038001404E11</v>
      </c>
      <c r="D688" s="1" t="s">
        <v>5871</v>
      </c>
      <c r="E688" s="1" t="s">
        <v>1199</v>
      </c>
      <c r="F688" s="1" t="s">
        <v>5872</v>
      </c>
      <c r="G688" s="1" t="s">
        <v>3846</v>
      </c>
      <c r="H688" s="3" t="s">
        <v>5610</v>
      </c>
      <c r="I688" s="1"/>
      <c r="J688" s="1"/>
    </row>
    <row r="689" ht="15.75" customHeight="1">
      <c r="A689" s="2">
        <v>2335.0</v>
      </c>
      <c r="B689" s="1" t="s">
        <v>5873</v>
      </c>
      <c r="C689" s="2">
        <v>5.70038001406E11</v>
      </c>
      <c r="D689" s="1" t="s">
        <v>5874</v>
      </c>
      <c r="E689" s="1" t="s">
        <v>2946</v>
      </c>
      <c r="F689" s="1" t="s">
        <v>5875</v>
      </c>
      <c r="G689" s="1" t="s">
        <v>3846</v>
      </c>
      <c r="H689" s="3" t="s">
        <v>5610</v>
      </c>
      <c r="I689" s="1"/>
      <c r="J689" s="1"/>
    </row>
    <row r="690" ht="15.75" customHeight="1">
      <c r="A690" s="2">
        <v>2336.0</v>
      </c>
      <c r="B690" s="1" t="s">
        <v>5876</v>
      </c>
      <c r="C690" s="2">
        <v>5.70038001407E11</v>
      </c>
      <c r="D690" s="1" t="s">
        <v>5877</v>
      </c>
      <c r="E690" s="1" t="s">
        <v>679</v>
      </c>
      <c r="F690" s="1" t="s">
        <v>5878</v>
      </c>
      <c r="G690" s="1" t="s">
        <v>3846</v>
      </c>
      <c r="H690" s="3" t="s">
        <v>5610</v>
      </c>
      <c r="I690" s="1"/>
      <c r="J690" s="1"/>
    </row>
    <row r="691" ht="15.75" customHeight="1">
      <c r="A691" s="2">
        <v>2337.0</v>
      </c>
      <c r="B691" s="1" t="s">
        <v>5879</v>
      </c>
      <c r="C691" s="2">
        <v>5.70038001408E11</v>
      </c>
      <c r="D691" s="1" t="s">
        <v>5880</v>
      </c>
      <c r="E691" s="1" t="s">
        <v>77</v>
      </c>
      <c r="F691" s="1" t="s">
        <v>5881</v>
      </c>
      <c r="G691" s="1" t="s">
        <v>3846</v>
      </c>
      <c r="H691" s="3" t="s">
        <v>5610</v>
      </c>
      <c r="I691" s="1"/>
      <c r="J691" s="1"/>
    </row>
    <row r="692" ht="15.75" customHeight="1">
      <c r="A692" s="2">
        <v>2338.0</v>
      </c>
      <c r="B692" s="1" t="s">
        <v>3723</v>
      </c>
      <c r="C692" s="2">
        <v>5.70038001411E11</v>
      </c>
      <c r="D692" s="1" t="s">
        <v>4160</v>
      </c>
      <c r="E692" s="1" t="s">
        <v>431</v>
      </c>
      <c r="F692" s="1" t="s">
        <v>5882</v>
      </c>
      <c r="G692" s="1" t="s">
        <v>3846</v>
      </c>
      <c r="H692" s="3" t="s">
        <v>5610</v>
      </c>
      <c r="I692" s="1"/>
      <c r="J692" s="1"/>
    </row>
    <row r="693" ht="15.75" customHeight="1">
      <c r="A693" s="2">
        <v>2339.0</v>
      </c>
      <c r="B693" s="1" t="s">
        <v>5883</v>
      </c>
      <c r="C693" s="2">
        <v>5.70038001414E11</v>
      </c>
      <c r="D693" s="1" t="s">
        <v>5884</v>
      </c>
      <c r="E693" s="1" t="s">
        <v>5885</v>
      </c>
      <c r="F693" s="1" t="s">
        <v>5886</v>
      </c>
      <c r="G693" s="1" t="s">
        <v>3846</v>
      </c>
      <c r="H693" s="3" t="s">
        <v>5610</v>
      </c>
      <c r="I693" s="1"/>
      <c r="J693" s="1"/>
    </row>
    <row r="694" ht="15.75" customHeight="1">
      <c r="A694" s="2">
        <v>2340.0</v>
      </c>
      <c r="B694" s="1" t="s">
        <v>2296</v>
      </c>
      <c r="C694" s="2">
        <v>5.70038001416E11</v>
      </c>
      <c r="D694" s="1" t="s">
        <v>5887</v>
      </c>
      <c r="E694" s="1" t="s">
        <v>4698</v>
      </c>
      <c r="F694" s="1" t="s">
        <v>5888</v>
      </c>
      <c r="G694" s="1" t="s">
        <v>3846</v>
      </c>
      <c r="H694" s="3" t="s">
        <v>5610</v>
      </c>
      <c r="I694" s="1"/>
      <c r="J694" s="1"/>
    </row>
    <row r="695" ht="15.75" customHeight="1">
      <c r="A695" s="2">
        <v>2341.0</v>
      </c>
      <c r="B695" s="1" t="s">
        <v>4947</v>
      </c>
      <c r="C695" s="2">
        <v>5.70038001417E11</v>
      </c>
      <c r="D695" s="1" t="s">
        <v>1545</v>
      </c>
      <c r="E695" s="1" t="s">
        <v>5889</v>
      </c>
      <c r="F695" s="1" t="s">
        <v>5890</v>
      </c>
      <c r="G695" s="1" t="s">
        <v>3846</v>
      </c>
      <c r="H695" s="3" t="s">
        <v>5610</v>
      </c>
      <c r="I695" s="1"/>
      <c r="J695" s="1"/>
    </row>
    <row r="696" ht="15.75" customHeight="1">
      <c r="A696" s="2">
        <v>2342.0</v>
      </c>
      <c r="B696" s="1" t="s">
        <v>5891</v>
      </c>
      <c r="C696" s="2">
        <v>5.70038001419E11</v>
      </c>
      <c r="D696" s="1" t="s">
        <v>877</v>
      </c>
      <c r="E696" s="1" t="s">
        <v>5892</v>
      </c>
      <c r="F696" s="1" t="s">
        <v>5806</v>
      </c>
      <c r="G696" s="1" t="s">
        <v>3846</v>
      </c>
      <c r="H696" s="3" t="s">
        <v>5610</v>
      </c>
      <c r="I696" s="1"/>
      <c r="J696" s="1"/>
    </row>
    <row r="697" ht="15.75" customHeight="1">
      <c r="A697" s="2">
        <v>2343.0</v>
      </c>
      <c r="B697" s="1" t="s">
        <v>1752</v>
      </c>
      <c r="C697" s="2">
        <v>5.7003800142E11</v>
      </c>
      <c r="D697" s="1" t="s">
        <v>1440</v>
      </c>
      <c r="E697" s="1" t="s">
        <v>5893</v>
      </c>
      <c r="F697" s="1" t="s">
        <v>5894</v>
      </c>
      <c r="G697" s="1" t="s">
        <v>3846</v>
      </c>
      <c r="H697" s="3" t="s">
        <v>5610</v>
      </c>
      <c r="I697" s="1"/>
      <c r="J697" s="1"/>
    </row>
    <row r="698" ht="15.75" customHeight="1">
      <c r="A698" s="2">
        <v>2344.0</v>
      </c>
      <c r="B698" s="1" t="s">
        <v>5895</v>
      </c>
      <c r="C698" s="2">
        <v>5.70038001421E11</v>
      </c>
      <c r="D698" s="1" t="s">
        <v>645</v>
      </c>
      <c r="E698" s="1" t="s">
        <v>5896</v>
      </c>
      <c r="F698" s="1" t="s">
        <v>5897</v>
      </c>
      <c r="G698" s="1" t="s">
        <v>3846</v>
      </c>
      <c r="H698" s="3" t="s">
        <v>5610</v>
      </c>
      <c r="I698" s="1"/>
      <c r="J698" s="1"/>
    </row>
    <row r="699" ht="15.75" customHeight="1">
      <c r="A699" s="2">
        <v>2345.0</v>
      </c>
      <c r="B699" s="1" t="s">
        <v>2743</v>
      </c>
      <c r="C699" s="2">
        <v>5.70038001424E11</v>
      </c>
      <c r="D699" s="1" t="s">
        <v>5898</v>
      </c>
      <c r="E699" s="1" t="s">
        <v>5082</v>
      </c>
      <c r="F699" s="1" t="s">
        <v>5899</v>
      </c>
      <c r="G699" s="1" t="s">
        <v>3846</v>
      </c>
      <c r="H699" s="3" t="s">
        <v>5610</v>
      </c>
      <c r="I699" s="1"/>
      <c r="J699" s="1"/>
    </row>
    <row r="700" ht="15.75" customHeight="1">
      <c r="A700" s="2">
        <v>2346.0</v>
      </c>
      <c r="B700" s="1" t="s">
        <v>5900</v>
      </c>
      <c r="C700" s="2">
        <v>5.70038001425E11</v>
      </c>
      <c r="D700" s="1" t="s">
        <v>5317</v>
      </c>
      <c r="E700" s="1" t="s">
        <v>2230</v>
      </c>
      <c r="F700" s="1" t="s">
        <v>5901</v>
      </c>
      <c r="G700" s="1" t="s">
        <v>3846</v>
      </c>
      <c r="H700" s="3" t="s">
        <v>5610</v>
      </c>
      <c r="I700" s="1"/>
      <c r="J700" s="1"/>
    </row>
    <row r="701" ht="15.75" customHeight="1">
      <c r="A701" s="2">
        <v>2347.0</v>
      </c>
      <c r="B701" s="1" t="s">
        <v>5902</v>
      </c>
      <c r="C701" s="2">
        <v>5.70038001426E11</v>
      </c>
      <c r="D701" s="1" t="s">
        <v>1124</v>
      </c>
      <c r="E701" s="1" t="s">
        <v>2675</v>
      </c>
      <c r="F701" s="1" t="s">
        <v>5903</v>
      </c>
      <c r="G701" s="1" t="s">
        <v>135</v>
      </c>
      <c r="H701" s="3" t="s">
        <v>5610</v>
      </c>
      <c r="I701" s="1"/>
      <c r="J701" s="1"/>
    </row>
    <row r="702" ht="15.75" customHeight="1">
      <c r="A702" s="2">
        <v>2348.0</v>
      </c>
      <c r="B702" s="1" t="s">
        <v>3092</v>
      </c>
      <c r="C702" s="2">
        <v>5.70038001427E11</v>
      </c>
      <c r="D702" s="1" t="s">
        <v>1465</v>
      </c>
      <c r="E702" s="1" t="s">
        <v>2533</v>
      </c>
      <c r="F702" s="1" t="s">
        <v>5904</v>
      </c>
      <c r="G702" s="1" t="s">
        <v>3846</v>
      </c>
      <c r="H702" s="3" t="s">
        <v>5610</v>
      </c>
      <c r="I702" s="1"/>
      <c r="J702" s="1"/>
    </row>
    <row r="703" ht="15.75" customHeight="1">
      <c r="A703" s="2">
        <v>2349.0</v>
      </c>
      <c r="B703" s="1" t="s">
        <v>431</v>
      </c>
      <c r="C703" s="2">
        <v>5.70038001429E11</v>
      </c>
      <c r="D703" s="1" t="s">
        <v>5905</v>
      </c>
      <c r="E703" s="1" t="s">
        <v>5906</v>
      </c>
      <c r="F703" s="1" t="s">
        <v>4450</v>
      </c>
      <c r="G703" s="1" t="s">
        <v>3846</v>
      </c>
      <c r="H703" s="3" t="s">
        <v>5907</v>
      </c>
      <c r="I703" s="1"/>
      <c r="J703" s="1"/>
    </row>
    <row r="704" ht="15.75" customHeight="1">
      <c r="A704" s="2">
        <v>2350.0</v>
      </c>
      <c r="B704" s="1" t="s">
        <v>5908</v>
      </c>
      <c r="C704" s="2">
        <v>5.7003800143E11</v>
      </c>
      <c r="D704" s="1" t="s">
        <v>5281</v>
      </c>
      <c r="E704" s="1" t="s">
        <v>365</v>
      </c>
      <c r="F704" s="1" t="s">
        <v>5909</v>
      </c>
      <c r="G704" s="1" t="s">
        <v>3846</v>
      </c>
      <c r="H704" s="3" t="s">
        <v>5610</v>
      </c>
      <c r="I704" s="1"/>
      <c r="J704" s="1"/>
    </row>
    <row r="705" ht="15.75" customHeight="1">
      <c r="A705" s="2">
        <v>2351.0</v>
      </c>
      <c r="B705" s="1" t="s">
        <v>738</v>
      </c>
      <c r="C705" s="2">
        <v>5.70038001433E11</v>
      </c>
      <c r="D705" s="1" t="s">
        <v>5287</v>
      </c>
      <c r="E705" s="1" t="s">
        <v>179</v>
      </c>
      <c r="F705" s="1" t="s">
        <v>5910</v>
      </c>
      <c r="G705" s="1" t="s">
        <v>3846</v>
      </c>
      <c r="H705" s="3" t="s">
        <v>5610</v>
      </c>
      <c r="I705" s="1"/>
      <c r="J705" s="1"/>
    </row>
    <row r="706" ht="15.75" customHeight="1">
      <c r="A706" s="2">
        <v>2352.0</v>
      </c>
      <c r="B706" s="1" t="s">
        <v>1365</v>
      </c>
      <c r="C706" s="2">
        <v>5.70038001434E11</v>
      </c>
      <c r="D706" s="1" t="s">
        <v>1440</v>
      </c>
      <c r="E706" s="1" t="s">
        <v>5911</v>
      </c>
      <c r="F706" s="1" t="s">
        <v>5912</v>
      </c>
      <c r="G706" s="1" t="s">
        <v>3846</v>
      </c>
      <c r="H706" s="3" t="s">
        <v>5610</v>
      </c>
      <c r="I706" s="1"/>
      <c r="J706" s="1"/>
    </row>
    <row r="707" ht="15.75" customHeight="1">
      <c r="A707" s="2">
        <v>2353.0</v>
      </c>
      <c r="B707" s="1" t="s">
        <v>5913</v>
      </c>
      <c r="C707" s="2">
        <v>5.70038001435E11</v>
      </c>
      <c r="D707" s="1" t="s">
        <v>5914</v>
      </c>
      <c r="E707" s="1" t="s">
        <v>5915</v>
      </c>
      <c r="F707" s="1" t="s">
        <v>5916</v>
      </c>
      <c r="G707" s="1" t="s">
        <v>135</v>
      </c>
      <c r="H707" s="3" t="s">
        <v>5610</v>
      </c>
      <c r="I707" s="1"/>
      <c r="J707" s="1"/>
    </row>
    <row r="708" ht="15.75" customHeight="1">
      <c r="A708" s="2">
        <v>2354.0</v>
      </c>
      <c r="B708" s="1" t="s">
        <v>5917</v>
      </c>
      <c r="C708" s="2">
        <v>5.70038001436E11</v>
      </c>
      <c r="D708" s="1" t="s">
        <v>5918</v>
      </c>
      <c r="E708" s="1" t="s">
        <v>641</v>
      </c>
      <c r="F708" s="1" t="s">
        <v>5919</v>
      </c>
      <c r="G708" s="1" t="s">
        <v>3846</v>
      </c>
      <c r="H708" s="3" t="s">
        <v>5610</v>
      </c>
      <c r="I708" s="1"/>
      <c r="J708" s="1"/>
    </row>
    <row r="709" ht="15.75" customHeight="1">
      <c r="A709" s="2">
        <v>2355.0</v>
      </c>
      <c r="B709" s="1" t="s">
        <v>5920</v>
      </c>
      <c r="C709" s="2">
        <v>5.70038001437E11</v>
      </c>
      <c r="D709" s="1" t="s">
        <v>820</v>
      </c>
      <c r="E709" s="1" t="s">
        <v>335</v>
      </c>
      <c r="F709" s="1" t="s">
        <v>5921</v>
      </c>
      <c r="G709" s="1" t="s">
        <v>135</v>
      </c>
      <c r="H709" s="3" t="s">
        <v>5610</v>
      </c>
      <c r="I709" s="1"/>
      <c r="J709" s="1"/>
    </row>
    <row r="710" ht="15.75" customHeight="1">
      <c r="A710" s="2">
        <v>2356.0</v>
      </c>
      <c r="B710" s="1" t="s">
        <v>5922</v>
      </c>
      <c r="C710" s="2">
        <v>5.7003800144E11</v>
      </c>
      <c r="D710" s="1" t="s">
        <v>5923</v>
      </c>
      <c r="E710" s="1" t="s">
        <v>5924</v>
      </c>
      <c r="F710" s="1" t="s">
        <v>5925</v>
      </c>
      <c r="G710" s="1" t="s">
        <v>3846</v>
      </c>
      <c r="H710" s="3" t="s">
        <v>5610</v>
      </c>
      <c r="I710" s="1"/>
      <c r="J710" s="1"/>
    </row>
    <row r="711" ht="15.75" customHeight="1">
      <c r="A711" s="2">
        <v>2357.0</v>
      </c>
      <c r="B711" s="1" t="s">
        <v>5926</v>
      </c>
      <c r="C711" s="2">
        <v>5.70038001442E11</v>
      </c>
      <c r="D711" s="1" t="s">
        <v>5927</v>
      </c>
      <c r="E711" s="1" t="s">
        <v>4954</v>
      </c>
      <c r="F711" s="1" t="s">
        <v>5928</v>
      </c>
      <c r="G711" s="1" t="s">
        <v>135</v>
      </c>
      <c r="H711" s="3" t="s">
        <v>5610</v>
      </c>
      <c r="I711" s="1"/>
      <c r="J711" s="1"/>
    </row>
    <row r="712" ht="15.75" customHeight="1">
      <c r="A712" s="2">
        <v>2358.0</v>
      </c>
      <c r="B712" s="1" t="s">
        <v>1674</v>
      </c>
      <c r="C712" s="2">
        <v>5.70038001445E11</v>
      </c>
      <c r="D712" s="1" t="s">
        <v>516</v>
      </c>
      <c r="E712" s="1" t="s">
        <v>3249</v>
      </c>
      <c r="F712" s="1" t="s">
        <v>5929</v>
      </c>
      <c r="G712" s="1" t="s">
        <v>3846</v>
      </c>
      <c r="H712" s="3" t="s">
        <v>5610</v>
      </c>
      <c r="I712" s="1"/>
      <c r="J712" s="1"/>
    </row>
    <row r="713" ht="15.75" customHeight="1">
      <c r="A713" s="2">
        <v>2359.0</v>
      </c>
      <c r="B713" s="1" t="s">
        <v>1503</v>
      </c>
      <c r="C713" s="2">
        <v>5.70038001447E11</v>
      </c>
      <c r="D713" s="1" t="s">
        <v>1575</v>
      </c>
      <c r="E713" s="1" t="s">
        <v>5930</v>
      </c>
      <c r="F713" s="1" t="s">
        <v>5931</v>
      </c>
      <c r="G713" s="1" t="s">
        <v>3846</v>
      </c>
      <c r="H713" s="3" t="s">
        <v>5610</v>
      </c>
      <c r="I713" s="1"/>
      <c r="J713" s="1"/>
    </row>
    <row r="714" ht="15.75" customHeight="1">
      <c r="A714" s="2">
        <v>2360.0</v>
      </c>
      <c r="B714" s="1" t="s">
        <v>5932</v>
      </c>
      <c r="C714" s="2">
        <v>5.70038001448E11</v>
      </c>
      <c r="D714" s="1" t="s">
        <v>5933</v>
      </c>
      <c r="E714" s="1" t="s">
        <v>5934</v>
      </c>
      <c r="F714" s="1" t="s">
        <v>5935</v>
      </c>
      <c r="G714" s="1" t="s">
        <v>3846</v>
      </c>
      <c r="H714" s="3" t="s">
        <v>5610</v>
      </c>
      <c r="I714" s="1"/>
      <c r="J714" s="1"/>
    </row>
    <row r="715" ht="15.75" customHeight="1">
      <c r="A715" s="2">
        <v>2361.0</v>
      </c>
      <c r="B715" s="1" t="s">
        <v>5936</v>
      </c>
      <c r="C715" s="2">
        <v>5.7003800145E11</v>
      </c>
      <c r="D715" s="1" t="s">
        <v>5937</v>
      </c>
      <c r="E715" s="1" t="s">
        <v>875</v>
      </c>
      <c r="F715" s="1" t="s">
        <v>5938</v>
      </c>
      <c r="G715" s="1" t="s">
        <v>3846</v>
      </c>
      <c r="H715" s="3" t="s">
        <v>5610</v>
      </c>
      <c r="I715" s="1"/>
      <c r="J715" s="1"/>
    </row>
    <row r="716" ht="15.75" customHeight="1">
      <c r="A716" s="2">
        <v>2362.0</v>
      </c>
      <c r="B716" s="1" t="s">
        <v>5939</v>
      </c>
      <c r="C716" s="2">
        <v>5.70038001453E11</v>
      </c>
      <c r="D716" s="1" t="s">
        <v>5940</v>
      </c>
      <c r="E716" s="1" t="s">
        <v>2151</v>
      </c>
      <c r="F716" s="1" t="s">
        <v>5941</v>
      </c>
      <c r="G716" s="1" t="s">
        <v>3846</v>
      </c>
      <c r="H716" s="3" t="s">
        <v>5942</v>
      </c>
      <c r="I716" s="1"/>
      <c r="J716" s="1"/>
    </row>
    <row r="717" ht="15.75" customHeight="1">
      <c r="A717" s="2">
        <v>2363.0</v>
      </c>
      <c r="B717" s="1" t="s">
        <v>1052</v>
      </c>
      <c r="C717" s="2">
        <v>5.70038001454E11</v>
      </c>
      <c r="D717" s="1" t="s">
        <v>5943</v>
      </c>
      <c r="E717" s="1" t="s">
        <v>2520</v>
      </c>
      <c r="F717" s="1" t="s">
        <v>5580</v>
      </c>
      <c r="G717" s="1" t="s">
        <v>135</v>
      </c>
      <c r="H717" s="3" t="s">
        <v>5610</v>
      </c>
      <c r="I717" s="1"/>
      <c r="J717" s="1"/>
    </row>
    <row r="718" ht="15.75" customHeight="1">
      <c r="A718" s="2">
        <v>2364.0</v>
      </c>
      <c r="B718" s="1" t="s">
        <v>2632</v>
      </c>
      <c r="C718" s="2">
        <v>5.70038001458E11</v>
      </c>
      <c r="D718" s="1" t="s">
        <v>516</v>
      </c>
      <c r="E718" s="1" t="s">
        <v>62</v>
      </c>
      <c r="F718" s="1" t="s">
        <v>5806</v>
      </c>
      <c r="G718" s="1" t="s">
        <v>3846</v>
      </c>
      <c r="H718" s="3" t="s">
        <v>5610</v>
      </c>
      <c r="I718" s="1"/>
      <c r="J718" s="1"/>
    </row>
    <row r="719" ht="15.75" customHeight="1">
      <c r="A719" s="2">
        <v>2365.0</v>
      </c>
      <c r="B719" s="1" t="s">
        <v>3159</v>
      </c>
      <c r="C719" s="2">
        <v>5.70038001464E11</v>
      </c>
      <c r="D719" s="1" t="s">
        <v>3844</v>
      </c>
      <c r="E719" s="1" t="s">
        <v>97</v>
      </c>
      <c r="F719" s="1" t="s">
        <v>5944</v>
      </c>
      <c r="G719" s="1" t="s">
        <v>135</v>
      </c>
      <c r="H719" s="3" t="s">
        <v>5610</v>
      </c>
      <c r="I719" s="1"/>
      <c r="J719" s="1"/>
    </row>
    <row r="720" ht="15.75" customHeight="1">
      <c r="A720" s="2">
        <v>2366.0</v>
      </c>
      <c r="B720" s="1" t="s">
        <v>3219</v>
      </c>
      <c r="C720" s="2">
        <v>5.70038001465E11</v>
      </c>
      <c r="D720" s="1" t="s">
        <v>5945</v>
      </c>
      <c r="E720" s="1" t="s">
        <v>897</v>
      </c>
      <c r="F720" s="1" t="s">
        <v>5946</v>
      </c>
      <c r="G720" s="1" t="s">
        <v>135</v>
      </c>
      <c r="H720" s="3" t="s">
        <v>5610</v>
      </c>
      <c r="I720" s="1"/>
      <c r="J720" s="1"/>
    </row>
    <row r="721" ht="15.75" customHeight="1">
      <c r="A721" s="2">
        <v>2367.0</v>
      </c>
      <c r="B721" s="1" t="s">
        <v>5006</v>
      </c>
      <c r="C721" s="2">
        <v>5.70038001466E11</v>
      </c>
      <c r="D721" s="1" t="s">
        <v>5947</v>
      </c>
      <c r="E721" s="1" t="s">
        <v>177</v>
      </c>
      <c r="F721" s="1" t="s">
        <v>5948</v>
      </c>
      <c r="G721" s="1" t="s">
        <v>3846</v>
      </c>
      <c r="H721" s="3" t="s">
        <v>5610</v>
      </c>
      <c r="I721" s="1"/>
      <c r="J721" s="1"/>
    </row>
    <row r="722" ht="15.75" customHeight="1">
      <c r="A722" s="2">
        <v>2368.0</v>
      </c>
      <c r="B722" s="1" t="s">
        <v>5949</v>
      </c>
      <c r="C722" s="2">
        <v>5.70038001467E11</v>
      </c>
      <c r="D722" s="1" t="s">
        <v>5950</v>
      </c>
      <c r="E722" s="1" t="s">
        <v>5951</v>
      </c>
      <c r="F722" s="1" t="s">
        <v>5168</v>
      </c>
      <c r="G722" s="1" t="s">
        <v>3846</v>
      </c>
      <c r="H722" s="3" t="s">
        <v>5610</v>
      </c>
      <c r="I722" s="1"/>
      <c r="J722" s="1"/>
    </row>
    <row r="723" ht="15.75" customHeight="1">
      <c r="A723" s="2">
        <v>2369.0</v>
      </c>
      <c r="B723" s="1" t="s">
        <v>5952</v>
      </c>
      <c r="C723" s="2">
        <v>5.70038001471E11</v>
      </c>
      <c r="D723" s="1" t="s">
        <v>4893</v>
      </c>
      <c r="E723" s="1" t="s">
        <v>2801</v>
      </c>
      <c r="F723" s="1" t="s">
        <v>5772</v>
      </c>
      <c r="G723" s="1" t="s">
        <v>3846</v>
      </c>
      <c r="H723" s="3" t="s">
        <v>5610</v>
      </c>
      <c r="I723" s="1"/>
      <c r="J723" s="1"/>
    </row>
    <row r="724" ht="15.75" customHeight="1">
      <c r="A724" s="2">
        <v>2370.0</v>
      </c>
      <c r="B724" s="1" t="s">
        <v>5953</v>
      </c>
      <c r="C724" s="2">
        <v>5.70038001472E11</v>
      </c>
      <c r="D724" s="1" t="s">
        <v>5138</v>
      </c>
      <c r="E724" s="1" t="s">
        <v>4199</v>
      </c>
      <c r="F724" s="1" t="s">
        <v>5954</v>
      </c>
      <c r="G724" s="1" t="s">
        <v>135</v>
      </c>
      <c r="H724" s="3" t="s">
        <v>5610</v>
      </c>
      <c r="I724" s="1"/>
      <c r="J724" s="1"/>
    </row>
    <row r="725" ht="15.75" customHeight="1">
      <c r="A725" s="2">
        <v>2371.0</v>
      </c>
      <c r="B725" s="1" t="s">
        <v>5955</v>
      </c>
      <c r="C725" s="2">
        <v>5.70038001473E11</v>
      </c>
      <c r="D725" s="1" t="s">
        <v>1570</v>
      </c>
      <c r="E725" s="1" t="s">
        <v>5956</v>
      </c>
      <c r="F725" s="1" t="s">
        <v>5957</v>
      </c>
      <c r="G725" s="1" t="s">
        <v>135</v>
      </c>
      <c r="H725" s="3" t="s">
        <v>5610</v>
      </c>
      <c r="I725" s="1"/>
      <c r="J725" s="1"/>
    </row>
    <row r="726" ht="15.75" customHeight="1">
      <c r="A726" s="2">
        <v>2372.0</v>
      </c>
      <c r="B726" s="1" t="s">
        <v>5335</v>
      </c>
      <c r="C726" s="2">
        <v>5.70038001474E11</v>
      </c>
      <c r="D726" s="1" t="s">
        <v>5958</v>
      </c>
      <c r="E726" s="1" t="s">
        <v>269</v>
      </c>
      <c r="F726" s="1" t="s">
        <v>5959</v>
      </c>
      <c r="G726" s="1" t="s">
        <v>135</v>
      </c>
      <c r="H726" s="3" t="s">
        <v>5610</v>
      </c>
      <c r="I726" s="1"/>
      <c r="J726" s="1"/>
    </row>
    <row r="727" ht="15.75" customHeight="1">
      <c r="A727" s="2">
        <v>2373.0</v>
      </c>
      <c r="B727" s="1" t="s">
        <v>2265</v>
      </c>
      <c r="C727" s="2">
        <v>5.70038001475E11</v>
      </c>
      <c r="D727" s="1" t="s">
        <v>5960</v>
      </c>
      <c r="E727" s="1" t="s">
        <v>50</v>
      </c>
      <c r="F727" s="1" t="s">
        <v>5961</v>
      </c>
      <c r="G727" s="1" t="s">
        <v>3846</v>
      </c>
      <c r="H727" s="3" t="s">
        <v>5610</v>
      </c>
      <c r="I727" s="1"/>
      <c r="J727" s="1"/>
    </row>
    <row r="728" ht="15.75" customHeight="1">
      <c r="A728" s="7" t="s">
        <v>6869</v>
      </c>
      <c r="B728" s="1" t="str">
        <f>IFERROR(__xludf.DUMMYFUNCTION("SPLIT(A728,"","")"),"ক্রমিক নং")</f>
        <v>ক্রমিক নং</v>
      </c>
      <c r="C728" s="1" t="str">
        <f>IFERROR(__xludf.DUMMYFUNCTION("""COMPUTED_VALUE"""),"নাম")</f>
        <v>নাম</v>
      </c>
      <c r="D728" s="1" t="str">
        <f>IFERROR(__xludf.DUMMYFUNCTION("""COMPUTED_VALUE"""),"ভোটার নং")</f>
        <v>ভোটার নং</v>
      </c>
      <c r="E728" s="1" t="str">
        <f>IFERROR(__xludf.DUMMYFUNCTION("""COMPUTED_VALUE"""),"পিতা")</f>
        <v>পিতা</v>
      </c>
      <c r="F728" s="1" t="str">
        <f>IFERROR(__xludf.DUMMYFUNCTION("""COMPUTED_VALUE"""),"মাতা")</f>
        <v>মাতা</v>
      </c>
      <c r="G728" s="1" t="str">
        <f>IFERROR(__xludf.DUMMYFUNCTION("""COMPUTED_VALUE"""),"জন্ম তারিখ")</f>
        <v>জন্ম তারিখ</v>
      </c>
      <c r="H728" s="1" t="str">
        <f>IFERROR(__xludf.DUMMYFUNCTION("""COMPUTED_VALUE"""),"পেশা")</f>
        <v>পেশা</v>
      </c>
      <c r="I728" s="1" t="str">
        <f>IFERROR(__xludf.DUMMYFUNCTION("""COMPUTED_VALUE"""),"ঠিকানা")</f>
        <v>ঠিকানা</v>
      </c>
      <c r="J728" s="1"/>
    </row>
    <row r="729" ht="15.75" customHeight="1">
      <c r="A729" s="7" t="s">
        <v>7409</v>
      </c>
      <c r="B729" s="1">
        <f>IFERROR(__xludf.DUMMYFUNCTION("SPLIT(A729,"","")"),1276.0)</f>
        <v>1276</v>
      </c>
      <c r="C729" s="5" t="str">
        <f>IFERROR(__xludf.DUMMYFUNCTION("""COMPUTED_VALUE"""),"মোছাঃ আয়েশা খাতুন")</f>
        <v>মোছাঃ আয়েশা খাতুন</v>
      </c>
      <c r="D729" s="5">
        <f>IFERROR(__xludf.DUMMYFUNCTION("""COMPUTED_VALUE"""),5.70038356032E11)</f>
        <v>570038356032</v>
      </c>
      <c r="E729" s="5" t="str">
        <f>IFERROR(__xludf.DUMMYFUNCTION("""COMPUTED_VALUE"""),"মোঃ ছায়েন বকস")</f>
        <v>মোঃ ছায়েন বকস</v>
      </c>
      <c r="F729" s="5" t="str">
        <f>IFERROR(__xludf.DUMMYFUNCTION("""COMPUTED_VALUE"""),"মোছাঃ আমেনা খাতুন")</f>
        <v>মোছাঃ আমেনা খাতুন</v>
      </c>
      <c r="G729" s="5" t="str">
        <f>IFERROR(__xludf.DUMMYFUNCTION("""COMPUTED_VALUE"""),"১৩/১২/১৯৫২")</f>
        <v>১৩/১২/১৯৫২</v>
      </c>
      <c r="H729" s="5" t="str">
        <f>IFERROR(__xludf.DUMMYFUNCTION("""COMPUTED_VALUE"""),"গৃহিণী")</f>
        <v>গৃহিণী</v>
      </c>
      <c r="I729" s="5" t="str">
        <f>IFERROR(__xludf.DUMMYFUNCTION("""COMPUTED_VALUE"""),"""গাড়াবোব")</f>
        <v>"গাড়াবোব</v>
      </c>
      <c r="J729" s="5" t="str">
        <f>IFERROR(__xludf.DUMMYFUNCTION("""COMPUTED_VALUE""")," গাংনী")</f>
        <v> গাংনী</v>
      </c>
      <c r="K729" s="5" t="str">
        <f>IFERROR(__xludf.DUMMYFUNCTION("""COMPUTED_VALUE""")," মেহেরপুর""")</f>
        <v> মেহেরপুর"</v>
      </c>
    </row>
    <row r="730" ht="15.75" customHeight="1">
      <c r="A730" s="7" t="s">
        <v>7410</v>
      </c>
      <c r="B730" s="1">
        <f>IFERROR(__xludf.DUMMYFUNCTION("SPLIT(A730,"","")"),1277.0)</f>
        <v>1277</v>
      </c>
      <c r="C730" s="5" t="str">
        <f>IFERROR(__xludf.DUMMYFUNCTION("""COMPUTED_VALUE"""),"মোছাঃ রেহানা খাতুন")</f>
        <v>মোছাঃ রেহানা খাতুন</v>
      </c>
      <c r="D730" s="5">
        <f>IFERROR(__xludf.DUMMYFUNCTION("""COMPUTED_VALUE"""),5.70038356034E11)</f>
        <v>570038356034</v>
      </c>
      <c r="E730" s="5" t="str">
        <f>IFERROR(__xludf.DUMMYFUNCTION("""COMPUTED_VALUE"""),"মোঃ আকমল হোসেন")</f>
        <v>মোঃ আকমল হোসেন</v>
      </c>
      <c r="F730" s="5" t="str">
        <f>IFERROR(__xludf.DUMMYFUNCTION("""COMPUTED_VALUE"""),"মোছাঃ কহিনুর বেগম")</f>
        <v>মোছাঃ কহিনুর বেগম</v>
      </c>
      <c r="G730" s="5" t="str">
        <f>IFERROR(__xludf.DUMMYFUNCTION("""COMPUTED_VALUE"""),"১২/১২/১৯৭৯")</f>
        <v>১২/১২/১৯৭৯</v>
      </c>
      <c r="H730" s="5" t="str">
        <f>IFERROR(__xludf.DUMMYFUNCTION("""COMPUTED_VALUE"""),"গৃহিণী")</f>
        <v>গৃহিণী</v>
      </c>
      <c r="I730" s="5" t="str">
        <f>IFERROR(__xludf.DUMMYFUNCTION("""COMPUTED_VALUE"""),"""গাড়াবোব")</f>
        <v>"গাড়াবোব</v>
      </c>
      <c r="J730" s="5" t="str">
        <f>IFERROR(__xludf.DUMMYFUNCTION("""COMPUTED_VALUE""")," গাংনী")</f>
        <v> গাংনী</v>
      </c>
      <c r="K730" s="5" t="str">
        <f>IFERROR(__xludf.DUMMYFUNCTION("""COMPUTED_VALUE""")," মেহেরপুর""")</f>
        <v> মেহেরপুর"</v>
      </c>
    </row>
    <row r="731" ht="15.75" customHeight="1">
      <c r="A731" s="7" t="s">
        <v>7411</v>
      </c>
      <c r="B731" s="1">
        <f>IFERROR(__xludf.DUMMYFUNCTION("SPLIT(A731,"","")"),1278.0)</f>
        <v>1278</v>
      </c>
      <c r="C731" s="5" t="str">
        <f>IFERROR(__xludf.DUMMYFUNCTION("""COMPUTED_VALUE"""),"মোছাঃ ফজিলা খাতুন")</f>
        <v>মোছাঃ ফজিলা খাতুন</v>
      </c>
      <c r="D731" s="5">
        <f>IFERROR(__xludf.DUMMYFUNCTION("""COMPUTED_VALUE"""),5.70038356036E11)</f>
        <v>570038356036</v>
      </c>
      <c r="E731" s="5" t="str">
        <f>IFERROR(__xludf.DUMMYFUNCTION("""COMPUTED_VALUE"""),"মোঃ রুহুল আমিন")</f>
        <v>মোঃ রুহুল আমিন</v>
      </c>
      <c r="F731" s="5" t="str">
        <f>IFERROR(__xludf.DUMMYFUNCTION("""COMPUTED_VALUE"""),"মোছাঃ মনোয়ারা খাতুন")</f>
        <v>মোছাঃ মনোয়ারা খাতুন</v>
      </c>
      <c r="G731" s="5" t="str">
        <f>IFERROR(__xludf.DUMMYFUNCTION("""COMPUTED_VALUE"""),"১৭/০১/১৯৮৯")</f>
        <v>১৭/০১/১৯৮৯</v>
      </c>
      <c r="H731" s="5" t="str">
        <f>IFERROR(__xludf.DUMMYFUNCTION("""COMPUTED_VALUE"""),"গৃহিণী")</f>
        <v>গৃহিণী</v>
      </c>
      <c r="I731" s="5" t="str">
        <f>IFERROR(__xludf.DUMMYFUNCTION("""COMPUTED_VALUE"""),"""গাড়াবোব")</f>
        <v>"গাড়াবোব</v>
      </c>
      <c r="J731" s="5" t="str">
        <f>IFERROR(__xludf.DUMMYFUNCTION("""COMPUTED_VALUE""")," গাংনী")</f>
        <v> গাংনী</v>
      </c>
      <c r="K731" s="5" t="str">
        <f>IFERROR(__xludf.DUMMYFUNCTION("""COMPUTED_VALUE""")," মেহেরপুর""")</f>
        <v> মেহেরপুর"</v>
      </c>
    </row>
    <row r="732" ht="15.75" customHeight="1">
      <c r="A732" s="7" t="s">
        <v>7412</v>
      </c>
      <c r="B732" s="1">
        <f>IFERROR(__xludf.DUMMYFUNCTION("SPLIT(A732,"","")"),1279.0)</f>
        <v>1279</v>
      </c>
      <c r="C732" s="5" t="str">
        <f>IFERROR(__xludf.DUMMYFUNCTION("""COMPUTED_VALUE"""),"মোছাঃ রেজিয়া খাতুন")</f>
        <v>মোছাঃ রেজিয়া খাতুন</v>
      </c>
      <c r="D732" s="5">
        <f>IFERROR(__xludf.DUMMYFUNCTION("""COMPUTED_VALUE"""),5.70038356039E11)</f>
        <v>570038356039</v>
      </c>
      <c r="E732" s="5" t="str">
        <f>IFERROR(__xludf.DUMMYFUNCTION("""COMPUTED_VALUE"""),"মোঃ দিদার মল্লিক")</f>
        <v>মোঃ দিদার মল্লিক</v>
      </c>
      <c r="F732" s="5" t="str">
        <f>IFERROR(__xludf.DUMMYFUNCTION("""COMPUTED_VALUE"""),"আজিরন নেছা")</f>
        <v>আজিরন নেছা</v>
      </c>
      <c r="G732" s="5" t="str">
        <f>IFERROR(__xludf.DUMMYFUNCTION("""COMPUTED_VALUE"""),"১০/১২/১৯৭৩")</f>
        <v>১০/১২/১৯৭৩</v>
      </c>
      <c r="H732" s="5" t="str">
        <f>IFERROR(__xludf.DUMMYFUNCTION("""COMPUTED_VALUE"""),"গৃহিণী")</f>
        <v>গৃহিণী</v>
      </c>
      <c r="I732" s="5" t="str">
        <f>IFERROR(__xludf.DUMMYFUNCTION("""COMPUTED_VALUE"""),"""গাড়াবোব")</f>
        <v>"গাড়াবোব</v>
      </c>
      <c r="J732" s="5" t="str">
        <f>IFERROR(__xludf.DUMMYFUNCTION("""COMPUTED_VALUE""")," গাংনী")</f>
        <v> গাংনী</v>
      </c>
      <c r="K732" s="5" t="str">
        <f>IFERROR(__xludf.DUMMYFUNCTION("""COMPUTED_VALUE""")," মেহেরপুর""")</f>
        <v> মেহেরপুর"</v>
      </c>
    </row>
    <row r="733" ht="15.75" customHeight="1">
      <c r="A733" s="7" t="s">
        <v>7413</v>
      </c>
      <c r="B733" s="1">
        <f>IFERROR(__xludf.DUMMYFUNCTION("SPLIT(A733,"","")"),1280.0)</f>
        <v>1280</v>
      </c>
      <c r="C733" s="5" t="str">
        <f>IFERROR(__xludf.DUMMYFUNCTION("""COMPUTED_VALUE"""),"মোছাঃ সুফিয়া খাতুন")</f>
        <v>মোছাঃ সুফিয়া খাতুন</v>
      </c>
      <c r="D733" s="5">
        <f>IFERROR(__xludf.DUMMYFUNCTION("""COMPUTED_VALUE"""),5.70038356041E11)</f>
        <v>570038356041</v>
      </c>
      <c r="E733" s="5" t="str">
        <f>IFERROR(__xludf.DUMMYFUNCTION("""COMPUTED_VALUE"""),"মোঃ খবির উদ্দিন")</f>
        <v>মোঃ খবির উদ্দিন</v>
      </c>
      <c r="F733" s="5" t="str">
        <f>IFERROR(__xludf.DUMMYFUNCTION("""COMPUTED_VALUE"""),"মোছাঃ হালিমা খাতুন")</f>
        <v>মোছাঃ হালিমা খাতুন</v>
      </c>
      <c r="G733" s="5" t="str">
        <f>IFERROR(__xludf.DUMMYFUNCTION("""COMPUTED_VALUE"""),"৩০/১২/১৯৭৭")</f>
        <v>৩০/১২/১৯৭৭</v>
      </c>
      <c r="H733" s="5" t="str">
        <f>IFERROR(__xludf.DUMMYFUNCTION("""COMPUTED_VALUE"""),"গৃহিণী")</f>
        <v>গৃহিণী</v>
      </c>
      <c r="I733" s="5" t="str">
        <f>IFERROR(__xludf.DUMMYFUNCTION("""COMPUTED_VALUE"""),"""গাড়াবোব")</f>
        <v>"গাড়াবোব</v>
      </c>
      <c r="J733" s="5" t="str">
        <f>IFERROR(__xludf.DUMMYFUNCTION("""COMPUTED_VALUE""")," গাংনী")</f>
        <v> গাংনী</v>
      </c>
      <c r="K733" s="5" t="str">
        <f>IFERROR(__xludf.DUMMYFUNCTION("""COMPUTED_VALUE""")," মেহেরপুর""")</f>
        <v> মেহেরপুর"</v>
      </c>
    </row>
    <row r="734" ht="15.75" customHeight="1">
      <c r="A734" s="7" t="s">
        <v>7414</v>
      </c>
      <c r="B734" s="1">
        <f>IFERROR(__xludf.DUMMYFUNCTION("SPLIT(A734,"","")"),1281.0)</f>
        <v>1281</v>
      </c>
      <c r="C734" s="5" t="str">
        <f>IFERROR(__xludf.DUMMYFUNCTION("""COMPUTED_VALUE"""),"মোছাঃ রেবেকা খাতুন")</f>
        <v>মোছাঃ রেবেকা খাতুন</v>
      </c>
      <c r="D734" s="5">
        <f>IFERROR(__xludf.DUMMYFUNCTION("""COMPUTED_VALUE"""),5.70038356043E11)</f>
        <v>570038356043</v>
      </c>
      <c r="E734" s="5" t="str">
        <f>IFERROR(__xludf.DUMMYFUNCTION("""COMPUTED_VALUE"""),"মোঃ দছির উদ্দীন")</f>
        <v>মোঃ দছির উদ্দীন</v>
      </c>
      <c r="F734" s="5" t="str">
        <f>IFERROR(__xludf.DUMMYFUNCTION("""COMPUTED_VALUE"""),"মোছাঃ কশুরা খাতুন")</f>
        <v>মোছাঃ কশুরা খাতুন</v>
      </c>
      <c r="G734" s="5" t="str">
        <f>IFERROR(__xludf.DUMMYFUNCTION("""COMPUTED_VALUE"""),"২৮/১০/১৯৮৮")</f>
        <v>২৮/১০/১৯৮৮</v>
      </c>
      <c r="H734" s="5" t="str">
        <f>IFERROR(__xludf.DUMMYFUNCTION("""COMPUTED_VALUE"""),"গৃহিণী")</f>
        <v>গৃহিণী</v>
      </c>
      <c r="I734" s="5" t="str">
        <f>IFERROR(__xludf.DUMMYFUNCTION("""COMPUTED_VALUE"""),"""গাড়াবোব")</f>
        <v>"গাড়াবোব</v>
      </c>
      <c r="J734" s="5" t="str">
        <f>IFERROR(__xludf.DUMMYFUNCTION("""COMPUTED_VALUE""")," গাংনী")</f>
        <v> গাংনী</v>
      </c>
      <c r="K734" s="5" t="str">
        <f>IFERROR(__xludf.DUMMYFUNCTION("""COMPUTED_VALUE""")," মেহেরপুর""")</f>
        <v> মেহেরপুর"</v>
      </c>
    </row>
    <row r="735" ht="15.75" customHeight="1">
      <c r="A735" s="7" t="s">
        <v>7415</v>
      </c>
      <c r="B735" s="1">
        <f>IFERROR(__xludf.DUMMYFUNCTION("SPLIT(A735,"","")"),1282.0)</f>
        <v>1282</v>
      </c>
      <c r="C735" s="5" t="str">
        <f>IFERROR(__xludf.DUMMYFUNCTION("""COMPUTED_VALUE"""),"মোছাঃ নাছিমা খাতুন")</f>
        <v>মোছাঃ নাছিমা খাতুন</v>
      </c>
      <c r="D735" s="5">
        <f>IFERROR(__xludf.DUMMYFUNCTION("""COMPUTED_VALUE"""),5.70038356044E11)</f>
        <v>570038356044</v>
      </c>
      <c r="E735" s="5" t="str">
        <f>IFERROR(__xludf.DUMMYFUNCTION("""COMPUTED_VALUE"""),"মোঃ আব্দুল কুদ্দুস")</f>
        <v>মোঃ আব্দুল কুদ্দুস</v>
      </c>
      <c r="F735" s="5" t="str">
        <f>IFERROR(__xludf.DUMMYFUNCTION("""COMPUTED_VALUE"""),"মোছাঃ রেজিয়া খাতুন")</f>
        <v>মোছাঃ রেজিয়া খাতুন</v>
      </c>
      <c r="G735" s="5" t="str">
        <f>IFERROR(__xludf.DUMMYFUNCTION("""COMPUTED_VALUE"""),"৩০/১২/১৯৮৮")</f>
        <v>৩০/১২/১৯৮৮</v>
      </c>
      <c r="H735" s="5" t="str">
        <f>IFERROR(__xludf.DUMMYFUNCTION("""COMPUTED_VALUE"""),"গৃহিণী")</f>
        <v>গৃহিণী</v>
      </c>
      <c r="I735" s="5" t="str">
        <f>IFERROR(__xludf.DUMMYFUNCTION("""COMPUTED_VALUE"""),"""গাড়াবোব")</f>
        <v>"গাড়াবোব</v>
      </c>
      <c r="J735" s="5" t="str">
        <f>IFERROR(__xludf.DUMMYFUNCTION("""COMPUTED_VALUE""")," গাংনী")</f>
        <v> গাংনী</v>
      </c>
      <c r="K735" s="5" t="str">
        <f>IFERROR(__xludf.DUMMYFUNCTION("""COMPUTED_VALUE""")," মেহেরপুর""")</f>
        <v> মেহেরপুর"</v>
      </c>
    </row>
    <row r="736" ht="15.75" customHeight="1">
      <c r="A736" s="7" t="s">
        <v>7416</v>
      </c>
      <c r="B736" s="1">
        <f>IFERROR(__xludf.DUMMYFUNCTION("SPLIT(A736,"","")"),1283.0)</f>
        <v>1283</v>
      </c>
      <c r="C736" s="5" t="str">
        <f>IFERROR(__xludf.DUMMYFUNCTION("""COMPUTED_VALUE"""),"মোছাঃ শাহিদা খাতুন")</f>
        <v>মোছাঃ শাহিদা খাতুন</v>
      </c>
      <c r="D736" s="5">
        <f>IFERROR(__xludf.DUMMYFUNCTION("""COMPUTED_VALUE"""),5.70038356048E11)</f>
        <v>570038356048</v>
      </c>
      <c r="E736" s="5" t="str">
        <f>IFERROR(__xludf.DUMMYFUNCTION("""COMPUTED_VALUE"""),"মোঃ ইউনুস আলী")</f>
        <v>মোঃ ইউনুস আলী</v>
      </c>
      <c r="F736" s="5" t="str">
        <f>IFERROR(__xludf.DUMMYFUNCTION("""COMPUTED_VALUE"""),"মোছাঃ ছারা খাতুন")</f>
        <v>মোছাঃ ছারা খাতুন</v>
      </c>
      <c r="G736" s="5" t="str">
        <f>IFERROR(__xludf.DUMMYFUNCTION("""COMPUTED_VALUE"""),"২০/১২/১৯৮৩")</f>
        <v>২০/১২/১৯৮৩</v>
      </c>
      <c r="H736" s="5" t="str">
        <f>IFERROR(__xludf.DUMMYFUNCTION("""COMPUTED_VALUE"""),"গৃহিণী")</f>
        <v>গৃহিণী</v>
      </c>
      <c r="I736" s="5" t="str">
        <f>IFERROR(__xludf.DUMMYFUNCTION("""COMPUTED_VALUE"""),"""গাড়াবোব")</f>
        <v>"গাড়াবোব</v>
      </c>
      <c r="J736" s="5" t="str">
        <f>IFERROR(__xludf.DUMMYFUNCTION("""COMPUTED_VALUE""")," গাংনী")</f>
        <v> গাংনী</v>
      </c>
      <c r="K736" s="5" t="str">
        <f>IFERROR(__xludf.DUMMYFUNCTION("""COMPUTED_VALUE""")," মেহেরপুর""")</f>
        <v> মেহেরপুর"</v>
      </c>
    </row>
    <row r="737" ht="15.75" customHeight="1">
      <c r="A737" s="7" t="s">
        <v>7417</v>
      </c>
      <c r="B737" s="1">
        <f>IFERROR(__xludf.DUMMYFUNCTION("SPLIT(A737,"","")"),1284.0)</f>
        <v>1284</v>
      </c>
      <c r="C737" s="5" t="str">
        <f>IFERROR(__xludf.DUMMYFUNCTION("""COMPUTED_VALUE"""),"মোছাঃ আকলিমা খাতুন")</f>
        <v>মোছাঃ আকলিমা খাতুন</v>
      </c>
      <c r="D737" s="5">
        <f>IFERROR(__xludf.DUMMYFUNCTION("""COMPUTED_VALUE"""),5.7003835605E11)</f>
        <v>570038356050</v>
      </c>
      <c r="E737" s="5" t="str">
        <f>IFERROR(__xludf.DUMMYFUNCTION("""COMPUTED_VALUE"""),"রমব বখস")</f>
        <v>রমব বখস</v>
      </c>
      <c r="F737" s="5" t="str">
        <f>IFERROR(__xludf.DUMMYFUNCTION("""COMPUTED_VALUE"""),"নিহারন নেছা")</f>
        <v>নিহারন নেছা</v>
      </c>
      <c r="G737" s="5" t="str">
        <f>IFERROR(__xludf.DUMMYFUNCTION("""COMPUTED_VALUE"""),"১১/০২/১৯৭০")</f>
        <v>১১/০২/১৯৭০</v>
      </c>
      <c r="H737" s="5" t="str">
        <f>IFERROR(__xludf.DUMMYFUNCTION("""COMPUTED_VALUE"""),"গৃহিণী")</f>
        <v>গৃহিণী</v>
      </c>
      <c r="I737" s="5" t="str">
        <f>IFERROR(__xludf.DUMMYFUNCTION("""COMPUTED_VALUE"""),"""গাড়াবোব")</f>
        <v>"গাড়াবোব</v>
      </c>
      <c r="J737" s="5" t="str">
        <f>IFERROR(__xludf.DUMMYFUNCTION("""COMPUTED_VALUE""")," গাংনী")</f>
        <v> গাংনী</v>
      </c>
      <c r="K737" s="5" t="str">
        <f>IFERROR(__xludf.DUMMYFUNCTION("""COMPUTED_VALUE""")," মেহেরপুর""")</f>
        <v> মেহেরপুর"</v>
      </c>
    </row>
    <row r="738" ht="15.75" customHeight="1">
      <c r="A738" s="7" t="s">
        <v>7418</v>
      </c>
      <c r="B738" s="1">
        <f>IFERROR(__xludf.DUMMYFUNCTION("SPLIT(A738,"","")"),1285.0)</f>
        <v>1285</v>
      </c>
      <c r="C738" s="5" t="str">
        <f>IFERROR(__xludf.DUMMYFUNCTION("""COMPUTED_VALUE"""),"মোছাঃ আনোয়ারা খাতুন")</f>
        <v>মোছাঃ আনোয়ারা খাতুন</v>
      </c>
      <c r="D738" s="5">
        <f>IFERROR(__xludf.DUMMYFUNCTION("""COMPUTED_VALUE"""),5.70038356051E11)</f>
        <v>570038356051</v>
      </c>
      <c r="E738" s="5" t="str">
        <f>IFERROR(__xludf.DUMMYFUNCTION("""COMPUTED_VALUE"""),"জেহের আলী")</f>
        <v>জেহের আলী</v>
      </c>
      <c r="F738" s="5" t="str">
        <f>IFERROR(__xludf.DUMMYFUNCTION("""COMPUTED_VALUE"""),"মোলাজান খাতুন")</f>
        <v>মোলাজান খাতুন</v>
      </c>
      <c r="G738" s="5" t="str">
        <f>IFERROR(__xludf.DUMMYFUNCTION("""COMPUTED_VALUE"""),"২০/১১/১৯৬৭")</f>
        <v>২০/১১/১৯৬৭</v>
      </c>
      <c r="H738" s="5" t="str">
        <f>IFERROR(__xludf.DUMMYFUNCTION("""COMPUTED_VALUE"""),"গৃহিণী")</f>
        <v>গৃহিণী</v>
      </c>
      <c r="I738" s="5" t="str">
        <f>IFERROR(__xludf.DUMMYFUNCTION("""COMPUTED_VALUE"""),"""গাড়াবোব")</f>
        <v>"গাড়াবোব</v>
      </c>
      <c r="J738" s="5" t="str">
        <f>IFERROR(__xludf.DUMMYFUNCTION("""COMPUTED_VALUE""")," গাংনী")</f>
        <v> গাংনী</v>
      </c>
      <c r="K738" s="5" t="str">
        <f>IFERROR(__xludf.DUMMYFUNCTION("""COMPUTED_VALUE""")," মেহেরপুর""")</f>
        <v> মেহেরপুর"</v>
      </c>
    </row>
    <row r="739" ht="15.75" customHeight="1">
      <c r="A739" s="7" t="s">
        <v>7419</v>
      </c>
      <c r="B739" s="1">
        <f>IFERROR(__xludf.DUMMYFUNCTION("SPLIT(A739,"","")"),1286.0)</f>
        <v>1286</v>
      </c>
      <c r="C739" s="5" t="str">
        <f>IFERROR(__xludf.DUMMYFUNCTION("""COMPUTED_VALUE"""),"মোছাঃ জরিনা খাতুন")</f>
        <v>মোছাঃ জরিনা খাতুন</v>
      </c>
      <c r="D739" s="5">
        <f>IFERROR(__xludf.DUMMYFUNCTION("""COMPUTED_VALUE"""),5.70038356053E11)</f>
        <v>570038356053</v>
      </c>
      <c r="E739" s="5" t="str">
        <f>IFERROR(__xludf.DUMMYFUNCTION("""COMPUTED_VALUE"""),"আবুজর আলী")</f>
        <v>আবুজর আলী</v>
      </c>
      <c r="F739" s="5" t="str">
        <f>IFERROR(__xludf.DUMMYFUNCTION("""COMPUTED_VALUE"""),"মোছাঃ হাজেরা খাতুন")</f>
        <v>মোছাঃ হাজেরা খাতুন</v>
      </c>
      <c r="G739" s="5" t="str">
        <f>IFERROR(__xludf.DUMMYFUNCTION("""COMPUTED_VALUE"""),"২০/১২/১৯৬৫")</f>
        <v>২০/১২/১৯৬৫</v>
      </c>
      <c r="H739" s="5" t="str">
        <f>IFERROR(__xludf.DUMMYFUNCTION("""COMPUTED_VALUE"""),"গৃহিণী")</f>
        <v>গৃহিণী</v>
      </c>
      <c r="I739" s="5" t="str">
        <f>IFERROR(__xludf.DUMMYFUNCTION("""COMPUTED_VALUE"""),"""গাড়াবোব")</f>
        <v>"গাড়াবোব</v>
      </c>
      <c r="J739" s="5" t="str">
        <f>IFERROR(__xludf.DUMMYFUNCTION("""COMPUTED_VALUE""")," গাংনী")</f>
        <v> গাংনী</v>
      </c>
      <c r="K739" s="5" t="str">
        <f>IFERROR(__xludf.DUMMYFUNCTION("""COMPUTED_VALUE""")," মেহেরপুর""")</f>
        <v> মেহেরপুর"</v>
      </c>
    </row>
    <row r="740" ht="15.75" customHeight="1">
      <c r="A740" s="7" t="s">
        <v>7420</v>
      </c>
      <c r="B740" s="1">
        <f>IFERROR(__xludf.DUMMYFUNCTION("SPLIT(A740,"","")"),1287.0)</f>
        <v>1287</v>
      </c>
      <c r="C740" s="5" t="str">
        <f>IFERROR(__xludf.DUMMYFUNCTION("""COMPUTED_VALUE"""),"মোছাঃ রাহিমা খাতুন")</f>
        <v>মোছাঃ রাহিমা খাতুন</v>
      </c>
      <c r="D740" s="5">
        <f>IFERROR(__xludf.DUMMYFUNCTION("""COMPUTED_VALUE"""),5.70038356055E11)</f>
        <v>570038356055</v>
      </c>
      <c r="E740" s="5" t="str">
        <f>IFERROR(__xludf.DUMMYFUNCTION("""COMPUTED_VALUE"""),"মোঃ আইয়ুব আলি")</f>
        <v>মোঃ আইয়ুব আলি</v>
      </c>
      <c r="F740" s="5" t="str">
        <f>IFERROR(__xludf.DUMMYFUNCTION("""COMPUTED_VALUE"""),"মোছাঃ মাছুরা খাতুন")</f>
        <v>মোছাঃ মাছুরা খাতুন</v>
      </c>
      <c r="G740" s="5" t="str">
        <f>IFERROR(__xludf.DUMMYFUNCTION("""COMPUTED_VALUE"""),"১১/১০/১৯৮৮")</f>
        <v>১১/১০/১৯৮৮</v>
      </c>
      <c r="H740" s="5" t="str">
        <f>IFERROR(__xludf.DUMMYFUNCTION("""COMPUTED_VALUE"""),"গৃহিণী")</f>
        <v>গৃহিণী</v>
      </c>
      <c r="I740" s="5" t="str">
        <f>IFERROR(__xludf.DUMMYFUNCTION("""COMPUTED_VALUE"""),"""গাড়াবোব")</f>
        <v>"গাড়াবোব</v>
      </c>
      <c r="J740" s="5" t="str">
        <f>IFERROR(__xludf.DUMMYFUNCTION("""COMPUTED_VALUE""")," গাংনী")</f>
        <v> গাংনী</v>
      </c>
      <c r="K740" s="5" t="str">
        <f>IFERROR(__xludf.DUMMYFUNCTION("""COMPUTED_VALUE""")," মেহেরপুর""")</f>
        <v> মেহেরপুর"</v>
      </c>
    </row>
    <row r="741" ht="15.75" customHeight="1">
      <c r="A741" s="7" t="s">
        <v>7421</v>
      </c>
      <c r="B741" s="1">
        <f>IFERROR(__xludf.DUMMYFUNCTION("SPLIT(A741,"","")"),1288.0)</f>
        <v>1288</v>
      </c>
      <c r="C741" s="5" t="str">
        <f>IFERROR(__xludf.DUMMYFUNCTION("""COMPUTED_VALUE"""),"মোছাঃ মুসলিমা খাতুন")</f>
        <v>মোছাঃ মুসলিমা খাতুন</v>
      </c>
      <c r="D741" s="5">
        <f>IFERROR(__xludf.DUMMYFUNCTION("""COMPUTED_VALUE"""),5.70038356057E11)</f>
        <v>570038356057</v>
      </c>
      <c r="E741" s="5" t="str">
        <f>IFERROR(__xludf.DUMMYFUNCTION("""COMPUTED_VALUE"""),"মোঃ রুহুল আমিন")</f>
        <v>মোঃ রুহুল আমিন</v>
      </c>
      <c r="F741" s="5" t="str">
        <f>IFERROR(__xludf.DUMMYFUNCTION("""COMPUTED_VALUE"""),"মোছাঃ জাহানারা খাতুন")</f>
        <v>মোছাঃ জাহানারা খাতুন</v>
      </c>
      <c r="G741" s="5" t="str">
        <f>IFERROR(__xludf.DUMMYFUNCTION("""COMPUTED_VALUE"""),"২০/০২/১৯৮৯")</f>
        <v>২০/০২/১৯৮৯</v>
      </c>
      <c r="H741" s="5" t="str">
        <f>IFERROR(__xludf.DUMMYFUNCTION("""COMPUTED_VALUE"""),"গৃহিণী")</f>
        <v>গৃহিণী</v>
      </c>
      <c r="I741" s="5" t="str">
        <f>IFERROR(__xludf.DUMMYFUNCTION("""COMPUTED_VALUE"""),"""গাড়াবোব")</f>
        <v>"গাড়াবোব</v>
      </c>
      <c r="J741" s="5" t="str">
        <f>IFERROR(__xludf.DUMMYFUNCTION("""COMPUTED_VALUE""")," গাংনী")</f>
        <v> গাংনী</v>
      </c>
      <c r="K741" s="5" t="str">
        <f>IFERROR(__xludf.DUMMYFUNCTION("""COMPUTED_VALUE""")," মেহেরপুর""")</f>
        <v> মেহেরপুর"</v>
      </c>
    </row>
    <row r="742" ht="15.75" customHeight="1">
      <c r="A742" s="7" t="s">
        <v>7422</v>
      </c>
      <c r="B742" s="1">
        <f>IFERROR(__xludf.DUMMYFUNCTION("SPLIT(A742,"","")"),1289.0)</f>
        <v>1289</v>
      </c>
      <c r="C742" s="5" t="str">
        <f>IFERROR(__xludf.DUMMYFUNCTION("""COMPUTED_VALUE"""),"মোছাঃ কবিতা খাতুন")</f>
        <v>মোছাঃ কবিতা খাতুন</v>
      </c>
      <c r="D742" s="5">
        <f>IFERROR(__xludf.DUMMYFUNCTION("""COMPUTED_VALUE"""),5.7003835606E11)</f>
        <v>570038356060</v>
      </c>
      <c r="E742" s="5" t="str">
        <f>IFERROR(__xludf.DUMMYFUNCTION("""COMPUTED_VALUE"""),"মওলা বখস")</f>
        <v>মওলা বখস</v>
      </c>
      <c r="F742" s="5" t="str">
        <f>IFERROR(__xludf.DUMMYFUNCTION("""COMPUTED_VALUE"""),"মোছাঃ আকিমন খাতুন")</f>
        <v>মোছাঃ আকিমন খাতুন</v>
      </c>
      <c r="G742" s="5" t="str">
        <f>IFERROR(__xludf.DUMMYFUNCTION("""COMPUTED_VALUE"""),"০৫/১০/১৯৭৫")</f>
        <v>০৫/১০/১৯৭৫</v>
      </c>
      <c r="H742" s="5" t="str">
        <f>IFERROR(__xludf.DUMMYFUNCTION("""COMPUTED_VALUE"""),"গৃহিণী")</f>
        <v>গৃহিণী</v>
      </c>
      <c r="I742" s="5" t="str">
        <f>IFERROR(__xludf.DUMMYFUNCTION("""COMPUTED_VALUE"""),"""গাড়াবোব")</f>
        <v>"গাড়াবোব</v>
      </c>
      <c r="J742" s="5" t="str">
        <f>IFERROR(__xludf.DUMMYFUNCTION("""COMPUTED_VALUE""")," গাংনী")</f>
        <v> গাংনী</v>
      </c>
      <c r="K742" s="5" t="str">
        <f>IFERROR(__xludf.DUMMYFUNCTION("""COMPUTED_VALUE""")," মেহেরপুর""")</f>
        <v> মেহেরপুর"</v>
      </c>
    </row>
    <row r="743" ht="15.75" customHeight="1">
      <c r="A743" s="7" t="s">
        <v>7423</v>
      </c>
      <c r="B743" s="1">
        <f>IFERROR(__xludf.DUMMYFUNCTION("SPLIT(A743,"","")"),1290.0)</f>
        <v>1290</v>
      </c>
      <c r="C743" s="5" t="str">
        <f>IFERROR(__xludf.DUMMYFUNCTION("""COMPUTED_VALUE"""),"মোছাঃ আমিরন নেছা")</f>
        <v>মোছাঃ আমিরন নেছা</v>
      </c>
      <c r="D743" s="5">
        <f>IFERROR(__xludf.DUMMYFUNCTION("""COMPUTED_VALUE"""),5.70038356062E11)</f>
        <v>570038356062</v>
      </c>
      <c r="E743" s="5" t="str">
        <f>IFERROR(__xludf.DUMMYFUNCTION("""COMPUTED_VALUE"""),"আফেল উদ্দিন")</f>
        <v>আফেল উদ্দিন</v>
      </c>
      <c r="F743" s="5" t="str">
        <f>IFERROR(__xludf.DUMMYFUNCTION("""COMPUTED_VALUE"""),"রমেলা খাতুন")</f>
        <v>রমেলা খাতুন</v>
      </c>
      <c r="G743" s="5" t="str">
        <f>IFERROR(__xludf.DUMMYFUNCTION("""COMPUTED_VALUE"""),"১০/০৭/১৯৫২")</f>
        <v>১০/০৭/১৯৫২</v>
      </c>
      <c r="H743" s="5" t="str">
        <f>IFERROR(__xludf.DUMMYFUNCTION("""COMPUTED_VALUE"""),"গৃহিণী")</f>
        <v>গৃহিণী</v>
      </c>
      <c r="I743" s="5" t="str">
        <f>IFERROR(__xludf.DUMMYFUNCTION("""COMPUTED_VALUE"""),"""গাড়াবোব")</f>
        <v>"গাড়াবোব</v>
      </c>
      <c r="J743" s="5" t="str">
        <f>IFERROR(__xludf.DUMMYFUNCTION("""COMPUTED_VALUE""")," গাংনী")</f>
        <v> গাংনী</v>
      </c>
      <c r="K743" s="5" t="str">
        <f>IFERROR(__xludf.DUMMYFUNCTION("""COMPUTED_VALUE""")," মেহেরপুর""")</f>
        <v> মেহেরপুর"</v>
      </c>
    </row>
    <row r="744" ht="15.75" customHeight="1">
      <c r="A744" s="7" t="s">
        <v>7424</v>
      </c>
      <c r="B744" s="1">
        <f>IFERROR(__xludf.DUMMYFUNCTION("SPLIT(A744,"","")"),1291.0)</f>
        <v>1291</v>
      </c>
      <c r="C744" s="5" t="str">
        <f>IFERROR(__xludf.DUMMYFUNCTION("""COMPUTED_VALUE"""),"মোছাঃ বানেরা খাতুন")</f>
        <v>মোছাঃ বানেরা খাতুন</v>
      </c>
      <c r="D744" s="5">
        <f>IFERROR(__xludf.DUMMYFUNCTION("""COMPUTED_VALUE"""),5.70038356064E11)</f>
        <v>570038356064</v>
      </c>
      <c r="E744" s="5" t="str">
        <f>IFERROR(__xludf.DUMMYFUNCTION("""COMPUTED_VALUE"""),"মোঃ রিকাব আলী")</f>
        <v>মোঃ রিকাব আলী</v>
      </c>
      <c r="F744" s="5" t="str">
        <f>IFERROR(__xludf.DUMMYFUNCTION("""COMPUTED_VALUE"""),"মোছাঃ কান্দালী খাতুন")</f>
        <v>মোছাঃ কান্দালী খাতুন</v>
      </c>
      <c r="G744" s="5" t="str">
        <f>IFERROR(__xludf.DUMMYFUNCTION("""COMPUTED_VALUE"""),"২১/০৬/১৯৭৫")</f>
        <v>২১/০৬/১৯৭৫</v>
      </c>
      <c r="H744" s="5" t="str">
        <f>IFERROR(__xludf.DUMMYFUNCTION("""COMPUTED_VALUE"""),"গৃহিণী")</f>
        <v>গৃহিণী</v>
      </c>
      <c r="I744" s="5" t="str">
        <f>IFERROR(__xludf.DUMMYFUNCTION("""COMPUTED_VALUE"""),"""গাড়াবোব")</f>
        <v>"গাড়াবোব</v>
      </c>
      <c r="J744" s="5" t="str">
        <f>IFERROR(__xludf.DUMMYFUNCTION("""COMPUTED_VALUE""")," গাংনী")</f>
        <v> গাংনী</v>
      </c>
      <c r="K744" s="5" t="str">
        <f>IFERROR(__xludf.DUMMYFUNCTION("""COMPUTED_VALUE""")," মেহেরপুর""")</f>
        <v> মেহেরপুর"</v>
      </c>
    </row>
    <row r="745" ht="15.75" customHeight="1">
      <c r="A745" s="7" t="s">
        <v>7425</v>
      </c>
      <c r="B745" s="1">
        <f>IFERROR(__xludf.DUMMYFUNCTION("SPLIT(A745,"","")"),1292.0)</f>
        <v>1292</v>
      </c>
      <c r="C745" s="5" t="str">
        <f>IFERROR(__xludf.DUMMYFUNCTION("""COMPUTED_VALUE"""),"মোছাঃ ফেরদৌসি খাতুন")</f>
        <v>মোছাঃ ফেরদৌসি খাতুন</v>
      </c>
      <c r="D745" s="5">
        <f>IFERROR(__xludf.DUMMYFUNCTION("""COMPUTED_VALUE"""),5.70038356066E11)</f>
        <v>570038356066</v>
      </c>
      <c r="E745" s="5" t="str">
        <f>IFERROR(__xludf.DUMMYFUNCTION("""COMPUTED_VALUE"""),"মোঃ ফজলুল হক")</f>
        <v>মোঃ ফজলুল হক</v>
      </c>
      <c r="F745" s="5" t="str">
        <f>IFERROR(__xludf.DUMMYFUNCTION("""COMPUTED_VALUE"""),"মোছাঃ জরিনা খাতুন")</f>
        <v>মোছাঃ জরিনা খাতুন</v>
      </c>
      <c r="G745" s="5" t="str">
        <f>IFERROR(__xludf.DUMMYFUNCTION("""COMPUTED_VALUE"""),"২৩/১২/১৯৮৪")</f>
        <v>২৩/১২/১৯৮৪</v>
      </c>
      <c r="H745" s="5" t="str">
        <f>IFERROR(__xludf.DUMMYFUNCTION("""COMPUTED_VALUE"""),"গৃহিণী")</f>
        <v>গৃহিণী</v>
      </c>
      <c r="I745" s="5" t="str">
        <f>IFERROR(__xludf.DUMMYFUNCTION("""COMPUTED_VALUE"""),"""গাড়াবোব")</f>
        <v>"গাড়াবোব</v>
      </c>
      <c r="J745" s="5" t="str">
        <f>IFERROR(__xludf.DUMMYFUNCTION("""COMPUTED_VALUE""")," গাংনী")</f>
        <v> গাংনী</v>
      </c>
      <c r="K745" s="5" t="str">
        <f>IFERROR(__xludf.DUMMYFUNCTION("""COMPUTED_VALUE""")," মেহেরপুর""")</f>
        <v> মেহেরপুর"</v>
      </c>
    </row>
    <row r="746" ht="15.75" customHeight="1">
      <c r="A746" s="7" t="s">
        <v>7426</v>
      </c>
      <c r="B746" s="1">
        <f>IFERROR(__xludf.DUMMYFUNCTION("SPLIT(A746,"","")"),1293.0)</f>
        <v>1293</v>
      </c>
      <c r="C746" s="5" t="str">
        <f>IFERROR(__xludf.DUMMYFUNCTION("""COMPUTED_VALUE"""),"মোছাঃ হাফিজা খাতুন")</f>
        <v>মোছাঃ হাফিজা খাতুন</v>
      </c>
      <c r="D746" s="5">
        <f>IFERROR(__xludf.DUMMYFUNCTION("""COMPUTED_VALUE"""),5.70038356068E11)</f>
        <v>570038356068</v>
      </c>
      <c r="E746" s="5" t="str">
        <f>IFERROR(__xludf.DUMMYFUNCTION("""COMPUTED_VALUE"""),"কেরামত আলী")</f>
        <v>কেরামত আলী</v>
      </c>
      <c r="F746" s="5" t="str">
        <f>IFERROR(__xludf.DUMMYFUNCTION("""COMPUTED_VALUE"""),"মোছাঃ আমেনা খাতুন")</f>
        <v>মোছাঃ আমেনা খাতুন</v>
      </c>
      <c r="G746" s="5" t="str">
        <f>IFERROR(__xludf.DUMMYFUNCTION("""COMPUTED_VALUE"""),"০৪/০৬/১৯৭৭")</f>
        <v>০৪/০৬/১৯৭৭</v>
      </c>
      <c r="H746" s="5" t="str">
        <f>IFERROR(__xludf.DUMMYFUNCTION("""COMPUTED_VALUE"""),"গৃহিণী")</f>
        <v>গৃহিণী</v>
      </c>
      <c r="I746" s="5" t="str">
        <f>IFERROR(__xludf.DUMMYFUNCTION("""COMPUTED_VALUE"""),"""গাড়াবোব")</f>
        <v>"গাড়াবোব</v>
      </c>
      <c r="J746" s="5" t="str">
        <f>IFERROR(__xludf.DUMMYFUNCTION("""COMPUTED_VALUE""")," গাংনী")</f>
        <v> গাংনী</v>
      </c>
      <c r="K746" s="5" t="str">
        <f>IFERROR(__xludf.DUMMYFUNCTION("""COMPUTED_VALUE""")," মেহেরপুর""")</f>
        <v> মেহেরপুর"</v>
      </c>
    </row>
    <row r="747" ht="15.75" customHeight="1">
      <c r="A747" s="7" t="s">
        <v>7427</v>
      </c>
      <c r="B747" s="1">
        <f>IFERROR(__xludf.DUMMYFUNCTION("SPLIT(A747,"","")"),1294.0)</f>
        <v>1294</v>
      </c>
      <c r="C747" s="5" t="str">
        <f>IFERROR(__xludf.DUMMYFUNCTION("""COMPUTED_VALUE"""),"মোছাঃ ছাবিনা ইয়াসমিন বিথি")</f>
        <v>মোছাঃ ছাবিনা ইয়াসমিন বিথি</v>
      </c>
      <c r="D747" s="5">
        <f>IFERROR(__xludf.DUMMYFUNCTION("""COMPUTED_VALUE"""),5.7003835607E11)</f>
        <v>570038356070</v>
      </c>
      <c r="E747" s="5" t="str">
        <f>IFERROR(__xludf.DUMMYFUNCTION("""COMPUTED_VALUE"""),"মোঃ মকবুল হোসেন")</f>
        <v>মোঃ মকবুল হোসেন</v>
      </c>
      <c r="F747" s="5" t="str">
        <f>IFERROR(__xludf.DUMMYFUNCTION("""COMPUTED_VALUE"""),"মোছাঃ সাইনাজ পারভীন")</f>
        <v>মোছাঃ সাইনাজ পারভীন</v>
      </c>
      <c r="G747" s="5" t="str">
        <f>IFERROR(__xludf.DUMMYFUNCTION("""COMPUTED_VALUE"""),"১০/১১/১৯৮৯")</f>
        <v>১০/১১/১৯৮৯</v>
      </c>
      <c r="H747" s="5" t="str">
        <f>IFERROR(__xludf.DUMMYFUNCTION("""COMPUTED_VALUE"""),"গৃহিণী")</f>
        <v>গৃহিণী</v>
      </c>
      <c r="I747" s="5" t="str">
        <f>IFERROR(__xludf.DUMMYFUNCTION("""COMPUTED_VALUE"""),"""গাড়াবোব")</f>
        <v>"গাড়াবোব</v>
      </c>
      <c r="J747" s="5" t="str">
        <f>IFERROR(__xludf.DUMMYFUNCTION("""COMPUTED_VALUE""")," গাংনী")</f>
        <v> গাংনী</v>
      </c>
      <c r="K747" s="5" t="str">
        <f>IFERROR(__xludf.DUMMYFUNCTION("""COMPUTED_VALUE""")," মেহেরপুর""")</f>
        <v> মেহেরপুর"</v>
      </c>
    </row>
    <row r="748" ht="15.75" customHeight="1">
      <c r="A748" s="7" t="s">
        <v>7428</v>
      </c>
      <c r="B748" s="1">
        <f>IFERROR(__xludf.DUMMYFUNCTION("SPLIT(A748,"","")"),1295.0)</f>
        <v>1295</v>
      </c>
      <c r="C748" s="5" t="str">
        <f>IFERROR(__xludf.DUMMYFUNCTION("""COMPUTED_VALUE"""),"মোছাঃ হাজেরা খাতুন")</f>
        <v>মোছাঃ হাজেরা খাতুন</v>
      </c>
      <c r="D748" s="5">
        <f>IFERROR(__xludf.DUMMYFUNCTION("""COMPUTED_VALUE"""),5.70038356071E11)</f>
        <v>570038356071</v>
      </c>
      <c r="E748" s="5" t="str">
        <f>IFERROR(__xludf.DUMMYFUNCTION("""COMPUTED_VALUE"""),"বদিরদ্দিন আলী")</f>
        <v>বদিরদ্দিন আলী</v>
      </c>
      <c r="F748" s="5" t="str">
        <f>IFERROR(__xludf.DUMMYFUNCTION("""COMPUTED_VALUE"""),"মোছাঃ রমেলা খাতুন")</f>
        <v>মোছাঃ রমেলা খাতুন</v>
      </c>
      <c r="G748" s="5" t="str">
        <f>IFERROR(__xludf.DUMMYFUNCTION("""COMPUTED_VALUE"""),"১২/০৬/১৯৫০")</f>
        <v>১২/০৬/১৯৫০</v>
      </c>
      <c r="H748" s="5" t="str">
        <f>IFERROR(__xludf.DUMMYFUNCTION("""COMPUTED_VALUE"""),"গৃহিণী")</f>
        <v>গৃহিণী</v>
      </c>
      <c r="I748" s="5" t="str">
        <f>IFERROR(__xludf.DUMMYFUNCTION("""COMPUTED_VALUE"""),"""গাড়াবোব")</f>
        <v>"গাড়াবোব</v>
      </c>
      <c r="J748" s="5" t="str">
        <f>IFERROR(__xludf.DUMMYFUNCTION("""COMPUTED_VALUE""")," গাংনী")</f>
        <v> গাংনী</v>
      </c>
      <c r="K748" s="5" t="str">
        <f>IFERROR(__xludf.DUMMYFUNCTION("""COMPUTED_VALUE""")," মেহেরপুর""")</f>
        <v> মেহেরপুর"</v>
      </c>
    </row>
    <row r="749" ht="15.75" customHeight="1">
      <c r="A749" s="7" t="s">
        <v>7429</v>
      </c>
      <c r="B749" s="1">
        <f>IFERROR(__xludf.DUMMYFUNCTION("SPLIT(A749,"","")"),1296.0)</f>
        <v>1296</v>
      </c>
      <c r="C749" s="5" t="str">
        <f>IFERROR(__xludf.DUMMYFUNCTION("""COMPUTED_VALUE"""),"মোছাঃ মুর্শিদা খাতুন")</f>
        <v>মোছাঃ মুর্শিদা খাতুন</v>
      </c>
      <c r="D749" s="5">
        <f>IFERROR(__xludf.DUMMYFUNCTION("""COMPUTED_VALUE"""),5.70038356073E11)</f>
        <v>570038356073</v>
      </c>
      <c r="E749" s="5" t="str">
        <f>IFERROR(__xludf.DUMMYFUNCTION("""COMPUTED_VALUE"""),"হচেন আলী")</f>
        <v>হচেন আলী</v>
      </c>
      <c r="F749" s="5" t="str">
        <f>IFERROR(__xludf.DUMMYFUNCTION("""COMPUTED_VALUE"""),"মোছাঃ রেজিয়া খাতুন")</f>
        <v>মোছাঃ রেজিয়া খাতুন</v>
      </c>
      <c r="G749" s="5" t="str">
        <f>IFERROR(__xludf.DUMMYFUNCTION("""COMPUTED_VALUE"""),"০৫/১১/১৯৮২")</f>
        <v>০৫/১১/১৯৮২</v>
      </c>
      <c r="H749" s="5" t="str">
        <f>IFERROR(__xludf.DUMMYFUNCTION("""COMPUTED_VALUE"""),"গৃহিণী")</f>
        <v>গৃহিণী</v>
      </c>
      <c r="I749" s="5" t="str">
        <f>IFERROR(__xludf.DUMMYFUNCTION("""COMPUTED_VALUE"""),"""গাড়াবোব")</f>
        <v>"গাড়াবোব</v>
      </c>
      <c r="J749" s="5" t="str">
        <f>IFERROR(__xludf.DUMMYFUNCTION("""COMPUTED_VALUE""")," গাংনী")</f>
        <v> গাংনী</v>
      </c>
      <c r="K749" s="5" t="str">
        <f>IFERROR(__xludf.DUMMYFUNCTION("""COMPUTED_VALUE""")," মেহেরপুর""")</f>
        <v> মেহেরপুর"</v>
      </c>
    </row>
    <row r="750" ht="15.75" customHeight="1">
      <c r="A750" s="7" t="s">
        <v>7430</v>
      </c>
      <c r="B750" s="1">
        <f>IFERROR(__xludf.DUMMYFUNCTION("SPLIT(A750,"","")"),1297.0)</f>
        <v>1297</v>
      </c>
      <c r="C750" s="5" t="str">
        <f>IFERROR(__xludf.DUMMYFUNCTION("""COMPUTED_VALUE"""),"মোছাঃ বুলু খাতুন")</f>
        <v>মোছাঃ বুলু খাতুন</v>
      </c>
      <c r="D750" s="5">
        <f>IFERROR(__xludf.DUMMYFUNCTION("""COMPUTED_VALUE"""),5.7003835608E11)</f>
        <v>570038356080</v>
      </c>
      <c r="E750" s="5" t="str">
        <f>IFERROR(__xludf.DUMMYFUNCTION("""COMPUTED_VALUE"""),"বছের আলী")</f>
        <v>বছের আলী</v>
      </c>
      <c r="F750" s="5" t="str">
        <f>IFERROR(__xludf.DUMMYFUNCTION("""COMPUTED_VALUE"""),"মোছাঃ নেরোদা খাতুন")</f>
        <v>মোছাঃ নেরোদা খাতুন</v>
      </c>
      <c r="G750" s="5" t="str">
        <f>IFERROR(__xludf.DUMMYFUNCTION("""COMPUTED_VALUE"""),"১৩/০৫/১৯৭৮")</f>
        <v>১৩/০৫/১৯৭৮</v>
      </c>
      <c r="H750" s="5" t="str">
        <f>IFERROR(__xludf.DUMMYFUNCTION("""COMPUTED_VALUE"""),"গৃহিণী")</f>
        <v>গৃহিণী</v>
      </c>
      <c r="I750" s="5" t="str">
        <f>IFERROR(__xludf.DUMMYFUNCTION("""COMPUTED_VALUE"""),"""গাড়াবোব")</f>
        <v>"গাড়াবোব</v>
      </c>
      <c r="J750" s="5" t="str">
        <f>IFERROR(__xludf.DUMMYFUNCTION("""COMPUTED_VALUE""")," গাংনী")</f>
        <v> গাংনী</v>
      </c>
      <c r="K750" s="5" t="str">
        <f>IFERROR(__xludf.DUMMYFUNCTION("""COMPUTED_VALUE""")," মেহেরপুর""")</f>
        <v> মেহেরপুর"</v>
      </c>
    </row>
    <row r="751" ht="15.75" customHeight="1">
      <c r="A751" s="7" t="s">
        <v>7431</v>
      </c>
      <c r="B751" s="1">
        <f>IFERROR(__xludf.DUMMYFUNCTION("SPLIT(A751,"","")"),1298.0)</f>
        <v>1298</v>
      </c>
      <c r="C751" s="5" t="str">
        <f>IFERROR(__xludf.DUMMYFUNCTION("""COMPUTED_VALUE"""),"মোছাঃ ওলে খাতুন")</f>
        <v>মোছাঃ ওলে খাতুন</v>
      </c>
      <c r="D751" s="5">
        <f>IFERROR(__xludf.DUMMYFUNCTION("""COMPUTED_VALUE"""),5.70038356082E11)</f>
        <v>570038356082</v>
      </c>
      <c r="E751" s="5" t="str">
        <f>IFERROR(__xludf.DUMMYFUNCTION("""COMPUTED_VALUE"""),"মোঃ গফুর আলী")</f>
        <v>মোঃ গফুর আলী</v>
      </c>
      <c r="F751" s="5" t="str">
        <f>IFERROR(__xludf.DUMMYFUNCTION("""COMPUTED_VALUE"""),"মোছাঃ মনোয়ারা খাতুন")</f>
        <v>মোছাঃ মনোয়ারা খাতুন</v>
      </c>
      <c r="G751" s="5" t="str">
        <f>IFERROR(__xludf.DUMMYFUNCTION("""COMPUTED_VALUE"""),"০৫/০৮/১৯৮২")</f>
        <v>০৫/০৮/১৯৮২</v>
      </c>
      <c r="H751" s="5" t="str">
        <f>IFERROR(__xludf.DUMMYFUNCTION("""COMPUTED_VALUE"""),"গৃহিণী")</f>
        <v>গৃহিণী</v>
      </c>
      <c r="I751" s="5" t="str">
        <f>IFERROR(__xludf.DUMMYFUNCTION("""COMPUTED_VALUE"""),"""গাড়াবোব")</f>
        <v>"গাড়াবোব</v>
      </c>
      <c r="J751" s="5" t="str">
        <f>IFERROR(__xludf.DUMMYFUNCTION("""COMPUTED_VALUE""")," গাংনী")</f>
        <v> গাংনী</v>
      </c>
      <c r="K751" s="5" t="str">
        <f>IFERROR(__xludf.DUMMYFUNCTION("""COMPUTED_VALUE""")," মেহেরপুর""")</f>
        <v> মেহেরপুর"</v>
      </c>
    </row>
    <row r="752" ht="15.75" customHeight="1">
      <c r="A752" s="7" t="s">
        <v>7432</v>
      </c>
      <c r="B752" s="1">
        <f>IFERROR(__xludf.DUMMYFUNCTION("SPLIT(A752,"","")"),1299.0)</f>
        <v>1299</v>
      </c>
      <c r="C752" s="5" t="str">
        <f>IFERROR(__xludf.DUMMYFUNCTION("""COMPUTED_VALUE"""),"মোছাঃ নাজিরা বেগম")</f>
        <v>মোছাঃ নাজিরা বেগম</v>
      </c>
      <c r="D752" s="5">
        <f>IFERROR(__xludf.DUMMYFUNCTION("""COMPUTED_VALUE"""),5.70038356084E11)</f>
        <v>570038356084</v>
      </c>
      <c r="E752" s="5" t="str">
        <f>IFERROR(__xludf.DUMMYFUNCTION("""COMPUTED_VALUE"""),"মফেল উদ্দিন বিঃ")</f>
        <v>মফেল উদ্দিন বিঃ</v>
      </c>
      <c r="F752" s="5" t="str">
        <f>IFERROR(__xludf.DUMMYFUNCTION("""COMPUTED_VALUE"""),"মোছাঃ মরিয়ম খাতুন")</f>
        <v>মোছাঃ মরিয়ম খাতুন</v>
      </c>
      <c r="G752" s="5" t="str">
        <f>IFERROR(__xludf.DUMMYFUNCTION("""COMPUTED_VALUE"""),"২০/০৭/১৯৭১")</f>
        <v>২০/০৭/১৯৭১</v>
      </c>
      <c r="H752" s="5" t="str">
        <f>IFERROR(__xludf.DUMMYFUNCTION("""COMPUTED_VALUE"""),"গৃহিণী")</f>
        <v>গৃহিণী</v>
      </c>
      <c r="I752" s="5" t="str">
        <f>IFERROR(__xludf.DUMMYFUNCTION("""COMPUTED_VALUE"""),"""গাড়াবোব")</f>
        <v>"গাড়াবোব</v>
      </c>
      <c r="J752" s="5" t="str">
        <f>IFERROR(__xludf.DUMMYFUNCTION("""COMPUTED_VALUE""")," গাংনী")</f>
        <v> গাংনী</v>
      </c>
      <c r="K752" s="5" t="str">
        <f>IFERROR(__xludf.DUMMYFUNCTION("""COMPUTED_VALUE""")," মেহেরপুর""")</f>
        <v> মেহেরপুর"</v>
      </c>
    </row>
    <row r="753" ht="15.75" customHeight="1">
      <c r="A753" s="7" t="s">
        <v>7433</v>
      </c>
      <c r="B753" s="1">
        <f>IFERROR(__xludf.DUMMYFUNCTION("SPLIT(A753,"","")"),1300.0)</f>
        <v>1300</v>
      </c>
      <c r="C753" s="5" t="str">
        <f>IFERROR(__xludf.DUMMYFUNCTION("""COMPUTED_VALUE"""),"মোছাঃ মাসুদা খাতুন")</f>
        <v>মোছাঃ মাসুদা খাতুন</v>
      </c>
      <c r="D753" s="5">
        <f>IFERROR(__xludf.DUMMYFUNCTION("""COMPUTED_VALUE"""),5.70038356085E11)</f>
        <v>570038356085</v>
      </c>
      <c r="E753" s="5" t="str">
        <f>IFERROR(__xludf.DUMMYFUNCTION("""COMPUTED_VALUE"""),"মোঃ আব্দুল মালেক")</f>
        <v>মোঃ আব্দুল মালেক</v>
      </c>
      <c r="F753" s="5" t="str">
        <f>IFERROR(__xludf.DUMMYFUNCTION("""COMPUTED_VALUE"""),"মোছাঃ বুলবুলি খাতুন")</f>
        <v>মোছাঃ বুলবুলি খাতুন</v>
      </c>
      <c r="G753" s="5" t="str">
        <f>IFERROR(__xludf.DUMMYFUNCTION("""COMPUTED_VALUE"""),"১২/১১/১৯৮৯")</f>
        <v>১২/১১/১৯৮৯</v>
      </c>
      <c r="H753" s="5" t="str">
        <f>IFERROR(__xludf.DUMMYFUNCTION("""COMPUTED_VALUE"""),"গৃহিণী")</f>
        <v>গৃহিণী</v>
      </c>
      <c r="I753" s="5" t="str">
        <f>IFERROR(__xludf.DUMMYFUNCTION("""COMPUTED_VALUE"""),"""গাড়াবোব")</f>
        <v>"গাড়াবোব</v>
      </c>
      <c r="J753" s="5" t="str">
        <f>IFERROR(__xludf.DUMMYFUNCTION("""COMPUTED_VALUE""")," গাংনী")</f>
        <v> গাংনী</v>
      </c>
      <c r="K753" s="5" t="str">
        <f>IFERROR(__xludf.DUMMYFUNCTION("""COMPUTED_VALUE""")," মেহেরপুর""")</f>
        <v> মেহেরপুর"</v>
      </c>
    </row>
    <row r="754" ht="15.75" customHeight="1">
      <c r="A754" s="7" t="s">
        <v>7434</v>
      </c>
      <c r="B754" s="1">
        <f>IFERROR(__xludf.DUMMYFUNCTION("SPLIT(A754,"","")"),1301.0)</f>
        <v>1301</v>
      </c>
      <c r="C754" s="5" t="str">
        <f>IFERROR(__xludf.DUMMYFUNCTION("""COMPUTED_VALUE"""),"মোছাঃ তানজিলা খাতুন")</f>
        <v>মোছাঃ তানজিলা খাতুন</v>
      </c>
      <c r="D754" s="5">
        <f>IFERROR(__xludf.DUMMYFUNCTION("""COMPUTED_VALUE"""),5.70038356087E11)</f>
        <v>570038356087</v>
      </c>
      <c r="E754" s="5" t="str">
        <f>IFERROR(__xludf.DUMMYFUNCTION("""COMPUTED_VALUE"""),"মোঃ নবীছুদ্দীন")</f>
        <v>মোঃ নবীছুদ্দীন</v>
      </c>
      <c r="F754" s="5" t="str">
        <f>IFERROR(__xludf.DUMMYFUNCTION("""COMPUTED_VALUE"""),"মোছাঃ আমেনা খাতুন")</f>
        <v>মোছাঃ আমেনা খাতুন</v>
      </c>
      <c r="G754" s="5" t="str">
        <f>IFERROR(__xludf.DUMMYFUNCTION("""COMPUTED_VALUE"""),"১০/০৩/১৯৮২")</f>
        <v>১০/০৩/১৯৮২</v>
      </c>
      <c r="H754" s="5" t="str">
        <f>IFERROR(__xludf.DUMMYFUNCTION("""COMPUTED_VALUE"""),"গৃহিণী")</f>
        <v>গৃহিণী</v>
      </c>
      <c r="I754" s="5" t="str">
        <f>IFERROR(__xludf.DUMMYFUNCTION("""COMPUTED_VALUE"""),"""গাড়াবোব")</f>
        <v>"গাড়াবোব</v>
      </c>
      <c r="J754" s="5" t="str">
        <f>IFERROR(__xludf.DUMMYFUNCTION("""COMPUTED_VALUE""")," গাংনী")</f>
        <v> গাংনী</v>
      </c>
      <c r="K754" s="5" t="str">
        <f>IFERROR(__xludf.DUMMYFUNCTION("""COMPUTED_VALUE""")," মেহেরপুর""")</f>
        <v> মেহেরপুর"</v>
      </c>
    </row>
    <row r="755" ht="15.75" customHeight="1">
      <c r="A755" s="7" t="s">
        <v>7435</v>
      </c>
      <c r="B755" s="1">
        <f>IFERROR(__xludf.DUMMYFUNCTION("SPLIT(A755,"","")"),1302.0)</f>
        <v>1302</v>
      </c>
      <c r="C755" s="5" t="str">
        <f>IFERROR(__xludf.DUMMYFUNCTION("""COMPUTED_VALUE"""),"মোছাঃ মাহিরন নেছা")</f>
        <v>মোছাঃ মাহিরন নেছা</v>
      </c>
      <c r="D755" s="5">
        <f>IFERROR(__xludf.DUMMYFUNCTION("""COMPUTED_VALUE"""),5.70038356089E11)</f>
        <v>570038356089</v>
      </c>
      <c r="E755" s="5" t="str">
        <f>IFERROR(__xludf.DUMMYFUNCTION("""COMPUTED_VALUE"""),"মোঃ আবু বাক্কার")</f>
        <v>মোঃ আবু বাক্কার</v>
      </c>
      <c r="F755" s="5" t="str">
        <f>IFERROR(__xludf.DUMMYFUNCTION("""COMPUTED_VALUE"""),"মোছাঃ রুকিয়া খাতুন")</f>
        <v>মোছাঃ রুকিয়া খাতুন</v>
      </c>
      <c r="G755" s="5" t="str">
        <f>IFERROR(__xludf.DUMMYFUNCTION("""COMPUTED_VALUE"""),"১৮/০৫/১৯৭৩")</f>
        <v>১৮/০৫/১৯৭৩</v>
      </c>
      <c r="H755" s="5" t="str">
        <f>IFERROR(__xludf.DUMMYFUNCTION("""COMPUTED_VALUE"""),"গৃহিণী")</f>
        <v>গৃহিণী</v>
      </c>
      <c r="I755" s="5" t="str">
        <f>IFERROR(__xludf.DUMMYFUNCTION("""COMPUTED_VALUE"""),"""গাড়াবোব")</f>
        <v>"গাড়াবোব</v>
      </c>
      <c r="J755" s="5" t="str">
        <f>IFERROR(__xludf.DUMMYFUNCTION("""COMPUTED_VALUE""")," গাংনী")</f>
        <v> গাংনী</v>
      </c>
      <c r="K755" s="5" t="str">
        <f>IFERROR(__xludf.DUMMYFUNCTION("""COMPUTED_VALUE""")," মেহেরপুর""")</f>
        <v> মেহেরপুর"</v>
      </c>
    </row>
    <row r="756" ht="15.75" customHeight="1">
      <c r="A756" s="7" t="s">
        <v>7436</v>
      </c>
      <c r="B756" s="1">
        <f>IFERROR(__xludf.DUMMYFUNCTION("SPLIT(A756,"","")"),1303.0)</f>
        <v>1303</v>
      </c>
      <c r="C756" s="5" t="str">
        <f>IFERROR(__xludf.DUMMYFUNCTION("""COMPUTED_VALUE"""),"মোছাঃ মরিয়ম খাতুন")</f>
        <v>মোছাঃ মরিয়ম খাতুন</v>
      </c>
      <c r="D756" s="5">
        <f>IFERROR(__xludf.DUMMYFUNCTION("""COMPUTED_VALUE"""),5.70038356091E11)</f>
        <v>570038356091</v>
      </c>
      <c r="E756" s="5" t="str">
        <f>IFERROR(__xludf.DUMMYFUNCTION("""COMPUTED_VALUE"""),"আজিজুল হক")</f>
        <v>আজিজুল হক</v>
      </c>
      <c r="F756" s="5" t="str">
        <f>IFERROR(__xludf.DUMMYFUNCTION("""COMPUTED_VALUE"""),"মনোয়ারা খাতুন")</f>
        <v>মনোয়ারা খাতুন</v>
      </c>
      <c r="G756" s="5" t="str">
        <f>IFERROR(__xludf.DUMMYFUNCTION("""COMPUTED_VALUE"""),"১০/০৬/১৯৭৩")</f>
        <v>১০/০৬/১৯৭৩</v>
      </c>
      <c r="H756" s="5" t="str">
        <f>IFERROR(__xludf.DUMMYFUNCTION("""COMPUTED_VALUE"""),"গৃহিণী")</f>
        <v>গৃহিণী</v>
      </c>
      <c r="I756" s="5" t="str">
        <f>IFERROR(__xludf.DUMMYFUNCTION("""COMPUTED_VALUE"""),"""গাড়াবোব")</f>
        <v>"গাড়াবোব</v>
      </c>
      <c r="J756" s="5" t="str">
        <f>IFERROR(__xludf.DUMMYFUNCTION("""COMPUTED_VALUE""")," গাংনী")</f>
        <v> গাংনী</v>
      </c>
      <c r="K756" s="5" t="str">
        <f>IFERROR(__xludf.DUMMYFUNCTION("""COMPUTED_VALUE""")," মেহেরপুর""")</f>
        <v> মেহেরপুর"</v>
      </c>
    </row>
    <row r="757" ht="15.75" customHeight="1">
      <c r="A757" s="7" t="s">
        <v>7437</v>
      </c>
      <c r="B757" s="1">
        <f>IFERROR(__xludf.DUMMYFUNCTION("SPLIT(A757,"","")"),1304.0)</f>
        <v>1304</v>
      </c>
      <c r="C757" s="5" t="str">
        <f>IFERROR(__xludf.DUMMYFUNCTION("""COMPUTED_VALUE"""),"মোছাঃ আয়েশা খাতুন")</f>
        <v>মোছাঃ আয়েশা খাতুন</v>
      </c>
      <c r="D757" s="5">
        <f>IFERROR(__xludf.DUMMYFUNCTION("""COMPUTED_VALUE"""),5.70038356092E11)</f>
        <v>570038356092</v>
      </c>
      <c r="E757" s="5" t="str">
        <f>IFERROR(__xludf.DUMMYFUNCTION("""COMPUTED_VALUE"""),"আজিমুদ্দিন")</f>
        <v>আজিমুদ্দিন</v>
      </c>
      <c r="F757" s="5" t="str">
        <f>IFERROR(__xludf.DUMMYFUNCTION("""COMPUTED_VALUE"""),"মোছাঃ জহুরা খাতুন")</f>
        <v>মোছাঃ জহুরা খাতুন</v>
      </c>
      <c r="G757" s="5" t="str">
        <f>IFERROR(__xludf.DUMMYFUNCTION("""COMPUTED_VALUE"""),"১২/০৪/১৯৭৭")</f>
        <v>১২/০৪/১৯৭৭</v>
      </c>
      <c r="H757" s="5" t="str">
        <f>IFERROR(__xludf.DUMMYFUNCTION("""COMPUTED_VALUE"""),"গৃহিণী")</f>
        <v>গৃহিণী</v>
      </c>
      <c r="I757" s="5" t="str">
        <f>IFERROR(__xludf.DUMMYFUNCTION("""COMPUTED_VALUE"""),"""গাড়াবোব")</f>
        <v>"গাড়াবোব</v>
      </c>
      <c r="J757" s="5" t="str">
        <f>IFERROR(__xludf.DUMMYFUNCTION("""COMPUTED_VALUE""")," গাংনী")</f>
        <v> গাংনী</v>
      </c>
      <c r="K757" s="5" t="str">
        <f>IFERROR(__xludf.DUMMYFUNCTION("""COMPUTED_VALUE""")," মেহেরপুর""")</f>
        <v> মেহেরপুর"</v>
      </c>
    </row>
    <row r="758" ht="15.75" customHeight="1">
      <c r="A758" s="7" t="s">
        <v>7438</v>
      </c>
      <c r="B758" s="1">
        <f>IFERROR(__xludf.DUMMYFUNCTION("SPLIT(A758,"","")"),1305.0)</f>
        <v>1305</v>
      </c>
      <c r="C758" s="5" t="str">
        <f>IFERROR(__xludf.DUMMYFUNCTION("""COMPUTED_VALUE"""),"মোছাঃ রসেনা খাতুন")</f>
        <v>মোছাঃ রসেনা খাতুন</v>
      </c>
      <c r="D758" s="5">
        <f>IFERROR(__xludf.DUMMYFUNCTION("""COMPUTED_VALUE"""),5.70038356095E11)</f>
        <v>570038356095</v>
      </c>
      <c r="E758" s="5" t="str">
        <f>IFERROR(__xludf.DUMMYFUNCTION("""COMPUTED_VALUE"""),"জাহের আলী")</f>
        <v>জাহের আলী</v>
      </c>
      <c r="F758" s="5" t="str">
        <f>IFERROR(__xludf.DUMMYFUNCTION("""COMPUTED_VALUE"""),"মোছাঃ জবেদা খাতুন")</f>
        <v>মোছাঃ জবেদা খাতুন</v>
      </c>
      <c r="G758" s="5" t="str">
        <f>IFERROR(__xludf.DUMMYFUNCTION("""COMPUTED_VALUE"""),"০৫/১১/১৯৭২")</f>
        <v>০৫/১১/১৯৭২</v>
      </c>
      <c r="H758" s="5" t="str">
        <f>IFERROR(__xludf.DUMMYFUNCTION("""COMPUTED_VALUE"""),"গৃহিণী")</f>
        <v>গৃহিণী</v>
      </c>
      <c r="I758" s="5" t="str">
        <f>IFERROR(__xludf.DUMMYFUNCTION("""COMPUTED_VALUE"""),"""গাড়াবোব")</f>
        <v>"গাড়াবোব</v>
      </c>
      <c r="J758" s="5" t="str">
        <f>IFERROR(__xludf.DUMMYFUNCTION("""COMPUTED_VALUE""")," গাংনী")</f>
        <v> গাংনী</v>
      </c>
      <c r="K758" s="5" t="str">
        <f>IFERROR(__xludf.DUMMYFUNCTION("""COMPUTED_VALUE""")," মেহেরপুর""")</f>
        <v> মেহেরপুর"</v>
      </c>
    </row>
    <row r="759" ht="15.75" customHeight="1">
      <c r="A759" s="7" t="s">
        <v>7439</v>
      </c>
      <c r="B759" s="1">
        <f>IFERROR(__xludf.DUMMYFUNCTION("SPLIT(A759,"","")"),1306.0)</f>
        <v>1306</v>
      </c>
      <c r="C759" s="5" t="str">
        <f>IFERROR(__xludf.DUMMYFUNCTION("""COMPUTED_VALUE"""),"মোছাঃ মহিমা খাতুন")</f>
        <v>মোছাঃ মহিমা খাতুন</v>
      </c>
      <c r="D759" s="5">
        <f>IFERROR(__xludf.DUMMYFUNCTION("""COMPUTED_VALUE"""),5.70038356097E11)</f>
        <v>570038356097</v>
      </c>
      <c r="E759" s="5" t="str">
        <f>IFERROR(__xludf.DUMMYFUNCTION("""COMPUTED_VALUE"""),"মোঃ আব্দুর রহমান")</f>
        <v>মোঃ আব্দুর রহমান</v>
      </c>
      <c r="F759" s="5" t="str">
        <f>IFERROR(__xludf.DUMMYFUNCTION("""COMPUTED_VALUE"""),"মোছাঃ জাহানারা খাতুন")</f>
        <v>মোছাঃ জাহানারা খাতুন</v>
      </c>
      <c r="G759" s="5" t="str">
        <f>IFERROR(__xludf.DUMMYFUNCTION("""COMPUTED_VALUE"""),"২১/১০/১৯৮৭")</f>
        <v>২১/১০/১৯৮৭</v>
      </c>
      <c r="H759" s="5" t="str">
        <f>IFERROR(__xludf.DUMMYFUNCTION("""COMPUTED_VALUE"""),"গৃহিণী")</f>
        <v>গৃহিণী</v>
      </c>
      <c r="I759" s="5" t="str">
        <f>IFERROR(__xludf.DUMMYFUNCTION("""COMPUTED_VALUE"""),"""গাড়াবোব")</f>
        <v>"গাড়াবোব</v>
      </c>
      <c r="J759" s="5" t="str">
        <f>IFERROR(__xludf.DUMMYFUNCTION("""COMPUTED_VALUE""")," গাংনী")</f>
        <v> গাংনী</v>
      </c>
      <c r="K759" s="5" t="str">
        <f>IFERROR(__xludf.DUMMYFUNCTION("""COMPUTED_VALUE""")," মেহেরপুর""")</f>
        <v> মেহেরপুর"</v>
      </c>
    </row>
    <row r="760" ht="15.75" customHeight="1">
      <c r="A760" s="7" t="s">
        <v>7440</v>
      </c>
      <c r="B760" s="1">
        <f>IFERROR(__xludf.DUMMYFUNCTION("SPLIT(A760,"","")"),1307.0)</f>
        <v>1307</v>
      </c>
      <c r="C760" s="5" t="str">
        <f>IFERROR(__xludf.DUMMYFUNCTION("""COMPUTED_VALUE"""),"মোছাঃ নিলুফা খাতুন")</f>
        <v>মোছাঃ নিলুফা খাতুন</v>
      </c>
      <c r="D760" s="5">
        <f>IFERROR(__xludf.DUMMYFUNCTION("""COMPUTED_VALUE"""),5.70038356105E11)</f>
        <v>570038356105</v>
      </c>
      <c r="E760" s="5" t="str">
        <f>IFERROR(__xludf.DUMMYFUNCTION("""COMPUTED_VALUE"""),"মোঃ আবুল হোসেন")</f>
        <v>মোঃ আবুল হোসেন</v>
      </c>
      <c r="F760" s="5" t="str">
        <f>IFERROR(__xludf.DUMMYFUNCTION("""COMPUTED_VALUE"""),"মোছাঃ তহুরা খাতুন")</f>
        <v>মোছাঃ তহুরা খাতুন</v>
      </c>
      <c r="G760" s="5" t="str">
        <f>IFERROR(__xludf.DUMMYFUNCTION("""COMPUTED_VALUE"""),"১২/০৮/১৯৮৫")</f>
        <v>১২/০৮/১৯৮৫</v>
      </c>
      <c r="H760" s="5" t="str">
        <f>IFERROR(__xludf.DUMMYFUNCTION("""COMPUTED_VALUE"""),"গৃহিণী")</f>
        <v>গৃহিণী</v>
      </c>
      <c r="I760" s="5" t="str">
        <f>IFERROR(__xludf.DUMMYFUNCTION("""COMPUTED_VALUE"""),"""গাড়াবোব")</f>
        <v>"গাড়াবোব</v>
      </c>
      <c r="J760" s="5" t="str">
        <f>IFERROR(__xludf.DUMMYFUNCTION("""COMPUTED_VALUE""")," গাংনী")</f>
        <v> গাংনী</v>
      </c>
      <c r="K760" s="5" t="str">
        <f>IFERROR(__xludf.DUMMYFUNCTION("""COMPUTED_VALUE""")," মেহেরপুর""")</f>
        <v> মেহেরপুর"</v>
      </c>
    </row>
    <row r="761" ht="15.75" customHeight="1">
      <c r="A761" s="7" t="s">
        <v>7441</v>
      </c>
      <c r="B761" s="1">
        <f>IFERROR(__xludf.DUMMYFUNCTION("SPLIT(A761,"","")"),1308.0)</f>
        <v>1308</v>
      </c>
      <c r="C761" s="5" t="str">
        <f>IFERROR(__xludf.DUMMYFUNCTION("""COMPUTED_VALUE"""),"মোছাঃ নাহিমা খাতুন")</f>
        <v>মোছাঃ নাহিমা খাতুন</v>
      </c>
      <c r="D761" s="5">
        <f>IFERROR(__xludf.DUMMYFUNCTION("""COMPUTED_VALUE"""),5.70038356106E11)</f>
        <v>570038356106</v>
      </c>
      <c r="E761" s="5" t="str">
        <f>IFERROR(__xludf.DUMMYFUNCTION("""COMPUTED_VALUE"""),"মোঃ সিরাজুল ইসলাম")</f>
        <v>মোঃ সিরাজুল ইসলাম</v>
      </c>
      <c r="F761" s="5" t="str">
        <f>IFERROR(__xludf.DUMMYFUNCTION("""COMPUTED_VALUE"""),"মোছাঃ নাজিয়া বেগম")</f>
        <v>মোছাঃ নাজিয়া বেগম</v>
      </c>
      <c r="G761" s="5" t="str">
        <f>IFERROR(__xludf.DUMMYFUNCTION("""COMPUTED_VALUE"""),"০৮/০২/১৯৮২")</f>
        <v>০৮/০২/১৯৮২</v>
      </c>
      <c r="H761" s="5" t="str">
        <f>IFERROR(__xludf.DUMMYFUNCTION("""COMPUTED_VALUE"""),"গৃহিণী")</f>
        <v>গৃহিণী</v>
      </c>
      <c r="I761" s="5" t="str">
        <f>IFERROR(__xludf.DUMMYFUNCTION("""COMPUTED_VALUE"""),"""গাড়াবোব")</f>
        <v>"গাড়াবোব</v>
      </c>
      <c r="J761" s="5" t="str">
        <f>IFERROR(__xludf.DUMMYFUNCTION("""COMPUTED_VALUE""")," গাংনী")</f>
        <v> গাংনী</v>
      </c>
      <c r="K761" s="5" t="str">
        <f>IFERROR(__xludf.DUMMYFUNCTION("""COMPUTED_VALUE""")," মেহেরপুর""")</f>
        <v> মেহেরপুর"</v>
      </c>
    </row>
    <row r="762" ht="15.75" customHeight="1">
      <c r="A762" s="7" t="s">
        <v>7442</v>
      </c>
      <c r="B762" s="1">
        <f>IFERROR(__xludf.DUMMYFUNCTION("SPLIT(A762,"","")"),1309.0)</f>
        <v>1309</v>
      </c>
      <c r="C762" s="5" t="str">
        <f>IFERROR(__xludf.DUMMYFUNCTION("""COMPUTED_VALUE"""),"মোছাঃ নুরুন্নাহার খাতুন")</f>
        <v>মোছাঃ নুরুন্নাহার খাতুন</v>
      </c>
      <c r="D762" s="5">
        <f>IFERROR(__xludf.DUMMYFUNCTION("""COMPUTED_VALUE"""),5.70038356107E11)</f>
        <v>570038356107</v>
      </c>
      <c r="E762" s="5" t="str">
        <f>IFERROR(__xludf.DUMMYFUNCTION("""COMPUTED_VALUE"""),"মোঃ নুরুল হক")</f>
        <v>মোঃ নুরুল হক</v>
      </c>
      <c r="F762" s="5" t="str">
        <f>IFERROR(__xludf.DUMMYFUNCTION("""COMPUTED_VALUE"""),"মোছাঃ মাহমুদা খাতুন")</f>
        <v>মোছাঃ মাহমুদা খাতুন</v>
      </c>
      <c r="G762" s="5" t="str">
        <f>IFERROR(__xludf.DUMMYFUNCTION("""COMPUTED_VALUE"""),"১২/০৫/১৯৭৫")</f>
        <v>১২/০৫/১৯৭৫</v>
      </c>
      <c r="H762" s="5" t="str">
        <f>IFERROR(__xludf.DUMMYFUNCTION("""COMPUTED_VALUE"""),"গৃহিণী")</f>
        <v>গৃহিণী</v>
      </c>
      <c r="I762" s="5" t="str">
        <f>IFERROR(__xludf.DUMMYFUNCTION("""COMPUTED_VALUE"""),"""গাড়াবোব")</f>
        <v>"গাড়াবোব</v>
      </c>
      <c r="J762" s="5" t="str">
        <f>IFERROR(__xludf.DUMMYFUNCTION("""COMPUTED_VALUE""")," গাংনী")</f>
        <v> গাংনী</v>
      </c>
      <c r="K762" s="5" t="str">
        <f>IFERROR(__xludf.DUMMYFUNCTION("""COMPUTED_VALUE""")," মেহেরপুর""")</f>
        <v> মেহেরপুর"</v>
      </c>
    </row>
    <row r="763" ht="15.75" customHeight="1">
      <c r="A763" s="7" t="s">
        <v>7443</v>
      </c>
      <c r="B763" s="1">
        <f>IFERROR(__xludf.DUMMYFUNCTION("SPLIT(A763,"","")"),1310.0)</f>
        <v>1310</v>
      </c>
      <c r="C763" s="5" t="str">
        <f>IFERROR(__xludf.DUMMYFUNCTION("""COMPUTED_VALUE"""),"মোছাঃ চায়না খাতুন")</f>
        <v>মোছাঃ চায়না খাতুন</v>
      </c>
      <c r="D763" s="5">
        <f>IFERROR(__xludf.DUMMYFUNCTION("""COMPUTED_VALUE"""),5.70038356109E11)</f>
        <v>570038356109</v>
      </c>
      <c r="E763" s="5" t="str">
        <f>IFERROR(__xludf.DUMMYFUNCTION("""COMPUTED_VALUE"""),"মোঃ রমজান আলী")</f>
        <v>মোঃ রমজান আলী</v>
      </c>
      <c r="F763" s="5" t="str">
        <f>IFERROR(__xludf.DUMMYFUNCTION("""COMPUTED_VALUE"""),"মোছাঃ আলেয়া বেগম")</f>
        <v>মোছাঃ আলেয়া বেগম</v>
      </c>
      <c r="G763" s="5" t="str">
        <f>IFERROR(__xludf.DUMMYFUNCTION("""COMPUTED_VALUE"""),"০৪/০৩/১৯৭৯")</f>
        <v>০৪/০৩/১৯৭৯</v>
      </c>
      <c r="H763" s="5" t="str">
        <f>IFERROR(__xludf.DUMMYFUNCTION("""COMPUTED_VALUE"""),"গৃহিণী")</f>
        <v>গৃহিণী</v>
      </c>
      <c r="I763" s="5" t="str">
        <f>IFERROR(__xludf.DUMMYFUNCTION("""COMPUTED_VALUE"""),"""গাড়াবোব")</f>
        <v>"গাড়াবোব</v>
      </c>
      <c r="J763" s="5" t="str">
        <f>IFERROR(__xludf.DUMMYFUNCTION("""COMPUTED_VALUE""")," গাংনী")</f>
        <v> গাংনী</v>
      </c>
      <c r="K763" s="5" t="str">
        <f>IFERROR(__xludf.DUMMYFUNCTION("""COMPUTED_VALUE""")," মেহেরপুর""")</f>
        <v> মেহেরপুর"</v>
      </c>
    </row>
    <row r="764" ht="15.75" customHeight="1">
      <c r="A764" s="7" t="s">
        <v>7444</v>
      </c>
      <c r="B764" s="1">
        <f>IFERROR(__xludf.DUMMYFUNCTION("SPLIT(A764,"","")"),1311.0)</f>
        <v>1311</v>
      </c>
      <c r="C764" s="5" t="str">
        <f>IFERROR(__xludf.DUMMYFUNCTION("""COMPUTED_VALUE"""),"মোছাঃ মোমেনা বেগম")</f>
        <v>মোছাঃ মোমেনা বেগম</v>
      </c>
      <c r="D764" s="5">
        <f>IFERROR(__xludf.DUMMYFUNCTION("""COMPUTED_VALUE"""),5.7003835611E11)</f>
        <v>570038356110</v>
      </c>
      <c r="E764" s="5" t="str">
        <f>IFERROR(__xludf.DUMMYFUNCTION("""COMPUTED_VALUE"""),"খোদা বক্স")</f>
        <v>খোদা বক্স</v>
      </c>
      <c r="F764" s="5" t="str">
        <f>IFERROR(__xludf.DUMMYFUNCTION("""COMPUTED_VALUE"""),"মোছাঃ ইমামন নেছা")</f>
        <v>মোছাঃ ইমামন নেছা</v>
      </c>
      <c r="G764" s="5" t="str">
        <f>IFERROR(__xludf.DUMMYFUNCTION("""COMPUTED_VALUE"""),"১৫/০৮/১৯৭৪")</f>
        <v>১৫/০৮/১৯৭৪</v>
      </c>
      <c r="H764" s="5" t="str">
        <f>IFERROR(__xludf.DUMMYFUNCTION("""COMPUTED_VALUE"""),"গৃহিণী")</f>
        <v>গৃহিণী</v>
      </c>
      <c r="I764" s="5" t="str">
        <f>IFERROR(__xludf.DUMMYFUNCTION("""COMPUTED_VALUE"""),"""গাড়াবোব")</f>
        <v>"গাড়াবোব</v>
      </c>
      <c r="J764" s="5" t="str">
        <f>IFERROR(__xludf.DUMMYFUNCTION("""COMPUTED_VALUE""")," গাংনী")</f>
        <v> গাংনী</v>
      </c>
      <c r="K764" s="5" t="str">
        <f>IFERROR(__xludf.DUMMYFUNCTION("""COMPUTED_VALUE""")," মেহেরপুর""")</f>
        <v> মেহেরপুর"</v>
      </c>
    </row>
    <row r="765" ht="15.75" customHeight="1">
      <c r="A765" s="7" t="s">
        <v>7445</v>
      </c>
      <c r="B765" s="1">
        <f>IFERROR(__xludf.DUMMYFUNCTION("SPLIT(A765,"","")"),1312.0)</f>
        <v>1312</v>
      </c>
      <c r="C765" s="5" t="str">
        <f>IFERROR(__xludf.DUMMYFUNCTION("""COMPUTED_VALUE"""),"মোছাঃ রেহেনা পারভীন")</f>
        <v>মোছাঃ রেহেনা পারভীন</v>
      </c>
      <c r="D765" s="5">
        <f>IFERROR(__xludf.DUMMYFUNCTION("""COMPUTED_VALUE"""),5.70038356112E11)</f>
        <v>570038356112</v>
      </c>
      <c r="E765" s="5" t="str">
        <f>IFERROR(__xludf.DUMMYFUNCTION("""COMPUTED_VALUE"""),"আবুল কাসেম")</f>
        <v>আবুল কাসেম</v>
      </c>
      <c r="F765" s="5" t="str">
        <f>IFERROR(__xludf.DUMMYFUNCTION("""COMPUTED_VALUE"""),"মোছাঃ শাহার বানু")</f>
        <v>মোছাঃ শাহার বানু</v>
      </c>
      <c r="G765" s="5" t="str">
        <f>IFERROR(__xludf.DUMMYFUNCTION("""COMPUTED_VALUE"""),"১০/০৫/১৯৭৯")</f>
        <v>১০/০৫/১৯৭৯</v>
      </c>
      <c r="H765" s="5" t="str">
        <f>IFERROR(__xludf.DUMMYFUNCTION("""COMPUTED_VALUE"""),"গৃহিণী")</f>
        <v>গৃহিণী</v>
      </c>
      <c r="I765" s="5" t="str">
        <f>IFERROR(__xludf.DUMMYFUNCTION("""COMPUTED_VALUE"""),"""গাড়াবোব")</f>
        <v>"গাড়াবোব</v>
      </c>
      <c r="J765" s="5" t="str">
        <f>IFERROR(__xludf.DUMMYFUNCTION("""COMPUTED_VALUE""")," গাংনী")</f>
        <v> গাংনী</v>
      </c>
      <c r="K765" s="5" t="str">
        <f>IFERROR(__xludf.DUMMYFUNCTION("""COMPUTED_VALUE""")," মেহেরপুর""")</f>
        <v> মেহেরপুর"</v>
      </c>
    </row>
    <row r="766" ht="15.75" customHeight="1">
      <c r="A766" s="7" t="s">
        <v>7446</v>
      </c>
      <c r="B766" s="1">
        <f>IFERROR(__xludf.DUMMYFUNCTION("SPLIT(A766,"","")"),1313.0)</f>
        <v>1313</v>
      </c>
      <c r="C766" s="5" t="str">
        <f>IFERROR(__xludf.DUMMYFUNCTION("""COMPUTED_VALUE"""),"মোছাঃ ফেরদৌসী আরা")</f>
        <v>মোছাঃ ফেরদৌসী আরা</v>
      </c>
      <c r="D766" s="5">
        <f>IFERROR(__xludf.DUMMYFUNCTION("""COMPUTED_VALUE"""),5.70038356114E11)</f>
        <v>570038356114</v>
      </c>
      <c r="E766" s="5" t="str">
        <f>IFERROR(__xludf.DUMMYFUNCTION("""COMPUTED_VALUE"""),"মোঃ গোলাম কবির")</f>
        <v>মোঃ গোলাম কবির</v>
      </c>
      <c r="F766" s="5" t="str">
        <f>IFERROR(__xludf.DUMMYFUNCTION("""COMPUTED_VALUE"""),"মোছাঃ হাজেরা বেগম")</f>
        <v>মোছাঃ হাজেরা বেগম</v>
      </c>
      <c r="G766" s="5" t="str">
        <f>IFERROR(__xludf.DUMMYFUNCTION("""COMPUTED_VALUE"""),"১২/০৫/১৯৬৯")</f>
        <v>১২/০৫/১৯৬৯</v>
      </c>
      <c r="H766" s="5" t="str">
        <f>IFERROR(__xludf.DUMMYFUNCTION("""COMPUTED_VALUE"""),"গৃহিণী")</f>
        <v>গৃহিণী</v>
      </c>
      <c r="I766" s="5" t="str">
        <f>IFERROR(__xludf.DUMMYFUNCTION("""COMPUTED_VALUE"""),"""গাড়াবোব")</f>
        <v>"গাড়াবোব</v>
      </c>
      <c r="J766" s="5" t="str">
        <f>IFERROR(__xludf.DUMMYFUNCTION("""COMPUTED_VALUE""")," গাংনী")</f>
        <v> গাংনী</v>
      </c>
      <c r="K766" s="5" t="str">
        <f>IFERROR(__xludf.DUMMYFUNCTION("""COMPUTED_VALUE""")," মেহেরপুর""")</f>
        <v> মেহেরপুর"</v>
      </c>
    </row>
    <row r="767" ht="15.75" customHeight="1">
      <c r="A767" s="7" t="s">
        <v>7447</v>
      </c>
      <c r="B767" s="1">
        <f>IFERROR(__xludf.DUMMYFUNCTION("SPLIT(A767,"","")"),1314.0)</f>
        <v>1314</v>
      </c>
      <c r="C767" s="5" t="str">
        <f>IFERROR(__xludf.DUMMYFUNCTION("""COMPUTED_VALUE"""),"মোছাঃ ছালেহা খাতুন")</f>
        <v>মোছাঃ ছালেহা খাতুন</v>
      </c>
      <c r="D767" s="5">
        <f>IFERROR(__xludf.DUMMYFUNCTION("""COMPUTED_VALUE"""),5.70038356116E11)</f>
        <v>570038356116</v>
      </c>
      <c r="E767" s="5" t="str">
        <f>IFERROR(__xludf.DUMMYFUNCTION("""COMPUTED_VALUE"""),"মোহাঃ আনছার আলী")</f>
        <v>মোহাঃ আনছার আলী</v>
      </c>
      <c r="F767" s="5" t="str">
        <f>IFERROR(__xludf.DUMMYFUNCTION("""COMPUTED_VALUE"""),"মোছাঃ কহিনুর বেগম")</f>
        <v>মোছাঃ কহিনুর বেগম</v>
      </c>
      <c r="G767" s="5" t="str">
        <f>IFERROR(__xludf.DUMMYFUNCTION("""COMPUTED_VALUE"""),"৩০/০৯/১৯৭১")</f>
        <v>৩০/০৯/১৯৭১</v>
      </c>
      <c r="H767" s="5" t="str">
        <f>IFERROR(__xludf.DUMMYFUNCTION("""COMPUTED_VALUE"""),"গৃহিণী")</f>
        <v>গৃহিণী</v>
      </c>
      <c r="I767" s="5" t="str">
        <f>IFERROR(__xludf.DUMMYFUNCTION("""COMPUTED_VALUE"""),"""গাড়াবোব")</f>
        <v>"গাড়াবোব</v>
      </c>
      <c r="J767" s="5" t="str">
        <f>IFERROR(__xludf.DUMMYFUNCTION("""COMPUTED_VALUE""")," গাংনী")</f>
        <v> গাংনী</v>
      </c>
      <c r="K767" s="5" t="str">
        <f>IFERROR(__xludf.DUMMYFUNCTION("""COMPUTED_VALUE""")," মেহেরপুর""")</f>
        <v> মেহেরপুর"</v>
      </c>
    </row>
    <row r="768" ht="15.75" customHeight="1">
      <c r="A768" s="7" t="s">
        <v>7448</v>
      </c>
      <c r="B768" s="1">
        <f>IFERROR(__xludf.DUMMYFUNCTION("SPLIT(A768,"","")"),1315.0)</f>
        <v>1315</v>
      </c>
      <c r="C768" s="5" t="str">
        <f>IFERROR(__xludf.DUMMYFUNCTION("""COMPUTED_VALUE"""),"মোছাঃ নার্গিস খানম")</f>
        <v>মোছাঃ নার্গিস খানম</v>
      </c>
      <c r="D768" s="5">
        <f>IFERROR(__xludf.DUMMYFUNCTION("""COMPUTED_VALUE"""),5.70038356119E11)</f>
        <v>570038356119</v>
      </c>
      <c r="E768" s="5" t="str">
        <f>IFERROR(__xludf.DUMMYFUNCTION("""COMPUTED_VALUE"""),"মোঃ আবু ইউসুফ")</f>
        <v>মোঃ আবু ইউসুফ</v>
      </c>
      <c r="F768" s="5" t="str">
        <f>IFERROR(__xludf.DUMMYFUNCTION("""COMPUTED_VALUE"""),"মোছাঃ ছালমা বেগম")</f>
        <v>মোছাঃ ছালমা বেগম</v>
      </c>
      <c r="G768" s="5" t="str">
        <f>IFERROR(__xludf.DUMMYFUNCTION("""COMPUTED_VALUE"""),"১৩/০৪/১৯৮২")</f>
        <v>১৩/০৪/১৯৮২</v>
      </c>
      <c r="H768" s="5" t="str">
        <f>IFERROR(__xludf.DUMMYFUNCTION("""COMPUTED_VALUE"""),"গৃহিণী")</f>
        <v>গৃহিণী</v>
      </c>
      <c r="I768" s="5" t="str">
        <f>IFERROR(__xludf.DUMMYFUNCTION("""COMPUTED_VALUE"""),"""গাড়াবোব")</f>
        <v>"গাড়াবোব</v>
      </c>
      <c r="J768" s="5" t="str">
        <f>IFERROR(__xludf.DUMMYFUNCTION("""COMPUTED_VALUE""")," গাংনী")</f>
        <v> গাংনী</v>
      </c>
      <c r="K768" s="5" t="str">
        <f>IFERROR(__xludf.DUMMYFUNCTION("""COMPUTED_VALUE""")," মেহেরপুর""")</f>
        <v> মেহেরপুর"</v>
      </c>
    </row>
    <row r="769" ht="15.75" customHeight="1">
      <c r="A769" s="7" t="s">
        <v>7449</v>
      </c>
      <c r="B769" s="1">
        <f>IFERROR(__xludf.DUMMYFUNCTION("SPLIT(A769,"","")"),1316.0)</f>
        <v>1316</v>
      </c>
      <c r="C769" s="5" t="str">
        <f>IFERROR(__xludf.DUMMYFUNCTION("""COMPUTED_VALUE"""),"মোছাঃ লতিফা হেলালী")</f>
        <v>মোছাঃ লতিফা হেলালী</v>
      </c>
      <c r="D769" s="5">
        <f>IFERROR(__xludf.DUMMYFUNCTION("""COMPUTED_VALUE"""),5.70038356121E11)</f>
        <v>570038356121</v>
      </c>
      <c r="E769" s="5" t="str">
        <f>IFERROR(__xludf.DUMMYFUNCTION("""COMPUTED_VALUE"""),"ছামসুল আলম")</f>
        <v>ছামসুল আলম</v>
      </c>
      <c r="F769" s="5" t="str">
        <f>IFERROR(__xludf.DUMMYFUNCTION("""COMPUTED_VALUE"""),"মোছাঃ ফিরোজা বেগম")</f>
        <v>মোছাঃ ফিরোজা বেগম</v>
      </c>
      <c r="G769" s="5" t="str">
        <f>IFERROR(__xludf.DUMMYFUNCTION("""COMPUTED_VALUE"""),"১০/০৩/১৯৬৭")</f>
        <v>১০/০৩/১৯৬৭</v>
      </c>
      <c r="H769" s="5" t="str">
        <f>IFERROR(__xludf.DUMMYFUNCTION("""COMPUTED_VALUE"""),"গৃহিণী")</f>
        <v>গৃহিণী</v>
      </c>
      <c r="I769" s="5" t="str">
        <f>IFERROR(__xludf.DUMMYFUNCTION("""COMPUTED_VALUE"""),"""গাড়াবোব")</f>
        <v>"গাড়াবোব</v>
      </c>
      <c r="J769" s="5" t="str">
        <f>IFERROR(__xludf.DUMMYFUNCTION("""COMPUTED_VALUE""")," গাংনী")</f>
        <v> গাংনী</v>
      </c>
      <c r="K769" s="5" t="str">
        <f>IFERROR(__xludf.DUMMYFUNCTION("""COMPUTED_VALUE""")," মেহেরপুর""")</f>
        <v> মেহেরপুর"</v>
      </c>
    </row>
    <row r="770" ht="15.75" customHeight="1">
      <c r="A770" s="7" t="s">
        <v>7450</v>
      </c>
      <c r="B770" s="1">
        <f>IFERROR(__xludf.DUMMYFUNCTION("SPLIT(A770,"","")"),1317.0)</f>
        <v>1317</v>
      </c>
      <c r="C770" s="5" t="str">
        <f>IFERROR(__xludf.DUMMYFUNCTION("""COMPUTED_VALUE"""),"মোছাঃ তোহুরা খাতুন")</f>
        <v>মোছাঃ তোহুরা খাতুন</v>
      </c>
      <c r="D770" s="5">
        <f>IFERROR(__xludf.DUMMYFUNCTION("""COMPUTED_VALUE"""),5.70038356124E11)</f>
        <v>570038356124</v>
      </c>
      <c r="E770" s="5" t="str">
        <f>IFERROR(__xludf.DUMMYFUNCTION("""COMPUTED_VALUE"""),"খোদা বক্স")</f>
        <v>খোদা বক্স</v>
      </c>
      <c r="F770" s="5" t="str">
        <f>IFERROR(__xludf.DUMMYFUNCTION("""COMPUTED_VALUE"""),"মোছাঃ ইমামন নেছা")</f>
        <v>মোছাঃ ইমামন নেছা</v>
      </c>
      <c r="G770" s="5" t="str">
        <f>IFERROR(__xludf.DUMMYFUNCTION("""COMPUTED_VALUE"""),"১০/০৩/১৯৬২")</f>
        <v>১০/০৩/১৯৬২</v>
      </c>
      <c r="H770" s="5" t="str">
        <f>IFERROR(__xludf.DUMMYFUNCTION("""COMPUTED_VALUE"""),"গৃহিণী")</f>
        <v>গৃহিণী</v>
      </c>
      <c r="I770" s="5" t="str">
        <f>IFERROR(__xludf.DUMMYFUNCTION("""COMPUTED_VALUE"""),"""গাড়াবোব")</f>
        <v>"গাড়াবোব</v>
      </c>
      <c r="J770" s="5" t="str">
        <f>IFERROR(__xludf.DUMMYFUNCTION("""COMPUTED_VALUE""")," গাংনী")</f>
        <v> গাংনী</v>
      </c>
      <c r="K770" s="5" t="str">
        <f>IFERROR(__xludf.DUMMYFUNCTION("""COMPUTED_VALUE""")," মেহেরপুর""")</f>
        <v> মেহেরপুর"</v>
      </c>
    </row>
    <row r="771" ht="15.75" customHeight="1">
      <c r="A771" s="7" t="s">
        <v>7451</v>
      </c>
      <c r="B771" s="1">
        <f>IFERROR(__xludf.DUMMYFUNCTION("SPLIT(A771,"","")"),1318.0)</f>
        <v>1318</v>
      </c>
      <c r="C771" s="5" t="str">
        <f>IFERROR(__xludf.DUMMYFUNCTION("""COMPUTED_VALUE"""),"মোছাঃ ইয়াসমিন খাতুন")</f>
        <v>মোছাঃ ইয়াসমিন খাতুন</v>
      </c>
      <c r="D771" s="5">
        <f>IFERROR(__xludf.DUMMYFUNCTION("""COMPUTED_VALUE"""),5.70038356125E11)</f>
        <v>570038356125</v>
      </c>
      <c r="E771" s="5" t="str">
        <f>IFERROR(__xludf.DUMMYFUNCTION("""COMPUTED_VALUE"""),"মোঃ আকবর আলী")</f>
        <v>মোঃ আকবর আলী</v>
      </c>
      <c r="F771" s="5" t="str">
        <f>IFERROR(__xludf.DUMMYFUNCTION("""COMPUTED_VALUE"""),"মোছাঃ আরজিয়া বেগম")</f>
        <v>মোছাঃ আরজিয়া বেগম</v>
      </c>
      <c r="G771" s="5" t="str">
        <f>IFERROR(__xludf.DUMMYFUNCTION("""COMPUTED_VALUE"""),"০২/০১/১৯৮৫")</f>
        <v>০২/০১/১৯৮৫</v>
      </c>
      <c r="H771" s="5" t="str">
        <f>IFERROR(__xludf.DUMMYFUNCTION("""COMPUTED_VALUE"""),"গৃহিণী")</f>
        <v>গৃহিণী</v>
      </c>
      <c r="I771" s="5" t="str">
        <f>IFERROR(__xludf.DUMMYFUNCTION("""COMPUTED_VALUE"""),"""গাড়াবোব")</f>
        <v>"গাড়াবোব</v>
      </c>
      <c r="J771" s="5" t="str">
        <f>IFERROR(__xludf.DUMMYFUNCTION("""COMPUTED_VALUE""")," গাংনী")</f>
        <v> গাংনী</v>
      </c>
      <c r="K771" s="5" t="str">
        <f>IFERROR(__xludf.DUMMYFUNCTION("""COMPUTED_VALUE""")," মেহেরপুর""")</f>
        <v> মেহেরপুর"</v>
      </c>
    </row>
    <row r="772" ht="15.75" customHeight="1">
      <c r="A772" s="7" t="s">
        <v>7452</v>
      </c>
      <c r="B772" s="1">
        <f>IFERROR(__xludf.DUMMYFUNCTION("SPLIT(A772,"","")"),1319.0)</f>
        <v>1319</v>
      </c>
      <c r="C772" s="5" t="str">
        <f>IFERROR(__xludf.DUMMYFUNCTION("""COMPUTED_VALUE"""),"মোছাঃ গুলশনারা বেগম")</f>
        <v>মোছাঃ গুলশনারা বেগম</v>
      </c>
      <c r="D772" s="5">
        <f>IFERROR(__xludf.DUMMYFUNCTION("""COMPUTED_VALUE"""),5.70038356127E11)</f>
        <v>570038356127</v>
      </c>
      <c r="E772" s="5" t="str">
        <f>IFERROR(__xludf.DUMMYFUNCTION("""COMPUTED_VALUE"""),"মোঃ মকবুল হোসেন")</f>
        <v>মোঃ মকবুল হোসেন</v>
      </c>
      <c r="F772" s="5" t="str">
        <f>IFERROR(__xludf.DUMMYFUNCTION("""COMPUTED_VALUE"""),"মোছাঃ জাহানারা বেগম")</f>
        <v>মোছাঃ জাহানারা বেগম</v>
      </c>
      <c r="G772" s="5" t="str">
        <f>IFERROR(__xludf.DUMMYFUNCTION("""COMPUTED_VALUE"""),"০৭/০১/১৯৬৫")</f>
        <v>০৭/০১/১৯৬৫</v>
      </c>
      <c r="H772" s="5" t="str">
        <f>IFERROR(__xludf.DUMMYFUNCTION("""COMPUTED_VALUE"""),"গৃহিণী")</f>
        <v>গৃহিণী</v>
      </c>
      <c r="I772" s="5" t="str">
        <f>IFERROR(__xludf.DUMMYFUNCTION("""COMPUTED_VALUE"""),"""গাড়াবোব")</f>
        <v>"গাড়াবোব</v>
      </c>
      <c r="J772" s="5" t="str">
        <f>IFERROR(__xludf.DUMMYFUNCTION("""COMPUTED_VALUE""")," গাংনী")</f>
        <v> গাংনী</v>
      </c>
      <c r="K772" s="5" t="str">
        <f>IFERROR(__xludf.DUMMYFUNCTION("""COMPUTED_VALUE""")," মেহেরপুর""")</f>
        <v> মেহেরপুর"</v>
      </c>
    </row>
    <row r="773" ht="15.75" customHeight="1">
      <c r="A773" s="7" t="s">
        <v>7453</v>
      </c>
      <c r="B773" s="1">
        <f>IFERROR(__xludf.DUMMYFUNCTION("SPLIT(A773,"","")"),1320.0)</f>
        <v>1320</v>
      </c>
      <c r="C773" s="5" t="str">
        <f>IFERROR(__xludf.DUMMYFUNCTION("""COMPUTED_VALUE"""),"মোছাঃ হোসেনয়ারা খাতুন")</f>
        <v>মোছাঃ হোসেনয়ারা খাতুন</v>
      </c>
      <c r="D773" s="5">
        <f>IFERROR(__xludf.DUMMYFUNCTION("""COMPUTED_VALUE"""),5.70038356128E11)</f>
        <v>570038356128</v>
      </c>
      <c r="E773" s="5" t="str">
        <f>IFERROR(__xludf.DUMMYFUNCTION("""COMPUTED_VALUE"""),"আব্দুল হান্নান")</f>
        <v>আব্দুল হান্নান</v>
      </c>
      <c r="F773" s="5" t="str">
        <f>IFERROR(__xludf.DUMMYFUNCTION("""COMPUTED_VALUE"""),"মোছাঃ তহিদা খাতুন")</f>
        <v>মোছাঃ তহিদা খাতুন</v>
      </c>
      <c r="G773" s="5" t="str">
        <f>IFERROR(__xludf.DUMMYFUNCTION("""COMPUTED_VALUE"""),"০৫/০২/১৯৭২")</f>
        <v>০৫/০২/১৯৭২</v>
      </c>
      <c r="H773" s="5" t="str">
        <f>IFERROR(__xludf.DUMMYFUNCTION("""COMPUTED_VALUE"""),"গৃহিণী")</f>
        <v>গৃহিণী</v>
      </c>
      <c r="I773" s="5" t="str">
        <f>IFERROR(__xludf.DUMMYFUNCTION("""COMPUTED_VALUE"""),"""গাড়াবোব")</f>
        <v>"গাড়াবোব</v>
      </c>
      <c r="J773" s="5" t="str">
        <f>IFERROR(__xludf.DUMMYFUNCTION("""COMPUTED_VALUE""")," গাংনী")</f>
        <v> গাংনী</v>
      </c>
      <c r="K773" s="5" t="str">
        <f>IFERROR(__xludf.DUMMYFUNCTION("""COMPUTED_VALUE""")," মেহেরপুর""")</f>
        <v> মেহেরপুর"</v>
      </c>
    </row>
    <row r="774" ht="15.75" customHeight="1">
      <c r="A774" s="7" t="s">
        <v>7454</v>
      </c>
      <c r="B774" s="1">
        <f>IFERROR(__xludf.DUMMYFUNCTION("SPLIT(A774,"","")"),1321.0)</f>
        <v>1321</v>
      </c>
      <c r="C774" s="5" t="str">
        <f>IFERROR(__xludf.DUMMYFUNCTION("""COMPUTED_VALUE"""),"মোছাঃ উজিলা খাতুন")</f>
        <v>মোছাঃ উজিলা খাতুন</v>
      </c>
      <c r="D774" s="5">
        <f>IFERROR(__xludf.DUMMYFUNCTION("""COMPUTED_VALUE"""),5.70038356129E11)</f>
        <v>570038356129</v>
      </c>
      <c r="E774" s="5" t="str">
        <f>IFERROR(__xludf.DUMMYFUNCTION("""COMPUTED_VALUE"""),"খোদা বক্স")</f>
        <v>খোদা বক্স</v>
      </c>
      <c r="F774" s="5" t="str">
        <f>IFERROR(__xludf.DUMMYFUNCTION("""COMPUTED_VALUE"""),"মাতু বিবি")</f>
        <v>মাতু বিবি</v>
      </c>
      <c r="G774" s="5" t="str">
        <f>IFERROR(__xludf.DUMMYFUNCTION("""COMPUTED_VALUE"""),"১০/০৬/১৯৪৭")</f>
        <v>১০/০৬/১৯৪৭</v>
      </c>
      <c r="H774" s="5" t="str">
        <f>IFERROR(__xludf.DUMMYFUNCTION("""COMPUTED_VALUE"""),"গৃহিণী")</f>
        <v>গৃহিণী</v>
      </c>
      <c r="I774" s="5" t="str">
        <f>IFERROR(__xludf.DUMMYFUNCTION("""COMPUTED_VALUE"""),"""গাড়াবোব")</f>
        <v>"গাড়াবোব</v>
      </c>
      <c r="J774" s="5" t="str">
        <f>IFERROR(__xludf.DUMMYFUNCTION("""COMPUTED_VALUE""")," গাংনী")</f>
        <v> গাংনী</v>
      </c>
      <c r="K774" s="5" t="str">
        <f>IFERROR(__xludf.DUMMYFUNCTION("""COMPUTED_VALUE""")," মেহেরপুর""")</f>
        <v> মেহেরপুর"</v>
      </c>
    </row>
    <row r="775" ht="15.75" customHeight="1">
      <c r="A775" s="7" t="s">
        <v>7455</v>
      </c>
      <c r="B775" s="1">
        <f>IFERROR(__xludf.DUMMYFUNCTION("SPLIT(A775,"","")"),1322.0)</f>
        <v>1322</v>
      </c>
      <c r="C775" s="5" t="str">
        <f>IFERROR(__xludf.DUMMYFUNCTION("""COMPUTED_VALUE"""),"মোছাঃ তসলিমা খাতুন")</f>
        <v>মোছাঃ তসলিমা খাতুন</v>
      </c>
      <c r="D775" s="5">
        <f>IFERROR(__xludf.DUMMYFUNCTION("""COMPUTED_VALUE"""),5.7003835613E11)</f>
        <v>570038356130</v>
      </c>
      <c r="E775" s="5" t="str">
        <f>IFERROR(__xludf.DUMMYFUNCTION("""COMPUTED_VALUE"""),"মোঃ ইয়াসিন আলী")</f>
        <v>মোঃ ইয়াসিন আলী</v>
      </c>
      <c r="F775" s="5" t="str">
        <f>IFERROR(__xludf.DUMMYFUNCTION("""COMPUTED_VALUE"""),"মোছাঃ ভাজালি খাতুন")</f>
        <v>মোছাঃ ভাজালি খাতুন</v>
      </c>
      <c r="G775" s="5" t="str">
        <f>IFERROR(__xludf.DUMMYFUNCTION("""COMPUTED_VALUE"""),"১২/০৫/১৯৮১")</f>
        <v>১২/০৫/১৯৮১</v>
      </c>
      <c r="H775" s="5" t="str">
        <f>IFERROR(__xludf.DUMMYFUNCTION("""COMPUTED_VALUE"""),"গৃহিণী")</f>
        <v>গৃহিণী</v>
      </c>
      <c r="I775" s="5" t="str">
        <f>IFERROR(__xludf.DUMMYFUNCTION("""COMPUTED_VALUE"""),"""গাড়াবোব")</f>
        <v>"গাড়াবোব</v>
      </c>
      <c r="J775" s="5" t="str">
        <f>IFERROR(__xludf.DUMMYFUNCTION("""COMPUTED_VALUE""")," গাংনী")</f>
        <v> গাংনী</v>
      </c>
      <c r="K775" s="5" t="str">
        <f>IFERROR(__xludf.DUMMYFUNCTION("""COMPUTED_VALUE""")," মেহেরপুর""")</f>
        <v> মেহেরপুর"</v>
      </c>
    </row>
    <row r="776" ht="15.75" customHeight="1">
      <c r="A776" s="7" t="s">
        <v>7456</v>
      </c>
      <c r="B776" s="1">
        <f>IFERROR(__xludf.DUMMYFUNCTION("SPLIT(A776,"","")"),1323.0)</f>
        <v>1323</v>
      </c>
      <c r="C776" s="5" t="str">
        <f>IFERROR(__xludf.DUMMYFUNCTION("""COMPUTED_VALUE"""),"মোছাঃ ফিরোজা খাতুন")</f>
        <v>মোছাঃ ফিরোজা খাতুন</v>
      </c>
      <c r="D776" s="5">
        <f>IFERROR(__xludf.DUMMYFUNCTION("""COMPUTED_VALUE"""),5.70038356136E11)</f>
        <v>570038356136</v>
      </c>
      <c r="E776" s="5" t="str">
        <f>IFERROR(__xludf.DUMMYFUNCTION("""COMPUTED_VALUE"""),"মোঃ আব্দুস সাত্তার")</f>
        <v>মোঃ আব্দুস সাত্তার</v>
      </c>
      <c r="F776" s="5" t="str">
        <f>IFERROR(__xludf.DUMMYFUNCTION("""COMPUTED_VALUE"""),"মোছাঃ সাজেদা খাতুন")</f>
        <v>মোছাঃ সাজেদা খাতুন</v>
      </c>
      <c r="G776" s="5" t="str">
        <f>IFERROR(__xludf.DUMMYFUNCTION("""COMPUTED_VALUE"""),"০৬/০১/১৯৮৪")</f>
        <v>০৬/০১/১৯৮৪</v>
      </c>
      <c r="H776" s="5" t="str">
        <f>IFERROR(__xludf.DUMMYFUNCTION("""COMPUTED_VALUE"""),"গৃহিণী")</f>
        <v>গৃহিণী</v>
      </c>
      <c r="I776" s="5" t="str">
        <f>IFERROR(__xludf.DUMMYFUNCTION("""COMPUTED_VALUE"""),"""গাড়াবোব")</f>
        <v>"গাড়াবোব</v>
      </c>
      <c r="J776" s="5" t="str">
        <f>IFERROR(__xludf.DUMMYFUNCTION("""COMPUTED_VALUE""")," গাংনী")</f>
        <v> গাংনী</v>
      </c>
      <c r="K776" s="5" t="str">
        <f>IFERROR(__xludf.DUMMYFUNCTION("""COMPUTED_VALUE""")," মেহেরপুর""")</f>
        <v> মেহেরপুর"</v>
      </c>
    </row>
    <row r="777" ht="15.75" customHeight="1">
      <c r="A777" s="7" t="s">
        <v>7457</v>
      </c>
      <c r="B777" s="1">
        <f>IFERROR(__xludf.DUMMYFUNCTION("SPLIT(A777,"","")"),1324.0)</f>
        <v>1324</v>
      </c>
      <c r="C777" s="5" t="str">
        <f>IFERROR(__xludf.DUMMYFUNCTION("""COMPUTED_VALUE"""),"মোছাঃ নুরজাহান খাতুন")</f>
        <v>মোছাঃ নুরজাহান খাতুন</v>
      </c>
      <c r="D777" s="5">
        <f>IFERROR(__xludf.DUMMYFUNCTION("""COMPUTED_VALUE"""),5.70038356137E11)</f>
        <v>570038356137</v>
      </c>
      <c r="E777" s="5" t="str">
        <f>IFERROR(__xludf.DUMMYFUNCTION("""COMPUTED_VALUE"""),"মোঃ নজরুল হোসেন")</f>
        <v>মোঃ নজরুল হোসেন</v>
      </c>
      <c r="F777" s="5" t="str">
        <f>IFERROR(__xludf.DUMMYFUNCTION("""COMPUTED_VALUE"""),"মোছাঃ ছামেনা খাতুন")</f>
        <v>মোছাঃ ছামেনা খাতুন</v>
      </c>
      <c r="G777" s="5" t="str">
        <f>IFERROR(__xludf.DUMMYFUNCTION("""COMPUTED_VALUE"""),"১০/০৩/১৯৮২")</f>
        <v>১০/০৩/১৯৮২</v>
      </c>
      <c r="H777" s="5" t="str">
        <f>IFERROR(__xludf.DUMMYFUNCTION("""COMPUTED_VALUE"""),"গৃহিণী")</f>
        <v>গৃহিণী</v>
      </c>
      <c r="I777" s="5" t="str">
        <f>IFERROR(__xludf.DUMMYFUNCTION("""COMPUTED_VALUE"""),"""গাড়াবোব")</f>
        <v>"গাড়াবোব</v>
      </c>
      <c r="J777" s="5" t="str">
        <f>IFERROR(__xludf.DUMMYFUNCTION("""COMPUTED_VALUE""")," গাংনী")</f>
        <v> গাংনী</v>
      </c>
      <c r="K777" s="5" t="str">
        <f>IFERROR(__xludf.DUMMYFUNCTION("""COMPUTED_VALUE""")," মেহেরপুর""")</f>
        <v> মেহেরপুর"</v>
      </c>
    </row>
    <row r="778" ht="15.75" customHeight="1">
      <c r="A778" s="7" t="s">
        <v>7458</v>
      </c>
      <c r="B778" s="1">
        <f>IFERROR(__xludf.DUMMYFUNCTION("SPLIT(A778,"","")"),1325.0)</f>
        <v>1325</v>
      </c>
      <c r="C778" s="5" t="str">
        <f>IFERROR(__xludf.DUMMYFUNCTION("""COMPUTED_VALUE"""),"মোছাঃ আজিরন নেছা")</f>
        <v>মোছাঃ আজিরন নেছা</v>
      </c>
      <c r="D778" s="5">
        <f>IFERROR(__xludf.DUMMYFUNCTION("""COMPUTED_VALUE"""),5.70038356139E11)</f>
        <v>570038356139</v>
      </c>
      <c r="E778" s="5" t="str">
        <f>IFERROR(__xludf.DUMMYFUNCTION("""COMPUTED_VALUE"""),"কাংগালী শেখ")</f>
        <v>কাংগালী শেখ</v>
      </c>
      <c r="F778" s="5" t="str">
        <f>IFERROR(__xludf.DUMMYFUNCTION("""COMPUTED_VALUE"""),"ফলেজান খাতুন")</f>
        <v>ফলেজান খাতুন</v>
      </c>
      <c r="G778" s="5" t="str">
        <f>IFERROR(__xludf.DUMMYFUNCTION("""COMPUTED_VALUE"""),"০৮/০৩/১৯৫০")</f>
        <v>০৮/০৩/১৯৫০</v>
      </c>
      <c r="H778" s="5" t="str">
        <f>IFERROR(__xludf.DUMMYFUNCTION("""COMPUTED_VALUE"""),"গৃহিণী")</f>
        <v>গৃহিণী</v>
      </c>
      <c r="I778" s="5" t="str">
        <f>IFERROR(__xludf.DUMMYFUNCTION("""COMPUTED_VALUE"""),"""গাড়াবোব")</f>
        <v>"গাড়াবোব</v>
      </c>
      <c r="J778" s="5" t="str">
        <f>IFERROR(__xludf.DUMMYFUNCTION("""COMPUTED_VALUE""")," গাংনী")</f>
        <v> গাংনী</v>
      </c>
      <c r="K778" s="5" t="str">
        <f>IFERROR(__xludf.DUMMYFUNCTION("""COMPUTED_VALUE""")," মেহেরপুর""")</f>
        <v> মেহেরপুর"</v>
      </c>
    </row>
    <row r="779" ht="15.75" customHeight="1">
      <c r="A779" s="7" t="s">
        <v>7459</v>
      </c>
      <c r="B779" s="1">
        <f>IFERROR(__xludf.DUMMYFUNCTION("SPLIT(A779,"","")"),1326.0)</f>
        <v>1326</v>
      </c>
      <c r="C779" s="5" t="str">
        <f>IFERROR(__xludf.DUMMYFUNCTION("""COMPUTED_VALUE"""),"মোছাঃ রেখা পারভীন")</f>
        <v>মোছাঃ রেখা পারভীন</v>
      </c>
      <c r="D779" s="5">
        <f>IFERROR(__xludf.DUMMYFUNCTION("""COMPUTED_VALUE"""),5.7003835614E11)</f>
        <v>570038356140</v>
      </c>
      <c r="E779" s="5" t="str">
        <f>IFERROR(__xludf.DUMMYFUNCTION("""COMPUTED_VALUE"""),"ছাদের আলী")</f>
        <v>ছাদের আলী</v>
      </c>
      <c r="F779" s="5" t="str">
        <f>IFERROR(__xludf.DUMMYFUNCTION("""COMPUTED_VALUE"""),"মোছাঃ আজিরন নেছা")</f>
        <v>মোছাঃ আজিরন নেছা</v>
      </c>
      <c r="G779" s="5" t="str">
        <f>IFERROR(__xludf.DUMMYFUNCTION("""COMPUTED_VALUE"""),"১২/০৬/১৯৮৩")</f>
        <v>১২/০৬/১৯৮৩</v>
      </c>
      <c r="H779" s="5" t="str">
        <f>IFERROR(__xludf.DUMMYFUNCTION("""COMPUTED_VALUE"""),"গৃহিণী")</f>
        <v>গৃহিণী</v>
      </c>
      <c r="I779" s="5" t="str">
        <f>IFERROR(__xludf.DUMMYFUNCTION("""COMPUTED_VALUE"""),"""গাড়াবোব")</f>
        <v>"গাড়াবোব</v>
      </c>
      <c r="J779" s="5" t="str">
        <f>IFERROR(__xludf.DUMMYFUNCTION("""COMPUTED_VALUE""")," গাংনী")</f>
        <v> গাংনী</v>
      </c>
      <c r="K779" s="5" t="str">
        <f>IFERROR(__xludf.DUMMYFUNCTION("""COMPUTED_VALUE""")," মেহেরপুর""")</f>
        <v> মেহেরপুর"</v>
      </c>
    </row>
    <row r="780" ht="15.75" customHeight="1">
      <c r="A780" s="7" t="s">
        <v>7460</v>
      </c>
      <c r="B780" s="1">
        <f>IFERROR(__xludf.DUMMYFUNCTION("SPLIT(A780,"","")"),1327.0)</f>
        <v>1327</v>
      </c>
      <c r="C780" s="5" t="str">
        <f>IFERROR(__xludf.DUMMYFUNCTION("""COMPUTED_VALUE"""),"মোছাঃ বিলকিস খাতুন")</f>
        <v>মোছাঃ বিলকিস খাতুন</v>
      </c>
      <c r="D780" s="5">
        <f>IFERROR(__xludf.DUMMYFUNCTION("""COMPUTED_VALUE"""),5.70038356141E11)</f>
        <v>570038356141</v>
      </c>
      <c r="E780" s="5" t="str">
        <f>IFERROR(__xludf.DUMMYFUNCTION("""COMPUTED_VALUE"""),"মোঃ আব্দুল মজিদ")</f>
        <v>মোঃ আব্দুল মজিদ</v>
      </c>
      <c r="F780" s="5" t="str">
        <f>IFERROR(__xludf.DUMMYFUNCTION("""COMPUTED_VALUE"""),"মোছাঃ জহুরা খাতুন")</f>
        <v>মোছাঃ জহুরা খাতুন</v>
      </c>
      <c r="G780" s="5" t="str">
        <f>IFERROR(__xludf.DUMMYFUNCTION("""COMPUTED_VALUE"""),"০২/০১/১৯৮৬")</f>
        <v>০২/০১/১৯৮৬</v>
      </c>
      <c r="H780" s="5" t="str">
        <f>IFERROR(__xludf.DUMMYFUNCTION("""COMPUTED_VALUE"""),"গৃহিণী")</f>
        <v>গৃহিণী</v>
      </c>
      <c r="I780" s="5" t="str">
        <f>IFERROR(__xludf.DUMMYFUNCTION("""COMPUTED_VALUE"""),"""গাড়াবোব")</f>
        <v>"গাড়াবোব</v>
      </c>
      <c r="J780" s="5" t="str">
        <f>IFERROR(__xludf.DUMMYFUNCTION("""COMPUTED_VALUE""")," গাংনী")</f>
        <v> গাংনী</v>
      </c>
      <c r="K780" s="5" t="str">
        <f>IFERROR(__xludf.DUMMYFUNCTION("""COMPUTED_VALUE""")," মেহেরপুর""")</f>
        <v> মেহেরপুর"</v>
      </c>
    </row>
    <row r="781" ht="15.75" customHeight="1">
      <c r="A781" s="7" t="s">
        <v>7461</v>
      </c>
      <c r="B781" s="1">
        <f>IFERROR(__xludf.DUMMYFUNCTION("SPLIT(A781,"","")"),1328.0)</f>
        <v>1328</v>
      </c>
      <c r="C781" s="5" t="str">
        <f>IFERROR(__xludf.DUMMYFUNCTION("""COMPUTED_VALUE"""),"মোছাঃ তানজিলা খাতুন")</f>
        <v>মোছাঃ তানজিলা খাতুন</v>
      </c>
      <c r="D781" s="5">
        <f>IFERROR(__xludf.DUMMYFUNCTION("""COMPUTED_VALUE"""),5.70038356142E11)</f>
        <v>570038356142</v>
      </c>
      <c r="E781" s="5" t="str">
        <f>IFERROR(__xludf.DUMMYFUNCTION("""COMPUTED_VALUE"""),"ইয়াকুব মন্ডল")</f>
        <v>ইয়াকুব মন্ডল</v>
      </c>
      <c r="F781" s="5" t="str">
        <f>IFERROR(__xludf.DUMMYFUNCTION("""COMPUTED_VALUE"""),"মোছাঃ খোদেজান")</f>
        <v>মোছাঃ খোদেজান</v>
      </c>
      <c r="G781" s="5" t="str">
        <f>IFERROR(__xludf.DUMMYFUNCTION("""COMPUTED_VALUE"""),"০৬/০৮/১৯৭৯")</f>
        <v>০৬/০৮/১৯৭৯</v>
      </c>
      <c r="H781" s="5" t="str">
        <f>IFERROR(__xludf.DUMMYFUNCTION("""COMPUTED_VALUE"""),"গৃহিণী")</f>
        <v>গৃহিণী</v>
      </c>
      <c r="I781" s="5" t="str">
        <f>IFERROR(__xludf.DUMMYFUNCTION("""COMPUTED_VALUE"""),"""গাড়াবোব")</f>
        <v>"গাড়াবোব</v>
      </c>
      <c r="J781" s="5" t="str">
        <f>IFERROR(__xludf.DUMMYFUNCTION("""COMPUTED_VALUE""")," গাংনী")</f>
        <v> গাংনী</v>
      </c>
      <c r="K781" s="5" t="str">
        <f>IFERROR(__xludf.DUMMYFUNCTION("""COMPUTED_VALUE""")," মেহেরপুর""")</f>
        <v> মেহেরপুর"</v>
      </c>
    </row>
    <row r="782" ht="15.75" customHeight="1">
      <c r="A782" s="7" t="s">
        <v>7462</v>
      </c>
      <c r="B782" s="1">
        <f>IFERROR(__xludf.DUMMYFUNCTION("SPLIT(A782,"","")"),1329.0)</f>
        <v>1329</v>
      </c>
      <c r="C782" s="5" t="str">
        <f>IFERROR(__xludf.DUMMYFUNCTION("""COMPUTED_VALUE"""),"মোছাঃ নুরজাহান খাতুন")</f>
        <v>মোছাঃ নুরজাহান খাতুন</v>
      </c>
      <c r="D782" s="5">
        <f>IFERROR(__xludf.DUMMYFUNCTION("""COMPUTED_VALUE"""),5.70038356147E11)</f>
        <v>570038356147</v>
      </c>
      <c r="E782" s="5" t="str">
        <f>IFERROR(__xludf.DUMMYFUNCTION("""COMPUTED_VALUE"""),"মোঃ হুবদেল শেখ")</f>
        <v>মোঃ হুবদেল শেখ</v>
      </c>
      <c r="F782" s="5" t="str">
        <f>IFERROR(__xludf.DUMMYFUNCTION("""COMPUTED_VALUE"""),"মোছাঃ আম্বিয়া খাতুন")</f>
        <v>মোছাঃ আম্বিয়া খাতুন</v>
      </c>
      <c r="G782" s="5" t="str">
        <f>IFERROR(__xludf.DUMMYFUNCTION("""COMPUTED_VALUE"""),"০৩/০২/১৯৮৪")</f>
        <v>০৩/০২/১৯৮৪</v>
      </c>
      <c r="H782" s="5" t="str">
        <f>IFERROR(__xludf.DUMMYFUNCTION("""COMPUTED_VALUE"""),"গৃহিণী")</f>
        <v>গৃহিণী</v>
      </c>
      <c r="I782" s="5" t="str">
        <f>IFERROR(__xludf.DUMMYFUNCTION("""COMPUTED_VALUE"""),"""গাড়াবোব")</f>
        <v>"গাড়াবোব</v>
      </c>
      <c r="J782" s="5" t="str">
        <f>IFERROR(__xludf.DUMMYFUNCTION("""COMPUTED_VALUE""")," গাংনী")</f>
        <v> গাংনী</v>
      </c>
      <c r="K782" s="5" t="str">
        <f>IFERROR(__xludf.DUMMYFUNCTION("""COMPUTED_VALUE""")," মেহেরপুর""")</f>
        <v> মেহেরপুর"</v>
      </c>
    </row>
    <row r="783" ht="15.75" customHeight="1">
      <c r="A783" s="7" t="s">
        <v>7463</v>
      </c>
      <c r="B783" s="1">
        <f>IFERROR(__xludf.DUMMYFUNCTION("SPLIT(A783,"","")"),1330.0)</f>
        <v>1330</v>
      </c>
      <c r="C783" s="5" t="str">
        <f>IFERROR(__xludf.DUMMYFUNCTION("""COMPUTED_VALUE"""),"মোছাঃ মনোয়ারা খাতুন")</f>
        <v>মোছাঃ মনোয়ারা খাতুন</v>
      </c>
      <c r="D783" s="5">
        <f>IFERROR(__xludf.DUMMYFUNCTION("""COMPUTED_VALUE"""),5.70038356149E11)</f>
        <v>570038356149</v>
      </c>
      <c r="E783" s="5" t="str">
        <f>IFERROR(__xludf.DUMMYFUNCTION("""COMPUTED_VALUE"""),"মহরদ্দীন শেখ")</f>
        <v>মহরদ্দীন শেখ</v>
      </c>
      <c r="F783" s="5" t="str">
        <f>IFERROR(__xludf.DUMMYFUNCTION("""COMPUTED_VALUE"""),"মোছাঃ তোতা খাতুন")</f>
        <v>মোছাঃ তোতা খাতুন</v>
      </c>
      <c r="G783" s="5" t="str">
        <f>IFERROR(__xludf.DUMMYFUNCTION("""COMPUTED_VALUE"""),"০৫/০৩/১৯৫৭")</f>
        <v>০৫/০৩/১৯৫৭</v>
      </c>
      <c r="H783" s="5" t="str">
        <f>IFERROR(__xludf.DUMMYFUNCTION("""COMPUTED_VALUE"""),"গৃহিণী")</f>
        <v>গৃহিণী</v>
      </c>
      <c r="I783" s="5" t="str">
        <f>IFERROR(__xludf.DUMMYFUNCTION("""COMPUTED_VALUE"""),"""গাড়াবোব")</f>
        <v>"গাড়াবোব</v>
      </c>
      <c r="J783" s="5" t="str">
        <f>IFERROR(__xludf.DUMMYFUNCTION("""COMPUTED_VALUE""")," গাংনী")</f>
        <v> গাংনী</v>
      </c>
      <c r="K783" s="5" t="str">
        <f>IFERROR(__xludf.DUMMYFUNCTION("""COMPUTED_VALUE""")," মেহেরপুর""")</f>
        <v> মেহেরপুর"</v>
      </c>
    </row>
    <row r="784" ht="15.75" customHeight="1">
      <c r="A784" s="7" t="s">
        <v>7464</v>
      </c>
      <c r="B784" s="1">
        <f>IFERROR(__xludf.DUMMYFUNCTION("SPLIT(A784,"","")"),1331.0)</f>
        <v>1331</v>
      </c>
      <c r="C784" s="5" t="str">
        <f>IFERROR(__xludf.DUMMYFUNCTION("""COMPUTED_VALUE"""),"মোছাঃ নাছেরা খাতুন")</f>
        <v>মোছাঃ নাছেরা খাতুন</v>
      </c>
      <c r="D784" s="5">
        <f>IFERROR(__xludf.DUMMYFUNCTION("""COMPUTED_VALUE"""),5.70038356152E11)</f>
        <v>570038356152</v>
      </c>
      <c r="E784" s="5" t="str">
        <f>IFERROR(__xludf.DUMMYFUNCTION("""COMPUTED_VALUE"""),"কিয়ামদ্দিন")</f>
        <v>কিয়ামদ্দিন</v>
      </c>
      <c r="F784" s="5" t="str">
        <f>IFERROR(__xludf.DUMMYFUNCTION("""COMPUTED_VALUE"""),"মোছাঃ আনোয়ারা খাতুন")</f>
        <v>মোছাঃ আনোয়ারা খাতুন</v>
      </c>
      <c r="G784" s="5" t="str">
        <f>IFERROR(__xludf.DUMMYFUNCTION("""COMPUTED_VALUE""")," ০৯/০৬/১৯৬৯")</f>
        <v> ০৯/০৬/১৯৬৯</v>
      </c>
      <c r="H784" s="5" t="str">
        <f>IFERROR(__xludf.DUMMYFUNCTION("""COMPUTED_VALUE"""),"গৃহিণী")</f>
        <v>গৃহিণী</v>
      </c>
      <c r="I784" s="5" t="str">
        <f>IFERROR(__xludf.DUMMYFUNCTION("""COMPUTED_VALUE"""),"""গাড়াবোব")</f>
        <v>"গাড়াবোব</v>
      </c>
      <c r="J784" s="5" t="str">
        <f>IFERROR(__xludf.DUMMYFUNCTION("""COMPUTED_VALUE""")," গাংনী")</f>
        <v> গাংনী</v>
      </c>
      <c r="K784" s="5" t="str">
        <f>IFERROR(__xludf.DUMMYFUNCTION("""COMPUTED_VALUE""")," মেহেরপুর""")</f>
        <v> মেহেরপুর"</v>
      </c>
    </row>
    <row r="785" ht="15.75" customHeight="1">
      <c r="A785" s="7" t="s">
        <v>7465</v>
      </c>
      <c r="B785" s="1">
        <f>IFERROR(__xludf.DUMMYFUNCTION("SPLIT(A785,"","")"),1332.0)</f>
        <v>1332</v>
      </c>
      <c r="C785" s="5" t="str">
        <f>IFERROR(__xludf.DUMMYFUNCTION("""COMPUTED_VALUE"""),"মোছাঃ রহিমা খাতুন")</f>
        <v>মোছাঃ রহিমা খাতুন</v>
      </c>
      <c r="D785" s="5">
        <f>IFERROR(__xludf.DUMMYFUNCTION("""COMPUTED_VALUE"""),5.70038356153E11)</f>
        <v>570038356153</v>
      </c>
      <c r="E785" s="5" t="str">
        <f>IFERROR(__xludf.DUMMYFUNCTION("""COMPUTED_VALUE"""),"মোঃ আব্দুর রহমান")</f>
        <v>মোঃ আব্দুর রহমান</v>
      </c>
      <c r="F785" s="5" t="str">
        <f>IFERROR(__xludf.DUMMYFUNCTION("""COMPUTED_VALUE"""),"মোছাঃ রাফিয়া খাতুন")</f>
        <v>মোছাঃ রাফিয়া খাতুন</v>
      </c>
      <c r="G785" s="5" t="str">
        <f>IFERROR(__xludf.DUMMYFUNCTION("""COMPUTED_VALUE"""),"১০/০৪/১৯৭৭")</f>
        <v>১০/০৪/১৯৭৭</v>
      </c>
      <c r="H785" s="5" t="str">
        <f>IFERROR(__xludf.DUMMYFUNCTION("""COMPUTED_VALUE"""),"গৃহিণী")</f>
        <v>গৃহিণী</v>
      </c>
      <c r="I785" s="5" t="str">
        <f>IFERROR(__xludf.DUMMYFUNCTION("""COMPUTED_VALUE"""),"""গাড়াবোব")</f>
        <v>"গাড়াবোব</v>
      </c>
      <c r="J785" s="5" t="str">
        <f>IFERROR(__xludf.DUMMYFUNCTION("""COMPUTED_VALUE""")," গাংনী")</f>
        <v> গাংনী</v>
      </c>
      <c r="K785" s="5" t="str">
        <f>IFERROR(__xludf.DUMMYFUNCTION("""COMPUTED_VALUE""")," মেহেরপুর""")</f>
        <v> মেহেরপুর"</v>
      </c>
    </row>
    <row r="786" ht="15.75" customHeight="1">
      <c r="A786" s="7" t="s">
        <v>7466</v>
      </c>
      <c r="B786" s="1">
        <f>IFERROR(__xludf.DUMMYFUNCTION("SPLIT(A786,"","")"),1333.0)</f>
        <v>1333</v>
      </c>
      <c r="C786" s="5" t="str">
        <f>IFERROR(__xludf.DUMMYFUNCTION("""COMPUTED_VALUE"""),"মোছাঃ হাজেরা খাতুন")</f>
        <v>মোছাঃ হাজেরা খাতুন</v>
      </c>
      <c r="D786" s="5">
        <f>IFERROR(__xludf.DUMMYFUNCTION("""COMPUTED_VALUE"""),5.70038356155E11)</f>
        <v>570038356155</v>
      </c>
      <c r="E786" s="5" t="str">
        <f>IFERROR(__xludf.DUMMYFUNCTION("""COMPUTED_VALUE"""),"আব্দুল হামিদ")</f>
        <v>আব্দুল হামিদ</v>
      </c>
      <c r="F786" s="5" t="str">
        <f>IFERROR(__xludf.DUMMYFUNCTION("""COMPUTED_VALUE"""),"রহিমা খাতুন")</f>
        <v>রহিমা খাতুন</v>
      </c>
      <c r="G786" s="5" t="str">
        <f>IFERROR(__xludf.DUMMYFUNCTION("""COMPUTED_VALUE"""),"০২/০৬/১৯৭২")</f>
        <v>০২/০৬/১৯৭২</v>
      </c>
      <c r="H786" s="5" t="str">
        <f>IFERROR(__xludf.DUMMYFUNCTION("""COMPUTED_VALUE"""),"গৃহিণী")</f>
        <v>গৃহিণী</v>
      </c>
      <c r="I786" s="5" t="str">
        <f>IFERROR(__xludf.DUMMYFUNCTION("""COMPUTED_VALUE"""),"""গাড়াবোব")</f>
        <v>"গাড়াবোব</v>
      </c>
      <c r="J786" s="5" t="str">
        <f>IFERROR(__xludf.DUMMYFUNCTION("""COMPUTED_VALUE""")," গাংনী")</f>
        <v> গাংনী</v>
      </c>
      <c r="K786" s="5" t="str">
        <f>IFERROR(__xludf.DUMMYFUNCTION("""COMPUTED_VALUE""")," মেহেরপুর""")</f>
        <v> মেহেরপুর"</v>
      </c>
    </row>
    <row r="787" ht="15.75" customHeight="1">
      <c r="A787" s="7" t="s">
        <v>7467</v>
      </c>
      <c r="B787" s="1">
        <f>IFERROR(__xludf.DUMMYFUNCTION("SPLIT(A787,"","")"),1334.0)</f>
        <v>1334</v>
      </c>
      <c r="C787" s="5" t="str">
        <f>IFERROR(__xludf.DUMMYFUNCTION("""COMPUTED_VALUE"""),"মোছাঃ মমতাজ খাতুন")</f>
        <v>মোছাঃ মমতাজ খাতুন</v>
      </c>
      <c r="D787" s="5">
        <f>IFERROR(__xludf.DUMMYFUNCTION("""COMPUTED_VALUE"""),5.70038356156E11)</f>
        <v>570038356156</v>
      </c>
      <c r="E787" s="5" t="str">
        <f>IFERROR(__xludf.DUMMYFUNCTION("""COMPUTED_VALUE"""),"আসাদ আলী")</f>
        <v>আসাদ আলী</v>
      </c>
      <c r="F787" s="5" t="str">
        <f>IFERROR(__xludf.DUMMYFUNCTION("""COMPUTED_VALUE"""),"মোছাঃ আয়জান বেগম")</f>
        <v>মোছাঃ আয়জান বেগম</v>
      </c>
      <c r="G787" s="5" t="str">
        <f>IFERROR(__xludf.DUMMYFUNCTION("""COMPUTED_VALUE"""),"০৫/০৩/১৯৬৯")</f>
        <v>০৫/০৩/১৯৬৯</v>
      </c>
      <c r="H787" s="5" t="str">
        <f>IFERROR(__xludf.DUMMYFUNCTION("""COMPUTED_VALUE"""),"গৃহিণী")</f>
        <v>গৃহিণী</v>
      </c>
      <c r="I787" s="5" t="str">
        <f>IFERROR(__xludf.DUMMYFUNCTION("""COMPUTED_VALUE"""),"""গাড়াবোব")</f>
        <v>"গাড়াবোব</v>
      </c>
      <c r="J787" s="5" t="str">
        <f>IFERROR(__xludf.DUMMYFUNCTION("""COMPUTED_VALUE""")," গাংনী")</f>
        <v> গাংনী</v>
      </c>
      <c r="K787" s="5" t="str">
        <f>IFERROR(__xludf.DUMMYFUNCTION("""COMPUTED_VALUE""")," মেহেরপুর""")</f>
        <v> মেহেরপুর"</v>
      </c>
    </row>
    <row r="788" ht="15.75" customHeight="1">
      <c r="A788" s="7" t="s">
        <v>7468</v>
      </c>
      <c r="B788" s="1">
        <f>IFERROR(__xludf.DUMMYFUNCTION("SPLIT(A788,"","")"),1335.0)</f>
        <v>1335</v>
      </c>
      <c r="C788" s="5" t="str">
        <f>IFERROR(__xludf.DUMMYFUNCTION("""COMPUTED_VALUE"""),"মোছাঃ তোতাজান")</f>
        <v>মোছাঃ তোতাজান</v>
      </c>
      <c r="D788" s="5">
        <f>IFERROR(__xludf.DUMMYFUNCTION("""COMPUTED_VALUE"""),5.70038356157E11)</f>
        <v>570038356157</v>
      </c>
      <c r="E788" s="5" t="str">
        <f>IFERROR(__xludf.DUMMYFUNCTION("""COMPUTED_VALUE"""),"নিয়াজ শেখ")</f>
        <v>নিয়াজ শেখ</v>
      </c>
      <c r="F788" s="5" t="str">
        <f>IFERROR(__xludf.DUMMYFUNCTION("""COMPUTED_VALUE"""),"পরিষ্কার বেগম")</f>
        <v>পরিষ্কার বেগম</v>
      </c>
      <c r="G788" s="5" t="str">
        <f>IFERROR(__xludf.DUMMYFUNCTION("""COMPUTED_VALUE"""),"০৮/০৬/১৯৩২")</f>
        <v>০৮/০৬/১৯৩২</v>
      </c>
      <c r="H788" s="5" t="str">
        <f>IFERROR(__xludf.DUMMYFUNCTION("""COMPUTED_VALUE"""),"গৃহিণী")</f>
        <v>গৃহিণী</v>
      </c>
      <c r="I788" s="5" t="str">
        <f>IFERROR(__xludf.DUMMYFUNCTION("""COMPUTED_VALUE"""),"""গাড়াবোব")</f>
        <v>"গাড়াবোব</v>
      </c>
      <c r="J788" s="5" t="str">
        <f>IFERROR(__xludf.DUMMYFUNCTION("""COMPUTED_VALUE""")," গাংনী")</f>
        <v> গাংনী</v>
      </c>
      <c r="K788" s="5" t="str">
        <f>IFERROR(__xludf.DUMMYFUNCTION("""COMPUTED_VALUE""")," মেহেরপুর""")</f>
        <v> মেহেরপুর"</v>
      </c>
    </row>
    <row r="789" ht="15.75" customHeight="1">
      <c r="A789" s="7" t="s">
        <v>7469</v>
      </c>
      <c r="B789" s="1">
        <f>IFERROR(__xludf.DUMMYFUNCTION("SPLIT(A789,"","")"),1336.0)</f>
        <v>1336</v>
      </c>
      <c r="C789" s="5" t="str">
        <f>IFERROR(__xludf.DUMMYFUNCTION("""COMPUTED_VALUE"""),"মোছাঃ হামেদা খাতুন")</f>
        <v>মোছাঃ হামেদা খাতুন</v>
      </c>
      <c r="D789" s="5">
        <f>IFERROR(__xludf.DUMMYFUNCTION("""COMPUTED_VALUE"""),5.70038356158E11)</f>
        <v>570038356158</v>
      </c>
      <c r="E789" s="5" t="str">
        <f>IFERROR(__xludf.DUMMYFUNCTION("""COMPUTED_VALUE"""),"মোঃ জামাত আলী")</f>
        <v>মোঃ জামাত আলী</v>
      </c>
      <c r="F789" s="5" t="str">
        <f>IFERROR(__xludf.DUMMYFUNCTION("""COMPUTED_VALUE"""),"মোছাঃ আশুরা খাতুন")</f>
        <v>মোছাঃ আশুরা খাতুন</v>
      </c>
      <c r="G789" s="5" t="str">
        <f>IFERROR(__xludf.DUMMYFUNCTION("""COMPUTED_VALUE"""),"১২/০৫/১৯৭৭")</f>
        <v>১২/০৫/১৯৭৭</v>
      </c>
      <c r="H789" s="5" t="str">
        <f>IFERROR(__xludf.DUMMYFUNCTION("""COMPUTED_VALUE"""),"গৃহিণী")</f>
        <v>গৃহিণী</v>
      </c>
      <c r="I789" s="5" t="str">
        <f>IFERROR(__xludf.DUMMYFUNCTION("""COMPUTED_VALUE"""),"""গাড়াবোব")</f>
        <v>"গাড়াবোব</v>
      </c>
      <c r="J789" s="5" t="str">
        <f>IFERROR(__xludf.DUMMYFUNCTION("""COMPUTED_VALUE""")," গাংনী")</f>
        <v> গাংনী</v>
      </c>
      <c r="K789" s="5" t="str">
        <f>IFERROR(__xludf.DUMMYFUNCTION("""COMPUTED_VALUE""")," মেহেরপুর""")</f>
        <v> মেহেরপুর"</v>
      </c>
    </row>
    <row r="790" ht="15.75" customHeight="1">
      <c r="A790" s="7" t="s">
        <v>7470</v>
      </c>
      <c r="B790" s="1">
        <f>IFERROR(__xludf.DUMMYFUNCTION("SPLIT(A790,"","")"),1337.0)</f>
        <v>1337</v>
      </c>
      <c r="C790" s="5" t="str">
        <f>IFERROR(__xludf.DUMMYFUNCTION("""COMPUTED_VALUE"""),"মোছাঃ ফজিলা খাতুন")</f>
        <v>মোছাঃ ফজিলা খাতুন</v>
      </c>
      <c r="D790" s="5">
        <f>IFERROR(__xludf.DUMMYFUNCTION("""COMPUTED_VALUE"""),5.70038356159E11)</f>
        <v>570038356159</v>
      </c>
      <c r="E790" s="5" t="str">
        <f>IFERROR(__xludf.DUMMYFUNCTION("""COMPUTED_VALUE"""),"মোঃ বাহার মালিথা")</f>
        <v>মোঃ বাহার মালিথা</v>
      </c>
      <c r="F790" s="5" t="str">
        <f>IFERROR(__xludf.DUMMYFUNCTION("""COMPUTED_VALUE"""),"মোছাঃ হাজেরা খাতুন")</f>
        <v>মোছাঃ হাজেরা খাতুন</v>
      </c>
      <c r="G790" s="5" t="str">
        <f>IFERROR(__xludf.DUMMYFUNCTION("""COMPUTED_VALUE"""),"১৩/১০/১৯৬৫")</f>
        <v>১৩/১০/১৯৬৫</v>
      </c>
      <c r="H790" s="5" t="str">
        <f>IFERROR(__xludf.DUMMYFUNCTION("""COMPUTED_VALUE"""),"গৃহিণী")</f>
        <v>গৃহিণী</v>
      </c>
      <c r="I790" s="5" t="str">
        <f>IFERROR(__xludf.DUMMYFUNCTION("""COMPUTED_VALUE"""),"""গাড়াবোব")</f>
        <v>"গাড়াবোব</v>
      </c>
      <c r="J790" s="5" t="str">
        <f>IFERROR(__xludf.DUMMYFUNCTION("""COMPUTED_VALUE""")," গাংনী")</f>
        <v> গাংনী</v>
      </c>
      <c r="K790" s="5" t="str">
        <f>IFERROR(__xludf.DUMMYFUNCTION("""COMPUTED_VALUE""")," মেহেরপুর""")</f>
        <v> মেহেরপুর"</v>
      </c>
    </row>
    <row r="791" ht="15.75" customHeight="1">
      <c r="A791" s="7" t="s">
        <v>7471</v>
      </c>
      <c r="B791" s="1">
        <f>IFERROR(__xludf.DUMMYFUNCTION("SPLIT(A791,"","")"),1338.0)</f>
        <v>1338</v>
      </c>
      <c r="C791" s="5" t="str">
        <f>IFERROR(__xludf.DUMMYFUNCTION("""COMPUTED_VALUE"""),"মোছাঃ তামেসা খাতুন")</f>
        <v>মোছাঃ তামেসা খাতুন</v>
      </c>
      <c r="D791" s="5">
        <f>IFERROR(__xludf.DUMMYFUNCTION("""COMPUTED_VALUE"""),5.7003835616E11)</f>
        <v>570038356160</v>
      </c>
      <c r="E791" s="5" t="str">
        <f>IFERROR(__xludf.DUMMYFUNCTION("""COMPUTED_VALUE"""),"গরি খাঁ")</f>
        <v>গরি খাঁ</v>
      </c>
      <c r="F791" s="5" t="str">
        <f>IFERROR(__xludf.DUMMYFUNCTION("""COMPUTED_VALUE"""),"একিনি বেগম")</f>
        <v>একিনি বেগম</v>
      </c>
      <c r="G791" s="5" t="str">
        <f>IFERROR(__xludf.DUMMYFUNCTION("""COMPUTED_VALUE"""),"১৩/০২/১৯৫৭")</f>
        <v>১৩/০২/১৯৫৭</v>
      </c>
      <c r="H791" s="5" t="str">
        <f>IFERROR(__xludf.DUMMYFUNCTION("""COMPUTED_VALUE"""),"গৃহিণী")</f>
        <v>গৃহিণী</v>
      </c>
      <c r="I791" s="5" t="str">
        <f>IFERROR(__xludf.DUMMYFUNCTION("""COMPUTED_VALUE"""),"""গাড়াবোব")</f>
        <v>"গাড়াবোব</v>
      </c>
      <c r="J791" s="5" t="str">
        <f>IFERROR(__xludf.DUMMYFUNCTION("""COMPUTED_VALUE""")," গাংনী")</f>
        <v> গাংনী</v>
      </c>
      <c r="K791" s="5" t="str">
        <f>IFERROR(__xludf.DUMMYFUNCTION("""COMPUTED_VALUE""")," মেহেরপুর""")</f>
        <v> মেহেরপুর"</v>
      </c>
    </row>
    <row r="792" ht="15.75" customHeight="1">
      <c r="A792" s="7" t="s">
        <v>7472</v>
      </c>
      <c r="B792" s="1">
        <f>IFERROR(__xludf.DUMMYFUNCTION("SPLIT(A792,"","")"),1339.0)</f>
        <v>1339</v>
      </c>
      <c r="C792" s="5" t="str">
        <f>IFERROR(__xludf.DUMMYFUNCTION("""COMPUTED_VALUE"""),"মোছাঃ তিব্বত আরা খাতুন")</f>
        <v>মোছাঃ তিব্বত আরা খাতুন</v>
      </c>
      <c r="D792" s="5">
        <f>IFERROR(__xludf.DUMMYFUNCTION("""COMPUTED_VALUE"""),5.70038356162E11)</f>
        <v>570038356162</v>
      </c>
      <c r="E792" s="5" t="str">
        <f>IFERROR(__xludf.DUMMYFUNCTION("""COMPUTED_VALUE"""),"মোঃ ইয়াছিন বিশ্বাস")</f>
        <v>মোঃ ইয়াছিন বিশ্বাস</v>
      </c>
      <c r="F792" s="5" t="str">
        <f>IFERROR(__xludf.DUMMYFUNCTION("""COMPUTED_VALUE"""),"মোছাঃ নুরজাহান বেগম")</f>
        <v>মোছাঃ নুরজাহান বেগম</v>
      </c>
      <c r="G792" s="5" t="str">
        <f>IFERROR(__xludf.DUMMYFUNCTION("""COMPUTED_VALUE"""),"১০/০৩/১৯৭৯")</f>
        <v>১০/০৩/১৯৭৯</v>
      </c>
      <c r="H792" s="5" t="str">
        <f>IFERROR(__xludf.DUMMYFUNCTION("""COMPUTED_VALUE"""),"গৃহিণী")</f>
        <v>গৃহিণী</v>
      </c>
      <c r="I792" s="5" t="str">
        <f>IFERROR(__xludf.DUMMYFUNCTION("""COMPUTED_VALUE"""),"""গাড়াবোব")</f>
        <v>"গাড়াবোব</v>
      </c>
      <c r="J792" s="5" t="str">
        <f>IFERROR(__xludf.DUMMYFUNCTION("""COMPUTED_VALUE""")," গাংনী")</f>
        <v> গাংনী</v>
      </c>
      <c r="K792" s="5" t="str">
        <f>IFERROR(__xludf.DUMMYFUNCTION("""COMPUTED_VALUE""")," মেহেরপুর""")</f>
        <v> মেহেরপুর"</v>
      </c>
    </row>
    <row r="793" ht="15.75" customHeight="1">
      <c r="A793" s="7" t="s">
        <v>7473</v>
      </c>
      <c r="B793" s="1">
        <f>IFERROR(__xludf.DUMMYFUNCTION("SPLIT(A793,"","")"),1340.0)</f>
        <v>1340</v>
      </c>
      <c r="C793" s="5" t="str">
        <f>IFERROR(__xludf.DUMMYFUNCTION("""COMPUTED_VALUE"""),"মোছাঃ জানিয়ারা খাতুন")</f>
        <v>মোছাঃ জানিয়ারা খাতুন</v>
      </c>
      <c r="D793" s="5">
        <f>IFERROR(__xludf.DUMMYFUNCTION("""COMPUTED_VALUE"""),5.70038356163E11)</f>
        <v>570038356163</v>
      </c>
      <c r="E793" s="5" t="str">
        <f>IFERROR(__xludf.DUMMYFUNCTION("""COMPUTED_VALUE"""),"মোঃ দাউদ শেখ")</f>
        <v>মোঃ দাউদ শেখ</v>
      </c>
      <c r="F793" s="5" t="str">
        <f>IFERROR(__xludf.DUMMYFUNCTION("""COMPUTED_VALUE"""),"মাছুরা")</f>
        <v>মাছুরা</v>
      </c>
      <c r="G793" s="5" t="str">
        <f>IFERROR(__xludf.DUMMYFUNCTION("""COMPUTED_VALUE"""),"১৫/০৫/১৯৭৭")</f>
        <v>১৫/০৫/১৯৭৭</v>
      </c>
      <c r="H793" s="5" t="str">
        <f>IFERROR(__xludf.DUMMYFUNCTION("""COMPUTED_VALUE"""),"গৃহিণী")</f>
        <v>গৃহিণী</v>
      </c>
      <c r="I793" s="5" t="str">
        <f>IFERROR(__xludf.DUMMYFUNCTION("""COMPUTED_VALUE"""),"""গাড়াবোব")</f>
        <v>"গাড়াবোব</v>
      </c>
      <c r="J793" s="5" t="str">
        <f>IFERROR(__xludf.DUMMYFUNCTION("""COMPUTED_VALUE""")," গাংনী")</f>
        <v> গাংনী</v>
      </c>
      <c r="K793" s="5" t="str">
        <f>IFERROR(__xludf.DUMMYFUNCTION("""COMPUTED_VALUE""")," মেহেরপুর""")</f>
        <v> মেহেরপুর"</v>
      </c>
    </row>
    <row r="794" ht="15.75" customHeight="1">
      <c r="A794" s="7" t="s">
        <v>7474</v>
      </c>
      <c r="B794" s="1">
        <f>IFERROR(__xludf.DUMMYFUNCTION("SPLIT(A794,"","")"),1341.0)</f>
        <v>1341</v>
      </c>
      <c r="C794" s="5" t="str">
        <f>IFERROR(__xludf.DUMMYFUNCTION("""COMPUTED_VALUE"""),"মোছাঃ আনোয়ারা খাতুন")</f>
        <v>মোছাঃ আনোয়ারা খাতুন</v>
      </c>
      <c r="D794" s="5">
        <f>IFERROR(__xludf.DUMMYFUNCTION("""COMPUTED_VALUE"""),5.70038356167E11)</f>
        <v>570038356167</v>
      </c>
      <c r="E794" s="5" t="str">
        <f>IFERROR(__xludf.DUMMYFUNCTION("""COMPUTED_VALUE"""),"ফরিদ্ শেখ")</f>
        <v>ফরিদ্ শেখ</v>
      </c>
      <c r="F794" s="5" t="str">
        <f>IFERROR(__xludf.DUMMYFUNCTION("""COMPUTED_VALUE"""),"জায়রন নেছা")</f>
        <v>জায়রন নেছা</v>
      </c>
      <c r="G794" s="5" t="str">
        <f>IFERROR(__xludf.DUMMYFUNCTION("""COMPUTED_VALUE"""),"০৬/০৮/১৯৬৫")</f>
        <v>০৬/০৮/১৯৬৫</v>
      </c>
      <c r="H794" s="5" t="str">
        <f>IFERROR(__xludf.DUMMYFUNCTION("""COMPUTED_VALUE"""),"গৃহিণী")</f>
        <v>গৃহিণী</v>
      </c>
      <c r="I794" s="5" t="str">
        <f>IFERROR(__xludf.DUMMYFUNCTION("""COMPUTED_VALUE"""),"""গাড়াবোব")</f>
        <v>"গাড়াবোব</v>
      </c>
      <c r="J794" s="5" t="str">
        <f>IFERROR(__xludf.DUMMYFUNCTION("""COMPUTED_VALUE""")," গাংনী")</f>
        <v> গাংনী</v>
      </c>
      <c r="K794" s="5" t="str">
        <f>IFERROR(__xludf.DUMMYFUNCTION("""COMPUTED_VALUE""")," মেহেরপুর""")</f>
        <v> মেহেরপুর"</v>
      </c>
    </row>
    <row r="795" ht="15.75" customHeight="1">
      <c r="A795" s="7" t="s">
        <v>7475</v>
      </c>
      <c r="B795" s="1">
        <f>IFERROR(__xludf.DUMMYFUNCTION("SPLIT(A795,"","")"),1342.0)</f>
        <v>1342</v>
      </c>
      <c r="C795" s="5" t="str">
        <f>IFERROR(__xludf.DUMMYFUNCTION("""COMPUTED_VALUE"""),"মোছাঃ তানজিলা খাতুন")</f>
        <v>মোছাঃ তানজিলা খাতুন</v>
      </c>
      <c r="D795" s="5">
        <f>IFERROR(__xludf.DUMMYFUNCTION("""COMPUTED_VALUE"""),5.70038356176E11)</f>
        <v>570038356176</v>
      </c>
      <c r="E795" s="5" t="str">
        <f>IFERROR(__xludf.DUMMYFUNCTION("""COMPUTED_VALUE"""),"আজাদ আলী বিশ্বাস")</f>
        <v>আজাদ আলী বিশ্বাস</v>
      </c>
      <c r="F795" s="5" t="str">
        <f>IFERROR(__xludf.DUMMYFUNCTION("""COMPUTED_VALUE"""),"মোছাঃ সখিনা খাতুন")</f>
        <v>মোছাঃ সখিনা খাতুন</v>
      </c>
      <c r="G795" s="5" t="str">
        <f>IFERROR(__xludf.DUMMYFUNCTION("""COMPUTED_VALUE"""),"১৪/১২/১৯৩৯")</f>
        <v>১৪/১২/১৯৩৯</v>
      </c>
      <c r="H795" s="5" t="str">
        <f>IFERROR(__xludf.DUMMYFUNCTION("""COMPUTED_VALUE"""),"গৃহিণী")</f>
        <v>গৃহিণী</v>
      </c>
      <c r="I795" s="5" t="str">
        <f>IFERROR(__xludf.DUMMYFUNCTION("""COMPUTED_VALUE"""),"""গাড়াবোব")</f>
        <v>"গাড়াবোব</v>
      </c>
      <c r="J795" s="5" t="str">
        <f>IFERROR(__xludf.DUMMYFUNCTION("""COMPUTED_VALUE""")," গাংনী")</f>
        <v> গাংনী</v>
      </c>
      <c r="K795" s="5" t="str">
        <f>IFERROR(__xludf.DUMMYFUNCTION("""COMPUTED_VALUE""")," মেহেরপুর""")</f>
        <v> মেহেরপুর"</v>
      </c>
    </row>
    <row r="796" ht="15.75" customHeight="1">
      <c r="A796" s="7" t="s">
        <v>7476</v>
      </c>
      <c r="B796" s="1">
        <f>IFERROR(__xludf.DUMMYFUNCTION("SPLIT(A796,"","")"),1343.0)</f>
        <v>1343</v>
      </c>
      <c r="C796" s="5" t="str">
        <f>IFERROR(__xludf.DUMMYFUNCTION("""COMPUTED_VALUE"""),"নাসিমা পারভীন")</f>
        <v>নাসিমা পারভীন</v>
      </c>
      <c r="D796" s="5">
        <f>IFERROR(__xludf.DUMMYFUNCTION("""COMPUTED_VALUE"""),5.70038356178E11)</f>
        <v>570038356178</v>
      </c>
      <c r="E796" s="5" t="str">
        <f>IFERROR(__xludf.DUMMYFUNCTION("""COMPUTED_VALUE"""),"আশরাফ উদ্দিন")</f>
        <v>আশরাফ উদ্দিন</v>
      </c>
      <c r="F796" s="5" t="str">
        <f>IFERROR(__xludf.DUMMYFUNCTION("""COMPUTED_VALUE"""),"মোছাঃ নিরা রেজিনা নাহার")</f>
        <v>মোছাঃ নিরা রেজিনা নাহার</v>
      </c>
      <c r="G796" s="5" t="str">
        <f>IFERROR(__xludf.DUMMYFUNCTION("""COMPUTED_VALUE"""),"১৬/১১/১৯৭৬")</f>
        <v>১৬/১১/১৯৭৬</v>
      </c>
      <c r="H796" s="5" t="str">
        <f>IFERROR(__xludf.DUMMYFUNCTION("""COMPUTED_VALUE"""),"গৃহিণী")</f>
        <v>গৃহিণী</v>
      </c>
      <c r="I796" s="5" t="str">
        <f>IFERROR(__xludf.DUMMYFUNCTION("""COMPUTED_VALUE"""),"""গাড়াবোব")</f>
        <v>"গাড়াবোব</v>
      </c>
      <c r="J796" s="5" t="str">
        <f>IFERROR(__xludf.DUMMYFUNCTION("""COMPUTED_VALUE""")," গাংনী")</f>
        <v> গাংনী</v>
      </c>
      <c r="K796" s="5" t="str">
        <f>IFERROR(__xludf.DUMMYFUNCTION("""COMPUTED_VALUE""")," মেহেরপুর""")</f>
        <v> মেহেরপুর"</v>
      </c>
    </row>
    <row r="797" ht="15.75" customHeight="1">
      <c r="A797" s="7" t="s">
        <v>7477</v>
      </c>
      <c r="B797" s="1">
        <f>IFERROR(__xludf.DUMMYFUNCTION("SPLIT(A797,"","")"),1344.0)</f>
        <v>1344</v>
      </c>
      <c r="C797" s="5" t="str">
        <f>IFERROR(__xludf.DUMMYFUNCTION("""COMPUTED_VALUE"""),"মোছাঃ জুলিযা নাসরিন")</f>
        <v>মোছাঃ জুলিযা নাসরিন</v>
      </c>
      <c r="D797" s="5">
        <f>IFERROR(__xludf.DUMMYFUNCTION("""COMPUTED_VALUE"""),5.70038356179E11)</f>
        <v>570038356179</v>
      </c>
      <c r="E797" s="5" t="str">
        <f>IFERROR(__xludf.DUMMYFUNCTION("""COMPUTED_VALUE"""),"মোঃ আব্দুল লতিফ")</f>
        <v>মোঃ আব্দুল লতিফ</v>
      </c>
      <c r="F797" s="5" t="str">
        <f>IFERROR(__xludf.DUMMYFUNCTION("""COMPUTED_VALUE"""),"মোছাঃ ছিতারা বেগম")</f>
        <v>মোছাঃ ছিতারা বেগম</v>
      </c>
      <c r="G797" s="5" t="str">
        <f>IFERROR(__xludf.DUMMYFUNCTION("""COMPUTED_VALUE"""),"০১/০১/১৯৮১")</f>
        <v>০১/০১/১৯৮১</v>
      </c>
      <c r="H797" s="5" t="str">
        <f>IFERROR(__xludf.DUMMYFUNCTION("""COMPUTED_VALUE"""),"গৃহিণী")</f>
        <v>গৃহিণী</v>
      </c>
      <c r="I797" s="5" t="str">
        <f>IFERROR(__xludf.DUMMYFUNCTION("""COMPUTED_VALUE"""),"""গাড়াবোব")</f>
        <v>"গাড়াবোব</v>
      </c>
      <c r="J797" s="5" t="str">
        <f>IFERROR(__xludf.DUMMYFUNCTION("""COMPUTED_VALUE""")," গাংনী")</f>
        <v> গাংনী</v>
      </c>
      <c r="K797" s="5" t="str">
        <f>IFERROR(__xludf.DUMMYFUNCTION("""COMPUTED_VALUE""")," মেহেরপুর""")</f>
        <v> মেহেরপুর"</v>
      </c>
    </row>
    <row r="798" ht="15.75" customHeight="1">
      <c r="A798" s="7" t="s">
        <v>7478</v>
      </c>
      <c r="B798" s="1">
        <f>IFERROR(__xludf.DUMMYFUNCTION("SPLIT(A798,"","")"),1345.0)</f>
        <v>1345</v>
      </c>
      <c r="C798" s="5" t="str">
        <f>IFERROR(__xludf.DUMMYFUNCTION("""COMPUTED_VALUE"""),"মোছাঃ হালেমা খাতুন")</f>
        <v>মোছাঃ হালেমা খাতুন</v>
      </c>
      <c r="D798" s="5">
        <f>IFERROR(__xludf.DUMMYFUNCTION("""COMPUTED_VALUE"""),5.70038356187E11)</f>
        <v>570038356187</v>
      </c>
      <c r="E798" s="5" t="str">
        <f>IFERROR(__xludf.DUMMYFUNCTION("""COMPUTED_VALUE"""),"ওসমান মীর")</f>
        <v>ওসমান মীর</v>
      </c>
      <c r="F798" s="5" t="str">
        <f>IFERROR(__xludf.DUMMYFUNCTION("""COMPUTED_VALUE"""),"মলিদা খাতুন")</f>
        <v>মলিদা খাতুন</v>
      </c>
      <c r="G798" s="5" t="str">
        <f>IFERROR(__xludf.DUMMYFUNCTION("""COMPUTED_VALUE"""),"০২/০১/১৯৬২")</f>
        <v>০২/০১/১৯৬২</v>
      </c>
      <c r="H798" s="5" t="str">
        <f>IFERROR(__xludf.DUMMYFUNCTION("""COMPUTED_VALUE"""),"অন্যান্য")</f>
        <v>অন্যান্য</v>
      </c>
      <c r="I798" s="5" t="str">
        <f>IFERROR(__xludf.DUMMYFUNCTION("""COMPUTED_VALUE"""),"""গাড়াবোব")</f>
        <v>"গাড়াবোব</v>
      </c>
      <c r="J798" s="5" t="str">
        <f>IFERROR(__xludf.DUMMYFUNCTION("""COMPUTED_VALUE""")," গাংনী")</f>
        <v> গাংনী</v>
      </c>
      <c r="K798" s="5" t="str">
        <f>IFERROR(__xludf.DUMMYFUNCTION("""COMPUTED_VALUE""")," মেহেরপুর""")</f>
        <v> মেহেরপুর"</v>
      </c>
    </row>
    <row r="799" ht="15.75" customHeight="1">
      <c r="A799" s="7" t="s">
        <v>7479</v>
      </c>
      <c r="B799" s="1">
        <f>IFERROR(__xludf.DUMMYFUNCTION("SPLIT(A799,"","")"),1346.0)</f>
        <v>1346</v>
      </c>
      <c r="C799" s="5" t="str">
        <f>IFERROR(__xludf.DUMMYFUNCTION("""COMPUTED_VALUE"""),"মোছাঃ রেকছোনা খাতুন")</f>
        <v>মোছাঃ রেকছোনা খাতুন</v>
      </c>
      <c r="D799" s="5">
        <f>IFERROR(__xludf.DUMMYFUNCTION("""COMPUTED_VALUE"""),5.70038356188E11)</f>
        <v>570038356188</v>
      </c>
      <c r="E799" s="5" t="str">
        <f>IFERROR(__xludf.DUMMYFUNCTION("""COMPUTED_VALUE"""),"মোঃ পাঞ্জাব মেম্বার")</f>
        <v>মোঃ পাঞ্জাব মেম্বার</v>
      </c>
      <c r="F799" s="5" t="str">
        <f>IFERROR(__xludf.DUMMYFUNCTION("""COMPUTED_VALUE"""),"মোছাঃ কহিনুর খাতুন")</f>
        <v>মোছাঃ কহিনুর খাতুন</v>
      </c>
      <c r="G799" s="5" t="str">
        <f>IFERROR(__xludf.DUMMYFUNCTION("""COMPUTED_VALUE"""),"০৩/০২/১৯৮২")</f>
        <v>০৩/০২/১৯৮২</v>
      </c>
      <c r="H799" s="5" t="str">
        <f>IFERROR(__xludf.DUMMYFUNCTION("""COMPUTED_VALUE"""),"গৃহিণী")</f>
        <v>গৃহিণী</v>
      </c>
      <c r="I799" s="5" t="str">
        <f>IFERROR(__xludf.DUMMYFUNCTION("""COMPUTED_VALUE"""),"""গাড়াবোব")</f>
        <v>"গাড়াবোব</v>
      </c>
      <c r="J799" s="5" t="str">
        <f>IFERROR(__xludf.DUMMYFUNCTION("""COMPUTED_VALUE""")," গাংনী")</f>
        <v> গাংনী</v>
      </c>
      <c r="K799" s="5" t="str">
        <f>IFERROR(__xludf.DUMMYFUNCTION("""COMPUTED_VALUE""")," মেহেরপুর""")</f>
        <v> মেহেরপুর"</v>
      </c>
    </row>
    <row r="800" ht="15.75" customHeight="1">
      <c r="A800" s="7" t="s">
        <v>7480</v>
      </c>
      <c r="B800" s="1">
        <f>IFERROR(__xludf.DUMMYFUNCTION("SPLIT(A800,"","")"),1347.0)</f>
        <v>1347</v>
      </c>
      <c r="C800" s="5" t="str">
        <f>IFERROR(__xludf.DUMMYFUNCTION("""COMPUTED_VALUE"""),"মোছাঃ আনজিরা খাতুন")</f>
        <v>মোছাঃ আনজিরা খাতুন</v>
      </c>
      <c r="D800" s="5">
        <f>IFERROR(__xludf.DUMMYFUNCTION("""COMPUTED_VALUE"""),5.70038356189E11)</f>
        <v>570038356189</v>
      </c>
      <c r="E800" s="5" t="str">
        <f>IFERROR(__xludf.DUMMYFUNCTION("""COMPUTED_VALUE"""),"মোঃ আয়ুব আলী")</f>
        <v>মোঃ আয়ুব আলী</v>
      </c>
      <c r="F800" s="5" t="str">
        <f>IFERROR(__xludf.DUMMYFUNCTION("""COMPUTED_VALUE"""),"মোছাঃ আনোয়ারা খাতুন")</f>
        <v>মোছাঃ আনোয়ারা খাতুন</v>
      </c>
      <c r="G800" s="5" t="str">
        <f>IFERROR(__xludf.DUMMYFUNCTION("""COMPUTED_VALUE"""),"১০/০২/১৯৭৯")</f>
        <v>১০/০২/১৯৭৯</v>
      </c>
      <c r="H800" s="5" t="str">
        <f>IFERROR(__xludf.DUMMYFUNCTION("""COMPUTED_VALUE"""),"গৃহিণী")</f>
        <v>গৃহিণী</v>
      </c>
      <c r="I800" s="5" t="str">
        <f>IFERROR(__xludf.DUMMYFUNCTION("""COMPUTED_VALUE"""),"""গাড়াবোব")</f>
        <v>"গাড়াবোব</v>
      </c>
      <c r="J800" s="5" t="str">
        <f>IFERROR(__xludf.DUMMYFUNCTION("""COMPUTED_VALUE""")," গাংনী")</f>
        <v> গাংনী</v>
      </c>
      <c r="K800" s="5" t="str">
        <f>IFERROR(__xludf.DUMMYFUNCTION("""COMPUTED_VALUE""")," মেহেরপুর""")</f>
        <v> মেহেরপুর"</v>
      </c>
    </row>
    <row r="801" ht="15.75" customHeight="1">
      <c r="A801" s="7" t="s">
        <v>7481</v>
      </c>
      <c r="B801" s="1">
        <f>IFERROR(__xludf.DUMMYFUNCTION("SPLIT(A801,"","")"),1348.0)</f>
        <v>1348</v>
      </c>
      <c r="C801" s="5" t="str">
        <f>IFERROR(__xludf.DUMMYFUNCTION("""COMPUTED_VALUE"""),"মোছাঃ মর্জিনা খাতুন")</f>
        <v>মোছাঃ মর্জিনা খাতুন</v>
      </c>
      <c r="D801" s="5">
        <f>IFERROR(__xludf.DUMMYFUNCTION("""COMPUTED_VALUE"""),5.7003835619E11)</f>
        <v>570038356190</v>
      </c>
      <c r="E801" s="5" t="str">
        <f>IFERROR(__xludf.DUMMYFUNCTION("""COMPUTED_VALUE"""),"নচ্ছর মন্ডল")</f>
        <v>নচ্ছর মন্ডল</v>
      </c>
      <c r="F801" s="5" t="str">
        <f>IFERROR(__xludf.DUMMYFUNCTION("""COMPUTED_VALUE"""),"মোছাঃ নিহারন নেছা")</f>
        <v>মোছাঃ নিহারন নেছা</v>
      </c>
      <c r="G801" s="5" t="str">
        <f>IFERROR(__xludf.DUMMYFUNCTION("""COMPUTED_VALUE"""),"০৩/০৪/১৯৬৭")</f>
        <v>০৩/০৪/১৯৬৭</v>
      </c>
      <c r="H801" s="5" t="str">
        <f>IFERROR(__xludf.DUMMYFUNCTION("""COMPUTED_VALUE"""),"গৃহিণী")</f>
        <v>গৃহিণী</v>
      </c>
      <c r="I801" s="5" t="str">
        <f>IFERROR(__xludf.DUMMYFUNCTION("""COMPUTED_VALUE"""),"""গাড়াবোব")</f>
        <v>"গাড়াবোব</v>
      </c>
      <c r="J801" s="5" t="str">
        <f>IFERROR(__xludf.DUMMYFUNCTION("""COMPUTED_VALUE""")," গাংনী")</f>
        <v> গাংনী</v>
      </c>
      <c r="K801" s="5" t="str">
        <f>IFERROR(__xludf.DUMMYFUNCTION("""COMPUTED_VALUE""")," মেহেরপুর""")</f>
        <v> মেহেরপুর"</v>
      </c>
    </row>
    <row r="802" ht="15.75" customHeight="1">
      <c r="A802" s="7" t="s">
        <v>7482</v>
      </c>
      <c r="B802" s="1">
        <f>IFERROR(__xludf.DUMMYFUNCTION("SPLIT(A802,"","")"),1349.0)</f>
        <v>1349</v>
      </c>
      <c r="C802" s="5" t="str">
        <f>IFERROR(__xludf.DUMMYFUNCTION("""COMPUTED_VALUE"""),"মোছাঃ জাহানারা খাতুন")</f>
        <v>মোছাঃ জাহানারা খাতুন</v>
      </c>
      <c r="D802" s="5">
        <f>IFERROR(__xludf.DUMMYFUNCTION("""COMPUTED_VALUE"""),5.70038356192E11)</f>
        <v>570038356192</v>
      </c>
      <c r="E802" s="5" t="str">
        <f>IFERROR(__xludf.DUMMYFUNCTION("""COMPUTED_VALUE"""),"মোঃ রহমত উল্লাহ")</f>
        <v>মোঃ রহমত উল্লাহ</v>
      </c>
      <c r="F802" s="5" t="str">
        <f>IFERROR(__xludf.DUMMYFUNCTION("""COMPUTED_VALUE"""),"মোছাঃ ছারভান")</f>
        <v>মোছাঃ ছারভান</v>
      </c>
      <c r="G802" s="5" t="str">
        <f>IFERROR(__xludf.DUMMYFUNCTION("""COMPUTED_VALUE"""),"০২/০৬/১৯৫৯")</f>
        <v>০২/০৬/১৯৫৯</v>
      </c>
      <c r="H802" s="5" t="str">
        <f>IFERROR(__xludf.DUMMYFUNCTION("""COMPUTED_VALUE"""),"গৃহিণী")</f>
        <v>গৃহিণী</v>
      </c>
      <c r="I802" s="5" t="str">
        <f>IFERROR(__xludf.DUMMYFUNCTION("""COMPUTED_VALUE"""),"""গাড়াবোব")</f>
        <v>"গাড়াবোব</v>
      </c>
      <c r="J802" s="5" t="str">
        <f>IFERROR(__xludf.DUMMYFUNCTION("""COMPUTED_VALUE""")," গাংনী")</f>
        <v> গাংনী</v>
      </c>
      <c r="K802" s="5" t="str">
        <f>IFERROR(__xludf.DUMMYFUNCTION("""COMPUTED_VALUE""")," মেহেরপুর""")</f>
        <v> মেহেরপুর"</v>
      </c>
    </row>
    <row r="803" ht="15.75" customHeight="1">
      <c r="A803" s="7" t="s">
        <v>7483</v>
      </c>
      <c r="B803" s="1">
        <f>IFERROR(__xludf.DUMMYFUNCTION("SPLIT(A803,"","")"),1350.0)</f>
        <v>1350</v>
      </c>
      <c r="C803" s="5" t="str">
        <f>IFERROR(__xludf.DUMMYFUNCTION("""COMPUTED_VALUE"""),"মোছাঃ আজমিরা খাতুন")</f>
        <v>মোছাঃ আজমিরা খাতুন</v>
      </c>
      <c r="D803" s="5">
        <f>IFERROR(__xludf.DUMMYFUNCTION("""COMPUTED_VALUE"""),5.70038356193E11)</f>
        <v>570038356193</v>
      </c>
      <c r="E803" s="5" t="str">
        <f>IFERROR(__xludf.DUMMYFUNCTION("""COMPUTED_VALUE"""),"মোঃ আয়ুব আলী")</f>
        <v>মোঃ আয়ুব আলী</v>
      </c>
      <c r="F803" s="5" t="str">
        <f>IFERROR(__xludf.DUMMYFUNCTION("""COMPUTED_VALUE"""),"মোছাঃ মুনজিলা খাতুন")</f>
        <v>মোছাঃ মুনজিলা খাতুন</v>
      </c>
      <c r="G803" s="5" t="str">
        <f>IFERROR(__xludf.DUMMYFUNCTION("""COMPUTED_VALUE"""),"০১/০১/১৯৮৮")</f>
        <v>০১/০১/১৯৮৮</v>
      </c>
      <c r="H803" s="5" t="str">
        <f>IFERROR(__xludf.DUMMYFUNCTION("""COMPUTED_VALUE"""),"গৃহিণী")</f>
        <v>গৃহিণী</v>
      </c>
      <c r="I803" s="5" t="str">
        <f>IFERROR(__xludf.DUMMYFUNCTION("""COMPUTED_VALUE"""),"""গাড়াবোব")</f>
        <v>"গাড়াবোব</v>
      </c>
      <c r="J803" s="5" t="str">
        <f>IFERROR(__xludf.DUMMYFUNCTION("""COMPUTED_VALUE""")," গাংনী")</f>
        <v> গাংনী</v>
      </c>
      <c r="K803" s="5" t="str">
        <f>IFERROR(__xludf.DUMMYFUNCTION("""COMPUTED_VALUE""")," মেহেরপুর""")</f>
        <v> মেহেরপুর"</v>
      </c>
    </row>
    <row r="804" ht="15.75" customHeight="1">
      <c r="A804" s="7" t="s">
        <v>7484</v>
      </c>
      <c r="B804" s="1">
        <f>IFERROR(__xludf.DUMMYFUNCTION("SPLIT(A804,"","")"),1351.0)</f>
        <v>1351</v>
      </c>
      <c r="C804" s="5" t="str">
        <f>IFERROR(__xludf.DUMMYFUNCTION("""COMPUTED_VALUE"""),"মোছাঃ নাজমা খাতুন")</f>
        <v>মোছাঃ নাজমা খাতুন</v>
      </c>
      <c r="D804" s="5">
        <f>IFERROR(__xludf.DUMMYFUNCTION("""COMPUTED_VALUE"""),5.70038356194E11)</f>
        <v>570038356194</v>
      </c>
      <c r="E804" s="5" t="str">
        <f>IFERROR(__xludf.DUMMYFUNCTION("""COMPUTED_VALUE"""),"মোঃ জমির উদ্দীন")</f>
        <v>মোঃ জমির উদ্দীন</v>
      </c>
      <c r="F804" s="5" t="str">
        <f>IFERROR(__xludf.DUMMYFUNCTION("""COMPUTED_VALUE"""),"মোছাঃ জমেলা খাতুন")</f>
        <v>মোছাঃ জমেলা খাতুন</v>
      </c>
      <c r="G804" s="5" t="str">
        <f>IFERROR(__xludf.DUMMYFUNCTION("""COMPUTED_VALUE"""),"১০/০২/১৯৭৭")</f>
        <v>১০/০২/১৯৭৭</v>
      </c>
      <c r="H804" s="5" t="str">
        <f>IFERROR(__xludf.DUMMYFUNCTION("""COMPUTED_VALUE"""),"গৃহিণী")</f>
        <v>গৃহিণী</v>
      </c>
      <c r="I804" s="5" t="str">
        <f>IFERROR(__xludf.DUMMYFUNCTION("""COMPUTED_VALUE"""),"""গাড়াবোব")</f>
        <v>"গাড়াবোব</v>
      </c>
      <c r="J804" s="5" t="str">
        <f>IFERROR(__xludf.DUMMYFUNCTION("""COMPUTED_VALUE""")," গাংনী")</f>
        <v> গাংনী</v>
      </c>
      <c r="K804" s="5" t="str">
        <f>IFERROR(__xludf.DUMMYFUNCTION("""COMPUTED_VALUE""")," মেহেরপুর""")</f>
        <v> মেহেরপুর"</v>
      </c>
    </row>
    <row r="805" ht="15.75" customHeight="1">
      <c r="A805" s="7" t="s">
        <v>7485</v>
      </c>
      <c r="B805" s="1">
        <f>IFERROR(__xludf.DUMMYFUNCTION("SPLIT(A805,"","")"),1352.0)</f>
        <v>1352</v>
      </c>
      <c r="C805" s="5" t="str">
        <f>IFERROR(__xludf.DUMMYFUNCTION("""COMPUTED_VALUE"""),"মোছাঃ শাহানারা খাতুন")</f>
        <v>মোছাঃ শাহানারা খাতুন</v>
      </c>
      <c r="D805" s="5">
        <f>IFERROR(__xludf.DUMMYFUNCTION("""COMPUTED_VALUE"""),5.70038356195E11)</f>
        <v>570038356195</v>
      </c>
      <c r="E805" s="5" t="str">
        <f>IFERROR(__xludf.DUMMYFUNCTION("""COMPUTED_VALUE"""),"আব্দুল বারি")</f>
        <v>আব্দুল বারি</v>
      </c>
      <c r="F805" s="5" t="str">
        <f>IFERROR(__xludf.DUMMYFUNCTION("""COMPUTED_VALUE"""),"হালিমা খাতুন")</f>
        <v>হালিমা খাতুন</v>
      </c>
      <c r="G805" s="5" t="str">
        <f>IFERROR(__xludf.DUMMYFUNCTION("""COMPUTED_VALUE"""),"০৬/০২/১৯৬৫")</f>
        <v>০৬/০২/১৯৬৫</v>
      </c>
      <c r="H805" s="5" t="str">
        <f>IFERROR(__xludf.DUMMYFUNCTION("""COMPUTED_VALUE"""),"গৃহিণী")</f>
        <v>গৃহিণী</v>
      </c>
      <c r="I805" s="5" t="str">
        <f>IFERROR(__xludf.DUMMYFUNCTION("""COMPUTED_VALUE"""),"""গাড়াবোব")</f>
        <v>"গাড়াবোব</v>
      </c>
      <c r="J805" s="5" t="str">
        <f>IFERROR(__xludf.DUMMYFUNCTION("""COMPUTED_VALUE""")," গাংনী")</f>
        <v> গাংনী</v>
      </c>
      <c r="K805" s="5" t="str">
        <f>IFERROR(__xludf.DUMMYFUNCTION("""COMPUTED_VALUE""")," মেহেরপুর""")</f>
        <v> মেহেরপুর"</v>
      </c>
    </row>
    <row r="806" ht="15.75" customHeight="1">
      <c r="A806" s="7" t="s">
        <v>7486</v>
      </c>
      <c r="B806" s="1">
        <f>IFERROR(__xludf.DUMMYFUNCTION("SPLIT(A806,"","")"),1353.0)</f>
        <v>1353</v>
      </c>
      <c r="C806" s="5" t="str">
        <f>IFERROR(__xludf.DUMMYFUNCTION("""COMPUTED_VALUE"""),"মোছাঃ বেগম খাতুন")</f>
        <v>মোছাঃ বেগম খাতুন</v>
      </c>
      <c r="D806" s="5">
        <f>IFERROR(__xludf.DUMMYFUNCTION("""COMPUTED_VALUE"""),5.70038356197E11)</f>
        <v>570038356197</v>
      </c>
      <c r="E806" s="5" t="str">
        <f>IFERROR(__xludf.DUMMYFUNCTION("""COMPUTED_VALUE"""),"মোঃ ইউনুস আলী")</f>
        <v>মোঃ ইউনুস আলী</v>
      </c>
      <c r="F806" s="5" t="str">
        <f>IFERROR(__xludf.DUMMYFUNCTION("""COMPUTED_VALUE"""),"মোছাঃ নিহারন")</f>
        <v>মোছাঃ নিহারন</v>
      </c>
      <c r="G806" s="5" t="str">
        <f>IFERROR(__xludf.DUMMYFUNCTION("""COMPUTED_VALUE"""),"০৪/০২/১৯৬৯")</f>
        <v>০৪/০২/১৯৬৯</v>
      </c>
      <c r="H806" s="5" t="str">
        <f>IFERROR(__xludf.DUMMYFUNCTION("""COMPUTED_VALUE"""),"গৃহিণী")</f>
        <v>গৃহিণী</v>
      </c>
      <c r="I806" s="5" t="str">
        <f>IFERROR(__xludf.DUMMYFUNCTION("""COMPUTED_VALUE"""),"""গাড়াবোব")</f>
        <v>"গাড়াবোব</v>
      </c>
      <c r="J806" s="5" t="str">
        <f>IFERROR(__xludf.DUMMYFUNCTION("""COMPUTED_VALUE""")," গাংনী")</f>
        <v> গাংনী</v>
      </c>
      <c r="K806" s="5" t="str">
        <f>IFERROR(__xludf.DUMMYFUNCTION("""COMPUTED_VALUE""")," মেহেরপুর""")</f>
        <v> মেহেরপুর"</v>
      </c>
    </row>
    <row r="807" ht="15.75" customHeight="1">
      <c r="A807" s="7" t="s">
        <v>7487</v>
      </c>
      <c r="B807" s="1">
        <f>IFERROR(__xludf.DUMMYFUNCTION("SPLIT(A807,"","")"),1354.0)</f>
        <v>1354</v>
      </c>
      <c r="C807" s="5" t="str">
        <f>IFERROR(__xludf.DUMMYFUNCTION("""COMPUTED_VALUE"""),"মোছাঃ বানিয়ারা খাতুন")</f>
        <v>মোছাঃ বানিয়ারা খাতুন</v>
      </c>
      <c r="D807" s="5">
        <f>IFERROR(__xludf.DUMMYFUNCTION("""COMPUTED_VALUE"""),5.70038356199E11)</f>
        <v>570038356199</v>
      </c>
      <c r="E807" s="5" t="str">
        <f>IFERROR(__xludf.DUMMYFUNCTION("""COMPUTED_VALUE"""),"মোঃ বাবলু")</f>
        <v>মোঃ বাবলু</v>
      </c>
      <c r="F807" s="5" t="str">
        <f>IFERROR(__xludf.DUMMYFUNCTION("""COMPUTED_VALUE"""),"মোছাঃ বেগম খাতুন")</f>
        <v>মোছাঃ বেগম খাতুন</v>
      </c>
      <c r="G807" s="5" t="str">
        <f>IFERROR(__xludf.DUMMYFUNCTION("""COMPUTED_VALUE""")," ০৯/০৫/১৯৮৫")</f>
        <v> ০৯/০৫/১৯৮৫</v>
      </c>
      <c r="H807" s="5" t="str">
        <f>IFERROR(__xludf.DUMMYFUNCTION("""COMPUTED_VALUE"""),"গৃহিণী")</f>
        <v>গৃহিণী</v>
      </c>
      <c r="I807" s="5" t="str">
        <f>IFERROR(__xludf.DUMMYFUNCTION("""COMPUTED_VALUE"""),"""গাড়াবোব")</f>
        <v>"গাড়াবোব</v>
      </c>
      <c r="J807" s="5" t="str">
        <f>IFERROR(__xludf.DUMMYFUNCTION("""COMPUTED_VALUE""")," গাংনী")</f>
        <v> গাংনী</v>
      </c>
      <c r="K807" s="5" t="str">
        <f>IFERROR(__xludf.DUMMYFUNCTION("""COMPUTED_VALUE""")," মেহেরপুর""")</f>
        <v> মেহেরপুর"</v>
      </c>
    </row>
    <row r="808" ht="15.75" customHeight="1">
      <c r="A808" s="7" t="s">
        <v>7488</v>
      </c>
      <c r="B808" s="1">
        <f>IFERROR(__xludf.DUMMYFUNCTION("SPLIT(A808,"","")"),1355.0)</f>
        <v>1355</v>
      </c>
      <c r="C808" s="5" t="str">
        <f>IFERROR(__xludf.DUMMYFUNCTION("""COMPUTED_VALUE"""),"মোছাঃ রেহেনা খাতুন")</f>
        <v>মোছাঃ রেহেনা খাতুন</v>
      </c>
      <c r="D808" s="5">
        <f>IFERROR(__xludf.DUMMYFUNCTION("""COMPUTED_VALUE"""),5.70038356201E11)</f>
        <v>570038356201</v>
      </c>
      <c r="E808" s="5" t="str">
        <f>IFERROR(__xludf.DUMMYFUNCTION("""COMPUTED_VALUE"""),"আব্দুল বারেক")</f>
        <v>আব্দুল বারেক</v>
      </c>
      <c r="F808" s="5" t="str">
        <f>IFERROR(__xludf.DUMMYFUNCTION("""COMPUTED_VALUE"""),"মোছাঃ হালিমা খাতুন")</f>
        <v>মোছাঃ হালিমা খাতুন</v>
      </c>
      <c r="G808" s="5" t="str">
        <f>IFERROR(__xludf.DUMMYFUNCTION("""COMPUTED_VALUE"""),"০৩/০২/১৯৮২")</f>
        <v>০৩/০২/১৯৮২</v>
      </c>
      <c r="H808" s="5" t="str">
        <f>IFERROR(__xludf.DUMMYFUNCTION("""COMPUTED_VALUE"""),"গৃহিণী")</f>
        <v>গৃহিণী</v>
      </c>
      <c r="I808" s="5" t="str">
        <f>IFERROR(__xludf.DUMMYFUNCTION("""COMPUTED_VALUE"""),"""গাড়াবোব")</f>
        <v>"গাড়াবোব</v>
      </c>
      <c r="J808" s="5" t="str">
        <f>IFERROR(__xludf.DUMMYFUNCTION("""COMPUTED_VALUE""")," গাংনী")</f>
        <v> গাংনী</v>
      </c>
      <c r="K808" s="5" t="str">
        <f>IFERROR(__xludf.DUMMYFUNCTION("""COMPUTED_VALUE""")," মেহেরপুর""")</f>
        <v> মেহেরপুর"</v>
      </c>
    </row>
    <row r="809" ht="15.75" customHeight="1">
      <c r="A809" s="7" t="s">
        <v>7489</v>
      </c>
      <c r="B809" s="1">
        <f>IFERROR(__xludf.DUMMYFUNCTION("SPLIT(A809,"","")"),1356.0)</f>
        <v>1356</v>
      </c>
      <c r="C809" s="5" t="str">
        <f>IFERROR(__xludf.DUMMYFUNCTION("""COMPUTED_VALUE"""),"মোছাঃ নাছরিন খাতুন")</f>
        <v>মোছাঃ নাছরিন খাতুন</v>
      </c>
      <c r="D809" s="5">
        <f>IFERROR(__xludf.DUMMYFUNCTION("""COMPUTED_VALUE"""),5.7003835621E11)</f>
        <v>570038356210</v>
      </c>
      <c r="E809" s="5" t="str">
        <f>IFERROR(__xludf.DUMMYFUNCTION("""COMPUTED_VALUE"""),"মোঃ আজিজুল শেখ")</f>
        <v>মোঃ আজিজুল শেখ</v>
      </c>
      <c r="F809" s="5" t="str">
        <f>IFERROR(__xludf.DUMMYFUNCTION("""COMPUTED_VALUE"""),"মোছাঃ ছফেলা খাতুন")</f>
        <v>মোছাঃ ছফেলা খাতুন</v>
      </c>
      <c r="G809" s="5" t="str">
        <f>IFERROR(__xludf.DUMMYFUNCTION("""COMPUTED_VALUE"""),"১০/০৩/১৯৮২")</f>
        <v>১০/০৩/১৯৮২</v>
      </c>
      <c r="H809" s="5" t="str">
        <f>IFERROR(__xludf.DUMMYFUNCTION("""COMPUTED_VALUE"""),"গৃহিণী")</f>
        <v>গৃহিণী</v>
      </c>
      <c r="I809" s="5" t="str">
        <f>IFERROR(__xludf.DUMMYFUNCTION("""COMPUTED_VALUE"""),"""গাড়াবোব")</f>
        <v>"গাড়াবোব</v>
      </c>
      <c r="J809" s="5" t="str">
        <f>IFERROR(__xludf.DUMMYFUNCTION("""COMPUTED_VALUE""")," গাংনী")</f>
        <v> গাংনী</v>
      </c>
      <c r="K809" s="5" t="str">
        <f>IFERROR(__xludf.DUMMYFUNCTION("""COMPUTED_VALUE""")," মেহেরপুর""")</f>
        <v> মেহেরপুর"</v>
      </c>
    </row>
    <row r="810" ht="15.75" customHeight="1">
      <c r="A810" s="7" t="s">
        <v>7490</v>
      </c>
      <c r="B810" s="1">
        <f>IFERROR(__xludf.DUMMYFUNCTION("SPLIT(A810,"","")"),1357.0)</f>
        <v>1357</v>
      </c>
      <c r="C810" s="5" t="str">
        <f>IFERROR(__xludf.DUMMYFUNCTION("""COMPUTED_VALUE"""),"মোছাঃ ফজিলা খাতুন")</f>
        <v>মোছাঃ ফজিলা খাতুন</v>
      </c>
      <c r="D810" s="5">
        <f>IFERROR(__xludf.DUMMYFUNCTION("""COMPUTED_VALUE"""),5.70038356211E11)</f>
        <v>570038356211</v>
      </c>
      <c r="E810" s="5" t="str">
        <f>IFERROR(__xludf.DUMMYFUNCTION("""COMPUTED_VALUE"""),"মোঃ আব্দুল গনি")</f>
        <v>মোঃ আব্দুল গনি</v>
      </c>
      <c r="F810" s="5" t="str">
        <f>IFERROR(__xludf.DUMMYFUNCTION("""COMPUTED_VALUE"""),"মোছাঃ রাবেয়া খাতুন")</f>
        <v>মোছাঃ রাবেয়া খাতুন</v>
      </c>
      <c r="G810" s="5" t="str">
        <f>IFERROR(__xludf.DUMMYFUNCTION("""COMPUTED_VALUE"""),"১০/০৮/১৯৮৩")</f>
        <v>১০/০৮/১৯৮৩</v>
      </c>
      <c r="H810" s="5" t="str">
        <f>IFERROR(__xludf.DUMMYFUNCTION("""COMPUTED_VALUE"""),"গৃহিণী")</f>
        <v>গৃহিণী</v>
      </c>
      <c r="I810" s="5" t="str">
        <f>IFERROR(__xludf.DUMMYFUNCTION("""COMPUTED_VALUE"""),"""গাড়াবোব")</f>
        <v>"গাড়াবোব</v>
      </c>
      <c r="J810" s="5" t="str">
        <f>IFERROR(__xludf.DUMMYFUNCTION("""COMPUTED_VALUE""")," গাংনী")</f>
        <v> গাংনী</v>
      </c>
      <c r="K810" s="5" t="str">
        <f>IFERROR(__xludf.DUMMYFUNCTION("""COMPUTED_VALUE""")," মেহেরপুর""")</f>
        <v> মেহেরপুর"</v>
      </c>
    </row>
    <row r="811" ht="15.75" customHeight="1">
      <c r="A811" s="7" t="s">
        <v>7491</v>
      </c>
      <c r="B811" s="1">
        <f>IFERROR(__xludf.DUMMYFUNCTION("SPLIT(A811,"","")"),1358.0)</f>
        <v>1358</v>
      </c>
      <c r="C811" s="5" t="str">
        <f>IFERROR(__xludf.DUMMYFUNCTION("""COMPUTED_VALUE"""),"মোছাঃ মুসলিমা খাতুন")</f>
        <v>মোছাঃ মুসলিমা খাতুন</v>
      </c>
      <c r="D811" s="5">
        <f>IFERROR(__xludf.DUMMYFUNCTION("""COMPUTED_VALUE"""),5.70038356213E11)</f>
        <v>570038356213</v>
      </c>
      <c r="E811" s="5" t="str">
        <f>IFERROR(__xludf.DUMMYFUNCTION("""COMPUTED_VALUE"""),"বাহার আলী")</f>
        <v>বাহার আলী</v>
      </c>
      <c r="F811" s="5" t="str">
        <f>IFERROR(__xludf.DUMMYFUNCTION("""COMPUTED_VALUE"""),"মোছাঃ ছৈয়তন")</f>
        <v>মোছাঃ ছৈয়তন</v>
      </c>
      <c r="G811" s="5" t="str">
        <f>IFERROR(__xludf.DUMMYFUNCTION("""COMPUTED_VALUE"""),"২০/০৮/১৯৮৭")</f>
        <v>২০/০৮/১৯৮৭</v>
      </c>
      <c r="H811" s="5" t="str">
        <f>IFERROR(__xludf.DUMMYFUNCTION("""COMPUTED_VALUE"""),"গৃহিণী")</f>
        <v>গৃহিণী</v>
      </c>
      <c r="I811" s="5" t="str">
        <f>IFERROR(__xludf.DUMMYFUNCTION("""COMPUTED_VALUE"""),"""গাড়াবোব")</f>
        <v>"গাড়াবোব</v>
      </c>
      <c r="J811" s="5" t="str">
        <f>IFERROR(__xludf.DUMMYFUNCTION("""COMPUTED_VALUE""")," গাংনী")</f>
        <v> গাংনী</v>
      </c>
      <c r="K811" s="5" t="str">
        <f>IFERROR(__xludf.DUMMYFUNCTION("""COMPUTED_VALUE""")," মেহেরপুর""")</f>
        <v> মেহেরপুর"</v>
      </c>
    </row>
    <row r="812" ht="15.75" customHeight="1">
      <c r="A812" s="7" t="s">
        <v>7492</v>
      </c>
      <c r="B812" s="1">
        <f>IFERROR(__xludf.DUMMYFUNCTION("SPLIT(A812,"","")"),1359.0)</f>
        <v>1359</v>
      </c>
      <c r="C812" s="5" t="str">
        <f>IFERROR(__xludf.DUMMYFUNCTION("""COMPUTED_VALUE"""),"মোছাঃ হাদেছা খাতুন")</f>
        <v>মোছাঃ হাদেছা খাতুন</v>
      </c>
      <c r="D812" s="5">
        <f>IFERROR(__xludf.DUMMYFUNCTION("""COMPUTED_VALUE"""),5.70038356217E11)</f>
        <v>570038356217</v>
      </c>
      <c r="E812" s="5" t="str">
        <f>IFERROR(__xludf.DUMMYFUNCTION("""COMPUTED_VALUE"""),"রফাত আলী শেখ")</f>
        <v>রফাত আলী শেখ</v>
      </c>
      <c r="F812" s="5" t="str">
        <f>IFERROR(__xludf.DUMMYFUNCTION("""COMPUTED_VALUE"""),"মোছাঃ সবুর নেছা")</f>
        <v>মোছাঃ সবুর নেছা</v>
      </c>
      <c r="G812" s="5" t="str">
        <f>IFERROR(__xludf.DUMMYFUNCTION("""COMPUTED_VALUE"""),"০২/০৩/১৯৬৯")</f>
        <v>০২/০৩/১৯৬৯</v>
      </c>
      <c r="H812" s="5" t="str">
        <f>IFERROR(__xludf.DUMMYFUNCTION("""COMPUTED_VALUE"""),"গৃহিণী")</f>
        <v>গৃহিণী</v>
      </c>
      <c r="I812" s="5" t="str">
        <f>IFERROR(__xludf.DUMMYFUNCTION("""COMPUTED_VALUE"""),"""গাড়াবোব")</f>
        <v>"গাড়াবোব</v>
      </c>
      <c r="J812" s="5" t="str">
        <f>IFERROR(__xludf.DUMMYFUNCTION("""COMPUTED_VALUE""")," গাংনী")</f>
        <v> গাংনী</v>
      </c>
      <c r="K812" s="5" t="str">
        <f>IFERROR(__xludf.DUMMYFUNCTION("""COMPUTED_VALUE""")," মেহেরপুর""")</f>
        <v> মেহেরপুর"</v>
      </c>
    </row>
    <row r="813" ht="15.75" customHeight="1">
      <c r="A813" s="7" t="s">
        <v>7493</v>
      </c>
      <c r="B813" s="1">
        <f>IFERROR(__xludf.DUMMYFUNCTION("SPLIT(A813,"","")"),1360.0)</f>
        <v>1360</v>
      </c>
      <c r="C813" s="5" t="str">
        <f>IFERROR(__xludf.DUMMYFUNCTION("""COMPUTED_VALUE"""),"মোছাঃ আদরী খাতুন")</f>
        <v>মোছাঃ আদরী খাতুন</v>
      </c>
      <c r="D813" s="5">
        <f>IFERROR(__xludf.DUMMYFUNCTION("""COMPUTED_VALUE"""),5.70038356218E11)</f>
        <v>570038356218</v>
      </c>
      <c r="E813" s="5" t="str">
        <f>IFERROR(__xludf.DUMMYFUNCTION("""COMPUTED_VALUE"""),"মোঃ আব্দুল কুদ্দুস")</f>
        <v>মোঃ আব্দুল কুদ্দুস</v>
      </c>
      <c r="F813" s="5" t="str">
        <f>IFERROR(__xludf.DUMMYFUNCTION("""COMPUTED_VALUE"""),"মোছাঃ জোসনা খাতুন")</f>
        <v>মোছাঃ জোসনা খাতুন</v>
      </c>
      <c r="G813" s="5" t="str">
        <f>IFERROR(__xludf.DUMMYFUNCTION("""COMPUTED_VALUE"""),"২৫/১০/১৯৮১")</f>
        <v>২৫/১০/১৯৮১</v>
      </c>
      <c r="H813" s="5" t="str">
        <f>IFERROR(__xludf.DUMMYFUNCTION("""COMPUTED_VALUE"""),"গৃহিণী")</f>
        <v>গৃহিণী</v>
      </c>
      <c r="I813" s="5" t="str">
        <f>IFERROR(__xludf.DUMMYFUNCTION("""COMPUTED_VALUE"""),"""গাড়াবোব")</f>
        <v>"গাড়াবোব</v>
      </c>
      <c r="J813" s="5" t="str">
        <f>IFERROR(__xludf.DUMMYFUNCTION("""COMPUTED_VALUE""")," গাংনী")</f>
        <v> গাংনী</v>
      </c>
      <c r="K813" s="5" t="str">
        <f>IFERROR(__xludf.DUMMYFUNCTION("""COMPUTED_VALUE""")," মেহেরপুর""")</f>
        <v> মেহেরপুর"</v>
      </c>
    </row>
    <row r="814" ht="15.75" customHeight="1">
      <c r="A814" s="7" t="s">
        <v>7494</v>
      </c>
      <c r="B814" s="1">
        <f>IFERROR(__xludf.DUMMYFUNCTION("SPLIT(A814,"","")"),1361.0)</f>
        <v>1361</v>
      </c>
      <c r="C814" s="5" t="str">
        <f>IFERROR(__xludf.DUMMYFUNCTION("""COMPUTED_VALUE"""),"মোছাঃ নাসিমা খাতুন")</f>
        <v>মোছাঃ নাসিমা খাতুন</v>
      </c>
      <c r="D814" s="5">
        <f>IFERROR(__xludf.DUMMYFUNCTION("""COMPUTED_VALUE"""),5.70038356219E11)</f>
        <v>570038356219</v>
      </c>
      <c r="E814" s="5" t="str">
        <f>IFERROR(__xludf.DUMMYFUNCTION("""COMPUTED_VALUE"""),"মোতালেব")</f>
        <v>মোতালেব</v>
      </c>
      <c r="F814" s="5" t="str">
        <f>IFERROR(__xludf.DUMMYFUNCTION("""COMPUTED_VALUE"""),"ময়না খাতুন")</f>
        <v>ময়না খাতুন</v>
      </c>
      <c r="G814" s="5" t="str">
        <f>IFERROR(__xludf.DUMMYFUNCTION("""COMPUTED_VALUE"""),"০২/০১/১৯৭০")</f>
        <v>০২/০১/১৯৭০</v>
      </c>
      <c r="H814" s="5" t="str">
        <f>IFERROR(__xludf.DUMMYFUNCTION("""COMPUTED_VALUE"""),"গৃহিণী")</f>
        <v>গৃহিণী</v>
      </c>
      <c r="I814" s="5" t="str">
        <f>IFERROR(__xludf.DUMMYFUNCTION("""COMPUTED_VALUE"""),"""গাড়াবোব")</f>
        <v>"গাড়াবোব</v>
      </c>
      <c r="J814" s="5" t="str">
        <f>IFERROR(__xludf.DUMMYFUNCTION("""COMPUTED_VALUE""")," গাংনী")</f>
        <v> গাংনী</v>
      </c>
      <c r="K814" s="5" t="str">
        <f>IFERROR(__xludf.DUMMYFUNCTION("""COMPUTED_VALUE""")," মেহেরপুর""")</f>
        <v> মেহেরপুর"</v>
      </c>
    </row>
    <row r="815" ht="15.75" customHeight="1">
      <c r="A815" s="7" t="s">
        <v>7495</v>
      </c>
      <c r="B815" s="1">
        <f>IFERROR(__xludf.DUMMYFUNCTION("SPLIT(A815,"","")"),1362.0)</f>
        <v>1362</v>
      </c>
      <c r="C815" s="5" t="str">
        <f>IFERROR(__xludf.DUMMYFUNCTION("""COMPUTED_VALUE"""),"মোছাঃ মাজেদা খাতুন")</f>
        <v>মোছাঃ মাজেদা খাতুন</v>
      </c>
      <c r="D815" s="5">
        <f>IFERROR(__xludf.DUMMYFUNCTION("""COMPUTED_VALUE"""),5.70038356221E11)</f>
        <v>570038356221</v>
      </c>
      <c r="E815" s="5" t="str">
        <f>IFERROR(__xludf.DUMMYFUNCTION("""COMPUTED_VALUE"""),"রুফাত আলী")</f>
        <v>রুফাত আলী</v>
      </c>
      <c r="F815" s="5" t="str">
        <f>IFERROR(__xludf.DUMMYFUNCTION("""COMPUTED_VALUE"""),"মোছাঃ সবুর নেছা")</f>
        <v>মোছাঃ সবুর নেছা</v>
      </c>
      <c r="G815" s="5" t="str">
        <f>IFERROR(__xludf.DUMMYFUNCTION("""COMPUTED_VALUE"""),"০৬/০২/১৯৬২")</f>
        <v>০৬/০২/১৯৬২</v>
      </c>
      <c r="H815" s="5" t="str">
        <f>IFERROR(__xludf.DUMMYFUNCTION("""COMPUTED_VALUE"""),"গৃহিণী")</f>
        <v>গৃহিণী</v>
      </c>
      <c r="I815" s="5" t="str">
        <f>IFERROR(__xludf.DUMMYFUNCTION("""COMPUTED_VALUE"""),"""গাড়াবোব")</f>
        <v>"গাড়াবোব</v>
      </c>
      <c r="J815" s="5" t="str">
        <f>IFERROR(__xludf.DUMMYFUNCTION("""COMPUTED_VALUE""")," গাংনী")</f>
        <v> গাংনী</v>
      </c>
      <c r="K815" s="5" t="str">
        <f>IFERROR(__xludf.DUMMYFUNCTION("""COMPUTED_VALUE""")," মেহেরপুর""")</f>
        <v> মেহেরপুর"</v>
      </c>
    </row>
    <row r="816" ht="15.75" customHeight="1">
      <c r="A816" s="7" t="s">
        <v>7496</v>
      </c>
      <c r="B816" s="1">
        <f>IFERROR(__xludf.DUMMYFUNCTION("SPLIT(A816,"","")"),1363.0)</f>
        <v>1363</v>
      </c>
      <c r="C816" s="5" t="str">
        <f>IFERROR(__xludf.DUMMYFUNCTION("""COMPUTED_VALUE"""),"মোছাঃ সবুর নেছা")</f>
        <v>মোছাঃ সবুর নেছা</v>
      </c>
      <c r="D816" s="5">
        <f>IFERROR(__xludf.DUMMYFUNCTION("""COMPUTED_VALUE"""),5.70038356222E11)</f>
        <v>570038356222</v>
      </c>
      <c r="E816" s="5" t="str">
        <f>IFERROR(__xludf.DUMMYFUNCTION("""COMPUTED_VALUE"""),"হিরু শেখ")</f>
        <v>হিরু শেখ</v>
      </c>
      <c r="F816" s="5" t="str">
        <f>IFERROR(__xludf.DUMMYFUNCTION("""COMPUTED_VALUE"""),"ছেরেজান")</f>
        <v>ছেরেজান</v>
      </c>
      <c r="G816" s="5" t="str">
        <f>IFERROR(__xludf.DUMMYFUNCTION("""COMPUTED_VALUE"""),"০১/০২/১৯৫০")</f>
        <v>০১/০২/১৯৫০</v>
      </c>
      <c r="H816" s="5" t="str">
        <f>IFERROR(__xludf.DUMMYFUNCTION("""COMPUTED_VALUE"""),"গৃহিণী")</f>
        <v>গৃহিণী</v>
      </c>
      <c r="I816" s="5" t="str">
        <f>IFERROR(__xludf.DUMMYFUNCTION("""COMPUTED_VALUE"""),"""গাড়াবোব")</f>
        <v>"গাড়াবোব</v>
      </c>
      <c r="J816" s="5" t="str">
        <f>IFERROR(__xludf.DUMMYFUNCTION("""COMPUTED_VALUE""")," গাংনী")</f>
        <v> গাংনী</v>
      </c>
      <c r="K816" s="5" t="str">
        <f>IFERROR(__xludf.DUMMYFUNCTION("""COMPUTED_VALUE""")," মেহেরপুর""")</f>
        <v> মেহেরপুর"</v>
      </c>
    </row>
    <row r="817" ht="15.75" customHeight="1">
      <c r="A817" s="7" t="s">
        <v>7497</v>
      </c>
      <c r="B817" s="1">
        <f>IFERROR(__xludf.DUMMYFUNCTION("SPLIT(A817,"","")"),1364.0)</f>
        <v>1364</v>
      </c>
      <c r="C817" s="5" t="str">
        <f>IFERROR(__xludf.DUMMYFUNCTION("""COMPUTED_VALUE"""),"মোছাঃ রুমিয়া খাতুন")</f>
        <v>মোছাঃ রুমিয়া খাতুন</v>
      </c>
      <c r="D817" s="5">
        <f>IFERROR(__xludf.DUMMYFUNCTION("""COMPUTED_VALUE"""),5.70038356223E11)</f>
        <v>570038356223</v>
      </c>
      <c r="E817" s="5" t="str">
        <f>IFERROR(__xludf.DUMMYFUNCTION("""COMPUTED_VALUE"""),"আব্দুল করিম মন্ডল")</f>
        <v>আব্দুল করিম মন্ডল</v>
      </c>
      <c r="F817" s="5" t="str">
        <f>IFERROR(__xludf.DUMMYFUNCTION("""COMPUTED_VALUE"""),"মোছাঃ রমেলা খাতুন")</f>
        <v>মোছাঃ রমেলা খাতুন</v>
      </c>
      <c r="G817" s="5" t="str">
        <f>IFERROR(__xludf.DUMMYFUNCTION("""COMPUTED_VALUE"""),"২১/১০/১৯৮৭")</f>
        <v>২১/১০/১৯৮৭</v>
      </c>
      <c r="H817" s="5" t="str">
        <f>IFERROR(__xludf.DUMMYFUNCTION("""COMPUTED_VALUE"""),"গৃহিণী")</f>
        <v>গৃহিণী</v>
      </c>
      <c r="I817" s="5" t="str">
        <f>IFERROR(__xludf.DUMMYFUNCTION("""COMPUTED_VALUE"""),"""গাড়াবোব")</f>
        <v>"গাড়াবোব</v>
      </c>
      <c r="J817" s="5" t="str">
        <f>IFERROR(__xludf.DUMMYFUNCTION("""COMPUTED_VALUE""")," গাংনী")</f>
        <v> গাংনী</v>
      </c>
      <c r="K817" s="5" t="str">
        <f>IFERROR(__xludf.DUMMYFUNCTION("""COMPUTED_VALUE""")," মেহেরপুর""")</f>
        <v> মেহেরপুর"</v>
      </c>
    </row>
    <row r="818" ht="15.75" customHeight="1">
      <c r="A818" s="7" t="s">
        <v>7498</v>
      </c>
      <c r="B818" s="1">
        <f>IFERROR(__xludf.DUMMYFUNCTION("SPLIT(A818,"","")"),1365.0)</f>
        <v>1365</v>
      </c>
      <c r="C818" s="5" t="str">
        <f>IFERROR(__xludf.DUMMYFUNCTION("""COMPUTED_VALUE"""),"মোছাঃ নিহারন খাতুন")</f>
        <v>মোছাঃ নিহারন খাতুন</v>
      </c>
      <c r="D818" s="5">
        <f>IFERROR(__xludf.DUMMYFUNCTION("""COMPUTED_VALUE"""),5.70038356224E11)</f>
        <v>570038356224</v>
      </c>
      <c r="E818" s="5" t="str">
        <f>IFERROR(__xludf.DUMMYFUNCTION("""COMPUTED_VALUE"""),"সদর উদ্দিন")</f>
        <v>সদর উদ্দিন</v>
      </c>
      <c r="F818" s="5" t="str">
        <f>IFERROR(__xludf.DUMMYFUNCTION("""COMPUTED_VALUE"""),"মোছাঃ রানী খাতুন")</f>
        <v>মোছাঃ রানী খাতুন</v>
      </c>
      <c r="G818" s="5" t="str">
        <f>IFERROR(__xludf.DUMMYFUNCTION("""COMPUTED_VALUE"""),"২৮/০৯/১৯৭৬")</f>
        <v>২৮/০৯/১৯৭৬</v>
      </c>
      <c r="H818" s="5" t="str">
        <f>IFERROR(__xludf.DUMMYFUNCTION("""COMPUTED_VALUE"""),"গৃহিণী")</f>
        <v>গৃহিণী</v>
      </c>
      <c r="I818" s="5" t="str">
        <f>IFERROR(__xludf.DUMMYFUNCTION("""COMPUTED_VALUE"""),"""গাড়াবোব")</f>
        <v>"গাড়াবোব</v>
      </c>
      <c r="J818" s="5" t="str">
        <f>IFERROR(__xludf.DUMMYFUNCTION("""COMPUTED_VALUE""")," গাংনী")</f>
        <v> গাংনী</v>
      </c>
      <c r="K818" s="5" t="str">
        <f>IFERROR(__xludf.DUMMYFUNCTION("""COMPUTED_VALUE""")," মেহেরপুর""")</f>
        <v> মেহেরপুর"</v>
      </c>
    </row>
    <row r="819" ht="15.75" customHeight="1">
      <c r="A819" s="7" t="s">
        <v>7499</v>
      </c>
      <c r="B819" s="1">
        <f>IFERROR(__xludf.DUMMYFUNCTION("SPLIT(A819,"","")"),1366.0)</f>
        <v>1366</v>
      </c>
      <c r="C819" s="5" t="str">
        <f>IFERROR(__xludf.DUMMYFUNCTION("""COMPUTED_VALUE"""),"মোছাঃ কনা খাতুন")</f>
        <v>মোছাঃ কনা খাতুন</v>
      </c>
      <c r="D819" s="5">
        <f>IFERROR(__xludf.DUMMYFUNCTION("""COMPUTED_VALUE"""),5.70038356227E11)</f>
        <v>570038356227</v>
      </c>
      <c r="E819" s="5" t="str">
        <f>IFERROR(__xludf.DUMMYFUNCTION("""COMPUTED_VALUE"""),"মোঃ মজফজ আলী")</f>
        <v>মোঃ মজফজ আলী</v>
      </c>
      <c r="F819" s="5" t="str">
        <f>IFERROR(__xludf.DUMMYFUNCTION("""COMPUTED_VALUE"""),"মোছাঃ নফুরা খাতুন")</f>
        <v>মোছাঃ নফুরা খাতুন</v>
      </c>
      <c r="G819" s="5" t="str">
        <f>IFERROR(__xludf.DUMMYFUNCTION("""COMPUTED_VALUE"""),"০১/০২/১৯৮৩")</f>
        <v>০১/০২/১৯৮৩</v>
      </c>
      <c r="H819" s="5" t="str">
        <f>IFERROR(__xludf.DUMMYFUNCTION("""COMPUTED_VALUE"""),"গৃহিণী")</f>
        <v>গৃহিণী</v>
      </c>
      <c r="I819" s="5" t="str">
        <f>IFERROR(__xludf.DUMMYFUNCTION("""COMPUTED_VALUE"""),"""গাড়াবোব")</f>
        <v>"গাড়াবোব</v>
      </c>
      <c r="J819" s="5" t="str">
        <f>IFERROR(__xludf.DUMMYFUNCTION("""COMPUTED_VALUE""")," গাংনী")</f>
        <v> গাংনী</v>
      </c>
      <c r="K819" s="5" t="str">
        <f>IFERROR(__xludf.DUMMYFUNCTION("""COMPUTED_VALUE""")," মেহেরপুর""")</f>
        <v> মেহেরপুর"</v>
      </c>
    </row>
    <row r="820" ht="15.75" customHeight="1">
      <c r="A820" s="7" t="s">
        <v>7500</v>
      </c>
      <c r="B820" s="1">
        <f>IFERROR(__xludf.DUMMYFUNCTION("SPLIT(A820,"","")"),1367.0)</f>
        <v>1367</v>
      </c>
      <c r="C820" s="5" t="str">
        <f>IFERROR(__xludf.DUMMYFUNCTION("""COMPUTED_VALUE"""),"মোছাঃ মাহিরন খাতুন")</f>
        <v>মোছাঃ মাহিরন খাতুন</v>
      </c>
      <c r="D820" s="5">
        <f>IFERROR(__xludf.DUMMYFUNCTION("""COMPUTED_VALUE"""),5.70038356229E11)</f>
        <v>570038356229</v>
      </c>
      <c r="E820" s="5" t="str">
        <f>IFERROR(__xludf.DUMMYFUNCTION("""COMPUTED_VALUE"""),"মফেজ মোল্লা")</f>
        <v>মফেজ মোল্লা</v>
      </c>
      <c r="F820" s="5" t="str">
        <f>IFERROR(__xludf.DUMMYFUNCTION("""COMPUTED_VALUE"""),"মোছাঃ আমেদা খাতুন")</f>
        <v>মোছাঃ আমেদা খাতুন</v>
      </c>
      <c r="G820" s="5" t="str">
        <f>IFERROR(__xludf.DUMMYFUNCTION("""COMPUTED_VALUE"""),"০৫/০৩/১৯৬৯")</f>
        <v>০৫/০৩/১৯৬৯</v>
      </c>
      <c r="H820" s="5" t="str">
        <f>IFERROR(__xludf.DUMMYFUNCTION("""COMPUTED_VALUE"""),"গৃহিণী")</f>
        <v>গৃহিণী</v>
      </c>
      <c r="I820" s="5" t="str">
        <f>IFERROR(__xludf.DUMMYFUNCTION("""COMPUTED_VALUE"""),"""গাড়াবোব")</f>
        <v>"গাড়াবোব</v>
      </c>
      <c r="J820" s="5" t="str">
        <f>IFERROR(__xludf.DUMMYFUNCTION("""COMPUTED_VALUE""")," গাংনী")</f>
        <v> গাংনী</v>
      </c>
      <c r="K820" s="5" t="str">
        <f>IFERROR(__xludf.DUMMYFUNCTION("""COMPUTED_VALUE""")," মেহেরপুর""")</f>
        <v> মেহেরপুর"</v>
      </c>
    </row>
    <row r="821" ht="15.75" customHeight="1">
      <c r="A821" s="7" t="s">
        <v>7501</v>
      </c>
      <c r="B821" s="1">
        <f>IFERROR(__xludf.DUMMYFUNCTION("SPLIT(A821,"","")"),1368.0)</f>
        <v>1368</v>
      </c>
      <c r="C821" s="5" t="str">
        <f>IFERROR(__xludf.DUMMYFUNCTION("""COMPUTED_VALUE"""),"মোছাঃ আসমা খাতুন")</f>
        <v>মোছাঃ আসমা খাতুন</v>
      </c>
      <c r="D821" s="5">
        <f>IFERROR(__xludf.DUMMYFUNCTION("""COMPUTED_VALUE"""),5.7003835623E11)</f>
        <v>570038356230</v>
      </c>
      <c r="E821" s="5" t="str">
        <f>IFERROR(__xludf.DUMMYFUNCTION("""COMPUTED_VALUE"""),"মেয়াল মন্ডল")</f>
        <v>মেয়াল মন্ডল</v>
      </c>
      <c r="F821" s="5" t="str">
        <f>IFERROR(__xludf.DUMMYFUNCTION("""COMPUTED_VALUE"""),"মোছাঃ মনোয়ারা খাতুন")</f>
        <v>মোছাঃ মনোয়ারা খাতুন</v>
      </c>
      <c r="G821" s="5" t="str">
        <f>IFERROR(__xludf.DUMMYFUNCTION("""COMPUTED_VALUE"""),"০২/০১/১৯৬৯")</f>
        <v>০২/০১/১৯৬৯</v>
      </c>
      <c r="H821" s="5" t="str">
        <f>IFERROR(__xludf.DUMMYFUNCTION("""COMPUTED_VALUE"""),"গৃহিণী")</f>
        <v>গৃহিণী</v>
      </c>
      <c r="I821" s="5" t="str">
        <f>IFERROR(__xludf.DUMMYFUNCTION("""COMPUTED_VALUE"""),"""গাড়াবোব")</f>
        <v>"গাড়াবোব</v>
      </c>
      <c r="J821" s="5" t="str">
        <f>IFERROR(__xludf.DUMMYFUNCTION("""COMPUTED_VALUE""")," গাংনী")</f>
        <v> গাংনী</v>
      </c>
      <c r="K821" s="5" t="str">
        <f>IFERROR(__xludf.DUMMYFUNCTION("""COMPUTED_VALUE""")," মেহেরপুর""")</f>
        <v> মেহেরপুর"</v>
      </c>
    </row>
    <row r="822" ht="15.75" customHeight="1">
      <c r="A822" s="7" t="s">
        <v>7502</v>
      </c>
      <c r="B822" s="1">
        <f>IFERROR(__xludf.DUMMYFUNCTION("SPLIT(A822,"","")"),1369.0)</f>
        <v>1369</v>
      </c>
      <c r="C822" s="5" t="str">
        <f>IFERROR(__xludf.DUMMYFUNCTION("""COMPUTED_VALUE"""),"মোছাঃ রাবেয়া খাতুন")</f>
        <v>মোছাঃ রাবেয়া খাতুন</v>
      </c>
      <c r="D822" s="5">
        <f>IFERROR(__xludf.DUMMYFUNCTION("""COMPUTED_VALUE"""),5.70038356231E11)</f>
        <v>570038356231</v>
      </c>
      <c r="E822" s="5" t="str">
        <f>IFERROR(__xludf.DUMMYFUNCTION("""COMPUTED_VALUE"""),"শাহাদত হোসেন")</f>
        <v>শাহাদত হোসেন</v>
      </c>
      <c r="F822" s="5" t="str">
        <f>IFERROR(__xludf.DUMMYFUNCTION("""COMPUTED_VALUE"""),"মোছাঃ রহিমা খাতুন")</f>
        <v>মোছাঃ রহিমা খাতুন</v>
      </c>
      <c r="G822" s="5" t="str">
        <f>IFERROR(__xludf.DUMMYFUNCTION("""COMPUTED_VALUE"""),"০৩/০১/১৯৪৫")</f>
        <v>০৩/০১/১৯৪৫</v>
      </c>
      <c r="H822" s="5" t="str">
        <f>IFERROR(__xludf.DUMMYFUNCTION("""COMPUTED_VALUE"""),"গৃহিণী")</f>
        <v>গৃহিণী</v>
      </c>
      <c r="I822" s="5" t="str">
        <f>IFERROR(__xludf.DUMMYFUNCTION("""COMPUTED_VALUE"""),"""গাড়াবোব")</f>
        <v>"গাড়াবোব</v>
      </c>
      <c r="J822" s="5" t="str">
        <f>IFERROR(__xludf.DUMMYFUNCTION("""COMPUTED_VALUE""")," গাংনী")</f>
        <v> গাংনী</v>
      </c>
      <c r="K822" s="5" t="str">
        <f>IFERROR(__xludf.DUMMYFUNCTION("""COMPUTED_VALUE""")," মেহেরপুর""")</f>
        <v> মেহেরপুর"</v>
      </c>
    </row>
    <row r="823" ht="15.75" customHeight="1">
      <c r="A823" s="7" t="s">
        <v>7503</v>
      </c>
      <c r="B823" s="1">
        <f>IFERROR(__xludf.DUMMYFUNCTION("SPLIT(A823,"","")"),1370.0)</f>
        <v>1370</v>
      </c>
      <c r="C823" s="5" t="str">
        <f>IFERROR(__xludf.DUMMYFUNCTION("""COMPUTED_VALUE"""),"মোছাঃ হামেদা খাতুন")</f>
        <v>মোছাঃ হামেদা খাতুন</v>
      </c>
      <c r="D823" s="5">
        <f>IFERROR(__xludf.DUMMYFUNCTION("""COMPUTED_VALUE"""),5.70038356233E11)</f>
        <v>570038356233</v>
      </c>
      <c r="E823" s="5" t="str">
        <f>IFERROR(__xludf.DUMMYFUNCTION("""COMPUTED_VALUE"""),"শাহাদত হোসেন")</f>
        <v>শাহাদত হোসেন</v>
      </c>
      <c r="F823" s="5" t="str">
        <f>IFERROR(__xludf.DUMMYFUNCTION("""COMPUTED_VALUE"""),"মোছাঃ রহিমা খাতুন")</f>
        <v>মোছাঃ রহিমা খাতুন</v>
      </c>
      <c r="G823" s="5" t="str">
        <f>IFERROR(__xludf.DUMMYFUNCTION("""COMPUTED_VALUE"""),"০৭/০২/১৯৭২")</f>
        <v>০৭/০২/১৯৭২</v>
      </c>
      <c r="H823" s="5" t="str">
        <f>IFERROR(__xludf.DUMMYFUNCTION("""COMPUTED_VALUE"""),"গৃহিণী")</f>
        <v>গৃহিণী</v>
      </c>
      <c r="I823" s="5" t="str">
        <f>IFERROR(__xludf.DUMMYFUNCTION("""COMPUTED_VALUE"""),"""গাড়াবোব")</f>
        <v>"গাড়াবোব</v>
      </c>
      <c r="J823" s="5" t="str">
        <f>IFERROR(__xludf.DUMMYFUNCTION("""COMPUTED_VALUE""")," গাংনী")</f>
        <v> গাংনী</v>
      </c>
      <c r="K823" s="5" t="str">
        <f>IFERROR(__xludf.DUMMYFUNCTION("""COMPUTED_VALUE""")," মেহেরপুর""")</f>
        <v> মেহেরপুর"</v>
      </c>
    </row>
    <row r="824" ht="15.75" customHeight="1">
      <c r="A824" s="7" t="s">
        <v>7504</v>
      </c>
      <c r="B824" s="1">
        <f>IFERROR(__xludf.DUMMYFUNCTION("SPLIT(A824,"","")"),1371.0)</f>
        <v>1371</v>
      </c>
      <c r="C824" s="5" t="str">
        <f>IFERROR(__xludf.DUMMYFUNCTION("""COMPUTED_VALUE"""),"মোছাঃ রহিদা খাতুন")</f>
        <v>মোছাঃ রহিদা খাতুন</v>
      </c>
      <c r="D824" s="5">
        <f>IFERROR(__xludf.DUMMYFUNCTION("""COMPUTED_VALUE"""),5.70038356234E11)</f>
        <v>570038356234</v>
      </c>
      <c r="E824" s="5" t="str">
        <f>IFERROR(__xludf.DUMMYFUNCTION("""COMPUTED_VALUE"""),"খোদা বক্স")</f>
        <v>খোদা বক্স</v>
      </c>
      <c r="F824" s="5" t="str">
        <f>IFERROR(__xludf.DUMMYFUNCTION("""COMPUTED_VALUE"""),"খুকি খাতুন")</f>
        <v>খুকি খাতুন</v>
      </c>
      <c r="G824" s="5" t="str">
        <f>IFERROR(__xludf.DUMMYFUNCTION("""COMPUTED_VALUE"""),"১০/০৫/১৯৭৩")</f>
        <v>১০/০৫/১৯৭৩</v>
      </c>
      <c r="H824" s="5" t="str">
        <f>IFERROR(__xludf.DUMMYFUNCTION("""COMPUTED_VALUE"""),"গৃহিণী")</f>
        <v>গৃহিণী</v>
      </c>
      <c r="I824" s="5" t="str">
        <f>IFERROR(__xludf.DUMMYFUNCTION("""COMPUTED_VALUE"""),"""গাড়াবোব")</f>
        <v>"গাড়াবোব</v>
      </c>
      <c r="J824" s="5" t="str">
        <f>IFERROR(__xludf.DUMMYFUNCTION("""COMPUTED_VALUE""")," গাংনী")</f>
        <v> গাংনী</v>
      </c>
      <c r="K824" s="5" t="str">
        <f>IFERROR(__xludf.DUMMYFUNCTION("""COMPUTED_VALUE""")," মেহেরপুর""")</f>
        <v> মেহেরপুর"</v>
      </c>
    </row>
    <row r="825" ht="15.75" customHeight="1">
      <c r="A825" s="7" t="s">
        <v>7505</v>
      </c>
      <c r="B825" s="1">
        <f>IFERROR(__xludf.DUMMYFUNCTION("SPLIT(A825,"","")"),1372.0)</f>
        <v>1372</v>
      </c>
      <c r="C825" s="5" t="str">
        <f>IFERROR(__xludf.DUMMYFUNCTION("""COMPUTED_VALUE"""),"মোছাঃ রওশন আরা")</f>
        <v>মোছাঃ রওশন আরা</v>
      </c>
      <c r="D825" s="5">
        <f>IFERROR(__xludf.DUMMYFUNCTION("""COMPUTED_VALUE"""),5.70038356235E11)</f>
        <v>570038356235</v>
      </c>
      <c r="E825" s="5" t="str">
        <f>IFERROR(__xludf.DUMMYFUNCTION("""COMPUTED_VALUE"""),"রমজান মন্ডল")</f>
        <v>রমজান মন্ডল</v>
      </c>
      <c r="F825" s="5" t="str">
        <f>IFERROR(__xludf.DUMMYFUNCTION("""COMPUTED_VALUE"""),"আছিয়া খাতুন")</f>
        <v>আছিয়া খাতুন</v>
      </c>
      <c r="G825" s="5" t="str">
        <f>IFERROR(__xludf.DUMMYFUNCTION("""COMPUTED_VALUE"""),"১৫/১০/১৯৬৫")</f>
        <v>১৫/১০/১৯৬৫</v>
      </c>
      <c r="H825" s="5" t="str">
        <f>IFERROR(__xludf.DUMMYFUNCTION("""COMPUTED_VALUE"""),"গৃহিণী")</f>
        <v>গৃহিণী</v>
      </c>
      <c r="I825" s="5" t="str">
        <f>IFERROR(__xludf.DUMMYFUNCTION("""COMPUTED_VALUE"""),"""গাড়াবোব")</f>
        <v>"গাড়াবোব</v>
      </c>
      <c r="J825" s="5" t="str">
        <f>IFERROR(__xludf.DUMMYFUNCTION("""COMPUTED_VALUE""")," গাংনী")</f>
        <v> গাংনী</v>
      </c>
      <c r="K825" s="5" t="str">
        <f>IFERROR(__xludf.DUMMYFUNCTION("""COMPUTED_VALUE""")," মেহেরপুর""")</f>
        <v> মেহেরপুর"</v>
      </c>
    </row>
    <row r="826" ht="15.75" customHeight="1">
      <c r="A826" s="7" t="s">
        <v>7506</v>
      </c>
      <c r="B826" s="1">
        <f>IFERROR(__xludf.DUMMYFUNCTION("SPLIT(A826,"","")"),1373.0)</f>
        <v>1373</v>
      </c>
      <c r="C826" s="5" t="str">
        <f>IFERROR(__xludf.DUMMYFUNCTION("""COMPUTED_VALUE"""),"মোছাঃ জহুরা খাতুন")</f>
        <v>মোছাঃ জহুরা খাতুন</v>
      </c>
      <c r="D826" s="5">
        <f>IFERROR(__xludf.DUMMYFUNCTION("""COMPUTED_VALUE"""),5.70038356236E11)</f>
        <v>570038356236</v>
      </c>
      <c r="E826" s="5" t="str">
        <f>IFERROR(__xludf.DUMMYFUNCTION("""COMPUTED_VALUE"""),"ওলি আহমেদ")</f>
        <v>ওলি আহমেদ</v>
      </c>
      <c r="F826" s="5" t="str">
        <f>IFERROR(__xludf.DUMMYFUNCTION("""COMPUTED_VALUE"""),"মোছাঃ পরিষ্কার খাতুন")</f>
        <v>মোছাঃ পরিষ্কার খাতুন</v>
      </c>
      <c r="G826" s="5" t="str">
        <f>IFERROR(__xludf.DUMMYFUNCTION("""COMPUTED_VALUE"""),"০৭/০৩/১৯৬২")</f>
        <v>০৭/০৩/১৯৬২</v>
      </c>
      <c r="H826" s="5" t="str">
        <f>IFERROR(__xludf.DUMMYFUNCTION("""COMPUTED_VALUE"""),"গৃহিণী")</f>
        <v>গৃহিণী</v>
      </c>
      <c r="I826" s="5" t="str">
        <f>IFERROR(__xludf.DUMMYFUNCTION("""COMPUTED_VALUE"""),"""গাড়াবোব")</f>
        <v>"গাড়াবোব</v>
      </c>
      <c r="J826" s="5" t="str">
        <f>IFERROR(__xludf.DUMMYFUNCTION("""COMPUTED_VALUE""")," গাংনী")</f>
        <v> গাংনী</v>
      </c>
      <c r="K826" s="5" t="str">
        <f>IFERROR(__xludf.DUMMYFUNCTION("""COMPUTED_VALUE""")," মেহেরপুর""")</f>
        <v> মেহেরপুর"</v>
      </c>
    </row>
    <row r="827" ht="15.75" customHeight="1">
      <c r="A827" s="7" t="s">
        <v>7507</v>
      </c>
      <c r="B827" s="1">
        <f>IFERROR(__xludf.DUMMYFUNCTION("SPLIT(A827,"","")"),1374.0)</f>
        <v>1374</v>
      </c>
      <c r="C827" s="5" t="str">
        <f>IFERROR(__xludf.DUMMYFUNCTION("""COMPUTED_VALUE"""),"মোছাঃ তহমিনা খাতুন")</f>
        <v>মোছাঃ তহমিনা খাতুন</v>
      </c>
      <c r="D827" s="5">
        <f>IFERROR(__xludf.DUMMYFUNCTION("""COMPUTED_VALUE"""),5.70038356237E11)</f>
        <v>570038356237</v>
      </c>
      <c r="E827" s="5" t="str">
        <f>IFERROR(__xludf.DUMMYFUNCTION("""COMPUTED_VALUE"""),"মোঃ হিসাব মন্ডল")</f>
        <v>মোঃ হিসাব মন্ডল</v>
      </c>
      <c r="F827" s="5" t="str">
        <f>IFERROR(__xludf.DUMMYFUNCTION("""COMPUTED_VALUE"""),"মোছাঃ মরিয়ম খাতুন")</f>
        <v>মোছাঃ মরিয়ম খাতুন</v>
      </c>
      <c r="G827" s="5" t="str">
        <f>IFERROR(__xludf.DUMMYFUNCTION("""COMPUTED_VALUE"""),"০২/০১/১৯৮২")</f>
        <v>০২/০১/১৯৮২</v>
      </c>
      <c r="H827" s="5" t="str">
        <f>IFERROR(__xludf.DUMMYFUNCTION("""COMPUTED_VALUE"""),"গৃহিণী")</f>
        <v>গৃহিণী</v>
      </c>
      <c r="I827" s="5" t="str">
        <f>IFERROR(__xludf.DUMMYFUNCTION("""COMPUTED_VALUE"""),"""গাড়াবোব")</f>
        <v>"গাড়াবোব</v>
      </c>
      <c r="J827" s="5" t="str">
        <f>IFERROR(__xludf.DUMMYFUNCTION("""COMPUTED_VALUE""")," গাংনী")</f>
        <v> গাংনী</v>
      </c>
      <c r="K827" s="5" t="str">
        <f>IFERROR(__xludf.DUMMYFUNCTION("""COMPUTED_VALUE""")," মেহেরপুর""")</f>
        <v> মেহেরপুর"</v>
      </c>
    </row>
    <row r="828" ht="15.75" customHeight="1">
      <c r="A828" s="7" t="s">
        <v>7508</v>
      </c>
      <c r="B828" s="1">
        <f>IFERROR(__xludf.DUMMYFUNCTION("SPLIT(A828,"","")"),1375.0)</f>
        <v>1375</v>
      </c>
      <c r="C828" s="5" t="str">
        <f>IFERROR(__xludf.DUMMYFUNCTION("""COMPUTED_VALUE"""),"মোছাঃ তসলিমা খাতুন")</f>
        <v>মোছাঃ তসলিমা খাতুন</v>
      </c>
      <c r="D828" s="5">
        <f>IFERROR(__xludf.DUMMYFUNCTION("""COMPUTED_VALUE"""),5.70038356239E11)</f>
        <v>570038356239</v>
      </c>
      <c r="E828" s="5" t="str">
        <f>IFERROR(__xludf.DUMMYFUNCTION("""COMPUTED_VALUE"""),"মোঃ খোদা বক্স")</f>
        <v>মোঃ খোদা বক্স</v>
      </c>
      <c r="F828" s="5" t="str">
        <f>IFERROR(__xludf.DUMMYFUNCTION("""COMPUTED_VALUE"""),"মোছাঃ আনোয়ারা খাতুন")</f>
        <v>মোছাঃ আনোয়ারা খাতুন</v>
      </c>
      <c r="G828" s="5" t="str">
        <f>IFERROR(__xludf.DUMMYFUNCTION("""COMPUTED_VALUE""")," ০৯/০৩/১৯৬৪")</f>
        <v> ০৯/০৩/১৯৬৪</v>
      </c>
      <c r="H828" s="5" t="str">
        <f>IFERROR(__xludf.DUMMYFUNCTION("""COMPUTED_VALUE"""),"গৃহিণী")</f>
        <v>গৃহিণী</v>
      </c>
      <c r="I828" s="5" t="str">
        <f>IFERROR(__xludf.DUMMYFUNCTION("""COMPUTED_VALUE"""),"""গাড়াবোব")</f>
        <v>"গাড়াবোব</v>
      </c>
      <c r="J828" s="5" t="str">
        <f>IFERROR(__xludf.DUMMYFUNCTION("""COMPUTED_VALUE""")," গাংনী")</f>
        <v> গাংনী</v>
      </c>
      <c r="K828" s="5" t="str">
        <f>IFERROR(__xludf.DUMMYFUNCTION("""COMPUTED_VALUE""")," মেহেরপুর""")</f>
        <v> মেহেরপুর"</v>
      </c>
    </row>
    <row r="829" ht="15.75" customHeight="1">
      <c r="A829" s="7" t="s">
        <v>7509</v>
      </c>
      <c r="B829" s="1">
        <f>IFERROR(__xludf.DUMMYFUNCTION("SPLIT(A829,"","")"),1376.0)</f>
        <v>1376</v>
      </c>
      <c r="C829" s="5" t="str">
        <f>IFERROR(__xludf.DUMMYFUNCTION("""COMPUTED_VALUE"""),"মোছাঃ ইসরাফন নেছা")</f>
        <v>মোছাঃ ইসরাফন নেছা</v>
      </c>
      <c r="D829" s="5">
        <f>IFERROR(__xludf.DUMMYFUNCTION("""COMPUTED_VALUE"""),5.7003835624E11)</f>
        <v>570038356240</v>
      </c>
      <c r="E829" s="5" t="str">
        <f>IFERROR(__xludf.DUMMYFUNCTION("""COMPUTED_VALUE"""),"একতার আলী")</f>
        <v>একতার আলী</v>
      </c>
      <c r="F829" s="5" t="str">
        <f>IFERROR(__xludf.DUMMYFUNCTION("""COMPUTED_VALUE"""),"মোছাঃ রহিমা খাতুন")</f>
        <v>মোছাঃ রহিমা খাতুন</v>
      </c>
      <c r="G829" s="5" t="str">
        <f>IFERROR(__xludf.DUMMYFUNCTION("""COMPUTED_VALUE"""),"১২/১০/১৯৬২")</f>
        <v>১২/১০/১৯৬২</v>
      </c>
      <c r="H829" s="5" t="str">
        <f>IFERROR(__xludf.DUMMYFUNCTION("""COMPUTED_VALUE"""),"গৃহিণী")</f>
        <v>গৃহিণী</v>
      </c>
      <c r="I829" s="5" t="str">
        <f>IFERROR(__xludf.DUMMYFUNCTION("""COMPUTED_VALUE"""),"""গাড়াবোব")</f>
        <v>"গাড়াবোব</v>
      </c>
      <c r="J829" s="5" t="str">
        <f>IFERROR(__xludf.DUMMYFUNCTION("""COMPUTED_VALUE""")," গাংনী")</f>
        <v> গাংনী</v>
      </c>
      <c r="K829" s="5" t="str">
        <f>IFERROR(__xludf.DUMMYFUNCTION("""COMPUTED_VALUE""")," মেহেরপুর""")</f>
        <v> মেহেরপুর"</v>
      </c>
    </row>
    <row r="830" ht="15.75" customHeight="1">
      <c r="A830" s="7" t="s">
        <v>7510</v>
      </c>
      <c r="B830" s="1">
        <f>IFERROR(__xludf.DUMMYFUNCTION("SPLIT(A830,"","")"),1377.0)</f>
        <v>1377</v>
      </c>
      <c r="C830" s="5" t="str">
        <f>IFERROR(__xludf.DUMMYFUNCTION("""COMPUTED_VALUE"""),"মোছাঃ কহিনুর আক্তার")</f>
        <v>মোছাঃ কহিনুর আক্তার</v>
      </c>
      <c r="D830" s="5">
        <f>IFERROR(__xludf.DUMMYFUNCTION("""COMPUTED_VALUE"""),5.70038356244E11)</f>
        <v>570038356244</v>
      </c>
      <c r="E830" s="5" t="str">
        <f>IFERROR(__xludf.DUMMYFUNCTION("""COMPUTED_VALUE"""),"মোঃ কিতাব আলী")</f>
        <v>মোঃ কিতাব আলী</v>
      </c>
      <c r="F830" s="5" t="str">
        <f>IFERROR(__xludf.DUMMYFUNCTION("""COMPUTED_VALUE"""),"মোছাঃ ইসরাফন নেছা")</f>
        <v>মোছাঃ ইসরাফন নেছা</v>
      </c>
      <c r="G830" s="5" t="str">
        <f>IFERROR(__xludf.DUMMYFUNCTION("""COMPUTED_VALUE"""),"১০/০৯/১৯৮৪")</f>
        <v>১০/০৯/১৯৮৪</v>
      </c>
      <c r="H830" s="5" t="str">
        <f>IFERROR(__xludf.DUMMYFUNCTION("""COMPUTED_VALUE"""),"গৃহিণী")</f>
        <v>গৃহিণী</v>
      </c>
      <c r="I830" s="5" t="str">
        <f>IFERROR(__xludf.DUMMYFUNCTION("""COMPUTED_VALUE"""),"""গাড়াবোব")</f>
        <v>"গাড়াবোব</v>
      </c>
      <c r="J830" s="5" t="str">
        <f>IFERROR(__xludf.DUMMYFUNCTION("""COMPUTED_VALUE""")," গাংনী")</f>
        <v> গাংনী</v>
      </c>
      <c r="K830" s="5" t="str">
        <f>IFERROR(__xludf.DUMMYFUNCTION("""COMPUTED_VALUE""")," মেহেরপুর""")</f>
        <v> মেহেরপুর"</v>
      </c>
    </row>
    <row r="831" ht="15.75" customHeight="1">
      <c r="A831" s="7" t="s">
        <v>7511</v>
      </c>
      <c r="B831" s="1">
        <f>IFERROR(__xludf.DUMMYFUNCTION("SPLIT(A831,"","")"),1378.0)</f>
        <v>1378</v>
      </c>
      <c r="C831" s="5" t="str">
        <f>IFERROR(__xludf.DUMMYFUNCTION("""COMPUTED_VALUE"""),"মোছাঃ আল্লাদি খাতুন")</f>
        <v>মোছাঃ আল্লাদি খাতুন</v>
      </c>
      <c r="D831" s="5">
        <f>IFERROR(__xludf.DUMMYFUNCTION("""COMPUTED_VALUE"""),5.70038356245E11)</f>
        <v>570038356245</v>
      </c>
      <c r="E831" s="5" t="str">
        <f>IFERROR(__xludf.DUMMYFUNCTION("""COMPUTED_VALUE"""),"তাসের আলী")</f>
        <v>তাসের আলী</v>
      </c>
      <c r="F831" s="5" t="str">
        <f>IFERROR(__xludf.DUMMYFUNCTION("""COMPUTED_VALUE"""),"মোছাঃ মেহেরন")</f>
        <v>মোছাঃ মেহেরন</v>
      </c>
      <c r="G831" s="5" t="str">
        <f>IFERROR(__xludf.DUMMYFUNCTION("""COMPUTED_VALUE"""),"০৫/০২/১৯৬২")</f>
        <v>০৫/০২/১৯৬২</v>
      </c>
      <c r="H831" s="5" t="str">
        <f>IFERROR(__xludf.DUMMYFUNCTION("""COMPUTED_VALUE"""),"গৃহিণী")</f>
        <v>গৃহিণী</v>
      </c>
      <c r="I831" s="5" t="str">
        <f>IFERROR(__xludf.DUMMYFUNCTION("""COMPUTED_VALUE"""),"""গাড়াবোব")</f>
        <v>"গাড়াবোব</v>
      </c>
      <c r="J831" s="5" t="str">
        <f>IFERROR(__xludf.DUMMYFUNCTION("""COMPUTED_VALUE""")," গাংনী")</f>
        <v> গাংনী</v>
      </c>
      <c r="K831" s="5" t="str">
        <f>IFERROR(__xludf.DUMMYFUNCTION("""COMPUTED_VALUE""")," মেহেরপুর""")</f>
        <v> মেহেরপুর"</v>
      </c>
    </row>
    <row r="832" ht="15.75" customHeight="1">
      <c r="A832" s="7" t="s">
        <v>7512</v>
      </c>
      <c r="B832" s="1">
        <f>IFERROR(__xludf.DUMMYFUNCTION("SPLIT(A832,"","")"),1379.0)</f>
        <v>1379</v>
      </c>
      <c r="C832" s="5" t="str">
        <f>IFERROR(__xludf.DUMMYFUNCTION("""COMPUTED_VALUE"""),"মোছাঃ সাজেদা খাতুন")</f>
        <v>মোছাঃ সাজেদা খাতুন</v>
      </c>
      <c r="D832" s="5">
        <f>IFERROR(__xludf.DUMMYFUNCTION("""COMPUTED_VALUE"""),5.70038356246E11)</f>
        <v>570038356246</v>
      </c>
      <c r="E832" s="5" t="str">
        <f>IFERROR(__xludf.DUMMYFUNCTION("""COMPUTED_VALUE"""),"মকছেদ আলী")</f>
        <v>মকছেদ আলী</v>
      </c>
      <c r="F832" s="5" t="str">
        <f>IFERROR(__xludf.DUMMYFUNCTION("""COMPUTED_VALUE"""),"মোছাঃ ফজিলাতুন নেছা")</f>
        <v>মোছাঃ ফজিলাতুন নেছা</v>
      </c>
      <c r="G832" s="5" t="str">
        <f>IFERROR(__xludf.DUMMYFUNCTION("""COMPUTED_VALUE"""),"১০/০২/১৯৬৫")</f>
        <v>১০/০২/১৯৬৫</v>
      </c>
      <c r="H832" s="5" t="str">
        <f>IFERROR(__xludf.DUMMYFUNCTION("""COMPUTED_VALUE"""),"গৃহিণী")</f>
        <v>গৃহিণী</v>
      </c>
      <c r="I832" s="5" t="str">
        <f>IFERROR(__xludf.DUMMYFUNCTION("""COMPUTED_VALUE"""),"""গাড়াবোব")</f>
        <v>"গাড়াবোব</v>
      </c>
      <c r="J832" s="5" t="str">
        <f>IFERROR(__xludf.DUMMYFUNCTION("""COMPUTED_VALUE""")," গাংনী")</f>
        <v> গাংনী</v>
      </c>
      <c r="K832" s="5" t="str">
        <f>IFERROR(__xludf.DUMMYFUNCTION("""COMPUTED_VALUE""")," মেহেরপুর""")</f>
        <v> মেহেরপুর"</v>
      </c>
    </row>
    <row r="833" ht="15.75" customHeight="1">
      <c r="A833" s="7" t="s">
        <v>7513</v>
      </c>
      <c r="B833" s="1">
        <f>IFERROR(__xludf.DUMMYFUNCTION("SPLIT(A833,"","")"),1380.0)</f>
        <v>1380</v>
      </c>
      <c r="C833" s="5" t="str">
        <f>IFERROR(__xludf.DUMMYFUNCTION("""COMPUTED_VALUE"""),"মোছাঃ শরিফা খাতুন")</f>
        <v>মোছাঃ শরিফা খাতুন</v>
      </c>
      <c r="D833" s="5">
        <f>IFERROR(__xludf.DUMMYFUNCTION("""COMPUTED_VALUE"""),5.70038356257E11)</f>
        <v>570038356257</v>
      </c>
      <c r="E833" s="5" t="str">
        <f>IFERROR(__xludf.DUMMYFUNCTION("""COMPUTED_VALUE"""),"মোঃ শহিদুল ইসলাম")</f>
        <v>মোঃ শহিদুল ইসলাম</v>
      </c>
      <c r="F833" s="5" t="str">
        <f>IFERROR(__xludf.DUMMYFUNCTION("""COMPUTED_VALUE"""),"মোছাঃ হামেদা খাতুন")</f>
        <v>মোছাঃ হামেদা খাতুন</v>
      </c>
      <c r="G833" s="5" t="str">
        <f>IFERROR(__xludf.DUMMYFUNCTION("""COMPUTED_VALUE"""),"০২/০৩/১৯৮৬")</f>
        <v>০২/০৩/১৯৮৬</v>
      </c>
      <c r="H833" s="5" t="str">
        <f>IFERROR(__xludf.DUMMYFUNCTION("""COMPUTED_VALUE"""),"গৃহিণী")</f>
        <v>গৃহিণী</v>
      </c>
      <c r="I833" s="5" t="str">
        <f>IFERROR(__xludf.DUMMYFUNCTION("""COMPUTED_VALUE"""),"""গাড়াবোব")</f>
        <v>"গাড়াবোব</v>
      </c>
      <c r="J833" s="5" t="str">
        <f>IFERROR(__xludf.DUMMYFUNCTION("""COMPUTED_VALUE""")," গাংনী")</f>
        <v> গাংনী</v>
      </c>
      <c r="K833" s="5" t="str">
        <f>IFERROR(__xludf.DUMMYFUNCTION("""COMPUTED_VALUE""")," মেহেরপুর""")</f>
        <v> মেহেরপুর"</v>
      </c>
    </row>
    <row r="834" ht="15.75" customHeight="1">
      <c r="A834" s="7" t="s">
        <v>7514</v>
      </c>
      <c r="B834" s="1">
        <f>IFERROR(__xludf.DUMMYFUNCTION("SPLIT(A834,"","")"),1381.0)</f>
        <v>1381</v>
      </c>
      <c r="C834" s="5" t="str">
        <f>IFERROR(__xludf.DUMMYFUNCTION("""COMPUTED_VALUE"""),"মোছাঃ রহিমা খাতুন")</f>
        <v>মোছাঃ রহিমা খাতুন</v>
      </c>
      <c r="D834" s="5">
        <f>IFERROR(__xludf.DUMMYFUNCTION("""COMPUTED_VALUE"""),5.70038356259E11)</f>
        <v>570038356259</v>
      </c>
      <c r="E834" s="5" t="str">
        <f>IFERROR(__xludf.DUMMYFUNCTION("""COMPUTED_VALUE"""),"মোবারক আলী")</f>
        <v>মোবারক আলী</v>
      </c>
      <c r="F834" s="5" t="str">
        <f>IFERROR(__xludf.DUMMYFUNCTION("""COMPUTED_VALUE"""),"রমেছা খাতুন")</f>
        <v>রমেছা খাতুন</v>
      </c>
      <c r="G834" s="5" t="str">
        <f>IFERROR(__xludf.DUMMYFUNCTION("""COMPUTED_VALUE"""),"০৭/০১/১৯৫২")</f>
        <v>০৭/০১/১৯৫২</v>
      </c>
      <c r="H834" s="5" t="str">
        <f>IFERROR(__xludf.DUMMYFUNCTION("""COMPUTED_VALUE"""),"গৃহিণী")</f>
        <v>গৃহিণী</v>
      </c>
      <c r="I834" s="5" t="str">
        <f>IFERROR(__xludf.DUMMYFUNCTION("""COMPUTED_VALUE"""),"""গাড়াবোব")</f>
        <v>"গাড়াবোব</v>
      </c>
      <c r="J834" s="5" t="str">
        <f>IFERROR(__xludf.DUMMYFUNCTION("""COMPUTED_VALUE""")," গাংনী")</f>
        <v> গাংনী</v>
      </c>
      <c r="K834" s="5" t="str">
        <f>IFERROR(__xludf.DUMMYFUNCTION("""COMPUTED_VALUE""")," মেহেরপুর""")</f>
        <v> মেহেরপুর"</v>
      </c>
    </row>
    <row r="835" ht="15.75" customHeight="1">
      <c r="A835" s="7" t="s">
        <v>7515</v>
      </c>
      <c r="B835" s="1">
        <f>IFERROR(__xludf.DUMMYFUNCTION("SPLIT(A835,"","")"),1382.0)</f>
        <v>1382</v>
      </c>
      <c r="C835" s="5" t="str">
        <f>IFERROR(__xludf.DUMMYFUNCTION("""COMPUTED_VALUE"""),"মোছাঃ খালেদা খাতুন")</f>
        <v>মোছাঃ খালেদা খাতুন</v>
      </c>
      <c r="D835" s="5">
        <f>IFERROR(__xludf.DUMMYFUNCTION("""COMPUTED_VALUE"""),5.70038356261E11)</f>
        <v>570038356261</v>
      </c>
      <c r="E835" s="5" t="str">
        <f>IFERROR(__xludf.DUMMYFUNCTION("""COMPUTED_VALUE"""),"মোঃ আয়জুদ্দীন")</f>
        <v>মোঃ আয়জুদ্দীন</v>
      </c>
      <c r="F835" s="5" t="str">
        <f>IFERROR(__xludf.DUMMYFUNCTION("""COMPUTED_VALUE"""),"মোছাঃ ছিয়াতন")</f>
        <v>মোছাঃ ছিয়াতন</v>
      </c>
      <c r="G835" s="5" t="str">
        <f>IFERROR(__xludf.DUMMYFUNCTION("""COMPUTED_VALUE"""),"০৩/০৫/১৯৭৭")</f>
        <v>০৩/০৫/১৯৭৭</v>
      </c>
      <c r="H835" s="5" t="str">
        <f>IFERROR(__xludf.DUMMYFUNCTION("""COMPUTED_VALUE"""),"গৃহিণী")</f>
        <v>গৃহিণী</v>
      </c>
      <c r="I835" s="5" t="str">
        <f>IFERROR(__xludf.DUMMYFUNCTION("""COMPUTED_VALUE"""),"""গাড়াবোব")</f>
        <v>"গাড়াবোব</v>
      </c>
      <c r="J835" s="5" t="str">
        <f>IFERROR(__xludf.DUMMYFUNCTION("""COMPUTED_VALUE""")," গাংনী")</f>
        <v> গাংনী</v>
      </c>
      <c r="K835" s="5" t="str">
        <f>IFERROR(__xludf.DUMMYFUNCTION("""COMPUTED_VALUE""")," মেহেরপুর""")</f>
        <v> মেহেরপুর"</v>
      </c>
    </row>
    <row r="836" ht="15.75" customHeight="1">
      <c r="A836" s="7" t="s">
        <v>7516</v>
      </c>
      <c r="B836" s="1">
        <f>IFERROR(__xludf.DUMMYFUNCTION("SPLIT(A836,"","")"),1383.0)</f>
        <v>1383</v>
      </c>
      <c r="C836" s="5" t="str">
        <f>IFERROR(__xludf.DUMMYFUNCTION("""COMPUTED_VALUE"""),"মোছাঃ শিরিনা খাতুন")</f>
        <v>মোছাঃ শিরিনা খাতুন</v>
      </c>
      <c r="D836" s="5">
        <f>IFERROR(__xludf.DUMMYFUNCTION("""COMPUTED_VALUE"""),5.70038356262E11)</f>
        <v>570038356262</v>
      </c>
      <c r="E836" s="5" t="str">
        <f>IFERROR(__xludf.DUMMYFUNCTION("""COMPUTED_VALUE"""),"মোঃ এলাহাদ")</f>
        <v>মোঃ এলাহাদ</v>
      </c>
      <c r="F836" s="5" t="str">
        <f>IFERROR(__xludf.DUMMYFUNCTION("""COMPUTED_VALUE"""),"মোছাঃ সহিদা খাতুন")</f>
        <v>মোছাঃ সহিদা খাতুন</v>
      </c>
      <c r="G836" s="5" t="str">
        <f>IFERROR(__xludf.DUMMYFUNCTION("""COMPUTED_VALUE"""),"১০/০২/১৯৮৩")</f>
        <v>১০/০২/১৯৮৩</v>
      </c>
      <c r="H836" s="5" t="str">
        <f>IFERROR(__xludf.DUMMYFUNCTION("""COMPUTED_VALUE"""),"গৃহিণী")</f>
        <v>গৃহিণী</v>
      </c>
      <c r="I836" s="5" t="str">
        <f>IFERROR(__xludf.DUMMYFUNCTION("""COMPUTED_VALUE"""),"""গাড়াবোব")</f>
        <v>"গাড়াবোব</v>
      </c>
      <c r="J836" s="5" t="str">
        <f>IFERROR(__xludf.DUMMYFUNCTION("""COMPUTED_VALUE""")," গাংনী")</f>
        <v> গাংনী</v>
      </c>
      <c r="K836" s="5" t="str">
        <f>IFERROR(__xludf.DUMMYFUNCTION("""COMPUTED_VALUE""")," মেহেরপুর""")</f>
        <v> মেহেরপুর"</v>
      </c>
    </row>
    <row r="837" ht="15.75" customHeight="1">
      <c r="A837" s="7" t="s">
        <v>7517</v>
      </c>
      <c r="B837" s="1">
        <f>IFERROR(__xludf.DUMMYFUNCTION("SPLIT(A837,"","")"),1384.0)</f>
        <v>1384</v>
      </c>
      <c r="C837" s="5" t="str">
        <f>IFERROR(__xludf.DUMMYFUNCTION("""COMPUTED_VALUE"""),"মোছাঃ রেহেনা খাতুন")</f>
        <v>মোছাঃ রেহেনা খাতুন</v>
      </c>
      <c r="D837" s="5">
        <f>IFERROR(__xludf.DUMMYFUNCTION("""COMPUTED_VALUE"""),5.70038356263E11)</f>
        <v>570038356263</v>
      </c>
      <c r="E837" s="5" t="str">
        <f>IFERROR(__xludf.DUMMYFUNCTION("""COMPUTED_VALUE"""),"আব্দুর রাজ্জাক")</f>
        <v>আব্দুর রাজ্জাক</v>
      </c>
      <c r="F837" s="5" t="str">
        <f>IFERROR(__xludf.DUMMYFUNCTION("""COMPUTED_VALUE"""),"মোছাঃ হাওয়া খাতুন")</f>
        <v>মোছাঃ হাওয়া খাতুন</v>
      </c>
      <c r="G837" s="5" t="str">
        <f>IFERROR(__xludf.DUMMYFUNCTION("""COMPUTED_VALUE"""),"০১/০১/১৯৮৮")</f>
        <v>০১/০১/১৯৮৮</v>
      </c>
      <c r="H837" s="5" t="str">
        <f>IFERROR(__xludf.DUMMYFUNCTION("""COMPUTED_VALUE"""),"গৃহিণী")</f>
        <v>গৃহিণী</v>
      </c>
      <c r="I837" s="5" t="str">
        <f>IFERROR(__xludf.DUMMYFUNCTION("""COMPUTED_VALUE"""),"""গাড়াবোব")</f>
        <v>"গাড়াবোব</v>
      </c>
      <c r="J837" s="5" t="str">
        <f>IFERROR(__xludf.DUMMYFUNCTION("""COMPUTED_VALUE""")," গাংনী")</f>
        <v> গাংনী</v>
      </c>
      <c r="K837" s="5" t="str">
        <f>IFERROR(__xludf.DUMMYFUNCTION("""COMPUTED_VALUE""")," মেহেরপুর""")</f>
        <v> মেহেরপুর"</v>
      </c>
    </row>
    <row r="838" ht="15.75" customHeight="1">
      <c r="A838" s="7" t="s">
        <v>7518</v>
      </c>
      <c r="B838" s="1">
        <f>IFERROR(__xludf.DUMMYFUNCTION("SPLIT(A838,"","")"),1385.0)</f>
        <v>1385</v>
      </c>
      <c r="C838" s="5" t="str">
        <f>IFERROR(__xludf.DUMMYFUNCTION("""COMPUTED_VALUE"""),"মোছাঃ আয়শা খাতুন")</f>
        <v>মোছাঃ আয়শা খাতুন</v>
      </c>
      <c r="D838" s="5">
        <f>IFERROR(__xludf.DUMMYFUNCTION("""COMPUTED_VALUE"""),5.7003835627E11)</f>
        <v>570038356270</v>
      </c>
      <c r="E838" s="5" t="str">
        <f>IFERROR(__xludf.DUMMYFUNCTION("""COMPUTED_VALUE"""),"ছলেমান")</f>
        <v>ছলেমান</v>
      </c>
      <c r="F838" s="5" t="str">
        <f>IFERROR(__xludf.DUMMYFUNCTION("""COMPUTED_VALUE"""),"মোছাঃ সারেজান")</f>
        <v>মোছাঃ সারেজান</v>
      </c>
      <c r="G838" s="5" t="str">
        <f>IFERROR(__xludf.DUMMYFUNCTION("""COMPUTED_VALUE"""),"০৭/০১/১৯৬৭")</f>
        <v>০৭/০১/১৯৬৭</v>
      </c>
      <c r="H838" s="5" t="str">
        <f>IFERROR(__xludf.DUMMYFUNCTION("""COMPUTED_VALUE"""),"গৃহিণী")</f>
        <v>গৃহিণী</v>
      </c>
      <c r="I838" s="5" t="str">
        <f>IFERROR(__xludf.DUMMYFUNCTION("""COMPUTED_VALUE"""),"""গাড়াবোব")</f>
        <v>"গাড়াবোব</v>
      </c>
      <c r="J838" s="5" t="str">
        <f>IFERROR(__xludf.DUMMYFUNCTION("""COMPUTED_VALUE""")," গাংনী")</f>
        <v> গাংনী</v>
      </c>
      <c r="K838" s="5" t="str">
        <f>IFERROR(__xludf.DUMMYFUNCTION("""COMPUTED_VALUE""")," মেহেরপুর""")</f>
        <v> মেহেরপুর"</v>
      </c>
    </row>
    <row r="839" ht="15.75" customHeight="1">
      <c r="A839" s="7" t="s">
        <v>7519</v>
      </c>
      <c r="B839" s="1">
        <f>IFERROR(__xludf.DUMMYFUNCTION("SPLIT(A839,"","")"),1386.0)</f>
        <v>1386</v>
      </c>
      <c r="C839" s="5" t="str">
        <f>IFERROR(__xludf.DUMMYFUNCTION("""COMPUTED_VALUE"""),"মোছাঃ মুসলিমা খাতুন")</f>
        <v>মোছাঃ মুসলিমা খাতুন</v>
      </c>
      <c r="D839" s="5">
        <f>IFERROR(__xludf.DUMMYFUNCTION("""COMPUTED_VALUE"""),5.70038356272E11)</f>
        <v>570038356272</v>
      </c>
      <c r="E839" s="5" t="str">
        <f>IFERROR(__xludf.DUMMYFUNCTION("""COMPUTED_VALUE"""),"আবুল হোসেন")</f>
        <v>আবুল হোসেন</v>
      </c>
      <c r="F839" s="5" t="str">
        <f>IFERROR(__xludf.DUMMYFUNCTION("""COMPUTED_VALUE"""),"মোছাঃ যমুনা বেগম")</f>
        <v>মোছাঃ যমুনা বেগম</v>
      </c>
      <c r="G839" s="5" t="str">
        <f>IFERROR(__xludf.DUMMYFUNCTION("""COMPUTED_VALUE"""),"০৪/০১/১৯৭১")</f>
        <v>০৪/০১/১৯৭১</v>
      </c>
      <c r="H839" s="5" t="str">
        <f>IFERROR(__xludf.DUMMYFUNCTION("""COMPUTED_VALUE"""),"গৃহিণী")</f>
        <v>গৃহিণী</v>
      </c>
      <c r="I839" s="5" t="str">
        <f>IFERROR(__xludf.DUMMYFUNCTION("""COMPUTED_VALUE"""),"""গাড়াবোব")</f>
        <v>"গাড়াবোব</v>
      </c>
      <c r="J839" s="5" t="str">
        <f>IFERROR(__xludf.DUMMYFUNCTION("""COMPUTED_VALUE""")," গাংনী")</f>
        <v> গাংনী</v>
      </c>
      <c r="K839" s="5" t="str">
        <f>IFERROR(__xludf.DUMMYFUNCTION("""COMPUTED_VALUE""")," মেহেরপুর""")</f>
        <v> মেহেরপুর"</v>
      </c>
    </row>
    <row r="840" ht="15.75" customHeight="1">
      <c r="A840" s="7" t="s">
        <v>7520</v>
      </c>
      <c r="B840" s="1">
        <f>IFERROR(__xludf.DUMMYFUNCTION("SPLIT(A840,"","")"),1387.0)</f>
        <v>1387</v>
      </c>
      <c r="C840" s="5" t="str">
        <f>IFERROR(__xludf.DUMMYFUNCTION("""COMPUTED_VALUE"""),"মোছাঃ নাসিমা খাতুন")</f>
        <v>মোছাঃ নাসিমা খাতুন</v>
      </c>
      <c r="D840" s="5">
        <f>IFERROR(__xludf.DUMMYFUNCTION("""COMPUTED_VALUE"""),5.70038356273E11)</f>
        <v>570038356273</v>
      </c>
      <c r="E840" s="5" t="str">
        <f>IFERROR(__xludf.DUMMYFUNCTION("""COMPUTED_VALUE"""),"গোলাম")</f>
        <v>গোলাম</v>
      </c>
      <c r="F840" s="5" t="str">
        <f>IFERROR(__xludf.DUMMYFUNCTION("""COMPUTED_VALUE"""),"মোছাঃ কুলছুম খাতুন")</f>
        <v>মোছাঃ কুলছুম খাতুন</v>
      </c>
      <c r="G840" s="5" t="str">
        <f>IFERROR(__xludf.DUMMYFUNCTION("""COMPUTED_VALUE"""),"১০/০৫/১৯৭৯")</f>
        <v>১০/০৫/১৯৭৯</v>
      </c>
      <c r="H840" s="5" t="str">
        <f>IFERROR(__xludf.DUMMYFUNCTION("""COMPUTED_VALUE"""),"গৃহিণী")</f>
        <v>গৃহিণী</v>
      </c>
      <c r="I840" s="5" t="str">
        <f>IFERROR(__xludf.DUMMYFUNCTION("""COMPUTED_VALUE"""),"""গাড়াবোব")</f>
        <v>"গাড়াবোব</v>
      </c>
      <c r="J840" s="5" t="str">
        <f>IFERROR(__xludf.DUMMYFUNCTION("""COMPUTED_VALUE""")," গাংনী")</f>
        <v> গাংনী</v>
      </c>
      <c r="K840" s="5" t="str">
        <f>IFERROR(__xludf.DUMMYFUNCTION("""COMPUTED_VALUE""")," মেহেরপুর""")</f>
        <v> মেহেরপুর"</v>
      </c>
    </row>
    <row r="841" ht="15.75" customHeight="1">
      <c r="A841" s="7" t="s">
        <v>7521</v>
      </c>
      <c r="B841" s="1">
        <f>IFERROR(__xludf.DUMMYFUNCTION("SPLIT(A841,"","")"),1388.0)</f>
        <v>1388</v>
      </c>
      <c r="C841" s="5" t="str">
        <f>IFERROR(__xludf.DUMMYFUNCTION("""COMPUTED_VALUE"""),"মোছাঃ পারুলা খাতুন")</f>
        <v>মোছাঃ পারুলা খাতুন</v>
      </c>
      <c r="D841" s="5">
        <f>IFERROR(__xludf.DUMMYFUNCTION("""COMPUTED_VALUE"""),5.70038356274E11)</f>
        <v>570038356274</v>
      </c>
      <c r="E841" s="5" t="str">
        <f>IFERROR(__xludf.DUMMYFUNCTION("""COMPUTED_VALUE"""),"মোঃ আহাদ আলী")</f>
        <v>মোঃ আহাদ আলী</v>
      </c>
      <c r="F841" s="5" t="str">
        <f>IFERROR(__xludf.DUMMYFUNCTION("""COMPUTED_VALUE"""),"মোছাঃ ছকিনা খাতুন")</f>
        <v>মোছাঃ ছকিনা খাতুন</v>
      </c>
      <c r="G841" s="5" t="str">
        <f>IFERROR(__xludf.DUMMYFUNCTION("""COMPUTED_VALUE"""),"০৫/০১/১৯৮৪")</f>
        <v>০৫/০১/১৯৮৪</v>
      </c>
      <c r="H841" s="5" t="str">
        <f>IFERROR(__xludf.DUMMYFUNCTION("""COMPUTED_VALUE"""),"গৃহিণী")</f>
        <v>গৃহিণী</v>
      </c>
      <c r="I841" s="5" t="str">
        <f>IFERROR(__xludf.DUMMYFUNCTION("""COMPUTED_VALUE"""),"""গাড়াবোব")</f>
        <v>"গাড়াবোব</v>
      </c>
      <c r="J841" s="5" t="str">
        <f>IFERROR(__xludf.DUMMYFUNCTION("""COMPUTED_VALUE""")," গাংনী")</f>
        <v> গাংনী</v>
      </c>
      <c r="K841" s="5" t="str">
        <f>IFERROR(__xludf.DUMMYFUNCTION("""COMPUTED_VALUE""")," মেহেরপুর""")</f>
        <v> মেহেরপুর"</v>
      </c>
    </row>
    <row r="842" ht="15.75" customHeight="1">
      <c r="A842" s="7" t="s">
        <v>7522</v>
      </c>
      <c r="B842" s="1">
        <f>IFERROR(__xludf.DUMMYFUNCTION("SPLIT(A842,"","")"),1389.0)</f>
        <v>1389</v>
      </c>
      <c r="C842" s="5" t="str">
        <f>IFERROR(__xludf.DUMMYFUNCTION("""COMPUTED_VALUE"""),"মোছাঃ হাচেনা খাতুন")</f>
        <v>মোছাঃ হাচেনা খাতুন</v>
      </c>
      <c r="D842" s="5">
        <f>IFERROR(__xludf.DUMMYFUNCTION("""COMPUTED_VALUE"""),5.70038356276E11)</f>
        <v>570038356276</v>
      </c>
      <c r="E842" s="5" t="str">
        <f>IFERROR(__xludf.DUMMYFUNCTION("""COMPUTED_VALUE"""),"আরজ শেখ")</f>
        <v>আরজ শেখ</v>
      </c>
      <c r="F842" s="5" t="str">
        <f>IFERROR(__xludf.DUMMYFUNCTION("""COMPUTED_VALUE"""),"হামেদা খাতুন")</f>
        <v>হামেদা খাতুন</v>
      </c>
      <c r="G842" s="5" t="str">
        <f>IFERROR(__xludf.DUMMYFUNCTION("""COMPUTED_VALUE"""),"১৮/০৯/১৯৫৭")</f>
        <v>১৮/০৯/১৯৫৭</v>
      </c>
      <c r="H842" s="5" t="str">
        <f>IFERROR(__xludf.DUMMYFUNCTION("""COMPUTED_VALUE"""),"গৃহিণী")</f>
        <v>গৃহিণী</v>
      </c>
      <c r="I842" s="5" t="str">
        <f>IFERROR(__xludf.DUMMYFUNCTION("""COMPUTED_VALUE"""),"""গাড়াবোব")</f>
        <v>"গাড়াবোব</v>
      </c>
      <c r="J842" s="5" t="str">
        <f>IFERROR(__xludf.DUMMYFUNCTION("""COMPUTED_VALUE""")," গাংনী")</f>
        <v> গাংনী</v>
      </c>
      <c r="K842" s="5" t="str">
        <f>IFERROR(__xludf.DUMMYFUNCTION("""COMPUTED_VALUE""")," মেহেরপুর""")</f>
        <v> মেহেরপুর"</v>
      </c>
    </row>
    <row r="843" ht="15.75" customHeight="1">
      <c r="A843" s="7" t="s">
        <v>7523</v>
      </c>
      <c r="B843" s="1">
        <f>IFERROR(__xludf.DUMMYFUNCTION("SPLIT(A843,"","")"),1390.0)</f>
        <v>1390</v>
      </c>
      <c r="C843" s="5" t="str">
        <f>IFERROR(__xludf.DUMMYFUNCTION("""COMPUTED_VALUE"""),"মোছাঃ মার্জিয়া খাতুন")</f>
        <v>মোছাঃ মার্জিয়া খাতুন</v>
      </c>
      <c r="D843" s="5">
        <f>IFERROR(__xludf.DUMMYFUNCTION("""COMPUTED_VALUE"""),5.70038356277E11)</f>
        <v>570038356277</v>
      </c>
      <c r="E843" s="5" t="str">
        <f>IFERROR(__xludf.DUMMYFUNCTION("""COMPUTED_VALUE"""),"মোঃ মাজেত মল্লিক")</f>
        <v>মোঃ মাজেত মল্লিক</v>
      </c>
      <c r="F843" s="5" t="str">
        <f>IFERROR(__xludf.DUMMYFUNCTION("""COMPUTED_VALUE"""),"মোছাঃ তোহুরা খাতুন")</f>
        <v>মোছাঃ তোহুরা খাতুন</v>
      </c>
      <c r="G843" s="5" t="str">
        <f>IFERROR(__xludf.DUMMYFUNCTION("""COMPUTED_VALUE"""),"০৫/০২/১৯৮৭")</f>
        <v>০৫/০২/১৯৮৭</v>
      </c>
      <c r="H843" s="5" t="str">
        <f>IFERROR(__xludf.DUMMYFUNCTION("""COMPUTED_VALUE"""),"গৃহিণী")</f>
        <v>গৃহিণী</v>
      </c>
      <c r="I843" s="5" t="str">
        <f>IFERROR(__xludf.DUMMYFUNCTION("""COMPUTED_VALUE"""),"""গাড়াবোব")</f>
        <v>"গাড়াবোব</v>
      </c>
      <c r="J843" s="5" t="str">
        <f>IFERROR(__xludf.DUMMYFUNCTION("""COMPUTED_VALUE""")," গাংনী")</f>
        <v> গাংনী</v>
      </c>
      <c r="K843" s="5" t="str">
        <f>IFERROR(__xludf.DUMMYFUNCTION("""COMPUTED_VALUE""")," মেহেরপুর""")</f>
        <v> মেহেরপুর"</v>
      </c>
    </row>
    <row r="844" ht="15.75" customHeight="1">
      <c r="A844" s="7" t="s">
        <v>7524</v>
      </c>
      <c r="B844" s="1">
        <f>IFERROR(__xludf.DUMMYFUNCTION("SPLIT(A844,"","")"),1391.0)</f>
        <v>1391</v>
      </c>
      <c r="C844" s="5" t="str">
        <f>IFERROR(__xludf.DUMMYFUNCTION("""COMPUTED_VALUE"""),"মোছাঃ বিলকিস আরা")</f>
        <v>মোছাঃ বিলকিস আরা</v>
      </c>
      <c r="D844" s="5">
        <f>IFERROR(__xludf.DUMMYFUNCTION("""COMPUTED_VALUE"""),5.70038356278E11)</f>
        <v>570038356278</v>
      </c>
      <c r="E844" s="5" t="str">
        <f>IFERROR(__xludf.DUMMYFUNCTION("""COMPUTED_VALUE"""),"ছফরুদ্দিন")</f>
        <v>ছফরুদ্দিন</v>
      </c>
      <c r="F844" s="5" t="str">
        <f>IFERROR(__xludf.DUMMYFUNCTION("""COMPUTED_VALUE"""),"শহিদা খাতুন")</f>
        <v>শহিদা খাতুন</v>
      </c>
      <c r="G844" s="5" t="str">
        <f>IFERROR(__xludf.DUMMYFUNCTION("""COMPUTED_VALUE"""),"০৬/০১/১৯৮৪")</f>
        <v>০৬/০১/১৯৮৪</v>
      </c>
      <c r="H844" s="5" t="str">
        <f>IFERROR(__xludf.DUMMYFUNCTION("""COMPUTED_VALUE"""),"গৃহিণী")</f>
        <v>গৃহিণী</v>
      </c>
      <c r="I844" s="5" t="str">
        <f>IFERROR(__xludf.DUMMYFUNCTION("""COMPUTED_VALUE"""),"""গাড়াবোব")</f>
        <v>"গাড়াবোব</v>
      </c>
      <c r="J844" s="5" t="str">
        <f>IFERROR(__xludf.DUMMYFUNCTION("""COMPUTED_VALUE""")," গাংনী")</f>
        <v> গাংনী</v>
      </c>
      <c r="K844" s="5" t="str">
        <f>IFERROR(__xludf.DUMMYFUNCTION("""COMPUTED_VALUE""")," মেহেরপুর""")</f>
        <v> মেহেরপুর"</v>
      </c>
    </row>
    <row r="845" ht="15.75" customHeight="1">
      <c r="A845" s="7" t="s">
        <v>7525</v>
      </c>
      <c r="B845" s="1">
        <f>IFERROR(__xludf.DUMMYFUNCTION("SPLIT(A845,"","")"),1392.0)</f>
        <v>1392</v>
      </c>
      <c r="C845" s="5" t="str">
        <f>IFERROR(__xludf.DUMMYFUNCTION("""COMPUTED_VALUE"""),"মোছাঃ খোদেজা খাতুন")</f>
        <v>মোছাঃ খোদেজা খাতুন</v>
      </c>
      <c r="D845" s="5">
        <f>IFERROR(__xludf.DUMMYFUNCTION("""COMPUTED_VALUE"""),5.7003835628E11)</f>
        <v>570038356280</v>
      </c>
      <c r="E845" s="5" t="str">
        <f>IFERROR(__xludf.DUMMYFUNCTION("""COMPUTED_VALUE"""),"আব্দুল জলিল")</f>
        <v>আব্দুল জলিল</v>
      </c>
      <c r="F845" s="5" t="str">
        <f>IFERROR(__xludf.DUMMYFUNCTION("""COMPUTED_VALUE"""),"ছকিনা")</f>
        <v>ছকিনা</v>
      </c>
      <c r="G845" s="5" t="str">
        <f>IFERROR(__xludf.DUMMYFUNCTION("""COMPUTED_VALUE"""),"১২/০২/১৯৬২")</f>
        <v>১২/০২/১৯৬২</v>
      </c>
      <c r="H845" s="5" t="str">
        <f>IFERROR(__xludf.DUMMYFUNCTION("""COMPUTED_VALUE"""),"গৃহিণী")</f>
        <v>গৃহিণী</v>
      </c>
      <c r="I845" s="5" t="str">
        <f>IFERROR(__xludf.DUMMYFUNCTION("""COMPUTED_VALUE"""),"""গাড়াবোব")</f>
        <v>"গাড়াবোব</v>
      </c>
      <c r="J845" s="5" t="str">
        <f>IFERROR(__xludf.DUMMYFUNCTION("""COMPUTED_VALUE""")," গাংনী")</f>
        <v> গাংনী</v>
      </c>
      <c r="K845" s="5" t="str">
        <f>IFERROR(__xludf.DUMMYFUNCTION("""COMPUTED_VALUE""")," মেহেরপুর""")</f>
        <v> মেহেরপুর"</v>
      </c>
    </row>
    <row r="846" ht="15.75" customHeight="1">
      <c r="A846" s="7" t="s">
        <v>7526</v>
      </c>
      <c r="B846" s="1">
        <f>IFERROR(__xludf.DUMMYFUNCTION("SPLIT(A846,"","")"),1393.0)</f>
        <v>1393</v>
      </c>
      <c r="C846" s="5" t="str">
        <f>IFERROR(__xludf.DUMMYFUNCTION("""COMPUTED_VALUE"""),"মোছাঃ মেলেজান")</f>
        <v>মোছাঃ মেলেজান</v>
      </c>
      <c r="D846" s="5">
        <f>IFERROR(__xludf.DUMMYFUNCTION("""COMPUTED_VALUE"""),5.70038356293E11)</f>
        <v>570038356293</v>
      </c>
      <c r="E846" s="5" t="str">
        <f>IFERROR(__xludf.DUMMYFUNCTION("""COMPUTED_VALUE"""),"সদর আলী")</f>
        <v>সদর আলী</v>
      </c>
      <c r="F846" s="5" t="str">
        <f>IFERROR(__xludf.DUMMYFUNCTION("""COMPUTED_VALUE"""),"শাবানা বেগম")</f>
        <v>শাবানা বেগম</v>
      </c>
      <c r="G846" s="5" t="str">
        <f>IFERROR(__xludf.DUMMYFUNCTION("""COMPUTED_VALUE"""),"১০/১১/১৯৬২")</f>
        <v>১০/১১/১৯৬২</v>
      </c>
      <c r="H846" s="5" t="str">
        <f>IFERROR(__xludf.DUMMYFUNCTION("""COMPUTED_VALUE"""),"গৃহিণী")</f>
        <v>গৃহিণী</v>
      </c>
      <c r="I846" s="5" t="str">
        <f>IFERROR(__xludf.DUMMYFUNCTION("""COMPUTED_VALUE"""),"""গাড়াবোব")</f>
        <v>"গাড়াবোব</v>
      </c>
      <c r="J846" s="5" t="str">
        <f>IFERROR(__xludf.DUMMYFUNCTION("""COMPUTED_VALUE""")," গাংনী")</f>
        <v> গাংনী</v>
      </c>
      <c r="K846" s="5" t="str">
        <f>IFERROR(__xludf.DUMMYFUNCTION("""COMPUTED_VALUE""")," মেহেরপুর""")</f>
        <v> মেহেরপুর"</v>
      </c>
    </row>
    <row r="847" ht="15.75" customHeight="1">
      <c r="A847" s="7" t="s">
        <v>7527</v>
      </c>
      <c r="B847" s="1">
        <f>IFERROR(__xludf.DUMMYFUNCTION("SPLIT(A847,"","")"),1394.0)</f>
        <v>1394</v>
      </c>
      <c r="C847" s="5" t="str">
        <f>IFERROR(__xludf.DUMMYFUNCTION("""COMPUTED_VALUE"""),"মোছাঃ রোকেয়া বেগম")</f>
        <v>মোছাঃ রোকেয়া বেগম</v>
      </c>
      <c r="D847" s="5">
        <f>IFERROR(__xludf.DUMMYFUNCTION("""COMPUTED_VALUE"""),5.70038356295E11)</f>
        <v>570038356295</v>
      </c>
      <c r="E847" s="5" t="str">
        <f>IFERROR(__xludf.DUMMYFUNCTION("""COMPUTED_VALUE"""),"মোঃ আলি হোসেন")</f>
        <v>মোঃ আলি হোসেন</v>
      </c>
      <c r="F847" s="5" t="str">
        <f>IFERROR(__xludf.DUMMYFUNCTION("""COMPUTED_VALUE"""),"মোছাঃ সোনা ভানু")</f>
        <v>মোছাঃ সোনা ভানু</v>
      </c>
      <c r="G847" s="5" t="str">
        <f>IFERROR(__xludf.DUMMYFUNCTION("""COMPUTED_VALUE"""),"০৩/০১/১৯৭৭")</f>
        <v>০৩/০১/১৯৭৭</v>
      </c>
      <c r="H847" s="5" t="str">
        <f>IFERROR(__xludf.DUMMYFUNCTION("""COMPUTED_VALUE"""),"গৃহিণী")</f>
        <v>গৃহিণী</v>
      </c>
      <c r="I847" s="5" t="str">
        <f>IFERROR(__xludf.DUMMYFUNCTION("""COMPUTED_VALUE"""),"""গাড়াবোব")</f>
        <v>"গাড়াবোব</v>
      </c>
      <c r="J847" s="5" t="str">
        <f>IFERROR(__xludf.DUMMYFUNCTION("""COMPUTED_VALUE""")," গাংনী")</f>
        <v> গাংনী</v>
      </c>
      <c r="K847" s="5" t="str">
        <f>IFERROR(__xludf.DUMMYFUNCTION("""COMPUTED_VALUE""")," মেহেরপুর""")</f>
        <v> মেহেরপুর"</v>
      </c>
    </row>
    <row r="848" ht="15.75" customHeight="1">
      <c r="A848" s="7" t="s">
        <v>7528</v>
      </c>
      <c r="B848" s="1">
        <f>IFERROR(__xludf.DUMMYFUNCTION("SPLIT(A848,"","")"),1395.0)</f>
        <v>1395</v>
      </c>
      <c r="C848" s="5" t="str">
        <f>IFERROR(__xludf.DUMMYFUNCTION("""COMPUTED_VALUE"""),"মোছাঃ ফেরদৌসি বেগম")</f>
        <v>মোছাঃ ফেরদৌসি বেগম</v>
      </c>
      <c r="D848" s="5">
        <f>IFERROR(__xludf.DUMMYFUNCTION("""COMPUTED_VALUE"""),5.70038356296E11)</f>
        <v>570038356296</v>
      </c>
      <c r="E848" s="5" t="str">
        <f>IFERROR(__xludf.DUMMYFUNCTION("""COMPUTED_VALUE"""),"লুৎফর রহমান")</f>
        <v>লুৎফর রহমান</v>
      </c>
      <c r="F848" s="5" t="str">
        <f>IFERROR(__xludf.DUMMYFUNCTION("""COMPUTED_VALUE"""),"মোছাঃ রোকেয়া বেগম")</f>
        <v>মোছাঃ রোকেয়া বেগম</v>
      </c>
      <c r="G848" s="5" t="str">
        <f>IFERROR(__xludf.DUMMYFUNCTION("""COMPUTED_VALUE"""),"০৩/০১/১৯৮২")</f>
        <v>০৩/০১/১৯৮২</v>
      </c>
      <c r="H848" s="5" t="str">
        <f>IFERROR(__xludf.DUMMYFUNCTION("""COMPUTED_VALUE"""),"গৃহিণী")</f>
        <v>গৃহিণী</v>
      </c>
      <c r="I848" s="5" t="str">
        <f>IFERROR(__xludf.DUMMYFUNCTION("""COMPUTED_VALUE"""),"""গাড়াবোব")</f>
        <v>"গাড়াবোব</v>
      </c>
      <c r="J848" s="5" t="str">
        <f>IFERROR(__xludf.DUMMYFUNCTION("""COMPUTED_VALUE""")," গাংনী")</f>
        <v> গাংনী</v>
      </c>
      <c r="K848" s="5" t="str">
        <f>IFERROR(__xludf.DUMMYFUNCTION("""COMPUTED_VALUE""")," মেহেরপুর""")</f>
        <v> মেহেরপুর"</v>
      </c>
    </row>
    <row r="849" ht="15.75" customHeight="1">
      <c r="A849" s="7" t="s">
        <v>7529</v>
      </c>
      <c r="B849" s="1">
        <f>IFERROR(__xludf.DUMMYFUNCTION("SPLIT(A849,"","")"),1396.0)</f>
        <v>1396</v>
      </c>
      <c r="C849" s="5" t="str">
        <f>IFERROR(__xludf.DUMMYFUNCTION("""COMPUTED_VALUE"""),"মোছাঃ সহিদা খাতুন")</f>
        <v>মোছাঃ সহিদা খাতুন</v>
      </c>
      <c r="D849" s="5">
        <f>IFERROR(__xludf.DUMMYFUNCTION("""COMPUTED_VALUE"""),5.70038356297E11)</f>
        <v>570038356297</v>
      </c>
      <c r="E849" s="5" t="str">
        <f>IFERROR(__xludf.DUMMYFUNCTION("""COMPUTED_VALUE"""),"খেদ আলী খন্দকার")</f>
        <v>খেদ আলী খন্দকার</v>
      </c>
      <c r="F849" s="5" t="str">
        <f>IFERROR(__xludf.DUMMYFUNCTION("""COMPUTED_VALUE"""),"মোছাঃ শামেনা বেগম")</f>
        <v>মোছাঃ শামেনা বেগম</v>
      </c>
      <c r="G849" s="5" t="str">
        <f>IFERROR(__xludf.DUMMYFUNCTION("""COMPUTED_VALUE"""),"১০/০২/১৯৬৯")</f>
        <v>১০/০২/১৯৬৯</v>
      </c>
      <c r="H849" s="5" t="str">
        <f>IFERROR(__xludf.DUMMYFUNCTION("""COMPUTED_VALUE"""),"গৃহিণী")</f>
        <v>গৃহিণী</v>
      </c>
      <c r="I849" s="5" t="str">
        <f>IFERROR(__xludf.DUMMYFUNCTION("""COMPUTED_VALUE"""),"""গাড়াবোব")</f>
        <v>"গাড়াবোব</v>
      </c>
      <c r="J849" s="5" t="str">
        <f>IFERROR(__xludf.DUMMYFUNCTION("""COMPUTED_VALUE""")," গাংনী")</f>
        <v> গাংনী</v>
      </c>
      <c r="K849" s="5" t="str">
        <f>IFERROR(__xludf.DUMMYFUNCTION("""COMPUTED_VALUE""")," মেহেরপুর""")</f>
        <v> মেহেরপুর"</v>
      </c>
    </row>
    <row r="850" ht="15.75" customHeight="1">
      <c r="A850" s="7" t="s">
        <v>7530</v>
      </c>
      <c r="B850" s="1">
        <f>IFERROR(__xludf.DUMMYFUNCTION("SPLIT(A850,"","")"),1397.0)</f>
        <v>1397</v>
      </c>
      <c r="C850" s="5" t="str">
        <f>IFERROR(__xludf.DUMMYFUNCTION("""COMPUTED_VALUE"""),"মোছাঃ মুসলিমা খাতুন")</f>
        <v>মোছাঃ মুসলিমা খাতুন</v>
      </c>
      <c r="D850" s="5">
        <f>IFERROR(__xludf.DUMMYFUNCTION("""COMPUTED_VALUE"""),5.70038356298E11)</f>
        <v>570038356298</v>
      </c>
      <c r="E850" s="5" t="str">
        <f>IFERROR(__xludf.DUMMYFUNCTION("""COMPUTED_VALUE"""),"মোঃ মকলেছুর রহমান মুকুল")</f>
        <v>মোঃ মকলেছুর রহমান মুকুল</v>
      </c>
      <c r="F850" s="5" t="str">
        <f>IFERROR(__xludf.DUMMYFUNCTION("""COMPUTED_VALUE"""),"মোছাঃ সহিদা খাতুন")</f>
        <v>মোছাঃ সহিদা খাতুন</v>
      </c>
      <c r="G850" s="5" t="str">
        <f>IFERROR(__xludf.DUMMYFUNCTION("""COMPUTED_VALUE"""),"০৩/০৪/১৯৮৬")</f>
        <v>০৩/০৪/১৯৮৬</v>
      </c>
      <c r="H850" s="5" t="str">
        <f>IFERROR(__xludf.DUMMYFUNCTION("""COMPUTED_VALUE"""),"গৃহিণী")</f>
        <v>গৃহিণী</v>
      </c>
      <c r="I850" s="5" t="str">
        <f>IFERROR(__xludf.DUMMYFUNCTION("""COMPUTED_VALUE"""),"""গাড়াবোব")</f>
        <v>"গাড়াবোব</v>
      </c>
      <c r="J850" s="5" t="str">
        <f>IFERROR(__xludf.DUMMYFUNCTION("""COMPUTED_VALUE""")," গাংনী")</f>
        <v> গাংনী</v>
      </c>
      <c r="K850" s="5" t="str">
        <f>IFERROR(__xludf.DUMMYFUNCTION("""COMPUTED_VALUE""")," মেহেরপুর""")</f>
        <v> মেহেরপুর"</v>
      </c>
    </row>
    <row r="851" ht="15.75" customHeight="1">
      <c r="A851" s="7" t="s">
        <v>7531</v>
      </c>
      <c r="B851" s="1">
        <f>IFERROR(__xludf.DUMMYFUNCTION("SPLIT(A851,"","")"),1398.0)</f>
        <v>1398</v>
      </c>
      <c r="C851" s="5" t="str">
        <f>IFERROR(__xludf.DUMMYFUNCTION("""COMPUTED_VALUE"""),"মোছাঃ সাবিনা খাতুন")</f>
        <v>মোছাঃ সাবিনা খাতুন</v>
      </c>
      <c r="D851" s="5">
        <f>IFERROR(__xludf.DUMMYFUNCTION("""COMPUTED_VALUE"""),5.700383563E11)</f>
        <v>570038356300</v>
      </c>
      <c r="E851" s="5" t="str">
        <f>IFERROR(__xludf.DUMMYFUNCTION("""COMPUTED_VALUE"""),"ছলেমান")</f>
        <v>ছলেমান</v>
      </c>
      <c r="F851" s="5" t="str">
        <f>IFERROR(__xludf.DUMMYFUNCTION("""COMPUTED_VALUE"""),"নছিয়া")</f>
        <v>নছিয়া</v>
      </c>
      <c r="G851" s="5" t="str">
        <f>IFERROR(__xludf.DUMMYFUNCTION("""COMPUTED_VALUE"""),"০৩/০৫/১৯৮৫")</f>
        <v>০৩/০৫/১৯৮৫</v>
      </c>
      <c r="H851" s="5" t="str">
        <f>IFERROR(__xludf.DUMMYFUNCTION("""COMPUTED_VALUE"""),"গৃহিণী")</f>
        <v>গৃহিণী</v>
      </c>
      <c r="I851" s="5" t="str">
        <f>IFERROR(__xludf.DUMMYFUNCTION("""COMPUTED_VALUE"""),"""গাড়াবোব")</f>
        <v>"গাড়াবোব</v>
      </c>
      <c r="J851" s="5" t="str">
        <f>IFERROR(__xludf.DUMMYFUNCTION("""COMPUTED_VALUE""")," গাংনী")</f>
        <v> গাংনী</v>
      </c>
      <c r="K851" s="5" t="str">
        <f>IFERROR(__xludf.DUMMYFUNCTION("""COMPUTED_VALUE""")," মেহেরপুর""")</f>
        <v> মেহেরপুর"</v>
      </c>
    </row>
    <row r="852" ht="15.75" customHeight="1">
      <c r="A852" s="7" t="s">
        <v>7532</v>
      </c>
      <c r="B852" s="1">
        <f>IFERROR(__xludf.DUMMYFUNCTION("SPLIT(A852,"","")"),1399.0)</f>
        <v>1399</v>
      </c>
      <c r="C852" s="5" t="str">
        <f>IFERROR(__xludf.DUMMYFUNCTION("""COMPUTED_VALUE"""),"মোছাঃ সহিদা খাতুন")</f>
        <v>মোছাঃ সহিদা খাতুন</v>
      </c>
      <c r="D852" s="5">
        <f>IFERROR(__xludf.DUMMYFUNCTION("""COMPUTED_VALUE"""),5.70038356301E11)</f>
        <v>570038356301</v>
      </c>
      <c r="E852" s="5" t="str">
        <f>IFERROR(__xludf.DUMMYFUNCTION("""COMPUTED_VALUE"""),"মোঃ বজলুর রহমান")</f>
        <v>মোঃ বজলুর রহমান</v>
      </c>
      <c r="F852" s="5" t="str">
        <f>IFERROR(__xludf.DUMMYFUNCTION("""COMPUTED_VALUE"""),"মোছাঃ হেনা খাতুন")</f>
        <v>মোছাঃ হেনা খাতুন</v>
      </c>
      <c r="G852" s="5" t="str">
        <f>IFERROR(__xludf.DUMMYFUNCTION("""COMPUTED_VALUE"""),"১২/০২/১৯৭২")</f>
        <v>১২/০২/১৯৭২</v>
      </c>
      <c r="H852" s="5" t="str">
        <f>IFERROR(__xludf.DUMMYFUNCTION("""COMPUTED_VALUE"""),"গৃহিণী")</f>
        <v>গৃহিণী</v>
      </c>
      <c r="I852" s="5" t="str">
        <f>IFERROR(__xludf.DUMMYFUNCTION("""COMPUTED_VALUE"""),"""গাড়াবোব")</f>
        <v>"গাড়াবোব</v>
      </c>
      <c r="J852" s="5" t="str">
        <f>IFERROR(__xludf.DUMMYFUNCTION("""COMPUTED_VALUE""")," গাংনী")</f>
        <v> গাংনী</v>
      </c>
      <c r="K852" s="5" t="str">
        <f>IFERROR(__xludf.DUMMYFUNCTION("""COMPUTED_VALUE""")," মেহেরপুর""")</f>
        <v> মেহেরপুর"</v>
      </c>
    </row>
    <row r="853" ht="15.75" customHeight="1">
      <c r="A853" s="7" t="s">
        <v>7533</v>
      </c>
      <c r="B853" s="1">
        <f>IFERROR(__xludf.DUMMYFUNCTION("SPLIT(A853,"","")"),1400.0)</f>
        <v>1400</v>
      </c>
      <c r="C853" s="5" t="str">
        <f>IFERROR(__xludf.DUMMYFUNCTION("""COMPUTED_VALUE"""),"মোছাঃ কহিনুর বেগম")</f>
        <v>মোছাঃ কহিনুর বেগম</v>
      </c>
      <c r="D853" s="5">
        <f>IFERROR(__xludf.DUMMYFUNCTION("""COMPUTED_VALUE"""),5.70038356302E11)</f>
        <v>570038356302</v>
      </c>
      <c r="E853" s="5" t="str">
        <f>IFERROR(__xludf.DUMMYFUNCTION("""COMPUTED_VALUE"""),"আব্দুল শেখ")</f>
        <v>আব্দুল শেখ</v>
      </c>
      <c r="F853" s="5" t="str">
        <f>IFERROR(__xludf.DUMMYFUNCTION("""COMPUTED_VALUE"""),"মোছাঃ জবেদা খাতুন")</f>
        <v>মোছাঃ জবেদা খাতুন</v>
      </c>
      <c r="G853" s="5" t="str">
        <f>IFERROR(__xludf.DUMMYFUNCTION("""COMPUTED_VALUE"""),"০৫/০৪/১৯৬২")</f>
        <v>০৫/০৪/১৯৬২</v>
      </c>
      <c r="H853" s="5" t="str">
        <f>IFERROR(__xludf.DUMMYFUNCTION("""COMPUTED_VALUE"""),"গৃহিণী")</f>
        <v>গৃহিণী</v>
      </c>
      <c r="I853" s="5" t="str">
        <f>IFERROR(__xludf.DUMMYFUNCTION("""COMPUTED_VALUE"""),"""গাড়াবোব")</f>
        <v>"গাড়াবোব</v>
      </c>
      <c r="J853" s="5" t="str">
        <f>IFERROR(__xludf.DUMMYFUNCTION("""COMPUTED_VALUE""")," গাংনী")</f>
        <v> গাংনী</v>
      </c>
      <c r="K853" s="5" t="str">
        <f>IFERROR(__xludf.DUMMYFUNCTION("""COMPUTED_VALUE""")," মেহেরপুর""")</f>
        <v> মেহেরপুর"</v>
      </c>
    </row>
    <row r="854" ht="15.75" customHeight="1">
      <c r="A854" s="7" t="s">
        <v>7534</v>
      </c>
      <c r="B854" s="1">
        <f>IFERROR(__xludf.DUMMYFUNCTION("SPLIT(A854,"","")"),1401.0)</f>
        <v>1401</v>
      </c>
      <c r="C854" s="5" t="str">
        <f>IFERROR(__xludf.DUMMYFUNCTION("""COMPUTED_VALUE"""),"মোছাঃ আরজিয়া খাতুন")</f>
        <v>মোছাঃ আরজিয়া খাতুন</v>
      </c>
      <c r="D854" s="5">
        <f>IFERROR(__xludf.DUMMYFUNCTION("""COMPUTED_VALUE"""),5.70038356303E11)</f>
        <v>570038356303</v>
      </c>
      <c r="E854" s="5" t="str">
        <f>IFERROR(__xludf.DUMMYFUNCTION("""COMPUTED_VALUE"""),"খোদা বক্স")</f>
        <v>খোদা বক্স</v>
      </c>
      <c r="F854" s="5" t="str">
        <f>IFERROR(__xludf.DUMMYFUNCTION("""COMPUTED_VALUE"""),"মোছাঃ জাহানারা খাতুন")</f>
        <v>মোছাঃ জাহানারা খাতুন</v>
      </c>
      <c r="G854" s="5" t="str">
        <f>IFERROR(__xludf.DUMMYFUNCTION("""COMPUTED_VALUE"""),"১০/০৩/১৯৪৭")</f>
        <v>১০/০৩/১৯৪৭</v>
      </c>
      <c r="H854" s="5" t="str">
        <f>IFERROR(__xludf.DUMMYFUNCTION("""COMPUTED_VALUE"""),"গৃহিণী")</f>
        <v>গৃহিণী</v>
      </c>
      <c r="I854" s="5" t="str">
        <f>IFERROR(__xludf.DUMMYFUNCTION("""COMPUTED_VALUE"""),"""গাড়াবোব")</f>
        <v>"গাড়াবোব</v>
      </c>
      <c r="J854" s="5" t="str">
        <f>IFERROR(__xludf.DUMMYFUNCTION("""COMPUTED_VALUE""")," গাংনী")</f>
        <v> গাংনী</v>
      </c>
      <c r="K854" s="5" t="str">
        <f>IFERROR(__xludf.DUMMYFUNCTION("""COMPUTED_VALUE""")," মেহেরপুর""")</f>
        <v> মেহেরপুর"</v>
      </c>
    </row>
    <row r="855" ht="15.75" customHeight="1">
      <c r="A855" s="7" t="s">
        <v>7535</v>
      </c>
      <c r="B855" s="1">
        <f>IFERROR(__xludf.DUMMYFUNCTION("SPLIT(A855,"","")"),1402.0)</f>
        <v>1402</v>
      </c>
      <c r="C855" s="5" t="str">
        <f>IFERROR(__xludf.DUMMYFUNCTION("""COMPUTED_VALUE"""),"মোছাঃ রাবেয়া খাতুন")</f>
        <v>মোছাঃ রাবেয়া খাতুন</v>
      </c>
      <c r="D855" s="5">
        <f>IFERROR(__xludf.DUMMYFUNCTION("""COMPUTED_VALUE"""),5.70038356304E11)</f>
        <v>570038356304</v>
      </c>
      <c r="E855" s="5" t="str">
        <f>IFERROR(__xludf.DUMMYFUNCTION("""COMPUTED_VALUE"""),"ওয়াজ শেখ")</f>
        <v>ওয়াজ শেখ</v>
      </c>
      <c r="F855" s="5" t="str">
        <f>IFERROR(__xludf.DUMMYFUNCTION("""COMPUTED_VALUE"""),"রহিমা বেগম")</f>
        <v>রহিমা বেগম</v>
      </c>
      <c r="G855" s="5" t="str">
        <f>IFERROR(__xludf.DUMMYFUNCTION("""COMPUTED_VALUE"""),"০৮/০৬/১৯৬৯")</f>
        <v>০৮/০৬/১৯৬৯</v>
      </c>
      <c r="H855" s="5" t="str">
        <f>IFERROR(__xludf.DUMMYFUNCTION("""COMPUTED_VALUE"""),"গৃহিণী")</f>
        <v>গৃহিণী</v>
      </c>
      <c r="I855" s="5" t="str">
        <f>IFERROR(__xludf.DUMMYFUNCTION("""COMPUTED_VALUE"""),"""গাড়াবোব")</f>
        <v>"গাড়াবোব</v>
      </c>
      <c r="J855" s="5" t="str">
        <f>IFERROR(__xludf.DUMMYFUNCTION("""COMPUTED_VALUE""")," গাংনী")</f>
        <v> গাংনী</v>
      </c>
      <c r="K855" s="5" t="str">
        <f>IFERROR(__xludf.DUMMYFUNCTION("""COMPUTED_VALUE""")," মেহেরপুর""")</f>
        <v> মেহেরপুর"</v>
      </c>
    </row>
    <row r="856" ht="15.75" customHeight="1">
      <c r="A856" s="7" t="s">
        <v>7536</v>
      </c>
      <c r="B856" s="1">
        <f>IFERROR(__xludf.DUMMYFUNCTION("SPLIT(A856,"","")"),1403.0)</f>
        <v>1403</v>
      </c>
      <c r="C856" s="5" t="str">
        <f>IFERROR(__xludf.DUMMYFUNCTION("""COMPUTED_VALUE"""),"মোছাঃ হামেদা খাতুন")</f>
        <v>মোছাঃ হামেদা খাতুন</v>
      </c>
      <c r="D856" s="5">
        <f>IFERROR(__xludf.DUMMYFUNCTION("""COMPUTED_VALUE"""),5.70038356305E11)</f>
        <v>570038356305</v>
      </c>
      <c r="E856" s="5" t="str">
        <f>IFERROR(__xludf.DUMMYFUNCTION("""COMPUTED_VALUE"""),"মোঃ আলাউদ্দীন")</f>
        <v>মোঃ আলাউদ্দীন</v>
      </c>
      <c r="F856" s="5" t="str">
        <f>IFERROR(__xludf.DUMMYFUNCTION("""COMPUTED_VALUE"""),"ছকিনা বেগম")</f>
        <v>ছকিনা বেগম</v>
      </c>
      <c r="G856" s="5" t="str">
        <f>IFERROR(__xludf.DUMMYFUNCTION("""COMPUTED_VALUE"""),"০৬/০৩/১৯৭২")</f>
        <v>০৬/০৩/১৯৭২</v>
      </c>
      <c r="H856" s="5" t="str">
        <f>IFERROR(__xludf.DUMMYFUNCTION("""COMPUTED_VALUE"""),"গৃহিণী")</f>
        <v>গৃহিণী</v>
      </c>
      <c r="I856" s="5" t="str">
        <f>IFERROR(__xludf.DUMMYFUNCTION("""COMPUTED_VALUE"""),"""গাড়াবোব")</f>
        <v>"গাড়াবোব</v>
      </c>
      <c r="J856" s="5" t="str">
        <f>IFERROR(__xludf.DUMMYFUNCTION("""COMPUTED_VALUE""")," গাংনী")</f>
        <v> গাংনী</v>
      </c>
      <c r="K856" s="5" t="str">
        <f>IFERROR(__xludf.DUMMYFUNCTION("""COMPUTED_VALUE""")," মেহেরপুর""")</f>
        <v> মেহেরপুর"</v>
      </c>
    </row>
    <row r="857" ht="15.75" customHeight="1">
      <c r="A857" s="7" t="s">
        <v>7537</v>
      </c>
      <c r="B857" s="1">
        <f>IFERROR(__xludf.DUMMYFUNCTION("SPLIT(A857,"","")"),1404.0)</f>
        <v>1404</v>
      </c>
      <c r="C857" s="5" t="str">
        <f>IFERROR(__xludf.DUMMYFUNCTION("""COMPUTED_VALUE"""),"মোছাঃ মাছুরা খাতুন")</f>
        <v>মোছাঃ মাছুরা খাতুন</v>
      </c>
      <c r="D857" s="5">
        <f>IFERROR(__xludf.DUMMYFUNCTION("""COMPUTED_VALUE"""),5.70038356306E11)</f>
        <v>570038356306</v>
      </c>
      <c r="E857" s="5" t="str">
        <f>IFERROR(__xludf.DUMMYFUNCTION("""COMPUTED_VALUE"""),"মোঃ মহিউদ্দিন খাঁ")</f>
        <v>মোঃ মহিউদ্দিন খাঁ</v>
      </c>
      <c r="F857" s="5" t="str">
        <f>IFERROR(__xludf.DUMMYFUNCTION("""COMPUTED_VALUE"""),"মোছাঃ ছকিনা খাতুন")</f>
        <v>মোছাঃ ছকিনা খাতুন</v>
      </c>
      <c r="G857" s="5" t="str">
        <f>IFERROR(__xludf.DUMMYFUNCTION("""COMPUTED_VALUE"""),"০৬/০২/১৯৭২")</f>
        <v>০৬/০২/১৯৭২</v>
      </c>
      <c r="H857" s="5" t="str">
        <f>IFERROR(__xludf.DUMMYFUNCTION("""COMPUTED_VALUE"""),"গৃহিণী")</f>
        <v>গৃহিণী</v>
      </c>
      <c r="I857" s="5" t="str">
        <f>IFERROR(__xludf.DUMMYFUNCTION("""COMPUTED_VALUE"""),"""গাড়াবোব")</f>
        <v>"গাড়াবোব</v>
      </c>
      <c r="J857" s="5" t="str">
        <f>IFERROR(__xludf.DUMMYFUNCTION("""COMPUTED_VALUE""")," গাংনী")</f>
        <v> গাংনী</v>
      </c>
      <c r="K857" s="5" t="str">
        <f>IFERROR(__xludf.DUMMYFUNCTION("""COMPUTED_VALUE""")," মেহেরপুর""")</f>
        <v> মেহেরপুর"</v>
      </c>
    </row>
    <row r="858" ht="15.75" customHeight="1">
      <c r="A858" s="7" t="s">
        <v>7538</v>
      </c>
      <c r="B858" s="1">
        <f>IFERROR(__xludf.DUMMYFUNCTION("SPLIT(A858,"","")"),1405.0)</f>
        <v>1405</v>
      </c>
      <c r="C858" s="5" t="str">
        <f>IFERROR(__xludf.DUMMYFUNCTION("""COMPUTED_VALUE"""),"মোছাঃ ফরিদা আশরাফ")</f>
        <v>মোছাঃ ফরিদা আশরাফ</v>
      </c>
      <c r="D858" s="5">
        <f>IFERROR(__xludf.DUMMYFUNCTION("""COMPUTED_VALUE"""),5.70038356312E11)</f>
        <v>570038356312</v>
      </c>
      <c r="E858" s="5" t="str">
        <f>IFERROR(__xludf.DUMMYFUNCTION("""COMPUTED_VALUE"""),"এস এম আবু তাহের")</f>
        <v>এস এম আবু তাহের</v>
      </c>
      <c r="F858" s="5" t="str">
        <f>IFERROR(__xludf.DUMMYFUNCTION("""COMPUTED_VALUE"""),"মোছাঃ রোমানা তাহের")</f>
        <v>মোছাঃ রোমানা তাহের</v>
      </c>
      <c r="G858" s="5" t="str">
        <f>IFERROR(__xludf.DUMMYFUNCTION("""COMPUTED_VALUE"""),"১২/০৯/১৯৭৪")</f>
        <v>১২/০৯/১৯৭৪</v>
      </c>
      <c r="H858" s="5" t="str">
        <f>IFERROR(__xludf.DUMMYFUNCTION("""COMPUTED_VALUE"""),"গৃহিণী")</f>
        <v>গৃহিণী</v>
      </c>
      <c r="I858" s="5" t="str">
        <f>IFERROR(__xludf.DUMMYFUNCTION("""COMPUTED_VALUE"""),"""গাড়াবোব")</f>
        <v>"গাড়াবোব</v>
      </c>
      <c r="J858" s="5" t="str">
        <f>IFERROR(__xludf.DUMMYFUNCTION("""COMPUTED_VALUE""")," গাংনী")</f>
        <v> গাংনী</v>
      </c>
      <c r="K858" s="5" t="str">
        <f>IFERROR(__xludf.DUMMYFUNCTION("""COMPUTED_VALUE""")," মেহেরপুর""")</f>
        <v> মেহেরপুর"</v>
      </c>
    </row>
    <row r="859" ht="15.75" customHeight="1">
      <c r="A859" s="7" t="s">
        <v>7539</v>
      </c>
      <c r="B859" s="1">
        <f>IFERROR(__xludf.DUMMYFUNCTION("SPLIT(A859,"","")"),1406.0)</f>
        <v>1406</v>
      </c>
      <c r="C859" s="5" t="str">
        <f>IFERROR(__xludf.DUMMYFUNCTION("""COMPUTED_VALUE"""),"মোছাঃ মানেজা বেগম")</f>
        <v>মোছাঃ মানেজা বেগম</v>
      </c>
      <c r="D859" s="5">
        <f>IFERROR(__xludf.DUMMYFUNCTION("""COMPUTED_VALUE"""),5.70038356314E11)</f>
        <v>570038356314</v>
      </c>
      <c r="E859" s="5" t="str">
        <f>IFERROR(__xludf.DUMMYFUNCTION("""COMPUTED_VALUE"""),"আজিজুল শাহ")</f>
        <v>আজিজুল শাহ</v>
      </c>
      <c r="F859" s="5" t="str">
        <f>IFERROR(__xludf.DUMMYFUNCTION("""COMPUTED_VALUE"""),"নাইবানু")</f>
        <v>নাইবানু</v>
      </c>
      <c r="G859" s="5" t="str">
        <f>IFERROR(__xludf.DUMMYFUNCTION("""COMPUTED_VALUE"""),"১৫/০৩/১৯৪৫")</f>
        <v>১৫/০৩/১৯৪৫</v>
      </c>
      <c r="H859" s="5" t="str">
        <f>IFERROR(__xludf.DUMMYFUNCTION("""COMPUTED_VALUE"""),"গৃহিণী")</f>
        <v>গৃহিণী</v>
      </c>
      <c r="I859" s="5" t="str">
        <f>IFERROR(__xludf.DUMMYFUNCTION("""COMPUTED_VALUE"""),"""গাড়াবোব")</f>
        <v>"গাড়াবোব</v>
      </c>
      <c r="J859" s="5" t="str">
        <f>IFERROR(__xludf.DUMMYFUNCTION("""COMPUTED_VALUE""")," গাংনী")</f>
        <v> গাংনী</v>
      </c>
      <c r="K859" s="5" t="str">
        <f>IFERROR(__xludf.DUMMYFUNCTION("""COMPUTED_VALUE""")," মেহেরপুর""")</f>
        <v> মেহেরপুর"</v>
      </c>
    </row>
    <row r="860" ht="15.75" customHeight="1">
      <c r="A860" s="7" t="s">
        <v>7540</v>
      </c>
      <c r="B860" s="1">
        <f>IFERROR(__xludf.DUMMYFUNCTION("SPLIT(A860,"","")"),1407.0)</f>
        <v>1407</v>
      </c>
      <c r="C860" s="5" t="str">
        <f>IFERROR(__xludf.DUMMYFUNCTION("""COMPUTED_VALUE"""),"সৈয়দা তহমিনা আশরাফ")</f>
        <v>সৈয়দা তহমিনা আশরাফ</v>
      </c>
      <c r="D860" s="5">
        <f>IFERROR(__xludf.DUMMYFUNCTION("""COMPUTED_VALUE"""),5.70038356316E11)</f>
        <v>570038356316</v>
      </c>
      <c r="E860" s="5" t="str">
        <f>IFERROR(__xludf.DUMMYFUNCTION("""COMPUTED_VALUE"""),"মোঃ সোলাইমান")</f>
        <v>মোঃ সোলাইমান</v>
      </c>
      <c r="F860" s="5" t="str">
        <f>IFERROR(__xludf.DUMMYFUNCTION("""COMPUTED_VALUE"""),"মোছাঃ রাহাতন নেছা")</f>
        <v>মোছাঃ রাহাতন নেছা</v>
      </c>
      <c r="G860" s="5" t="str">
        <f>IFERROR(__xludf.DUMMYFUNCTION("""COMPUTED_VALUE"""),"৩০/১২/১৯৭৬")</f>
        <v>৩০/১২/১৯৭৬</v>
      </c>
      <c r="H860" s="5" t="str">
        <f>IFERROR(__xludf.DUMMYFUNCTION("""COMPUTED_VALUE"""),"গৃহিণী")</f>
        <v>গৃহিণী</v>
      </c>
      <c r="I860" s="5" t="str">
        <f>IFERROR(__xludf.DUMMYFUNCTION("""COMPUTED_VALUE"""),"""গাড়াবোব")</f>
        <v>"গাড়াবোব</v>
      </c>
      <c r="J860" s="5" t="str">
        <f>IFERROR(__xludf.DUMMYFUNCTION("""COMPUTED_VALUE""")," গাংনী")</f>
        <v> গাংনী</v>
      </c>
      <c r="K860" s="5" t="str">
        <f>IFERROR(__xludf.DUMMYFUNCTION("""COMPUTED_VALUE""")," মেহেরপুর""")</f>
        <v> মেহেরপুর"</v>
      </c>
    </row>
    <row r="861" ht="15.75" customHeight="1">
      <c r="A861" s="7" t="s">
        <v>7541</v>
      </c>
      <c r="B861" s="1">
        <f>IFERROR(__xludf.DUMMYFUNCTION("SPLIT(A861,"","")"),1408.0)</f>
        <v>1408</v>
      </c>
      <c r="C861" s="5" t="str">
        <f>IFERROR(__xludf.DUMMYFUNCTION("""COMPUTED_VALUE"""),"মোছাঃ রাশেদা খাতুন")</f>
        <v>মোছাঃ রাশেদা খাতুন</v>
      </c>
      <c r="D861" s="5">
        <f>IFERROR(__xludf.DUMMYFUNCTION("""COMPUTED_VALUE"""),5.70038356318E11)</f>
        <v>570038356318</v>
      </c>
      <c r="E861" s="5" t="str">
        <f>IFERROR(__xludf.DUMMYFUNCTION("""COMPUTED_VALUE"""),"দাউদ হোসেন")</f>
        <v>দাউদ হোসেন</v>
      </c>
      <c r="F861" s="5" t="str">
        <f>IFERROR(__xludf.DUMMYFUNCTION("""COMPUTED_VALUE"""),"মোছাঃ মানেজা বেগম")</f>
        <v>মোছাঃ মানেজা বেগম</v>
      </c>
      <c r="G861" s="5" t="str">
        <f>IFERROR(__xludf.DUMMYFUNCTION("""COMPUTED_VALUE"""),"২০/০৬/১৯৮৩")</f>
        <v>২০/০৬/১৯৮৩</v>
      </c>
      <c r="H861" s="5" t="str">
        <f>IFERROR(__xludf.DUMMYFUNCTION("""COMPUTED_VALUE"""),"গৃহিণী")</f>
        <v>গৃহিণী</v>
      </c>
      <c r="I861" s="5" t="str">
        <f>IFERROR(__xludf.DUMMYFUNCTION("""COMPUTED_VALUE"""),"""গাড়াবোব")</f>
        <v>"গাড়াবোব</v>
      </c>
      <c r="J861" s="5" t="str">
        <f>IFERROR(__xludf.DUMMYFUNCTION("""COMPUTED_VALUE""")," গাংনী")</f>
        <v> গাংনী</v>
      </c>
      <c r="K861" s="5" t="str">
        <f>IFERROR(__xludf.DUMMYFUNCTION("""COMPUTED_VALUE""")," মেহেরপুর""")</f>
        <v> মেহেরপুর"</v>
      </c>
    </row>
    <row r="862" ht="15.75" customHeight="1">
      <c r="A862" s="7" t="s">
        <v>7542</v>
      </c>
      <c r="B862" s="1">
        <f>IFERROR(__xludf.DUMMYFUNCTION("SPLIT(A862,"","")"),1409.0)</f>
        <v>1409</v>
      </c>
      <c r="C862" s="5" t="str">
        <f>IFERROR(__xludf.DUMMYFUNCTION("""COMPUTED_VALUE"""),"মোছাঃ মোমেনা খাতুন")</f>
        <v>মোছাঃ মোমেনা খাতুন</v>
      </c>
      <c r="D862" s="5">
        <f>IFERROR(__xludf.DUMMYFUNCTION("""COMPUTED_VALUE"""),5.70038356322E11)</f>
        <v>570038356322</v>
      </c>
      <c r="E862" s="5" t="str">
        <f>IFERROR(__xludf.DUMMYFUNCTION("""COMPUTED_VALUE"""),"মোঃ গোলাম পজ্ঞাতন")</f>
        <v>মোঃ গোলাম পজ্ঞাতন</v>
      </c>
      <c r="F862" s="5" t="str">
        <f>IFERROR(__xludf.DUMMYFUNCTION("""COMPUTED_VALUE"""),"মোছাঃ রহিমা খাতুন")</f>
        <v>মোছাঃ রহিমা খাতুন</v>
      </c>
      <c r="G862" s="5" t="str">
        <f>IFERROR(__xludf.DUMMYFUNCTION("""COMPUTED_VALUE"""),"০৬/০২/১৯৬৫")</f>
        <v>০৬/০২/১৯৬৫</v>
      </c>
      <c r="H862" s="5" t="str">
        <f>IFERROR(__xludf.DUMMYFUNCTION("""COMPUTED_VALUE"""),"গৃহিণী")</f>
        <v>গৃহিণী</v>
      </c>
      <c r="I862" s="5" t="str">
        <f>IFERROR(__xludf.DUMMYFUNCTION("""COMPUTED_VALUE"""),"""গাড়াবোব")</f>
        <v>"গাড়াবোব</v>
      </c>
      <c r="J862" s="5" t="str">
        <f>IFERROR(__xludf.DUMMYFUNCTION("""COMPUTED_VALUE""")," গাংনী")</f>
        <v> গাংনী</v>
      </c>
      <c r="K862" s="5" t="str">
        <f>IFERROR(__xludf.DUMMYFUNCTION("""COMPUTED_VALUE""")," মেহেরপুর""")</f>
        <v> মেহেরপুর"</v>
      </c>
    </row>
    <row r="863" ht="15.75" customHeight="1">
      <c r="A863" s="7" t="s">
        <v>7543</v>
      </c>
      <c r="B863" s="1">
        <f>IFERROR(__xludf.DUMMYFUNCTION("SPLIT(A863,"","")"),1410.0)</f>
        <v>1410</v>
      </c>
      <c r="C863" s="5" t="str">
        <f>IFERROR(__xludf.DUMMYFUNCTION("""COMPUTED_VALUE"""),"মোছাঃ জাহানারা বেগম")</f>
        <v>মোছাঃ জাহানারা বেগম</v>
      </c>
      <c r="D863" s="5">
        <f>IFERROR(__xludf.DUMMYFUNCTION("""COMPUTED_VALUE"""),5.70038356329E11)</f>
        <v>570038356329</v>
      </c>
      <c r="E863" s="5" t="str">
        <f>IFERROR(__xludf.DUMMYFUNCTION("""COMPUTED_VALUE"""),"হুরমত বিশ্বাস")</f>
        <v>হুরমত বিশ্বাস</v>
      </c>
      <c r="F863" s="5" t="str">
        <f>IFERROR(__xludf.DUMMYFUNCTION("""COMPUTED_VALUE"""),"মোছাঃ জাফু বেগম")</f>
        <v>মোছাঃ জাফু বেগম</v>
      </c>
      <c r="G863" s="5" t="str">
        <f>IFERROR(__xludf.DUMMYFUNCTION("""COMPUTED_VALUE"""),"০৫/০২/১৯৪২")</f>
        <v>০৫/০২/১৯৪২</v>
      </c>
      <c r="H863" s="5" t="str">
        <f>IFERROR(__xludf.DUMMYFUNCTION("""COMPUTED_VALUE"""),"গৃহিণী")</f>
        <v>গৃহিণী</v>
      </c>
      <c r="I863" s="5" t="str">
        <f>IFERROR(__xludf.DUMMYFUNCTION("""COMPUTED_VALUE"""),"""গাড়াবোব")</f>
        <v>"গাড়াবোব</v>
      </c>
      <c r="J863" s="5" t="str">
        <f>IFERROR(__xludf.DUMMYFUNCTION("""COMPUTED_VALUE""")," গাংনী")</f>
        <v> গাংনী</v>
      </c>
      <c r="K863" s="5" t="str">
        <f>IFERROR(__xludf.DUMMYFUNCTION("""COMPUTED_VALUE""")," মেহেরপুর""")</f>
        <v> মেহেরপুর"</v>
      </c>
    </row>
    <row r="864" ht="15.75" customHeight="1">
      <c r="A864" s="7" t="s">
        <v>7544</v>
      </c>
      <c r="B864" s="1">
        <f>IFERROR(__xludf.DUMMYFUNCTION("SPLIT(A864,"","")"),1411.0)</f>
        <v>1411</v>
      </c>
      <c r="C864" s="5" t="str">
        <f>IFERROR(__xludf.DUMMYFUNCTION("""COMPUTED_VALUE"""),"মোছাঃ শ্যামলি খাতুন")</f>
        <v>মোছাঃ শ্যামলি খাতুন</v>
      </c>
      <c r="D864" s="5">
        <f>IFERROR(__xludf.DUMMYFUNCTION("""COMPUTED_VALUE"""),5.70038356331E11)</f>
        <v>570038356331</v>
      </c>
      <c r="E864" s="5" t="str">
        <f>IFERROR(__xludf.DUMMYFUNCTION("""COMPUTED_VALUE"""),"মোঃ নাজিম উদ্দীন")</f>
        <v>মোঃ নাজিম উদ্দীন</v>
      </c>
      <c r="F864" s="5" t="str">
        <f>IFERROR(__xludf.DUMMYFUNCTION("""COMPUTED_VALUE"""),"মোছাঃ লতিফন নেছা")</f>
        <v>মোছাঃ লতিফন নেছা</v>
      </c>
      <c r="G864" s="5" t="str">
        <f>IFERROR(__xludf.DUMMYFUNCTION("""COMPUTED_VALUE"""),"১০/০২/১৯৮৫")</f>
        <v>১০/০২/১৯৮৫</v>
      </c>
      <c r="H864" s="5" t="str">
        <f>IFERROR(__xludf.DUMMYFUNCTION("""COMPUTED_VALUE"""),"গৃহিণী")</f>
        <v>গৃহিণী</v>
      </c>
      <c r="I864" s="5" t="str">
        <f>IFERROR(__xludf.DUMMYFUNCTION("""COMPUTED_VALUE"""),"""গাড়াবোব")</f>
        <v>"গাড়াবোব</v>
      </c>
      <c r="J864" s="5" t="str">
        <f>IFERROR(__xludf.DUMMYFUNCTION("""COMPUTED_VALUE""")," গাংনী")</f>
        <v> গাংনী</v>
      </c>
      <c r="K864" s="5" t="str">
        <f>IFERROR(__xludf.DUMMYFUNCTION("""COMPUTED_VALUE""")," মেহেরপুর""")</f>
        <v> মেহেরপুর"</v>
      </c>
    </row>
    <row r="865" ht="15.75" customHeight="1">
      <c r="A865" s="7" t="s">
        <v>7545</v>
      </c>
      <c r="B865" s="1">
        <f>IFERROR(__xludf.DUMMYFUNCTION("SPLIT(A865,"","")"),1412.0)</f>
        <v>1412</v>
      </c>
      <c r="C865" s="5" t="str">
        <f>IFERROR(__xludf.DUMMYFUNCTION("""COMPUTED_VALUE"""),"মোছাঃ হাফিজা খাতুন")</f>
        <v>মোছাঃ হাফিজা খাতুন</v>
      </c>
      <c r="D865" s="5">
        <f>IFERROR(__xludf.DUMMYFUNCTION("""COMPUTED_VALUE"""),5.70038356332E11)</f>
        <v>570038356332</v>
      </c>
      <c r="E865" s="5" t="str">
        <f>IFERROR(__xludf.DUMMYFUNCTION("""COMPUTED_VALUE"""),"মোঃ আবুল হাশেম")</f>
        <v>মোঃ আবুল হাশেম</v>
      </c>
      <c r="F865" s="5" t="str">
        <f>IFERROR(__xludf.DUMMYFUNCTION("""COMPUTED_VALUE"""),"মোছাঃ মাহমুদা খাতুন")</f>
        <v>মোছাঃ মাহমুদা খাতুন</v>
      </c>
      <c r="G865" s="5" t="str">
        <f>IFERROR(__xludf.DUMMYFUNCTION("""COMPUTED_VALUE"""),"০১/০১/১৯৮১")</f>
        <v>০১/০১/১৯৮১</v>
      </c>
      <c r="H865" s="5" t="str">
        <f>IFERROR(__xludf.DUMMYFUNCTION("""COMPUTED_VALUE"""),"গৃহিণী")</f>
        <v>গৃহিণী</v>
      </c>
      <c r="I865" s="5" t="str">
        <f>IFERROR(__xludf.DUMMYFUNCTION("""COMPUTED_VALUE"""),"""গাড়াবোব")</f>
        <v>"গাড়াবোব</v>
      </c>
      <c r="J865" s="5" t="str">
        <f>IFERROR(__xludf.DUMMYFUNCTION("""COMPUTED_VALUE""")," গাংনী")</f>
        <v> গাংনী</v>
      </c>
      <c r="K865" s="5" t="str">
        <f>IFERROR(__xludf.DUMMYFUNCTION("""COMPUTED_VALUE""")," মেহেরপুর""")</f>
        <v> মেহেরপুর"</v>
      </c>
    </row>
    <row r="866" ht="15.75" customHeight="1">
      <c r="A866" s="7" t="s">
        <v>7546</v>
      </c>
      <c r="B866" s="1">
        <f>IFERROR(__xludf.DUMMYFUNCTION("SPLIT(A866,"","")"),1413.0)</f>
        <v>1413</v>
      </c>
      <c r="C866" s="5" t="str">
        <f>IFERROR(__xludf.DUMMYFUNCTION("""COMPUTED_VALUE"""),"মোছাঃ নীলিমা আফরোজ")</f>
        <v>মোছাঃ নীলিমা আফরোজ</v>
      </c>
      <c r="D866" s="5">
        <f>IFERROR(__xludf.DUMMYFUNCTION("""COMPUTED_VALUE"""),5.70038356334E11)</f>
        <v>570038356334</v>
      </c>
      <c r="E866" s="5" t="str">
        <f>IFERROR(__xludf.DUMMYFUNCTION("""COMPUTED_VALUE"""),"মোঃ আবুল হাশেম")</f>
        <v>মোঃ আবুল হাশেম</v>
      </c>
      <c r="F866" s="5" t="str">
        <f>IFERROR(__xludf.DUMMYFUNCTION("""COMPUTED_VALUE"""),"মোছাঃ মাহমুদা বেগম")</f>
        <v>মোছাঃ মাহমুদা বেগম</v>
      </c>
      <c r="G866" s="5" t="str">
        <f>IFERROR(__xludf.DUMMYFUNCTION("""COMPUTED_VALUE"""),"২১/০২/১৯৮২")</f>
        <v>২১/০২/১৯৮২</v>
      </c>
      <c r="H866" s="5" t="str">
        <f>IFERROR(__xludf.DUMMYFUNCTION("""COMPUTED_VALUE"""),"গৃহিণী")</f>
        <v>গৃহিণী</v>
      </c>
      <c r="I866" s="5" t="str">
        <f>IFERROR(__xludf.DUMMYFUNCTION("""COMPUTED_VALUE"""),"""গাড়াবোব")</f>
        <v>"গাড়াবোব</v>
      </c>
      <c r="J866" s="5" t="str">
        <f>IFERROR(__xludf.DUMMYFUNCTION("""COMPUTED_VALUE""")," গাংনী")</f>
        <v> গাংনী</v>
      </c>
      <c r="K866" s="5" t="str">
        <f>IFERROR(__xludf.DUMMYFUNCTION("""COMPUTED_VALUE""")," মেহেরপুর""")</f>
        <v> মেহেরপুর"</v>
      </c>
    </row>
    <row r="867" ht="15.75" customHeight="1">
      <c r="A867" s="7" t="s">
        <v>7547</v>
      </c>
      <c r="B867" s="1">
        <f>IFERROR(__xludf.DUMMYFUNCTION("SPLIT(A867,"","")"),1414.0)</f>
        <v>1414</v>
      </c>
      <c r="C867" s="5" t="str">
        <f>IFERROR(__xludf.DUMMYFUNCTION("""COMPUTED_VALUE"""),"মোছাঃ চামিলি খাতুন")</f>
        <v>মোছাঃ চামিলি খাতুন</v>
      </c>
      <c r="D867" s="5">
        <f>IFERROR(__xludf.DUMMYFUNCTION("""COMPUTED_VALUE"""),5.70038356335E11)</f>
        <v>570038356335</v>
      </c>
      <c r="E867" s="5" t="str">
        <f>IFERROR(__xludf.DUMMYFUNCTION("""COMPUTED_VALUE"""),"মোঃ আব্দুর রশিদ")</f>
        <v>মোঃ আব্দুর রশিদ</v>
      </c>
      <c r="F867" s="5" t="str">
        <f>IFERROR(__xludf.DUMMYFUNCTION("""COMPUTED_VALUE"""),"মোছাঃ রাফিজা বেগম")</f>
        <v>মোছাঃ রাফিজা বেগম</v>
      </c>
      <c r="G867" s="5" t="str">
        <f>IFERROR(__xludf.DUMMYFUNCTION("""COMPUTED_VALUE"""),"০২/০১/১৯৮৯")</f>
        <v>০২/০১/১৯৮৯</v>
      </c>
      <c r="H867" s="5" t="str">
        <f>IFERROR(__xludf.DUMMYFUNCTION("""COMPUTED_VALUE"""),"গৃহিণী")</f>
        <v>গৃহিণী</v>
      </c>
      <c r="I867" s="5" t="str">
        <f>IFERROR(__xludf.DUMMYFUNCTION("""COMPUTED_VALUE"""),"""গাড়াবোব")</f>
        <v>"গাড়াবোব</v>
      </c>
      <c r="J867" s="5" t="str">
        <f>IFERROR(__xludf.DUMMYFUNCTION("""COMPUTED_VALUE""")," গাংনী")</f>
        <v> গাংনী</v>
      </c>
      <c r="K867" s="5" t="str">
        <f>IFERROR(__xludf.DUMMYFUNCTION("""COMPUTED_VALUE""")," মেহেরপুর""")</f>
        <v> মেহেরপুর"</v>
      </c>
    </row>
    <row r="868" ht="15.75" customHeight="1">
      <c r="A868" s="7" t="s">
        <v>7548</v>
      </c>
      <c r="B868" s="1">
        <f>IFERROR(__xludf.DUMMYFUNCTION("SPLIT(A868,"","")"),1415.0)</f>
        <v>1415</v>
      </c>
      <c r="C868" s="5" t="str">
        <f>IFERROR(__xludf.DUMMYFUNCTION("""COMPUTED_VALUE"""),"মোছাঃ সফুরা খাতুন")</f>
        <v>মোছাঃ সফুরা খাতুন</v>
      </c>
      <c r="D868" s="5">
        <f>IFERROR(__xludf.DUMMYFUNCTION("""COMPUTED_VALUE"""),5.70038356338E11)</f>
        <v>570038356338</v>
      </c>
      <c r="E868" s="5" t="str">
        <f>IFERROR(__xludf.DUMMYFUNCTION("""COMPUTED_VALUE"""),"সুম্মত মালিথা")</f>
        <v>সুম্মত মালিথা</v>
      </c>
      <c r="F868" s="5" t="str">
        <f>IFERROR(__xludf.DUMMYFUNCTION("""COMPUTED_VALUE"""),"গোলজান")</f>
        <v>গোলজান</v>
      </c>
      <c r="G868" s="5" t="str">
        <f>IFERROR(__xludf.DUMMYFUNCTION("""COMPUTED_VALUE"""),"১০/০৪/১৯৪২")</f>
        <v>১০/০৪/১৯৪২</v>
      </c>
      <c r="H868" s="5" t="str">
        <f>IFERROR(__xludf.DUMMYFUNCTION("""COMPUTED_VALUE"""),"গৃহিণী")</f>
        <v>গৃহিণী</v>
      </c>
      <c r="I868" s="5" t="str">
        <f>IFERROR(__xludf.DUMMYFUNCTION("""COMPUTED_VALUE"""),"""গাড়াবোব")</f>
        <v>"গাড়াবোব</v>
      </c>
      <c r="J868" s="5" t="str">
        <f>IFERROR(__xludf.DUMMYFUNCTION("""COMPUTED_VALUE""")," গাংনী")</f>
        <v> গাংনী</v>
      </c>
      <c r="K868" s="5" t="str">
        <f>IFERROR(__xludf.DUMMYFUNCTION("""COMPUTED_VALUE""")," মেহেরপুর""")</f>
        <v> মেহেরপুর"</v>
      </c>
    </row>
    <row r="869" ht="15.75" customHeight="1">
      <c r="A869" s="7" t="s">
        <v>7549</v>
      </c>
      <c r="B869" s="1">
        <f>IFERROR(__xludf.DUMMYFUNCTION("SPLIT(A869,"","")"),1416.0)</f>
        <v>1416</v>
      </c>
      <c r="C869" s="5" t="str">
        <f>IFERROR(__xludf.DUMMYFUNCTION("""COMPUTED_VALUE"""),"মোছাঃ রাফিয়া খাতুন")</f>
        <v>মোছাঃ রাফিয়া খাতুন</v>
      </c>
      <c r="D869" s="5">
        <f>IFERROR(__xludf.DUMMYFUNCTION("""COMPUTED_VALUE"""),5.70038356339E11)</f>
        <v>570038356339</v>
      </c>
      <c r="E869" s="5" t="str">
        <f>IFERROR(__xludf.DUMMYFUNCTION("""COMPUTED_VALUE"""),"মোঃ আহসান আলী")</f>
        <v>মোঃ আহসান আলী</v>
      </c>
      <c r="F869" s="5" t="str">
        <f>IFERROR(__xludf.DUMMYFUNCTION("""COMPUTED_VALUE"""),"মোছাঃ সফুরা খাতুন")</f>
        <v>মোছাঃ সফুরা খাতুন</v>
      </c>
      <c r="G869" s="5" t="str">
        <f>IFERROR(__xludf.DUMMYFUNCTION("""COMPUTED_VALUE"""),"০৩/০৫/১৯৫৭")</f>
        <v>০৩/০৫/১৯৫৭</v>
      </c>
      <c r="H869" s="5" t="str">
        <f>IFERROR(__xludf.DUMMYFUNCTION("""COMPUTED_VALUE"""),"গৃহিণী")</f>
        <v>গৃহিণী</v>
      </c>
      <c r="I869" s="5" t="str">
        <f>IFERROR(__xludf.DUMMYFUNCTION("""COMPUTED_VALUE"""),"""গাড়াবোব")</f>
        <v>"গাড়াবোব</v>
      </c>
      <c r="J869" s="5" t="str">
        <f>IFERROR(__xludf.DUMMYFUNCTION("""COMPUTED_VALUE""")," গাংনী")</f>
        <v> গাংনী</v>
      </c>
      <c r="K869" s="5" t="str">
        <f>IFERROR(__xludf.DUMMYFUNCTION("""COMPUTED_VALUE""")," মেহেরপুর""")</f>
        <v> মেহেরপুর"</v>
      </c>
    </row>
    <row r="870" ht="15.75" customHeight="1">
      <c r="A870" s="7" t="s">
        <v>7550</v>
      </c>
      <c r="B870" s="1">
        <f>IFERROR(__xludf.DUMMYFUNCTION("SPLIT(A870,"","")"),1417.0)</f>
        <v>1417</v>
      </c>
      <c r="C870" s="5" t="str">
        <f>IFERROR(__xludf.DUMMYFUNCTION("""COMPUTED_VALUE"""),"মোছাঃ বাচেনা খাতুন")</f>
        <v>মোছাঃ বাচেনা খাতুন</v>
      </c>
      <c r="D870" s="5">
        <f>IFERROR(__xludf.DUMMYFUNCTION("""COMPUTED_VALUE"""),5.70038356341E11)</f>
        <v>570038356341</v>
      </c>
      <c r="E870" s="5" t="str">
        <f>IFERROR(__xludf.DUMMYFUNCTION("""COMPUTED_VALUE"""),"আফছার আলী")</f>
        <v>আফছার আলী</v>
      </c>
      <c r="F870" s="5" t="str">
        <f>IFERROR(__xludf.DUMMYFUNCTION("""COMPUTED_VALUE"""),"মোছাঃ উজিলা খাতুন")</f>
        <v>মোছাঃ উজিলা খাতুন</v>
      </c>
      <c r="G870" s="5" t="str">
        <f>IFERROR(__xludf.DUMMYFUNCTION("""COMPUTED_VALUE"""),"০৫/০৪/১৯৮০")</f>
        <v>০৫/০৪/১৯৮০</v>
      </c>
      <c r="H870" s="5" t="str">
        <f>IFERROR(__xludf.DUMMYFUNCTION("""COMPUTED_VALUE"""),"গৃহিণী")</f>
        <v>গৃহিণী</v>
      </c>
      <c r="I870" s="5" t="str">
        <f>IFERROR(__xludf.DUMMYFUNCTION("""COMPUTED_VALUE"""),"""গাড়াবোব")</f>
        <v>"গাড়াবোব</v>
      </c>
      <c r="J870" s="5" t="str">
        <f>IFERROR(__xludf.DUMMYFUNCTION("""COMPUTED_VALUE""")," গাংনী")</f>
        <v> গাংনী</v>
      </c>
      <c r="K870" s="5" t="str">
        <f>IFERROR(__xludf.DUMMYFUNCTION("""COMPUTED_VALUE""")," মেহেরপুর""")</f>
        <v> মেহেরপুর"</v>
      </c>
    </row>
    <row r="871" ht="15.75" customHeight="1">
      <c r="A871" s="7" t="s">
        <v>7551</v>
      </c>
      <c r="B871" s="1">
        <f>IFERROR(__xludf.DUMMYFUNCTION("SPLIT(A871,"","")"),1418.0)</f>
        <v>1418</v>
      </c>
      <c r="C871" s="5" t="str">
        <f>IFERROR(__xludf.DUMMYFUNCTION("""COMPUTED_VALUE"""),"মোছাঃ রহিমা খাতুন")</f>
        <v>মোছাঃ রহিমা খাতুন</v>
      </c>
      <c r="D871" s="5">
        <f>IFERROR(__xludf.DUMMYFUNCTION("""COMPUTED_VALUE"""),5.70038356345E11)</f>
        <v>570038356345</v>
      </c>
      <c r="E871" s="5" t="str">
        <f>IFERROR(__xludf.DUMMYFUNCTION("""COMPUTED_VALUE"""),"ফরজ কাজী")</f>
        <v>ফরজ কাজী</v>
      </c>
      <c r="F871" s="5" t="str">
        <f>IFERROR(__xludf.DUMMYFUNCTION("""COMPUTED_VALUE"""),"মরু বেগম")</f>
        <v>মরু বেগম</v>
      </c>
      <c r="G871" s="5" t="str">
        <f>IFERROR(__xludf.DUMMYFUNCTION("""COMPUTED_VALUE"""),"১৫/০৩/১৯৪২")</f>
        <v>১৫/০৩/১৯৪২</v>
      </c>
      <c r="H871" s="5" t="str">
        <f>IFERROR(__xludf.DUMMYFUNCTION("""COMPUTED_VALUE"""),"গৃহিণী")</f>
        <v>গৃহিণী</v>
      </c>
      <c r="I871" s="5" t="str">
        <f>IFERROR(__xludf.DUMMYFUNCTION("""COMPUTED_VALUE"""),"""গাড়াবোব")</f>
        <v>"গাড়াবোব</v>
      </c>
      <c r="J871" s="5" t="str">
        <f>IFERROR(__xludf.DUMMYFUNCTION("""COMPUTED_VALUE""")," গাংনী")</f>
        <v> গাংনী</v>
      </c>
      <c r="K871" s="5" t="str">
        <f>IFERROR(__xludf.DUMMYFUNCTION("""COMPUTED_VALUE""")," মেহেরপুর""")</f>
        <v> মেহেরপুর"</v>
      </c>
    </row>
    <row r="872" ht="15.75" customHeight="1">
      <c r="A872" s="7" t="s">
        <v>7552</v>
      </c>
      <c r="B872" s="1">
        <f>IFERROR(__xludf.DUMMYFUNCTION("SPLIT(A872,"","")"),1419.0)</f>
        <v>1419</v>
      </c>
      <c r="C872" s="5" t="str">
        <f>IFERROR(__xludf.DUMMYFUNCTION("""COMPUTED_VALUE"""),"মোছাঃ ছালেমা বেগম")</f>
        <v>মোছাঃ ছালেমা বেগম</v>
      </c>
      <c r="D872" s="5">
        <f>IFERROR(__xludf.DUMMYFUNCTION("""COMPUTED_VALUE"""),5.70038356347E11)</f>
        <v>570038356347</v>
      </c>
      <c r="E872" s="5" t="str">
        <f>IFERROR(__xludf.DUMMYFUNCTION("""COMPUTED_VALUE"""),"ছলেমান শেখ")</f>
        <v>ছলেমান শেখ</v>
      </c>
      <c r="F872" s="5" t="str">
        <f>IFERROR(__xludf.DUMMYFUNCTION("""COMPUTED_VALUE"""),"নছিয়া খাতুন")</f>
        <v>নছিয়া খাতুন</v>
      </c>
      <c r="G872" s="5" t="str">
        <f>IFERROR(__xludf.DUMMYFUNCTION("""COMPUTED_VALUE"""),"১০/০৪/১৯৭১")</f>
        <v>১০/০৪/১৯৭১</v>
      </c>
      <c r="H872" s="5" t="str">
        <f>IFERROR(__xludf.DUMMYFUNCTION("""COMPUTED_VALUE"""),"গৃহিণী")</f>
        <v>গৃহিণী</v>
      </c>
      <c r="I872" s="5" t="str">
        <f>IFERROR(__xludf.DUMMYFUNCTION("""COMPUTED_VALUE"""),"""গাড়াবোব")</f>
        <v>"গাড়াবোব</v>
      </c>
      <c r="J872" s="5" t="str">
        <f>IFERROR(__xludf.DUMMYFUNCTION("""COMPUTED_VALUE""")," গাংনী")</f>
        <v> গাংনী</v>
      </c>
      <c r="K872" s="5" t="str">
        <f>IFERROR(__xludf.DUMMYFUNCTION("""COMPUTED_VALUE""")," মেহেরপুর""")</f>
        <v> মেহেরপুর"</v>
      </c>
    </row>
    <row r="873" ht="15.75" customHeight="1">
      <c r="A873" s="7" t="s">
        <v>7553</v>
      </c>
      <c r="B873" s="1">
        <f>IFERROR(__xludf.DUMMYFUNCTION("SPLIT(A873,"","")"),1222.0)</f>
        <v>1222</v>
      </c>
      <c r="C873" s="5" t="str">
        <f>IFERROR(__xludf.DUMMYFUNCTION("""COMPUTED_VALUE"""),"মোছাঃ মাবিয়া খাতুন")</f>
        <v>মোছাঃ মাবিয়া খাতুন</v>
      </c>
      <c r="D873" s="5">
        <f>IFERROR(__xludf.DUMMYFUNCTION("""COMPUTED_VALUE"""),5.70038355905E11)</f>
        <v>570038355905</v>
      </c>
      <c r="E873" s="5" t="str">
        <f>IFERROR(__xludf.DUMMYFUNCTION("""COMPUTED_VALUE"""),"মোঃ রেজাউল হক")</f>
        <v>মোঃ রেজাউল হক</v>
      </c>
      <c r="F873" s="5" t="str">
        <f>IFERROR(__xludf.DUMMYFUNCTION("""COMPUTED_VALUE"""),"মোছাঃ হাজেরা খাতুন")</f>
        <v>মোছাঃ হাজেরা খাতুন</v>
      </c>
      <c r="G873" s="5" t="str">
        <f>IFERROR(__xludf.DUMMYFUNCTION("""COMPUTED_VALUE"""),"১৪/০৬/১৯৮১")</f>
        <v>১৪/০৬/১৯৮১</v>
      </c>
      <c r="H873" s="5" t="str">
        <f>IFERROR(__xludf.DUMMYFUNCTION("""COMPUTED_VALUE"""),"গৃহিণী")</f>
        <v>গৃহিণী</v>
      </c>
      <c r="I873" s="5" t="str">
        <f>IFERROR(__xludf.DUMMYFUNCTION("""COMPUTED_VALUE"""),"""গাড়াবোব")</f>
        <v>"গাড়াবোব</v>
      </c>
      <c r="J873" s="5" t="str">
        <f>IFERROR(__xludf.DUMMYFUNCTION("""COMPUTED_VALUE""")," গাংনী")</f>
        <v> গাংনী</v>
      </c>
      <c r="K873" s="5" t="str">
        <f>IFERROR(__xludf.DUMMYFUNCTION("""COMPUTED_VALUE""")," মেহেরপুর""")</f>
        <v> মেহেরপুর"</v>
      </c>
    </row>
    <row r="874" ht="15.75" customHeight="1">
      <c r="A874" s="7" t="s">
        <v>7554</v>
      </c>
      <c r="B874" s="1">
        <f>IFERROR(__xludf.DUMMYFUNCTION("SPLIT(A874,"","")"),1223.0)</f>
        <v>1223</v>
      </c>
      <c r="C874" s="5" t="str">
        <f>IFERROR(__xludf.DUMMYFUNCTION("""COMPUTED_VALUE"""),"মোছাঃ রেহেনা খাতুন")</f>
        <v>মোছাঃ রেহেনা খাতুন</v>
      </c>
      <c r="D874" s="5">
        <f>IFERROR(__xludf.DUMMYFUNCTION("""COMPUTED_VALUE"""),5.70038355907E11)</f>
        <v>570038355907</v>
      </c>
      <c r="E874" s="5" t="str">
        <f>IFERROR(__xludf.DUMMYFUNCTION("""COMPUTED_VALUE"""),"আজিমদ্দিন")</f>
        <v>আজিমদ্দিন</v>
      </c>
      <c r="F874" s="5" t="str">
        <f>IFERROR(__xludf.DUMMYFUNCTION("""COMPUTED_VALUE"""),"মোছাঃ জহুরা খাতুন")</f>
        <v>মোছাঃ জহুরা খাতুন</v>
      </c>
      <c r="G874" s="5" t="str">
        <f>IFERROR(__xludf.DUMMYFUNCTION("""COMPUTED_VALUE"""),"১৪/০৯/১৯৬৯")</f>
        <v>১৪/০৯/১৯৬৯</v>
      </c>
      <c r="H874" s="5" t="str">
        <f>IFERROR(__xludf.DUMMYFUNCTION("""COMPUTED_VALUE"""),"গৃহিণী")</f>
        <v>গৃহিণী</v>
      </c>
      <c r="I874" s="5" t="str">
        <f>IFERROR(__xludf.DUMMYFUNCTION("""COMPUTED_VALUE"""),"""গাড়াবোব")</f>
        <v>"গাড়াবোব</v>
      </c>
      <c r="J874" s="5" t="str">
        <f>IFERROR(__xludf.DUMMYFUNCTION("""COMPUTED_VALUE""")," গাংনী")</f>
        <v> গাংনী</v>
      </c>
      <c r="K874" s="5" t="str">
        <f>IFERROR(__xludf.DUMMYFUNCTION("""COMPUTED_VALUE""")," মেহেরপুর""")</f>
        <v> মেহেরপুর"</v>
      </c>
    </row>
    <row r="875" ht="15.75" customHeight="1">
      <c r="A875" s="7" t="s">
        <v>7555</v>
      </c>
      <c r="B875" s="1">
        <f>IFERROR(__xludf.DUMMYFUNCTION("SPLIT(A875,"","")"),1224.0)</f>
        <v>1224</v>
      </c>
      <c r="C875" s="5" t="str">
        <f>IFERROR(__xludf.DUMMYFUNCTION("""COMPUTED_VALUE"""),"মোছাঃ স্বপ্না খাতুন")</f>
        <v>মোছাঃ স্বপ্না খাতুন</v>
      </c>
      <c r="D875" s="5">
        <f>IFERROR(__xludf.DUMMYFUNCTION("""COMPUTED_VALUE"""),5.70038355909E11)</f>
        <v>570038355909</v>
      </c>
      <c r="E875" s="5" t="str">
        <f>IFERROR(__xludf.DUMMYFUNCTION("""COMPUTED_VALUE"""),"জান মোহাম্মদ")</f>
        <v>জান মোহাম্মদ</v>
      </c>
      <c r="F875" s="5" t="str">
        <f>IFERROR(__xludf.DUMMYFUNCTION("""COMPUTED_VALUE"""),"মোছাঃ হাসনা বানু")</f>
        <v>মোছাঃ হাসনা বানু</v>
      </c>
      <c r="G875" s="5" t="str">
        <f>IFERROR(__xludf.DUMMYFUNCTION("""COMPUTED_VALUE"""),"২০/০৫/১৯৮৬")</f>
        <v>২০/০৫/১৯৮৬</v>
      </c>
      <c r="H875" s="5" t="str">
        <f>IFERROR(__xludf.DUMMYFUNCTION("""COMPUTED_VALUE"""),"গৃহিণী")</f>
        <v>গৃহিণী</v>
      </c>
      <c r="I875" s="5" t="str">
        <f>IFERROR(__xludf.DUMMYFUNCTION("""COMPUTED_VALUE"""),"""গাড়াবোব")</f>
        <v>"গাড়াবোব</v>
      </c>
      <c r="J875" s="5" t="str">
        <f>IFERROR(__xludf.DUMMYFUNCTION("""COMPUTED_VALUE""")," গাংনী")</f>
        <v> গাংনী</v>
      </c>
      <c r="K875" s="5" t="str">
        <f>IFERROR(__xludf.DUMMYFUNCTION("""COMPUTED_VALUE""")," মেহেরপুর""")</f>
        <v> মেহেরপুর"</v>
      </c>
    </row>
    <row r="876" ht="15.75" customHeight="1">
      <c r="A876" s="7" t="s">
        <v>7556</v>
      </c>
      <c r="B876" s="1">
        <f>IFERROR(__xludf.DUMMYFUNCTION("SPLIT(A876,"","")"),1225.0)</f>
        <v>1225</v>
      </c>
      <c r="C876" s="5" t="str">
        <f>IFERROR(__xludf.DUMMYFUNCTION("""COMPUTED_VALUE"""),"মোছাঃ জাহানারা খাতুন")</f>
        <v>মোছাঃ জাহানারা খাতুন</v>
      </c>
      <c r="D876" s="5">
        <f>IFERROR(__xludf.DUMMYFUNCTION("""COMPUTED_VALUE"""),5.7003835591E11)</f>
        <v>570038355910</v>
      </c>
      <c r="E876" s="5" t="str">
        <f>IFERROR(__xludf.DUMMYFUNCTION("""COMPUTED_VALUE"""),"মতলেব মন্ডল")</f>
        <v>মতলেব মন্ডল</v>
      </c>
      <c r="F876" s="5" t="str">
        <f>IFERROR(__xludf.DUMMYFUNCTION("""COMPUTED_VALUE"""),"মোছাঃ সুফিয়া খাতুন")</f>
        <v>মোছাঃ সুফিয়া খাতুন</v>
      </c>
      <c r="G876" s="5" t="str">
        <f>IFERROR(__xludf.DUMMYFUNCTION("""COMPUTED_VALUE"""),"১৯/০৮/১৯৬৫")</f>
        <v>১৯/০৮/১৯৬৫</v>
      </c>
      <c r="H876" s="5" t="str">
        <f>IFERROR(__xludf.DUMMYFUNCTION("""COMPUTED_VALUE"""),"গৃহিণী")</f>
        <v>গৃহিণী</v>
      </c>
      <c r="I876" s="5" t="str">
        <f>IFERROR(__xludf.DUMMYFUNCTION("""COMPUTED_VALUE"""),"""গাড়াবোব")</f>
        <v>"গাড়াবোব</v>
      </c>
      <c r="J876" s="5" t="str">
        <f>IFERROR(__xludf.DUMMYFUNCTION("""COMPUTED_VALUE""")," গাংনী")</f>
        <v> গাংনী</v>
      </c>
      <c r="K876" s="5" t="str">
        <f>IFERROR(__xludf.DUMMYFUNCTION("""COMPUTED_VALUE""")," মেহেরপুর""")</f>
        <v> মেহেরপুর"</v>
      </c>
    </row>
    <row r="877" ht="15.75" customHeight="1">
      <c r="A877" s="7" t="s">
        <v>7557</v>
      </c>
      <c r="B877" s="1">
        <f>IFERROR(__xludf.DUMMYFUNCTION("SPLIT(A877,"","")"),1226.0)</f>
        <v>1226</v>
      </c>
      <c r="C877" s="5" t="str">
        <f>IFERROR(__xludf.DUMMYFUNCTION("""COMPUTED_VALUE"""),"মোছাঃ নার্গিস খাতুন")</f>
        <v>মোছাঃ নার্গিস খাতুন</v>
      </c>
      <c r="D877" s="5">
        <f>IFERROR(__xludf.DUMMYFUNCTION("""COMPUTED_VALUE"""),5.70038355911E11)</f>
        <v>570038355911</v>
      </c>
      <c r="E877" s="5" t="str">
        <f>IFERROR(__xludf.DUMMYFUNCTION("""COMPUTED_VALUE"""),"মোঃ সুলতান শেখ")</f>
        <v>মোঃ সুলতান শেখ</v>
      </c>
      <c r="F877" s="5" t="str">
        <f>IFERROR(__xludf.DUMMYFUNCTION("""COMPUTED_VALUE"""),"মোছাঃ কামেন")</f>
        <v>মোছাঃ কামেন</v>
      </c>
      <c r="G877" s="5" t="str">
        <f>IFERROR(__xludf.DUMMYFUNCTION("""COMPUTED_VALUE"""),"২০/১০/১৯৮৭")</f>
        <v>২০/১০/১৯৮৭</v>
      </c>
      <c r="H877" s="5" t="str">
        <f>IFERROR(__xludf.DUMMYFUNCTION("""COMPUTED_VALUE"""),"গৃহিণী")</f>
        <v>গৃহিণী</v>
      </c>
      <c r="I877" s="5" t="str">
        <f>IFERROR(__xludf.DUMMYFUNCTION("""COMPUTED_VALUE"""),"""গাড়াবোব")</f>
        <v>"গাড়াবোব</v>
      </c>
      <c r="J877" s="5" t="str">
        <f>IFERROR(__xludf.DUMMYFUNCTION("""COMPUTED_VALUE""")," গাংনী")</f>
        <v> গাংনী</v>
      </c>
      <c r="K877" s="5" t="str">
        <f>IFERROR(__xludf.DUMMYFUNCTION("""COMPUTED_VALUE""")," মেহেরপুর""")</f>
        <v> মেহেরপুর"</v>
      </c>
    </row>
    <row r="878" ht="15.75" customHeight="1">
      <c r="A878" s="7" t="s">
        <v>7558</v>
      </c>
      <c r="B878" s="1">
        <f>IFERROR(__xludf.DUMMYFUNCTION("SPLIT(A878,"","")"),1227.0)</f>
        <v>1227</v>
      </c>
      <c r="C878" s="5" t="str">
        <f>IFERROR(__xludf.DUMMYFUNCTION("""COMPUTED_VALUE"""),"মোছাঃ ফজিলা খাতুন")</f>
        <v>মোছাঃ ফজিলা খাতুন</v>
      </c>
      <c r="D878" s="5">
        <f>IFERROR(__xludf.DUMMYFUNCTION("""COMPUTED_VALUE"""),5.70038355912E11)</f>
        <v>570038355912</v>
      </c>
      <c r="E878" s="5" t="str">
        <f>IFERROR(__xludf.DUMMYFUNCTION("""COMPUTED_VALUE"""),"কাদের বকস")</f>
        <v>কাদের বকস</v>
      </c>
      <c r="F878" s="5" t="str">
        <f>IFERROR(__xludf.DUMMYFUNCTION("""COMPUTED_VALUE"""),"মোছাঃ খাতুন")</f>
        <v>মোছাঃ খাতুন</v>
      </c>
      <c r="G878" s="5" t="str">
        <f>IFERROR(__xludf.DUMMYFUNCTION("""COMPUTED_VALUE"""),"২৬/০৮/১৯৬৯")</f>
        <v>২৬/০৮/১৯৬৯</v>
      </c>
      <c r="H878" s="5" t="str">
        <f>IFERROR(__xludf.DUMMYFUNCTION("""COMPUTED_VALUE"""),"গৃহিণী")</f>
        <v>গৃহিণী</v>
      </c>
      <c r="I878" s="5" t="str">
        <f>IFERROR(__xludf.DUMMYFUNCTION("""COMPUTED_VALUE"""),"""গাড়াবোব")</f>
        <v>"গাড়াবোব</v>
      </c>
      <c r="J878" s="5" t="str">
        <f>IFERROR(__xludf.DUMMYFUNCTION("""COMPUTED_VALUE""")," গাংনী")</f>
        <v> গাংনী</v>
      </c>
      <c r="K878" s="5" t="str">
        <f>IFERROR(__xludf.DUMMYFUNCTION("""COMPUTED_VALUE""")," মেহেরপুর""")</f>
        <v> মেহেরপুর"</v>
      </c>
    </row>
    <row r="879" ht="15.75" customHeight="1">
      <c r="A879" s="7" t="s">
        <v>7559</v>
      </c>
      <c r="B879" s="1">
        <f>IFERROR(__xludf.DUMMYFUNCTION("SPLIT(A879,"","")"),1228.0)</f>
        <v>1228</v>
      </c>
      <c r="C879" s="5" t="str">
        <f>IFERROR(__xludf.DUMMYFUNCTION("""COMPUTED_VALUE"""),"মোছাঃ রুমানা খাতুন")</f>
        <v>মোছাঃ রুমানা খাতুন</v>
      </c>
      <c r="D879" s="5">
        <f>IFERROR(__xludf.DUMMYFUNCTION("""COMPUTED_VALUE"""),5.70038355913E11)</f>
        <v>570038355913</v>
      </c>
      <c r="E879" s="5" t="str">
        <f>IFERROR(__xludf.DUMMYFUNCTION("""COMPUTED_VALUE"""),"মোঃ আব্দুল লতিফ")</f>
        <v>মোঃ আব্দুল লতিফ</v>
      </c>
      <c r="F879" s="5" t="str">
        <f>IFERROR(__xludf.DUMMYFUNCTION("""COMPUTED_VALUE"""),"মোছাঃ রেহেনা খাতুন")</f>
        <v>মোছাঃ রেহেনা খাতুন</v>
      </c>
      <c r="G879" s="5" t="str">
        <f>IFERROR(__xludf.DUMMYFUNCTION("""COMPUTED_VALUE"""),"১৮/০৭/১৯৮৮")</f>
        <v>১৮/০৭/১৯৮৮</v>
      </c>
      <c r="H879" s="5" t="str">
        <f>IFERROR(__xludf.DUMMYFUNCTION("""COMPUTED_VALUE"""),"গৃহিণী")</f>
        <v>গৃহিণী</v>
      </c>
      <c r="I879" s="5" t="str">
        <f>IFERROR(__xludf.DUMMYFUNCTION("""COMPUTED_VALUE"""),"""গাড়াবোব")</f>
        <v>"গাড়াবোব</v>
      </c>
      <c r="J879" s="5" t="str">
        <f>IFERROR(__xludf.DUMMYFUNCTION("""COMPUTED_VALUE""")," গাংনী")</f>
        <v> গাংনী</v>
      </c>
      <c r="K879" s="5" t="str">
        <f>IFERROR(__xludf.DUMMYFUNCTION("""COMPUTED_VALUE""")," মেহেরপুর""")</f>
        <v> মেহেরপুর"</v>
      </c>
    </row>
    <row r="880" ht="15.75" customHeight="1">
      <c r="A880" s="7" t="s">
        <v>7560</v>
      </c>
      <c r="B880" s="1">
        <f>IFERROR(__xludf.DUMMYFUNCTION("SPLIT(A880,"","")"),1229.0)</f>
        <v>1229</v>
      </c>
      <c r="C880" s="5" t="str">
        <f>IFERROR(__xludf.DUMMYFUNCTION("""COMPUTED_VALUE"""),"মোছাঃ আজিরন খাতুন")</f>
        <v>মোছাঃ আজিরন খাতুন</v>
      </c>
      <c r="D880" s="5">
        <f>IFERROR(__xludf.DUMMYFUNCTION("""COMPUTED_VALUE"""),5.70038355914E11)</f>
        <v>570038355914</v>
      </c>
      <c r="E880" s="5" t="str">
        <f>IFERROR(__xludf.DUMMYFUNCTION("""COMPUTED_VALUE"""),"মোঃ মোজাহার আলী")</f>
        <v>মোঃ মোজাহার আলী</v>
      </c>
      <c r="F880" s="5" t="str">
        <f>IFERROR(__xludf.DUMMYFUNCTION("""COMPUTED_VALUE"""),"মোছাঃ নেছার বেগম")</f>
        <v>মোছাঃ নেছার বেগম</v>
      </c>
      <c r="G880" s="5" t="str">
        <f>IFERROR(__xludf.DUMMYFUNCTION("""COMPUTED_VALUE"""),"২০/১০/১৯৮৭")</f>
        <v>২০/১০/১৯৮৭</v>
      </c>
      <c r="H880" s="5" t="str">
        <f>IFERROR(__xludf.DUMMYFUNCTION("""COMPUTED_VALUE"""),"গৃহিণী")</f>
        <v>গৃহিণী</v>
      </c>
      <c r="I880" s="5" t="str">
        <f>IFERROR(__xludf.DUMMYFUNCTION("""COMPUTED_VALUE"""),"""গাড়াবোব")</f>
        <v>"গাড়াবোব</v>
      </c>
      <c r="J880" s="5" t="str">
        <f>IFERROR(__xludf.DUMMYFUNCTION("""COMPUTED_VALUE""")," গাংনী")</f>
        <v> গাংনী</v>
      </c>
      <c r="K880" s="5" t="str">
        <f>IFERROR(__xludf.DUMMYFUNCTION("""COMPUTED_VALUE""")," মেহেরপুর""")</f>
        <v> মেহেরপুর"</v>
      </c>
    </row>
    <row r="881" ht="15.75" customHeight="1">
      <c r="A881" s="7" t="s">
        <v>7561</v>
      </c>
      <c r="B881" s="1">
        <f>IFERROR(__xludf.DUMMYFUNCTION("SPLIT(A881,"","")"),1230.0)</f>
        <v>1230</v>
      </c>
      <c r="C881" s="5" t="str">
        <f>IFERROR(__xludf.DUMMYFUNCTION("""COMPUTED_VALUE"""),"মোছাঃ শাহানারা খাতুন")</f>
        <v>মোছাঃ শাহানারা খাতুন</v>
      </c>
      <c r="D881" s="5">
        <f>IFERROR(__xludf.DUMMYFUNCTION("""COMPUTED_VALUE"""),5.70038355918E11)</f>
        <v>570038355918</v>
      </c>
      <c r="E881" s="5" t="str">
        <f>IFERROR(__xludf.DUMMYFUNCTION("""COMPUTED_VALUE"""),"রবেচ্ছুদ্দীন মালিথা")</f>
        <v>রবেচ্ছুদ্দীন মালিথা</v>
      </c>
      <c r="F881" s="5" t="str">
        <f>IFERROR(__xludf.DUMMYFUNCTION("""COMPUTED_VALUE"""),"মোছাঃ নুরজাহান")</f>
        <v>মোছাঃ নুরজাহান</v>
      </c>
      <c r="G881" s="5" t="str">
        <f>IFERROR(__xludf.DUMMYFUNCTION("""COMPUTED_VALUE"""),"২৫/০৮/১৯৬৭")</f>
        <v>২৫/০৮/১৯৬৭</v>
      </c>
      <c r="H881" s="5" t="str">
        <f>IFERROR(__xludf.DUMMYFUNCTION("""COMPUTED_VALUE"""),"গৃহিণী")</f>
        <v>গৃহিণী</v>
      </c>
      <c r="I881" s="5" t="str">
        <f>IFERROR(__xludf.DUMMYFUNCTION("""COMPUTED_VALUE"""),"""গাড়াবোব")</f>
        <v>"গাড়াবোব</v>
      </c>
      <c r="J881" s="5" t="str">
        <f>IFERROR(__xludf.DUMMYFUNCTION("""COMPUTED_VALUE""")," গাংনী")</f>
        <v> গাংনী</v>
      </c>
      <c r="K881" s="5" t="str">
        <f>IFERROR(__xludf.DUMMYFUNCTION("""COMPUTED_VALUE""")," মেহেরপুর""")</f>
        <v> মেহেরপুর"</v>
      </c>
    </row>
    <row r="882" ht="15.75" customHeight="1">
      <c r="A882" s="7" t="s">
        <v>7562</v>
      </c>
      <c r="B882" s="1">
        <f>IFERROR(__xludf.DUMMYFUNCTION("SPLIT(A882,"","")"),1231.0)</f>
        <v>1231</v>
      </c>
      <c r="C882" s="5" t="str">
        <f>IFERROR(__xludf.DUMMYFUNCTION("""COMPUTED_VALUE"""),"মোছাঃ ছাবিনা খাতুন")</f>
        <v>মোছাঃ ছাবিনা খাতুন</v>
      </c>
      <c r="D882" s="5">
        <f>IFERROR(__xludf.DUMMYFUNCTION("""COMPUTED_VALUE"""),5.70038355919E11)</f>
        <v>570038355919</v>
      </c>
      <c r="E882" s="5" t="str">
        <f>IFERROR(__xludf.DUMMYFUNCTION("""COMPUTED_VALUE"""),"মোঃ ইবাদত আলী")</f>
        <v>মোঃ ইবাদত আলী</v>
      </c>
      <c r="F882" s="5" t="str">
        <f>IFERROR(__xludf.DUMMYFUNCTION("""COMPUTED_VALUE"""),"মোছাঃ মনোয়ারা খাতুন")</f>
        <v>মোছাঃ মনোয়ারা খাতুন</v>
      </c>
      <c r="G882" s="5" t="str">
        <f>IFERROR(__xludf.DUMMYFUNCTION("""COMPUTED_VALUE"""),"১১/০৭/১৯৮৮")</f>
        <v>১১/০৭/১৯৮৮</v>
      </c>
      <c r="H882" s="5" t="str">
        <f>IFERROR(__xludf.DUMMYFUNCTION("""COMPUTED_VALUE"""),"গৃহিণী")</f>
        <v>গৃহিণী</v>
      </c>
      <c r="I882" s="5" t="str">
        <f>IFERROR(__xludf.DUMMYFUNCTION("""COMPUTED_VALUE"""),"""গাড়াবোব")</f>
        <v>"গাড়াবোব</v>
      </c>
      <c r="J882" s="5" t="str">
        <f>IFERROR(__xludf.DUMMYFUNCTION("""COMPUTED_VALUE""")," গাংনী")</f>
        <v> গাংনী</v>
      </c>
      <c r="K882" s="5" t="str">
        <f>IFERROR(__xludf.DUMMYFUNCTION("""COMPUTED_VALUE""")," মেহেরপুর""")</f>
        <v> মেহেরপুর"</v>
      </c>
    </row>
    <row r="883" ht="15.75" customHeight="1">
      <c r="A883" s="7" t="s">
        <v>7563</v>
      </c>
      <c r="B883" s="1">
        <f>IFERROR(__xludf.DUMMYFUNCTION("SPLIT(A883,"","")"),1232.0)</f>
        <v>1232</v>
      </c>
      <c r="C883" s="5" t="str">
        <f>IFERROR(__xludf.DUMMYFUNCTION("""COMPUTED_VALUE"""),"মোছাঃ রেবেকা খাতুন")</f>
        <v>মোছাঃ রেবেকা খাতুন</v>
      </c>
      <c r="D883" s="5">
        <f>IFERROR(__xludf.DUMMYFUNCTION("""COMPUTED_VALUE"""),5.7003835592E11)</f>
        <v>570038355920</v>
      </c>
      <c r="E883" s="5" t="str">
        <f>IFERROR(__xludf.DUMMYFUNCTION("""COMPUTED_VALUE"""),"মোঃ ইমাদুল ইসলাম")</f>
        <v>মোঃ ইমাদুল ইসলাম</v>
      </c>
      <c r="F883" s="5" t="str">
        <f>IFERROR(__xludf.DUMMYFUNCTION("""COMPUTED_VALUE"""),"মোছাঃ শাহানারা খাতুন")</f>
        <v>মোছাঃ শাহানারা খাতুন</v>
      </c>
      <c r="G883" s="5" t="str">
        <f>IFERROR(__xludf.DUMMYFUNCTION("""COMPUTED_VALUE"""),"২০/০৬/১৯৮৪")</f>
        <v>২০/০৬/১৯৮৪</v>
      </c>
      <c r="H883" s="5" t="str">
        <f>IFERROR(__xludf.DUMMYFUNCTION("""COMPUTED_VALUE"""),"গৃহিণী")</f>
        <v>গৃহিণী</v>
      </c>
      <c r="I883" s="5" t="str">
        <f>IFERROR(__xludf.DUMMYFUNCTION("""COMPUTED_VALUE"""),"""গাড়াবোব")</f>
        <v>"গাড়াবোব</v>
      </c>
      <c r="J883" s="5" t="str">
        <f>IFERROR(__xludf.DUMMYFUNCTION("""COMPUTED_VALUE""")," গাংনী")</f>
        <v> গাংনী</v>
      </c>
      <c r="K883" s="5" t="str">
        <f>IFERROR(__xludf.DUMMYFUNCTION("""COMPUTED_VALUE""")," মেহেরপুর""")</f>
        <v> মেহেরপুর"</v>
      </c>
    </row>
    <row r="884" ht="15.75" customHeight="1">
      <c r="A884" s="7" t="s">
        <v>7564</v>
      </c>
      <c r="B884" s="1">
        <f>IFERROR(__xludf.DUMMYFUNCTION("SPLIT(A884,"","")"),1233.0)</f>
        <v>1233</v>
      </c>
      <c r="C884" s="5" t="str">
        <f>IFERROR(__xludf.DUMMYFUNCTION("""COMPUTED_VALUE"""),"মোছাঃ মাজেদা খাতুন")</f>
        <v>মোছাঃ মাজেদা খাতুন</v>
      </c>
      <c r="D884" s="5">
        <f>IFERROR(__xludf.DUMMYFUNCTION("""COMPUTED_VALUE"""),5.70038355922E11)</f>
        <v>570038355922</v>
      </c>
      <c r="E884" s="5" t="str">
        <f>IFERROR(__xludf.DUMMYFUNCTION("""COMPUTED_VALUE"""),"আজগর আলী")</f>
        <v>আজগর আলী</v>
      </c>
      <c r="F884" s="5" t="str">
        <f>IFERROR(__xludf.DUMMYFUNCTION("""COMPUTED_VALUE"""),"মোছাঃ রাশিরা খাতুন")</f>
        <v>মোছাঃ রাশিরা খাতুন</v>
      </c>
      <c r="G884" s="5" t="str">
        <f>IFERROR(__xludf.DUMMYFUNCTION("""COMPUTED_VALUE"""),"১৬/০৮/১৯৬৫")</f>
        <v>১৬/০৮/১৯৬৫</v>
      </c>
      <c r="H884" s="5" t="str">
        <f>IFERROR(__xludf.DUMMYFUNCTION("""COMPUTED_VALUE"""),"গৃহিণী")</f>
        <v>গৃহিণী</v>
      </c>
      <c r="I884" s="5" t="str">
        <f>IFERROR(__xludf.DUMMYFUNCTION("""COMPUTED_VALUE"""),"""গাড়াবোব")</f>
        <v>"গাড়াবোব</v>
      </c>
      <c r="J884" s="5" t="str">
        <f>IFERROR(__xludf.DUMMYFUNCTION("""COMPUTED_VALUE""")," গাংনী")</f>
        <v> গাংনী</v>
      </c>
      <c r="K884" s="5" t="str">
        <f>IFERROR(__xludf.DUMMYFUNCTION("""COMPUTED_VALUE""")," মেহেরপুর""")</f>
        <v> মেহেরপুর"</v>
      </c>
    </row>
    <row r="885" ht="15.75" customHeight="1">
      <c r="A885" s="7" t="s">
        <v>7565</v>
      </c>
      <c r="B885" s="1">
        <f>IFERROR(__xludf.DUMMYFUNCTION("SPLIT(A885,"","")"),1234.0)</f>
        <v>1234</v>
      </c>
      <c r="C885" s="5" t="str">
        <f>IFERROR(__xludf.DUMMYFUNCTION("""COMPUTED_VALUE"""),"মোছাঃ সাহিদা খাতুন")</f>
        <v>মোছাঃ সাহিদা খাতুন</v>
      </c>
      <c r="D885" s="5">
        <f>IFERROR(__xludf.DUMMYFUNCTION("""COMPUTED_VALUE"""),5.70038355924E11)</f>
        <v>570038355924</v>
      </c>
      <c r="E885" s="5" t="str">
        <f>IFERROR(__xludf.DUMMYFUNCTION("""COMPUTED_VALUE"""),"মোঃ ফরজ আলী")</f>
        <v>মোঃ ফরজ আলী</v>
      </c>
      <c r="F885" s="5" t="str">
        <f>IFERROR(__xludf.DUMMYFUNCTION("""COMPUTED_VALUE"""),"মোছাঃ ছায়েরা খাতুন")</f>
        <v>মোছাঃ ছায়েরা খাতুন</v>
      </c>
      <c r="G885" s="5" t="str">
        <f>IFERROR(__xludf.DUMMYFUNCTION("""COMPUTED_VALUE"""),"২০/০৬/১৯৭৩")</f>
        <v>২০/০৬/১৯৭৩</v>
      </c>
      <c r="H885" s="5" t="str">
        <f>IFERROR(__xludf.DUMMYFUNCTION("""COMPUTED_VALUE"""),"গৃহিণী")</f>
        <v>গৃহিণী</v>
      </c>
      <c r="I885" s="5" t="str">
        <f>IFERROR(__xludf.DUMMYFUNCTION("""COMPUTED_VALUE"""),"""গাড়াবোব")</f>
        <v>"গাড়াবোব</v>
      </c>
      <c r="J885" s="5" t="str">
        <f>IFERROR(__xludf.DUMMYFUNCTION("""COMPUTED_VALUE""")," গাংনী")</f>
        <v> গাংনী</v>
      </c>
      <c r="K885" s="5" t="str">
        <f>IFERROR(__xludf.DUMMYFUNCTION("""COMPUTED_VALUE""")," মেহেরপুর""")</f>
        <v> মেহেরপুর"</v>
      </c>
    </row>
    <row r="886" ht="15.75" customHeight="1">
      <c r="A886" s="7" t="s">
        <v>7566</v>
      </c>
      <c r="B886" s="1">
        <f>IFERROR(__xludf.DUMMYFUNCTION("SPLIT(A886,"","")"),1235.0)</f>
        <v>1235</v>
      </c>
      <c r="C886" s="5" t="str">
        <f>IFERROR(__xludf.DUMMYFUNCTION("""COMPUTED_VALUE"""),"মোছাঃ মুছলিমা খাতুন")</f>
        <v>মোছাঃ মুছলিমা খাতুন</v>
      </c>
      <c r="D886" s="5">
        <f>IFERROR(__xludf.DUMMYFUNCTION("""COMPUTED_VALUE"""),5.70038355925E11)</f>
        <v>570038355925</v>
      </c>
      <c r="E886" s="5" t="str">
        <f>IFERROR(__xludf.DUMMYFUNCTION("""COMPUTED_VALUE"""),"হাফিজ উদ্দিন")</f>
        <v>হাফিজ উদ্দিন</v>
      </c>
      <c r="F886" s="5" t="str">
        <f>IFERROR(__xludf.DUMMYFUNCTION("""COMPUTED_VALUE"""),"ছকিনা খাতুন")</f>
        <v>ছকিনা খাতুন</v>
      </c>
      <c r="G886" s="5" t="str">
        <f>IFERROR(__xludf.DUMMYFUNCTION("""COMPUTED_VALUE"""),"১৮/০৯/১৯৭৭")</f>
        <v>১৮/০৯/১৯৭৭</v>
      </c>
      <c r="H886" s="5" t="str">
        <f>IFERROR(__xludf.DUMMYFUNCTION("""COMPUTED_VALUE"""),"গৃহিণী")</f>
        <v>গৃহিণী</v>
      </c>
      <c r="I886" s="5" t="str">
        <f>IFERROR(__xludf.DUMMYFUNCTION("""COMPUTED_VALUE"""),"""গাড়াবোব")</f>
        <v>"গাড়াবোব</v>
      </c>
      <c r="J886" s="5" t="str">
        <f>IFERROR(__xludf.DUMMYFUNCTION("""COMPUTED_VALUE""")," গাংনী")</f>
        <v> গাংনী</v>
      </c>
      <c r="K886" s="5" t="str">
        <f>IFERROR(__xludf.DUMMYFUNCTION("""COMPUTED_VALUE""")," মেহেরপুর""")</f>
        <v> মেহেরপুর"</v>
      </c>
    </row>
    <row r="887" ht="15.75" customHeight="1">
      <c r="A887" s="7" t="s">
        <v>7567</v>
      </c>
      <c r="B887" s="1">
        <f>IFERROR(__xludf.DUMMYFUNCTION("SPLIT(A887,"","")"),1236.0)</f>
        <v>1236</v>
      </c>
      <c r="C887" s="5" t="str">
        <f>IFERROR(__xludf.DUMMYFUNCTION("""COMPUTED_VALUE"""),"মোছাঃ রুপিয়া খাতুন")</f>
        <v>মোছাঃ রুপিয়া খাতুন</v>
      </c>
      <c r="D887" s="5">
        <f>IFERROR(__xludf.DUMMYFUNCTION("""COMPUTED_VALUE"""),5.70038355931E11)</f>
        <v>570038355931</v>
      </c>
      <c r="E887" s="5" t="str">
        <f>IFERROR(__xludf.DUMMYFUNCTION("""COMPUTED_VALUE"""),"আলীমদ্দিন")</f>
        <v>আলীমদ্দিন</v>
      </c>
      <c r="F887" s="5" t="str">
        <f>IFERROR(__xludf.DUMMYFUNCTION("""COMPUTED_VALUE"""),"মোছাঃ হালিমা খাতুন")</f>
        <v>মোছাঃ হালিমা খাতুন</v>
      </c>
      <c r="G887" s="5" t="str">
        <f>IFERROR(__xludf.DUMMYFUNCTION("""COMPUTED_VALUE"""),"২৫/০৮/১৯৭২")</f>
        <v>২৫/০৮/১৯৭২</v>
      </c>
      <c r="H887" s="5" t="str">
        <f>IFERROR(__xludf.DUMMYFUNCTION("""COMPUTED_VALUE"""),"গৃহিণী")</f>
        <v>গৃহিণী</v>
      </c>
      <c r="I887" s="5" t="str">
        <f>IFERROR(__xludf.DUMMYFUNCTION("""COMPUTED_VALUE"""),"""গাড়াবোব")</f>
        <v>"গাড়াবোব</v>
      </c>
      <c r="J887" s="5" t="str">
        <f>IFERROR(__xludf.DUMMYFUNCTION("""COMPUTED_VALUE""")," গাংনী")</f>
        <v> গাংনী</v>
      </c>
      <c r="K887" s="5" t="str">
        <f>IFERROR(__xludf.DUMMYFUNCTION("""COMPUTED_VALUE""")," মেহেরপুর""")</f>
        <v> মেহেরপুর"</v>
      </c>
    </row>
    <row r="888" ht="15.75" customHeight="1">
      <c r="A888" s="7" t="s">
        <v>7568</v>
      </c>
      <c r="B888" s="1">
        <f>IFERROR(__xludf.DUMMYFUNCTION("SPLIT(A888,"","")"),1237.0)</f>
        <v>1237</v>
      </c>
      <c r="C888" s="5" t="str">
        <f>IFERROR(__xludf.DUMMYFUNCTION("""COMPUTED_VALUE"""),"মোছাঃ হাজেরা খাতুন")</f>
        <v>মোছাঃ হাজেরা খাতুন</v>
      </c>
      <c r="D888" s="5">
        <f>IFERROR(__xludf.DUMMYFUNCTION("""COMPUTED_VALUE"""),5.70038355941E11)</f>
        <v>570038355941</v>
      </c>
      <c r="E888" s="5" t="str">
        <f>IFERROR(__xludf.DUMMYFUNCTION("""COMPUTED_VALUE"""),"মোহাম্মদ আলী")</f>
        <v>মোহাম্মদ আলী</v>
      </c>
      <c r="F888" s="5" t="str">
        <f>IFERROR(__xludf.DUMMYFUNCTION("""COMPUTED_VALUE"""),"মোছাঃ জাহেরা খাতুন")</f>
        <v>মোছাঃ জাহেরা খাতুন</v>
      </c>
      <c r="G888" s="5" t="str">
        <f>IFERROR(__xludf.DUMMYFUNCTION("""COMPUTED_VALUE"""),"১০/১০/১৯৭৭")</f>
        <v>১০/১০/১৯৭৭</v>
      </c>
      <c r="H888" s="5" t="str">
        <f>IFERROR(__xludf.DUMMYFUNCTION("""COMPUTED_VALUE"""),"গৃহিণী")</f>
        <v>গৃহিণী</v>
      </c>
      <c r="I888" s="5" t="str">
        <f>IFERROR(__xludf.DUMMYFUNCTION("""COMPUTED_VALUE"""),"""গাড়াবোব")</f>
        <v>"গাড়াবোব</v>
      </c>
      <c r="J888" s="5" t="str">
        <f>IFERROR(__xludf.DUMMYFUNCTION("""COMPUTED_VALUE""")," গাংনী")</f>
        <v> গাংনী</v>
      </c>
      <c r="K888" s="5" t="str">
        <f>IFERROR(__xludf.DUMMYFUNCTION("""COMPUTED_VALUE""")," মেহেরপুর""")</f>
        <v> মেহেরপুর"</v>
      </c>
    </row>
    <row r="889" ht="15.75" customHeight="1">
      <c r="A889" s="7" t="s">
        <v>7569</v>
      </c>
      <c r="B889" s="1">
        <f>IFERROR(__xludf.DUMMYFUNCTION("SPLIT(A889,"","")"),1238.0)</f>
        <v>1238</v>
      </c>
      <c r="C889" s="5" t="str">
        <f>IFERROR(__xludf.DUMMYFUNCTION("""COMPUTED_VALUE"""),"মোছাঃ নেকছার খাতুন")</f>
        <v>মোছাঃ নেকছার খাতুন</v>
      </c>
      <c r="D889" s="5">
        <f>IFERROR(__xludf.DUMMYFUNCTION("""COMPUTED_VALUE"""),5.70038355943E11)</f>
        <v>570038355943</v>
      </c>
      <c r="E889" s="5" t="str">
        <f>IFERROR(__xludf.DUMMYFUNCTION("""COMPUTED_VALUE"""),"খোদা বকস")</f>
        <v>খোদা বকস</v>
      </c>
      <c r="F889" s="5" t="str">
        <f>IFERROR(__xludf.DUMMYFUNCTION("""COMPUTED_VALUE"""),"মোছাঃ আজিরন")</f>
        <v>মোছাঃ আজিরন</v>
      </c>
      <c r="G889" s="5" t="str">
        <f>IFERROR(__xludf.DUMMYFUNCTION("""COMPUTED_VALUE"""),"২১/০৪/১৯৪৭")</f>
        <v>২১/০৪/১৯৪৭</v>
      </c>
      <c r="H889" s="5" t="str">
        <f>IFERROR(__xludf.DUMMYFUNCTION("""COMPUTED_VALUE"""),"গৃহিণী")</f>
        <v>গৃহিণী</v>
      </c>
      <c r="I889" s="5" t="str">
        <f>IFERROR(__xludf.DUMMYFUNCTION("""COMPUTED_VALUE"""),"""গাড়াবোব")</f>
        <v>"গাড়াবোব</v>
      </c>
      <c r="J889" s="5" t="str">
        <f>IFERROR(__xludf.DUMMYFUNCTION("""COMPUTED_VALUE""")," গাংনী")</f>
        <v> গাংনী</v>
      </c>
      <c r="K889" s="5" t="str">
        <f>IFERROR(__xludf.DUMMYFUNCTION("""COMPUTED_VALUE""")," মেহেরপুর""")</f>
        <v> মেহেরপুর"</v>
      </c>
    </row>
    <row r="890" ht="15.75" customHeight="1">
      <c r="A890" s="7" t="s">
        <v>7570</v>
      </c>
      <c r="B890" s="1">
        <f>IFERROR(__xludf.DUMMYFUNCTION("SPLIT(A890,"","")"),1239.0)</f>
        <v>1239</v>
      </c>
      <c r="C890" s="5" t="str">
        <f>IFERROR(__xludf.DUMMYFUNCTION("""COMPUTED_VALUE"""),"মোছাঃ হামিদা খাতুন")</f>
        <v>মোছাঃ হামিদা খাতুন</v>
      </c>
      <c r="D890" s="5">
        <f>IFERROR(__xludf.DUMMYFUNCTION("""COMPUTED_VALUE"""),5.70038355945E11)</f>
        <v>570038355945</v>
      </c>
      <c r="E890" s="5" t="str">
        <f>IFERROR(__xludf.DUMMYFUNCTION("""COMPUTED_VALUE"""),"আমোদ আলী")</f>
        <v>আমোদ আলী</v>
      </c>
      <c r="F890" s="5" t="str">
        <f>IFERROR(__xludf.DUMMYFUNCTION("""COMPUTED_VALUE"""),"মোছাঃ মুলাম জান")</f>
        <v>মোছাঃ মুলাম জান</v>
      </c>
      <c r="G890" s="5" t="str">
        <f>IFERROR(__xludf.DUMMYFUNCTION("""COMPUTED_VALUE"""),"১৮/০৪/১৯৬২")</f>
        <v>১৮/০৪/১৯৬২</v>
      </c>
      <c r="H890" s="5" t="str">
        <f>IFERROR(__xludf.DUMMYFUNCTION("""COMPUTED_VALUE"""),"গৃহিণী")</f>
        <v>গৃহিণী</v>
      </c>
      <c r="I890" s="5" t="str">
        <f>IFERROR(__xludf.DUMMYFUNCTION("""COMPUTED_VALUE"""),"""গাড়াবোব")</f>
        <v>"গাড়াবোব</v>
      </c>
      <c r="J890" s="5" t="str">
        <f>IFERROR(__xludf.DUMMYFUNCTION("""COMPUTED_VALUE""")," গাংনী")</f>
        <v> গাংনী</v>
      </c>
      <c r="K890" s="5" t="str">
        <f>IFERROR(__xludf.DUMMYFUNCTION("""COMPUTED_VALUE""")," মেহেরপুর""")</f>
        <v> মেহেরপুর"</v>
      </c>
    </row>
    <row r="891" ht="15.75" customHeight="1">
      <c r="A891" s="7" t="s">
        <v>7571</v>
      </c>
      <c r="B891" s="1">
        <f>IFERROR(__xludf.DUMMYFUNCTION("SPLIT(A891,"","")"),1240.0)</f>
        <v>1240</v>
      </c>
      <c r="C891" s="5" t="str">
        <f>IFERROR(__xludf.DUMMYFUNCTION("""COMPUTED_VALUE"""),"মোছাঃ খালেছা বেগম")</f>
        <v>মোছাঃ খালেছা বেগম</v>
      </c>
      <c r="D891" s="5">
        <f>IFERROR(__xludf.DUMMYFUNCTION("""COMPUTED_VALUE"""),5.70038355954E11)</f>
        <v>570038355954</v>
      </c>
      <c r="E891" s="5" t="str">
        <f>IFERROR(__xludf.DUMMYFUNCTION("""COMPUTED_VALUE"""),"খোদা বকস")</f>
        <v>খোদা বকস</v>
      </c>
      <c r="F891" s="5" t="str">
        <f>IFERROR(__xludf.DUMMYFUNCTION("""COMPUTED_VALUE"""),"রজ্ বালা")</f>
        <v>রজ্ বালা</v>
      </c>
      <c r="G891" s="5" t="str">
        <f>IFERROR(__xludf.DUMMYFUNCTION("""COMPUTED_VALUE"""),"১৮/০৭/১৯৩৭")</f>
        <v>১৮/০৭/১৯৩৭</v>
      </c>
      <c r="H891" s="5" t="str">
        <f>IFERROR(__xludf.DUMMYFUNCTION("""COMPUTED_VALUE"""),"গৃহিণী")</f>
        <v>গৃহিণী</v>
      </c>
      <c r="I891" s="5" t="str">
        <f>IFERROR(__xludf.DUMMYFUNCTION("""COMPUTED_VALUE"""),"""গাড়াবোব")</f>
        <v>"গাড়াবোব</v>
      </c>
      <c r="J891" s="5" t="str">
        <f>IFERROR(__xludf.DUMMYFUNCTION("""COMPUTED_VALUE""")," গাংনী")</f>
        <v> গাংনী</v>
      </c>
      <c r="K891" s="5" t="str">
        <f>IFERROR(__xludf.DUMMYFUNCTION("""COMPUTED_VALUE""")," মেহেরপুর""")</f>
        <v> মেহেরপুর"</v>
      </c>
    </row>
    <row r="892" ht="15.75" customHeight="1">
      <c r="A892" s="7" t="s">
        <v>7572</v>
      </c>
      <c r="B892" s="1">
        <f>IFERROR(__xludf.DUMMYFUNCTION("SPLIT(A892,"","")"),1241.0)</f>
        <v>1241</v>
      </c>
      <c r="C892" s="5" t="str">
        <f>IFERROR(__xludf.DUMMYFUNCTION("""COMPUTED_VALUE"""),"মোছাঃ মরিয়ম খাতুন")</f>
        <v>মোছাঃ মরিয়ম খাতুন</v>
      </c>
      <c r="D892" s="5">
        <f>IFERROR(__xludf.DUMMYFUNCTION("""COMPUTED_VALUE"""),5.70038355956E11)</f>
        <v>570038355956</v>
      </c>
      <c r="E892" s="5" t="str">
        <f>IFERROR(__xludf.DUMMYFUNCTION("""COMPUTED_VALUE"""),"মোঃ আবের আলী")</f>
        <v>মোঃ আবের আলী</v>
      </c>
      <c r="F892" s="5" t="str">
        <f>IFERROR(__xludf.DUMMYFUNCTION("""COMPUTED_VALUE"""),"মোছাঃ আকিমন নেছা")</f>
        <v>মোছাঃ আকিমন নেছা</v>
      </c>
      <c r="G892" s="5" t="str">
        <f>IFERROR(__xludf.DUMMYFUNCTION("""COMPUTED_VALUE"""),"১৬/০৭/১৯৮২")</f>
        <v>১৬/০৭/১৯৮২</v>
      </c>
      <c r="H892" s="5" t="str">
        <f>IFERROR(__xludf.DUMMYFUNCTION("""COMPUTED_VALUE"""),"গৃহিণী")</f>
        <v>গৃহিণী</v>
      </c>
      <c r="I892" s="5" t="str">
        <f>IFERROR(__xludf.DUMMYFUNCTION("""COMPUTED_VALUE"""),"""গাড়াবোব")</f>
        <v>"গাড়াবোব</v>
      </c>
      <c r="J892" s="5" t="str">
        <f>IFERROR(__xludf.DUMMYFUNCTION("""COMPUTED_VALUE""")," গাংনী")</f>
        <v> গাংনী</v>
      </c>
      <c r="K892" s="5" t="str">
        <f>IFERROR(__xludf.DUMMYFUNCTION("""COMPUTED_VALUE""")," মেহেরপুর""")</f>
        <v> মেহেরপুর"</v>
      </c>
    </row>
    <row r="893" ht="15.75" customHeight="1">
      <c r="A893" s="7" t="s">
        <v>7573</v>
      </c>
      <c r="B893" s="1">
        <f>IFERROR(__xludf.DUMMYFUNCTION("SPLIT(A893,"","")"),1242.0)</f>
        <v>1242</v>
      </c>
      <c r="C893" s="5" t="str">
        <f>IFERROR(__xludf.DUMMYFUNCTION("""COMPUTED_VALUE"""),"মোছাঃ নাজমা খাতুন")</f>
        <v>মোছাঃ নাজমা খাতুন</v>
      </c>
      <c r="D893" s="5">
        <f>IFERROR(__xludf.DUMMYFUNCTION("""COMPUTED_VALUE"""),5.70038355963E11)</f>
        <v>570038355963</v>
      </c>
      <c r="E893" s="5" t="str">
        <f>IFERROR(__xludf.DUMMYFUNCTION("""COMPUTED_VALUE"""),"মোঃ নাজিম উদ্দীন খান")</f>
        <v>মোঃ নাজিম উদ্দীন খান</v>
      </c>
      <c r="F893" s="5" t="str">
        <f>IFERROR(__xludf.DUMMYFUNCTION("""COMPUTED_VALUE"""),"মোছাঃ আছলিমা খাতুন")</f>
        <v>মোছাঃ আছলিমা খাতুন</v>
      </c>
      <c r="G893" s="5" t="str">
        <f>IFERROR(__xludf.DUMMYFUNCTION("""COMPUTED_VALUE"""),"১২/১২/১৯৮৩")</f>
        <v>১২/১২/১৯৮৩</v>
      </c>
      <c r="H893" s="5" t="str">
        <f>IFERROR(__xludf.DUMMYFUNCTION("""COMPUTED_VALUE"""),"গৃহিণী")</f>
        <v>গৃহিণী</v>
      </c>
      <c r="I893" s="5" t="str">
        <f>IFERROR(__xludf.DUMMYFUNCTION("""COMPUTED_VALUE"""),"""গাড়াবোব")</f>
        <v>"গাড়াবোব</v>
      </c>
      <c r="J893" s="5" t="str">
        <f>IFERROR(__xludf.DUMMYFUNCTION("""COMPUTED_VALUE""")," গাংনী")</f>
        <v> গাংনী</v>
      </c>
      <c r="K893" s="5" t="str">
        <f>IFERROR(__xludf.DUMMYFUNCTION("""COMPUTED_VALUE""")," মেহেরপুর""")</f>
        <v> মেহেরপুর"</v>
      </c>
    </row>
    <row r="894" ht="15.75" customHeight="1">
      <c r="A894" s="7" t="s">
        <v>7574</v>
      </c>
      <c r="B894" s="1">
        <f>IFERROR(__xludf.DUMMYFUNCTION("SPLIT(A894,"","")"),1243.0)</f>
        <v>1243</v>
      </c>
      <c r="C894" s="5" t="str">
        <f>IFERROR(__xludf.DUMMYFUNCTION("""COMPUTED_VALUE"""),"মোছাঃ রাহেলা খাতুন")</f>
        <v>মোছাঃ রাহেলা খাতুন</v>
      </c>
      <c r="D894" s="5">
        <f>IFERROR(__xludf.DUMMYFUNCTION("""COMPUTED_VALUE"""),5.70038355966E11)</f>
        <v>570038355966</v>
      </c>
      <c r="E894" s="5" t="str">
        <f>IFERROR(__xludf.DUMMYFUNCTION("""COMPUTED_VALUE"""),"মোঃ মধু শেখ")</f>
        <v>মোঃ মধু শেখ</v>
      </c>
      <c r="F894" s="5" t="str">
        <f>IFERROR(__xludf.DUMMYFUNCTION("""COMPUTED_VALUE"""),"আলেজান")</f>
        <v>আলেজান</v>
      </c>
      <c r="G894" s="5" t="str">
        <f>IFERROR(__xludf.DUMMYFUNCTION("""COMPUTED_VALUE"""),"১৬/০৮/১৯৫৭")</f>
        <v>১৬/০৮/১৯৫৭</v>
      </c>
      <c r="H894" s="5" t="str">
        <f>IFERROR(__xludf.DUMMYFUNCTION("""COMPUTED_VALUE"""),"গৃহিণী")</f>
        <v>গৃহিণী</v>
      </c>
      <c r="I894" s="5" t="str">
        <f>IFERROR(__xludf.DUMMYFUNCTION("""COMPUTED_VALUE"""),"""গাড়াবোব")</f>
        <v>"গাড়াবোব</v>
      </c>
      <c r="J894" s="5" t="str">
        <f>IFERROR(__xludf.DUMMYFUNCTION("""COMPUTED_VALUE""")," গাংনী")</f>
        <v> গাংনী</v>
      </c>
      <c r="K894" s="5" t="str">
        <f>IFERROR(__xludf.DUMMYFUNCTION("""COMPUTED_VALUE""")," মেহেরপুর""")</f>
        <v> মেহেরপুর"</v>
      </c>
    </row>
    <row r="895" ht="15.75" customHeight="1">
      <c r="A895" s="7" t="s">
        <v>7575</v>
      </c>
      <c r="B895" s="1">
        <f>IFERROR(__xludf.DUMMYFUNCTION("SPLIT(A895,"","")"),1244.0)</f>
        <v>1244</v>
      </c>
      <c r="C895" s="5" t="str">
        <f>IFERROR(__xludf.DUMMYFUNCTION("""COMPUTED_VALUE"""),"মোছাঃ নুরুন্নাহার")</f>
        <v>মোছাঃ নুরুন্নাহার</v>
      </c>
      <c r="D895" s="5">
        <f>IFERROR(__xludf.DUMMYFUNCTION("""COMPUTED_VALUE"""),5.70038355968E11)</f>
        <v>570038355968</v>
      </c>
      <c r="E895" s="5" t="str">
        <f>IFERROR(__xludf.DUMMYFUNCTION("""COMPUTED_VALUE"""),"শামসুদ্দীন মন্ডল")</f>
        <v>শামসুদ্দীন মন্ডল</v>
      </c>
      <c r="F895" s="5" t="str">
        <f>IFERROR(__xludf.DUMMYFUNCTION("""COMPUTED_VALUE"""),"মোছাঃ আতাফন নেছা")</f>
        <v>মোছাঃ আতাফন নেছা</v>
      </c>
      <c r="G895" s="5" t="str">
        <f>IFERROR(__xludf.DUMMYFUNCTION("""COMPUTED_VALUE"""),"১৭/০৭/১৯৬৯")</f>
        <v>১৭/০৭/১৯৬৯</v>
      </c>
      <c r="H895" s="5" t="str">
        <f>IFERROR(__xludf.DUMMYFUNCTION("""COMPUTED_VALUE"""),"গৃহিণী")</f>
        <v>গৃহিণী</v>
      </c>
      <c r="I895" s="5" t="str">
        <f>IFERROR(__xludf.DUMMYFUNCTION("""COMPUTED_VALUE"""),"""গাড়াবোব")</f>
        <v>"গাড়াবোব</v>
      </c>
      <c r="J895" s="5" t="str">
        <f>IFERROR(__xludf.DUMMYFUNCTION("""COMPUTED_VALUE""")," গাংনী")</f>
        <v> গাংনী</v>
      </c>
      <c r="K895" s="5" t="str">
        <f>IFERROR(__xludf.DUMMYFUNCTION("""COMPUTED_VALUE""")," মেহেরপুর""")</f>
        <v> মেহেরপুর"</v>
      </c>
    </row>
    <row r="896" ht="15.75" customHeight="1">
      <c r="A896" s="7" t="s">
        <v>7576</v>
      </c>
      <c r="B896" s="1">
        <f>IFERROR(__xludf.DUMMYFUNCTION("SPLIT(A896,"","")"),1245.0)</f>
        <v>1245</v>
      </c>
      <c r="C896" s="5" t="str">
        <f>IFERROR(__xludf.DUMMYFUNCTION("""COMPUTED_VALUE"""),"মোছাঃ নার্গিস খাতুন")</f>
        <v>মোছাঃ নার্গিস খাতুন</v>
      </c>
      <c r="D896" s="5">
        <f>IFERROR(__xludf.DUMMYFUNCTION("""COMPUTED_VALUE"""),5.70038355969E11)</f>
        <v>570038355969</v>
      </c>
      <c r="E896" s="5" t="str">
        <f>IFERROR(__xludf.DUMMYFUNCTION("""COMPUTED_VALUE"""),"মোঃ আব্দুল গনি")</f>
        <v>মোঃ আব্দুল গনি</v>
      </c>
      <c r="F896" s="5" t="str">
        <f>IFERROR(__xludf.DUMMYFUNCTION("""COMPUTED_VALUE"""),"মোছাঃ মাবিয়া খাতুন")</f>
        <v>মোছাঃ মাবিয়া খাতুন</v>
      </c>
      <c r="G896" s="5" t="str">
        <f>IFERROR(__xludf.DUMMYFUNCTION("""COMPUTED_VALUE"""),"২১/০৭/১৯৮৭")</f>
        <v>২১/০৭/১৯৮৭</v>
      </c>
      <c r="H896" s="5" t="str">
        <f>IFERROR(__xludf.DUMMYFUNCTION("""COMPUTED_VALUE"""),"গৃহিণী")</f>
        <v>গৃহিণী</v>
      </c>
      <c r="I896" s="5" t="str">
        <f>IFERROR(__xludf.DUMMYFUNCTION("""COMPUTED_VALUE"""),"""গাড়াবোব")</f>
        <v>"গাড়াবোব</v>
      </c>
      <c r="J896" s="5" t="str">
        <f>IFERROR(__xludf.DUMMYFUNCTION("""COMPUTED_VALUE""")," গাংনী")</f>
        <v> গাংনী</v>
      </c>
      <c r="K896" s="5" t="str">
        <f>IFERROR(__xludf.DUMMYFUNCTION("""COMPUTED_VALUE""")," মেহেরপুর""")</f>
        <v> মেহেরপুর"</v>
      </c>
    </row>
    <row r="897" ht="15.75" customHeight="1">
      <c r="A897" s="7" t="s">
        <v>7577</v>
      </c>
      <c r="B897" s="1">
        <f>IFERROR(__xludf.DUMMYFUNCTION("SPLIT(A897,"","")"),1246.0)</f>
        <v>1246</v>
      </c>
      <c r="C897" s="5" t="str">
        <f>IFERROR(__xludf.DUMMYFUNCTION("""COMPUTED_VALUE"""),"মোছাঃ রেকছুনা খাতুন")</f>
        <v>মোছাঃ রেকছুনা খাতুন</v>
      </c>
      <c r="D897" s="5">
        <f>IFERROR(__xludf.DUMMYFUNCTION("""COMPUTED_VALUE"""),5.70038355971E11)</f>
        <v>570038355971</v>
      </c>
      <c r="E897" s="5" t="str">
        <f>IFERROR(__xludf.DUMMYFUNCTION("""COMPUTED_VALUE"""),"মোঃ নবীছুদ্দীন")</f>
        <v>মোঃ নবীছুদ্দীন</v>
      </c>
      <c r="F897" s="5" t="str">
        <f>IFERROR(__xludf.DUMMYFUNCTION("""COMPUTED_VALUE"""),"মোছাঃ তপছিয়া খাতুন")</f>
        <v>মোছাঃ তপছিয়া খাতুন</v>
      </c>
      <c r="G897" s="5" t="str">
        <f>IFERROR(__xludf.DUMMYFUNCTION("""COMPUTED_VALUE"""),"১৭/০৫/১৯৮৭")</f>
        <v>১৭/০৫/১৯৮৭</v>
      </c>
      <c r="H897" s="5" t="str">
        <f>IFERROR(__xludf.DUMMYFUNCTION("""COMPUTED_VALUE"""),"গৃহিণী")</f>
        <v>গৃহিণী</v>
      </c>
      <c r="I897" s="5" t="str">
        <f>IFERROR(__xludf.DUMMYFUNCTION("""COMPUTED_VALUE"""),"""গাড়াবোব")</f>
        <v>"গাড়াবোব</v>
      </c>
      <c r="J897" s="5" t="str">
        <f>IFERROR(__xludf.DUMMYFUNCTION("""COMPUTED_VALUE""")," গাংনী")</f>
        <v> গাংনী</v>
      </c>
      <c r="K897" s="5" t="str">
        <f>IFERROR(__xludf.DUMMYFUNCTION("""COMPUTED_VALUE""")," মেহেরপুর""")</f>
        <v> মেহেরপুর"</v>
      </c>
    </row>
    <row r="898" ht="15.75" customHeight="1">
      <c r="A898" s="7" t="s">
        <v>7578</v>
      </c>
      <c r="B898" s="1">
        <f>IFERROR(__xludf.DUMMYFUNCTION("SPLIT(A898,"","")"),1247.0)</f>
        <v>1247</v>
      </c>
      <c r="C898" s="5" t="str">
        <f>IFERROR(__xludf.DUMMYFUNCTION("""COMPUTED_VALUE"""),"মোছাঃ তাছলিমা খাতুন")</f>
        <v>মোছাঃ তাছলিমা খাতুন</v>
      </c>
      <c r="D898" s="5">
        <f>IFERROR(__xludf.DUMMYFUNCTION("""COMPUTED_VALUE"""),5.70038355972E11)</f>
        <v>570038355972</v>
      </c>
      <c r="E898" s="5" t="str">
        <f>IFERROR(__xludf.DUMMYFUNCTION("""COMPUTED_VALUE"""),"আব্দুল কাদের")</f>
        <v>আব্দুল কাদের</v>
      </c>
      <c r="F898" s="5" t="str">
        <f>IFERROR(__xludf.DUMMYFUNCTION("""COMPUTED_VALUE"""),"মোছাঃ আজিরন নেছা")</f>
        <v>মোছাঃ আজিরন নেছা</v>
      </c>
      <c r="G898" s="5" t="str">
        <f>IFERROR(__xludf.DUMMYFUNCTION("""COMPUTED_VALUE"""),"২৪/০৬/১৯৮৭")</f>
        <v>২৪/০৬/১৯৮৭</v>
      </c>
      <c r="H898" s="5" t="str">
        <f>IFERROR(__xludf.DUMMYFUNCTION("""COMPUTED_VALUE"""),"গৃহিণী")</f>
        <v>গৃহিণী</v>
      </c>
      <c r="I898" s="5" t="str">
        <f>IFERROR(__xludf.DUMMYFUNCTION("""COMPUTED_VALUE"""),"""গাড়াবোব")</f>
        <v>"গাড়াবোব</v>
      </c>
      <c r="J898" s="5" t="str">
        <f>IFERROR(__xludf.DUMMYFUNCTION("""COMPUTED_VALUE""")," গাংনী")</f>
        <v> গাংনী</v>
      </c>
      <c r="K898" s="5" t="str">
        <f>IFERROR(__xludf.DUMMYFUNCTION("""COMPUTED_VALUE""")," মেহেরপুর""")</f>
        <v> মেহেরপুর"</v>
      </c>
    </row>
    <row r="899" ht="15.75" customHeight="1">
      <c r="A899" s="7" t="s">
        <v>7579</v>
      </c>
      <c r="B899" s="1">
        <f>IFERROR(__xludf.DUMMYFUNCTION("SPLIT(A899,"","")"),1248.0)</f>
        <v>1248</v>
      </c>
      <c r="C899" s="5" t="str">
        <f>IFERROR(__xludf.DUMMYFUNCTION("""COMPUTED_VALUE"""),"মোছাঃ কহিনুর বেগম")</f>
        <v>মোছাঃ কহিনুর বেগম</v>
      </c>
      <c r="D899" s="5">
        <f>IFERROR(__xludf.DUMMYFUNCTION("""COMPUTED_VALUE"""),5.70038355973E11)</f>
        <v>570038355973</v>
      </c>
      <c r="E899" s="5" t="str">
        <f>IFERROR(__xludf.DUMMYFUNCTION("""COMPUTED_VALUE"""),"চাঁদ হালসনা")</f>
        <v>চাঁদ হালসনা</v>
      </c>
      <c r="F899" s="5" t="str">
        <f>IFERROR(__xludf.DUMMYFUNCTION("""COMPUTED_VALUE"""),"মোছাঃ খদেজান")</f>
        <v>মোছাঃ খদেজান</v>
      </c>
      <c r="G899" s="5" t="str">
        <f>IFERROR(__xludf.DUMMYFUNCTION("""COMPUTED_VALUE"""),"১৭/০৫/১৯৬২")</f>
        <v>১৭/০৫/১৯৬২</v>
      </c>
      <c r="H899" s="5" t="str">
        <f>IFERROR(__xludf.DUMMYFUNCTION("""COMPUTED_VALUE"""),"গৃহিণী")</f>
        <v>গৃহিণী</v>
      </c>
      <c r="I899" s="5" t="str">
        <f>IFERROR(__xludf.DUMMYFUNCTION("""COMPUTED_VALUE"""),"""গাড়াবোব")</f>
        <v>"গাড়াবোব</v>
      </c>
      <c r="J899" s="5" t="str">
        <f>IFERROR(__xludf.DUMMYFUNCTION("""COMPUTED_VALUE""")," গাংনী")</f>
        <v> গাংনী</v>
      </c>
      <c r="K899" s="5" t="str">
        <f>IFERROR(__xludf.DUMMYFUNCTION("""COMPUTED_VALUE""")," মেহেরপুর""")</f>
        <v> মেহেরপুর"</v>
      </c>
    </row>
    <row r="900" ht="15.75" customHeight="1">
      <c r="A900" s="7" t="s">
        <v>7580</v>
      </c>
      <c r="B900" s="1">
        <f>IFERROR(__xludf.DUMMYFUNCTION("SPLIT(A900,"","")"),1249.0)</f>
        <v>1249</v>
      </c>
      <c r="C900" s="5" t="str">
        <f>IFERROR(__xludf.DUMMYFUNCTION("""COMPUTED_VALUE"""),"মোছাঃ ফুলছুরা বেগম")</f>
        <v>মোছাঃ ফুলছুরা বেগম</v>
      </c>
      <c r="D900" s="5">
        <f>IFERROR(__xludf.DUMMYFUNCTION("""COMPUTED_VALUE"""),5.70038355975E11)</f>
        <v>570038355975</v>
      </c>
      <c r="E900" s="5" t="str">
        <f>IFERROR(__xludf.DUMMYFUNCTION("""COMPUTED_VALUE"""),"মোঃ জমসের আলী")</f>
        <v>মোঃ জমসের আলী</v>
      </c>
      <c r="F900" s="5" t="str">
        <f>IFERROR(__xludf.DUMMYFUNCTION("""COMPUTED_VALUE"""),"ধুলি বেগম")</f>
        <v>ধুলি বেগম</v>
      </c>
      <c r="G900" s="5" t="str">
        <f>IFERROR(__xludf.DUMMYFUNCTION("""COMPUTED_VALUE"""),"১৮/০৭/১৯৭০")</f>
        <v>১৮/০৭/১৯৭০</v>
      </c>
      <c r="H900" s="5" t="str">
        <f>IFERROR(__xludf.DUMMYFUNCTION("""COMPUTED_VALUE"""),"গৃহিণী")</f>
        <v>গৃহিণী</v>
      </c>
      <c r="I900" s="5" t="str">
        <f>IFERROR(__xludf.DUMMYFUNCTION("""COMPUTED_VALUE"""),"""গাড়াবোব")</f>
        <v>"গাড়াবোব</v>
      </c>
      <c r="J900" s="5" t="str">
        <f>IFERROR(__xludf.DUMMYFUNCTION("""COMPUTED_VALUE""")," গাংনী")</f>
        <v> গাংনী</v>
      </c>
      <c r="K900" s="5" t="str">
        <f>IFERROR(__xludf.DUMMYFUNCTION("""COMPUTED_VALUE""")," মেহেরপুর""")</f>
        <v> মেহেরপুর"</v>
      </c>
    </row>
    <row r="901" ht="15.75" customHeight="1">
      <c r="A901" s="7" t="s">
        <v>7581</v>
      </c>
      <c r="B901" s="1">
        <f>IFERROR(__xludf.DUMMYFUNCTION("SPLIT(A901,"","")"),1250.0)</f>
        <v>1250</v>
      </c>
      <c r="C901" s="5" t="str">
        <f>IFERROR(__xludf.DUMMYFUNCTION("""COMPUTED_VALUE"""),"মোছাঃ মাবিয়া খাতুন")</f>
        <v>মোছাঃ মাবিয়া খাতুন</v>
      </c>
      <c r="D901" s="5">
        <f>IFERROR(__xludf.DUMMYFUNCTION("""COMPUTED_VALUE"""),5.70038355977E11)</f>
        <v>570038355977</v>
      </c>
      <c r="E901" s="5" t="str">
        <f>IFERROR(__xludf.DUMMYFUNCTION("""COMPUTED_VALUE"""),"মোঃ আব্দুল কাদের")</f>
        <v>মোঃ আব্দুল কাদের</v>
      </c>
      <c r="F901" s="5" t="str">
        <f>IFERROR(__xludf.DUMMYFUNCTION("""COMPUTED_VALUE"""),"মোছাঃ আছিয়া বেগম")</f>
        <v>মোছাঃ আছিয়া বেগম</v>
      </c>
      <c r="G901" s="5" t="str">
        <f>IFERROR(__xludf.DUMMYFUNCTION("""COMPUTED_VALUE"""),"২০/০৭/১৯৬৫")</f>
        <v>২০/০৭/১৯৬৫</v>
      </c>
      <c r="H901" s="5" t="str">
        <f>IFERROR(__xludf.DUMMYFUNCTION("""COMPUTED_VALUE"""),"গৃহিণী")</f>
        <v>গৃহিণী</v>
      </c>
      <c r="I901" s="5" t="str">
        <f>IFERROR(__xludf.DUMMYFUNCTION("""COMPUTED_VALUE"""),"""গাড়াবোব")</f>
        <v>"গাড়াবোব</v>
      </c>
      <c r="J901" s="5" t="str">
        <f>IFERROR(__xludf.DUMMYFUNCTION("""COMPUTED_VALUE""")," গাংনী")</f>
        <v> গাংনী</v>
      </c>
      <c r="K901" s="5" t="str">
        <f>IFERROR(__xludf.DUMMYFUNCTION("""COMPUTED_VALUE""")," মেহেরপুর""")</f>
        <v> মেহেরপুর"</v>
      </c>
    </row>
    <row r="902" ht="15.75" customHeight="1">
      <c r="A902" s="7" t="s">
        <v>7582</v>
      </c>
      <c r="B902" s="1">
        <f>IFERROR(__xludf.DUMMYFUNCTION("SPLIT(A902,"","")"),1251.0)</f>
        <v>1251</v>
      </c>
      <c r="C902" s="5" t="str">
        <f>IFERROR(__xludf.DUMMYFUNCTION("""COMPUTED_VALUE"""),"মোছাঃ মুর্শিদা খাতুন")</f>
        <v>মোছাঃ মুর্শিদা খাতুন</v>
      </c>
      <c r="D902" s="5">
        <f>IFERROR(__xludf.DUMMYFUNCTION("""COMPUTED_VALUE"""),5.70038355978E11)</f>
        <v>570038355978</v>
      </c>
      <c r="E902" s="5" t="str">
        <f>IFERROR(__xludf.DUMMYFUNCTION("""COMPUTED_VALUE"""),"হযরত আলী")</f>
        <v>হযরত আলী</v>
      </c>
      <c r="F902" s="5" t="str">
        <f>IFERROR(__xludf.DUMMYFUNCTION("""COMPUTED_VALUE"""),"মোছাঃ পাখিজান")</f>
        <v>মোছাঃ পাখিজান</v>
      </c>
      <c r="G902" s="5" t="str">
        <f>IFERROR(__xludf.DUMMYFUNCTION("""COMPUTED_VALUE"""),"০৮/০৭/১৯৮৪")</f>
        <v>০৮/০৭/১৯৮৪</v>
      </c>
      <c r="H902" s="5" t="str">
        <f>IFERROR(__xludf.DUMMYFUNCTION("""COMPUTED_VALUE"""),"গৃহিণী")</f>
        <v>গৃহিণী</v>
      </c>
      <c r="I902" s="5" t="str">
        <f>IFERROR(__xludf.DUMMYFUNCTION("""COMPUTED_VALUE"""),"""গাড়াবোব")</f>
        <v>"গাড়াবোব</v>
      </c>
      <c r="J902" s="5" t="str">
        <f>IFERROR(__xludf.DUMMYFUNCTION("""COMPUTED_VALUE""")," গাংনী")</f>
        <v> গাংনী</v>
      </c>
      <c r="K902" s="5" t="str">
        <f>IFERROR(__xludf.DUMMYFUNCTION("""COMPUTED_VALUE""")," মেহেরপুর""")</f>
        <v> মেহেরপুর"</v>
      </c>
    </row>
    <row r="903" ht="15.75" customHeight="1">
      <c r="A903" s="7" t="s">
        <v>7583</v>
      </c>
      <c r="B903" s="1">
        <f>IFERROR(__xludf.DUMMYFUNCTION("SPLIT(A903,"","")"),1252.0)</f>
        <v>1252</v>
      </c>
      <c r="C903" s="5" t="str">
        <f>IFERROR(__xludf.DUMMYFUNCTION("""COMPUTED_VALUE"""),"মোছাঃ রোজিফা খাতুন")</f>
        <v>মোছাঃ রোজিফা খাতুন</v>
      </c>
      <c r="D903" s="5">
        <f>IFERROR(__xludf.DUMMYFUNCTION("""COMPUTED_VALUE"""),5.70038355981E11)</f>
        <v>570038355981</v>
      </c>
      <c r="E903" s="5" t="str">
        <f>IFERROR(__xludf.DUMMYFUNCTION("""COMPUTED_VALUE"""),"মোঃ ছয়রুদ্দীন")</f>
        <v>মোঃ ছয়রুদ্দীন</v>
      </c>
      <c r="F903" s="5" t="str">
        <f>IFERROR(__xludf.DUMMYFUNCTION("""COMPUTED_VALUE"""),"মোছাঃ নুরজাহান বেগম")</f>
        <v>মোছাঃ নুরজাহান বেগম</v>
      </c>
      <c r="G903" s="5" t="str">
        <f>IFERROR(__xludf.DUMMYFUNCTION("""COMPUTED_VALUE"""),"১৮/০৬/১৯৮৫")</f>
        <v>১৮/০৬/১৯৮৫</v>
      </c>
      <c r="H903" s="5" t="str">
        <f>IFERROR(__xludf.DUMMYFUNCTION("""COMPUTED_VALUE"""),"গৃহিণী")</f>
        <v>গৃহিণী</v>
      </c>
      <c r="I903" s="5" t="str">
        <f>IFERROR(__xludf.DUMMYFUNCTION("""COMPUTED_VALUE"""),"""গাড়াবোব")</f>
        <v>"গাড়াবোব</v>
      </c>
      <c r="J903" s="5" t="str">
        <f>IFERROR(__xludf.DUMMYFUNCTION("""COMPUTED_VALUE""")," গাংনী")</f>
        <v> গাংনী</v>
      </c>
      <c r="K903" s="5" t="str">
        <f>IFERROR(__xludf.DUMMYFUNCTION("""COMPUTED_VALUE""")," মেহেরপুর""")</f>
        <v> মেহেরপুর"</v>
      </c>
    </row>
    <row r="904" ht="15.75" customHeight="1">
      <c r="A904" s="7" t="s">
        <v>7584</v>
      </c>
      <c r="B904" s="1">
        <f>IFERROR(__xludf.DUMMYFUNCTION("SPLIT(A904,"","")"),1253.0)</f>
        <v>1253</v>
      </c>
      <c r="C904" s="5" t="str">
        <f>IFERROR(__xludf.DUMMYFUNCTION("""COMPUTED_VALUE"""),"মোছাঃ রাশিদা খাতুন")</f>
        <v>মোছাঃ রাশিদা খাতুন</v>
      </c>
      <c r="D904" s="5">
        <f>IFERROR(__xludf.DUMMYFUNCTION("""COMPUTED_VALUE"""),5.70038355982E11)</f>
        <v>570038355982</v>
      </c>
      <c r="E904" s="5" t="str">
        <f>IFERROR(__xludf.DUMMYFUNCTION("""COMPUTED_VALUE"""),"তাজের আলী")</f>
        <v>তাজের আলী</v>
      </c>
      <c r="F904" s="5" t="str">
        <f>IFERROR(__xludf.DUMMYFUNCTION("""COMPUTED_VALUE"""),"মোছাঃ সবুজান")</f>
        <v>মোছাঃ সবুজান</v>
      </c>
      <c r="G904" s="5" t="str">
        <f>IFERROR(__xludf.DUMMYFUNCTION("""COMPUTED_VALUE"""),"১৯/০৭/১৯৮২")</f>
        <v>১৯/০৭/১৯৮২</v>
      </c>
      <c r="H904" s="5" t="str">
        <f>IFERROR(__xludf.DUMMYFUNCTION("""COMPUTED_VALUE"""),"গৃহিণী")</f>
        <v>গৃহিণী</v>
      </c>
      <c r="I904" s="5" t="str">
        <f>IFERROR(__xludf.DUMMYFUNCTION("""COMPUTED_VALUE"""),"""গাড়াবোব")</f>
        <v>"গাড়াবোব</v>
      </c>
      <c r="J904" s="5" t="str">
        <f>IFERROR(__xludf.DUMMYFUNCTION("""COMPUTED_VALUE""")," গাংনী")</f>
        <v> গাংনী</v>
      </c>
      <c r="K904" s="5" t="str">
        <f>IFERROR(__xludf.DUMMYFUNCTION("""COMPUTED_VALUE""")," মেহেরপুর""")</f>
        <v> মেহেরপুর"</v>
      </c>
    </row>
    <row r="905" ht="15.75" customHeight="1">
      <c r="A905" s="7" t="s">
        <v>7585</v>
      </c>
      <c r="B905" s="1">
        <f>IFERROR(__xludf.DUMMYFUNCTION("SPLIT(A905,"","")"),1254.0)</f>
        <v>1254</v>
      </c>
      <c r="C905" s="5" t="str">
        <f>IFERROR(__xludf.DUMMYFUNCTION("""COMPUTED_VALUE"""),"মোছাঃ ছিপারন নেছা")</f>
        <v>মোছাঃ ছিপারন নেছা</v>
      </c>
      <c r="D905" s="5">
        <f>IFERROR(__xludf.DUMMYFUNCTION("""COMPUTED_VALUE"""),5.70038355986E11)</f>
        <v>570038355986</v>
      </c>
      <c r="E905" s="5" t="str">
        <f>IFERROR(__xludf.DUMMYFUNCTION("""COMPUTED_VALUE"""),"নুর হোসেন")</f>
        <v>নুর হোসেন</v>
      </c>
      <c r="F905" s="5" t="str">
        <f>IFERROR(__xludf.DUMMYFUNCTION("""COMPUTED_VALUE"""),"মোছাঃ মাবিয়া বেগম")</f>
        <v>মোছাঃ মাবিয়া বেগম</v>
      </c>
      <c r="G905" s="5" t="str">
        <f>IFERROR(__xludf.DUMMYFUNCTION("""COMPUTED_VALUE"""),"১০/০৮/১৯৮১")</f>
        <v>১০/০৮/১৯৮১</v>
      </c>
      <c r="H905" s="5" t="str">
        <f>IFERROR(__xludf.DUMMYFUNCTION("""COMPUTED_VALUE"""),"গৃহিণী")</f>
        <v>গৃহিণী</v>
      </c>
      <c r="I905" s="5" t="str">
        <f>IFERROR(__xludf.DUMMYFUNCTION("""COMPUTED_VALUE"""),"""গাড়াবোব")</f>
        <v>"গাড়াবোব</v>
      </c>
      <c r="J905" s="5" t="str">
        <f>IFERROR(__xludf.DUMMYFUNCTION("""COMPUTED_VALUE""")," গাংনী")</f>
        <v> গাংনী</v>
      </c>
      <c r="K905" s="5" t="str">
        <f>IFERROR(__xludf.DUMMYFUNCTION("""COMPUTED_VALUE""")," মেহেরপুর""")</f>
        <v> মেহেরপুর"</v>
      </c>
    </row>
    <row r="906" ht="15.75" customHeight="1">
      <c r="A906" s="7" t="s">
        <v>7586</v>
      </c>
      <c r="B906" s="1">
        <f>IFERROR(__xludf.DUMMYFUNCTION("SPLIT(A906,"","")"),1255.0)</f>
        <v>1255</v>
      </c>
      <c r="C906" s="5" t="str">
        <f>IFERROR(__xludf.DUMMYFUNCTION("""COMPUTED_VALUE"""),"মোছাঃ নিলুফা খাতুন")</f>
        <v>মোছাঃ নিলুফা খাতুন</v>
      </c>
      <c r="D906" s="5">
        <f>IFERROR(__xludf.DUMMYFUNCTION("""COMPUTED_VALUE"""),5.70038355989E11)</f>
        <v>570038355989</v>
      </c>
      <c r="E906" s="5" t="str">
        <f>IFERROR(__xludf.DUMMYFUNCTION("""COMPUTED_VALUE"""),"মোঃ লালু")</f>
        <v>মোঃ লালু</v>
      </c>
      <c r="F906" s="5" t="str">
        <f>IFERROR(__xludf.DUMMYFUNCTION("""COMPUTED_VALUE"""),"মোছাঃ কুরসিয়া বেগম")</f>
        <v>মোছাঃ কুরসিয়া বেগম</v>
      </c>
      <c r="G906" s="5" t="str">
        <f>IFERROR(__xludf.DUMMYFUNCTION("""COMPUTED_VALUE"""),"১২/০৮/১৯৮৬")</f>
        <v>১২/০৮/১৯৮৬</v>
      </c>
      <c r="H906" s="5" t="str">
        <f>IFERROR(__xludf.DUMMYFUNCTION("""COMPUTED_VALUE"""),"গৃহিণী")</f>
        <v>গৃহিণী</v>
      </c>
      <c r="I906" s="5" t="str">
        <f>IFERROR(__xludf.DUMMYFUNCTION("""COMPUTED_VALUE"""),"""গাড়াবোব")</f>
        <v>"গাড়াবোব</v>
      </c>
      <c r="J906" s="5" t="str">
        <f>IFERROR(__xludf.DUMMYFUNCTION("""COMPUTED_VALUE""")," গাংনী")</f>
        <v> গাংনী</v>
      </c>
      <c r="K906" s="5" t="str">
        <f>IFERROR(__xludf.DUMMYFUNCTION("""COMPUTED_VALUE""")," মেহেরপুর""")</f>
        <v> মেহেরপুর"</v>
      </c>
    </row>
    <row r="907" ht="15.75" customHeight="1">
      <c r="A907" s="7" t="s">
        <v>7587</v>
      </c>
      <c r="B907" s="1">
        <f>IFERROR(__xludf.DUMMYFUNCTION("SPLIT(A907,"","")"),1256.0)</f>
        <v>1256</v>
      </c>
      <c r="C907" s="5" t="str">
        <f>IFERROR(__xludf.DUMMYFUNCTION("""COMPUTED_VALUE"""),"মোছাঃ হাচেনা খাতুন")</f>
        <v>মোছাঃ হাচেনা খাতুন</v>
      </c>
      <c r="D907" s="5">
        <f>IFERROR(__xludf.DUMMYFUNCTION("""COMPUTED_VALUE"""),5.7003835599E11)</f>
        <v>570038355990</v>
      </c>
      <c r="E907" s="5" t="str">
        <f>IFERROR(__xludf.DUMMYFUNCTION("""COMPUTED_VALUE"""),"আমিরুদ্দীন")</f>
        <v>আমিরুদ্দীন</v>
      </c>
      <c r="F907" s="5" t="str">
        <f>IFERROR(__xludf.DUMMYFUNCTION("""COMPUTED_VALUE"""),"মোছাঃ জাহানারা")</f>
        <v>মোছাঃ জাহানারা</v>
      </c>
      <c r="G907" s="5" t="str">
        <f>IFERROR(__xludf.DUMMYFUNCTION("""COMPUTED_VALUE"""),"১৭/০৭/১৯৬১")</f>
        <v>১৭/০৭/১৯৬১</v>
      </c>
      <c r="H907" s="5" t="str">
        <f>IFERROR(__xludf.DUMMYFUNCTION("""COMPUTED_VALUE"""),"গৃহিণী")</f>
        <v>গৃহিণী</v>
      </c>
      <c r="I907" s="5" t="str">
        <f>IFERROR(__xludf.DUMMYFUNCTION("""COMPUTED_VALUE"""),"""গাড়াবোব")</f>
        <v>"গাড়াবোব</v>
      </c>
      <c r="J907" s="5" t="str">
        <f>IFERROR(__xludf.DUMMYFUNCTION("""COMPUTED_VALUE""")," গাংনী")</f>
        <v> গাংনী</v>
      </c>
      <c r="K907" s="5" t="str">
        <f>IFERROR(__xludf.DUMMYFUNCTION("""COMPUTED_VALUE""")," মেহেরপুর""")</f>
        <v> মেহেরপুর"</v>
      </c>
    </row>
    <row r="908" ht="15.75" customHeight="1">
      <c r="A908" s="7" t="s">
        <v>7588</v>
      </c>
      <c r="B908" s="1">
        <f>IFERROR(__xludf.DUMMYFUNCTION("SPLIT(A908,"","")"),1257.0)</f>
        <v>1257</v>
      </c>
      <c r="C908" s="5" t="str">
        <f>IFERROR(__xludf.DUMMYFUNCTION("""COMPUTED_VALUE"""),"মোছাঃ কুলছুম খাতুন")</f>
        <v>মোছাঃ কুলছুম খাতুন</v>
      </c>
      <c r="D908" s="5">
        <f>IFERROR(__xludf.DUMMYFUNCTION("""COMPUTED_VALUE"""),5.70038355993E11)</f>
        <v>570038355993</v>
      </c>
      <c r="E908" s="5" t="str">
        <f>IFERROR(__xludf.DUMMYFUNCTION("""COMPUTED_VALUE"""),"মোঃ হানা")</f>
        <v>মোঃ হানা</v>
      </c>
      <c r="F908" s="5" t="str">
        <f>IFERROR(__xludf.DUMMYFUNCTION("""COMPUTED_VALUE"""),"মোছাঃ রশিদা খাতুন")</f>
        <v>মোছাঃ রশিদা খাতুন</v>
      </c>
      <c r="G908" s="5" t="str">
        <f>IFERROR(__xludf.DUMMYFUNCTION("""COMPUTED_VALUE"""),"১১/০৮/১৯৮৮")</f>
        <v>১১/০৮/১৯৮৮</v>
      </c>
      <c r="H908" s="5" t="str">
        <f>IFERROR(__xludf.DUMMYFUNCTION("""COMPUTED_VALUE"""),"গৃহিণী")</f>
        <v>গৃহিণী</v>
      </c>
      <c r="I908" s="5" t="str">
        <f>IFERROR(__xludf.DUMMYFUNCTION("""COMPUTED_VALUE"""),"""গাড়াবোব")</f>
        <v>"গাড়াবোব</v>
      </c>
      <c r="J908" s="5" t="str">
        <f>IFERROR(__xludf.DUMMYFUNCTION("""COMPUTED_VALUE""")," গাংনী")</f>
        <v> গাংনী</v>
      </c>
      <c r="K908" s="5" t="str">
        <f>IFERROR(__xludf.DUMMYFUNCTION("""COMPUTED_VALUE""")," মেহেরপুর""")</f>
        <v> মেহেরপুর"</v>
      </c>
    </row>
    <row r="909" ht="15.75" customHeight="1">
      <c r="A909" s="7" t="s">
        <v>7589</v>
      </c>
      <c r="B909" s="1">
        <f>IFERROR(__xludf.DUMMYFUNCTION("SPLIT(A909,"","")"),1258.0)</f>
        <v>1258</v>
      </c>
      <c r="C909" s="5" t="str">
        <f>IFERROR(__xludf.DUMMYFUNCTION("""COMPUTED_VALUE"""),"মোছাঃ সহিদা খাতুন")</f>
        <v>মোছাঃ সহিদা খাতুন</v>
      </c>
      <c r="D909" s="5">
        <f>IFERROR(__xludf.DUMMYFUNCTION("""COMPUTED_VALUE"""),5.70038355995E11)</f>
        <v>570038355995</v>
      </c>
      <c r="E909" s="5" t="str">
        <f>IFERROR(__xludf.DUMMYFUNCTION("""COMPUTED_VALUE"""),"লাল মোহাম্মদ")</f>
        <v>লাল মোহাম্মদ</v>
      </c>
      <c r="F909" s="5" t="str">
        <f>IFERROR(__xludf.DUMMYFUNCTION("""COMPUTED_VALUE"""),"মোছাঃ কুলছুম বেগম")</f>
        <v>মোছাঃ কুলছুম বেগম</v>
      </c>
      <c r="G909" s="5" t="str">
        <f>IFERROR(__xludf.DUMMYFUNCTION("""COMPUTED_VALUE"""),"১৩/০৬/১৯৬৭")</f>
        <v>১৩/০৬/১৯৬৭</v>
      </c>
      <c r="H909" s="5" t="str">
        <f>IFERROR(__xludf.DUMMYFUNCTION("""COMPUTED_VALUE"""),"গৃহিণী")</f>
        <v>গৃহিণী</v>
      </c>
      <c r="I909" s="5" t="str">
        <f>IFERROR(__xludf.DUMMYFUNCTION("""COMPUTED_VALUE"""),"""গাড়াবোব")</f>
        <v>"গাড়াবোব</v>
      </c>
      <c r="J909" s="5" t="str">
        <f>IFERROR(__xludf.DUMMYFUNCTION("""COMPUTED_VALUE""")," গাংনী")</f>
        <v> গাংনী</v>
      </c>
      <c r="K909" s="5" t="str">
        <f>IFERROR(__xludf.DUMMYFUNCTION("""COMPUTED_VALUE""")," মেহেরপুর""")</f>
        <v> মেহেরপুর"</v>
      </c>
    </row>
    <row r="910" ht="15.75" customHeight="1">
      <c r="A910" s="7" t="s">
        <v>7590</v>
      </c>
      <c r="B910" s="1">
        <f>IFERROR(__xludf.DUMMYFUNCTION("SPLIT(A910,"","")"),1259.0)</f>
        <v>1259</v>
      </c>
      <c r="C910" s="5" t="str">
        <f>IFERROR(__xludf.DUMMYFUNCTION("""COMPUTED_VALUE"""),"মোছাঃ শরিফা খাতুন")</f>
        <v>মোছাঃ শরিফা খাতুন</v>
      </c>
      <c r="D910" s="5">
        <f>IFERROR(__xludf.DUMMYFUNCTION("""COMPUTED_VALUE"""),5.70038355996E11)</f>
        <v>570038355996</v>
      </c>
      <c r="E910" s="5" t="str">
        <f>IFERROR(__xludf.DUMMYFUNCTION("""COMPUTED_VALUE"""),"মোঃ তহিদুল ইসলাম")</f>
        <v>মোঃ তহিদুল ইসলাম</v>
      </c>
      <c r="F910" s="5" t="str">
        <f>IFERROR(__xludf.DUMMYFUNCTION("""COMPUTED_VALUE"""),"মোছাঃ শহিদা খাতুন")</f>
        <v>মোছাঃ শহিদা খাতুন</v>
      </c>
      <c r="G910" s="5" t="str">
        <f>IFERROR(__xludf.DUMMYFUNCTION("""COMPUTED_VALUE"""),"১৫/০৮/১৯৮৭")</f>
        <v>১৫/০৮/১৯৮৭</v>
      </c>
      <c r="H910" s="5" t="str">
        <f>IFERROR(__xludf.DUMMYFUNCTION("""COMPUTED_VALUE"""),"গৃহিণী")</f>
        <v>গৃহিণী</v>
      </c>
      <c r="I910" s="5" t="str">
        <f>IFERROR(__xludf.DUMMYFUNCTION("""COMPUTED_VALUE"""),"""গাড়াবোব")</f>
        <v>"গাড়াবোব</v>
      </c>
      <c r="J910" s="5" t="str">
        <f>IFERROR(__xludf.DUMMYFUNCTION("""COMPUTED_VALUE""")," গাংনী")</f>
        <v> গাংনী</v>
      </c>
      <c r="K910" s="5" t="str">
        <f>IFERROR(__xludf.DUMMYFUNCTION("""COMPUTED_VALUE""")," মেহেরপুর""")</f>
        <v> মেহেরপুর"</v>
      </c>
    </row>
    <row r="911" ht="15.75" customHeight="1">
      <c r="A911" s="7" t="s">
        <v>7591</v>
      </c>
      <c r="B911" s="1">
        <f>IFERROR(__xludf.DUMMYFUNCTION("SPLIT(A911,"","")"),1260.0)</f>
        <v>1260</v>
      </c>
      <c r="C911" s="5" t="str">
        <f>IFERROR(__xludf.DUMMYFUNCTION("""COMPUTED_VALUE"""),"মোছাঃ লতা খাতুন")</f>
        <v>মোছাঃ লতা খাতুন</v>
      </c>
      <c r="D911" s="5">
        <f>IFERROR(__xludf.DUMMYFUNCTION("""COMPUTED_VALUE"""),5.70038355999E11)</f>
        <v>570038355999</v>
      </c>
      <c r="E911" s="5" t="str">
        <f>IFERROR(__xludf.DUMMYFUNCTION("""COMPUTED_VALUE"""),"মোঃ আব্দুর রাজ্জাক")</f>
        <v>মোঃ আব্দুর রাজ্জাক</v>
      </c>
      <c r="F911" s="5" t="str">
        <f>IFERROR(__xludf.DUMMYFUNCTION("""COMPUTED_VALUE"""),"মোছাঃ হানিফা খাতুন")</f>
        <v>মোছাঃ হানিফা খাতুন</v>
      </c>
      <c r="G911" s="5" t="str">
        <f>IFERROR(__xludf.DUMMYFUNCTION("""COMPUTED_VALUE"""),"১৯/০৫/১৯৮৮")</f>
        <v>১৯/০৫/১৯৮৮</v>
      </c>
      <c r="H911" s="5" t="str">
        <f>IFERROR(__xludf.DUMMYFUNCTION("""COMPUTED_VALUE"""),"গৃহিণী")</f>
        <v>গৃহিণী</v>
      </c>
      <c r="I911" s="5" t="str">
        <f>IFERROR(__xludf.DUMMYFUNCTION("""COMPUTED_VALUE"""),"""গাড়াবোব")</f>
        <v>"গাড়াবোব</v>
      </c>
      <c r="J911" s="5" t="str">
        <f>IFERROR(__xludf.DUMMYFUNCTION("""COMPUTED_VALUE""")," গাংনী")</f>
        <v> গাংনী</v>
      </c>
      <c r="K911" s="5" t="str">
        <f>IFERROR(__xludf.DUMMYFUNCTION("""COMPUTED_VALUE""")," মেহেরপুর""")</f>
        <v> মেহেরপুর"</v>
      </c>
    </row>
    <row r="912" ht="15.75" customHeight="1">
      <c r="A912" s="7" t="s">
        <v>7592</v>
      </c>
      <c r="B912" s="1">
        <f>IFERROR(__xludf.DUMMYFUNCTION("SPLIT(A912,"","")"),1261.0)</f>
        <v>1261</v>
      </c>
      <c r="C912" s="5" t="str">
        <f>IFERROR(__xludf.DUMMYFUNCTION("""COMPUTED_VALUE"""),"মোছাঃ সুফিয়া বেগম")</f>
        <v>মোছাঃ সুফিয়া বেগম</v>
      </c>
      <c r="D912" s="5">
        <f>IFERROR(__xludf.DUMMYFUNCTION("""COMPUTED_VALUE"""),5.70038356E11)</f>
        <v>570038356000</v>
      </c>
      <c r="E912" s="5" t="str">
        <f>IFERROR(__xludf.DUMMYFUNCTION("""COMPUTED_VALUE"""),"শাহাদত মন্ডল")</f>
        <v>শাহাদত মন্ডল</v>
      </c>
      <c r="F912" s="5" t="str">
        <f>IFERROR(__xludf.DUMMYFUNCTION("""COMPUTED_VALUE"""),"হিমা জান")</f>
        <v>হিমা জান</v>
      </c>
      <c r="G912" s="5" t="str">
        <f>IFERROR(__xludf.DUMMYFUNCTION("""COMPUTED_VALUE"""),"১০/০৮/১৯৪২")</f>
        <v>১০/০৮/১৯৪২</v>
      </c>
      <c r="H912" s="5" t="str">
        <f>IFERROR(__xludf.DUMMYFUNCTION("""COMPUTED_VALUE"""),"গৃহিণী")</f>
        <v>গৃহিণী</v>
      </c>
      <c r="I912" s="5" t="str">
        <f>IFERROR(__xludf.DUMMYFUNCTION("""COMPUTED_VALUE"""),"""গাড়াবোব")</f>
        <v>"গাড়াবোব</v>
      </c>
      <c r="J912" s="5" t="str">
        <f>IFERROR(__xludf.DUMMYFUNCTION("""COMPUTED_VALUE""")," গাংনী")</f>
        <v> গাংনী</v>
      </c>
      <c r="K912" s="5" t="str">
        <f>IFERROR(__xludf.DUMMYFUNCTION("""COMPUTED_VALUE""")," মেহেরপুর""")</f>
        <v> মেহেরপুর"</v>
      </c>
    </row>
    <row r="913" ht="15.75" customHeight="1">
      <c r="A913" s="7" t="s">
        <v>7593</v>
      </c>
      <c r="B913" s="1">
        <f>IFERROR(__xludf.DUMMYFUNCTION("SPLIT(A913,"","")"),1262.0)</f>
        <v>1262</v>
      </c>
      <c r="C913" s="5" t="str">
        <f>IFERROR(__xludf.DUMMYFUNCTION("""COMPUTED_VALUE"""),"মোছাঃ আছিয়া খাতুন")</f>
        <v>মোছাঃ আছিয়া খাতুন</v>
      </c>
      <c r="D913" s="5">
        <f>IFERROR(__xludf.DUMMYFUNCTION("""COMPUTED_VALUE"""),5.70038356004E11)</f>
        <v>570038356004</v>
      </c>
      <c r="E913" s="5" t="str">
        <f>IFERROR(__xludf.DUMMYFUNCTION("""COMPUTED_VALUE"""),"মোঃ বাহার আলী")</f>
        <v>মোঃ বাহার আলী</v>
      </c>
      <c r="F913" s="5" t="str">
        <f>IFERROR(__xludf.DUMMYFUNCTION("""COMPUTED_VALUE"""),"মোছাঃ আয়েশা খাতুন")</f>
        <v>মোছাঃ আয়েশা খাতুন</v>
      </c>
      <c r="G913" s="5" t="str">
        <f>IFERROR(__xludf.DUMMYFUNCTION("""COMPUTED_VALUE"""),"০৫/০৫/১৯৭৫")</f>
        <v>০৫/০৫/১৯৭৫</v>
      </c>
      <c r="H913" s="5" t="str">
        <f>IFERROR(__xludf.DUMMYFUNCTION("""COMPUTED_VALUE"""),"গৃহিণী")</f>
        <v>গৃহিণী</v>
      </c>
      <c r="I913" s="5" t="str">
        <f>IFERROR(__xludf.DUMMYFUNCTION("""COMPUTED_VALUE"""),"""গাড়াবোব")</f>
        <v>"গাড়াবোব</v>
      </c>
      <c r="J913" s="5" t="str">
        <f>IFERROR(__xludf.DUMMYFUNCTION("""COMPUTED_VALUE""")," গাংনী")</f>
        <v> গাংনী</v>
      </c>
      <c r="K913" s="5" t="str">
        <f>IFERROR(__xludf.DUMMYFUNCTION("""COMPUTED_VALUE""")," মেহেরপুর""")</f>
        <v> মেহেরপুর"</v>
      </c>
    </row>
    <row r="914" ht="15.75" customHeight="1">
      <c r="A914" s="7" t="s">
        <v>7594</v>
      </c>
      <c r="B914" s="1">
        <f>IFERROR(__xludf.DUMMYFUNCTION("SPLIT(A914,"","")"),1263.0)</f>
        <v>1263</v>
      </c>
      <c r="C914" s="5" t="str">
        <f>IFERROR(__xludf.DUMMYFUNCTION("""COMPUTED_VALUE"""),"মোছাঃ তহমিনা খাতুন")</f>
        <v>মোছাঃ তহমিনা খাতুন</v>
      </c>
      <c r="D914" s="5">
        <f>IFERROR(__xludf.DUMMYFUNCTION("""COMPUTED_VALUE"""),5.70038356006E11)</f>
        <v>570038356006</v>
      </c>
      <c r="E914" s="5" t="str">
        <f>IFERROR(__xludf.DUMMYFUNCTION("""COMPUTED_VALUE"""),"মোঃ নুর বকস")</f>
        <v>মোঃ নুর বকস</v>
      </c>
      <c r="F914" s="5" t="str">
        <f>IFERROR(__xludf.DUMMYFUNCTION("""COMPUTED_VALUE"""),"মোছাঃ হাজেরা খাতুন")</f>
        <v>মোছাঃ হাজেরা খাতুন</v>
      </c>
      <c r="G914" s="5" t="str">
        <f>IFERROR(__xludf.DUMMYFUNCTION("""COMPUTED_VALUE"""),"১০/১২/১৯৮০")</f>
        <v>১০/১২/১৯৮০</v>
      </c>
      <c r="H914" s="5" t="str">
        <f>IFERROR(__xludf.DUMMYFUNCTION("""COMPUTED_VALUE"""),"গৃহিণী")</f>
        <v>গৃহিণী</v>
      </c>
      <c r="I914" s="5" t="str">
        <f>IFERROR(__xludf.DUMMYFUNCTION("""COMPUTED_VALUE"""),"""গাড়াবোব")</f>
        <v>"গাড়াবোব</v>
      </c>
      <c r="J914" s="5" t="str">
        <f>IFERROR(__xludf.DUMMYFUNCTION("""COMPUTED_VALUE""")," গাংনী")</f>
        <v> গাংনী</v>
      </c>
      <c r="K914" s="5" t="str">
        <f>IFERROR(__xludf.DUMMYFUNCTION("""COMPUTED_VALUE""")," মেহেরপুর""")</f>
        <v> মেহেরপুর"</v>
      </c>
    </row>
    <row r="915" ht="15.75" customHeight="1">
      <c r="A915" s="7" t="s">
        <v>7595</v>
      </c>
      <c r="B915" s="1">
        <f>IFERROR(__xludf.DUMMYFUNCTION("SPLIT(A915,"","")"),1264.0)</f>
        <v>1264</v>
      </c>
      <c r="C915" s="5" t="str">
        <f>IFERROR(__xludf.DUMMYFUNCTION("""COMPUTED_VALUE"""),"মোছাঃ হাসিনা খাতুন")</f>
        <v>মোছাঃ হাসিনা খাতুন</v>
      </c>
      <c r="D915" s="5">
        <f>IFERROR(__xludf.DUMMYFUNCTION("""COMPUTED_VALUE"""),5.70038356009E11)</f>
        <v>570038356009</v>
      </c>
      <c r="E915" s="5" t="str">
        <f>IFERROR(__xludf.DUMMYFUNCTION("""COMPUTED_VALUE"""),"শাহাদৎ আলী")</f>
        <v>শাহাদৎ আলী</v>
      </c>
      <c r="F915" s="5" t="str">
        <f>IFERROR(__xludf.DUMMYFUNCTION("""COMPUTED_VALUE"""),"মোছাঃ নিহারন খাতুন")</f>
        <v>মোছাঃ নিহারন খাতুন</v>
      </c>
      <c r="G915" s="5" t="str">
        <f>IFERROR(__xludf.DUMMYFUNCTION("""COMPUTED_VALUE"""),"১২/০৬/১৯৮৮")</f>
        <v>১২/০৬/১৯৮৮</v>
      </c>
      <c r="H915" s="5" t="str">
        <f>IFERROR(__xludf.DUMMYFUNCTION("""COMPUTED_VALUE"""),"গৃহিণী")</f>
        <v>গৃহিণী</v>
      </c>
      <c r="I915" s="5" t="str">
        <f>IFERROR(__xludf.DUMMYFUNCTION("""COMPUTED_VALUE"""),"""গাড়াবোব")</f>
        <v>"গাড়াবোব</v>
      </c>
      <c r="J915" s="5" t="str">
        <f>IFERROR(__xludf.DUMMYFUNCTION("""COMPUTED_VALUE""")," গাংনী")</f>
        <v> গাংনী</v>
      </c>
      <c r="K915" s="5" t="str">
        <f>IFERROR(__xludf.DUMMYFUNCTION("""COMPUTED_VALUE""")," মেহেরপুর""")</f>
        <v> মেহেরপুর"</v>
      </c>
    </row>
    <row r="916" ht="15.75" customHeight="1">
      <c r="A916" s="7" t="s">
        <v>7596</v>
      </c>
      <c r="B916" s="1">
        <f>IFERROR(__xludf.DUMMYFUNCTION("SPLIT(A916,"","")"),1265.0)</f>
        <v>1265</v>
      </c>
      <c r="C916" s="5" t="str">
        <f>IFERROR(__xludf.DUMMYFUNCTION("""COMPUTED_VALUE"""),"মোছাঃ সালেহার খাতুন")</f>
        <v>মোছাঃ সালেহার খাতুন</v>
      </c>
      <c r="D916" s="5">
        <f>IFERROR(__xludf.DUMMYFUNCTION("""COMPUTED_VALUE"""),5.70038356011E11)</f>
        <v>570038356011</v>
      </c>
      <c r="E916" s="5" t="str">
        <f>IFERROR(__xludf.DUMMYFUNCTION("""COMPUTED_VALUE"""),"মোঃ ফাকের আলী")</f>
        <v>মোঃ ফাকের আলী</v>
      </c>
      <c r="F916" s="5" t="str">
        <f>IFERROR(__xludf.DUMMYFUNCTION("""COMPUTED_VALUE"""),"মোছাঃ জমিরন নেছা")</f>
        <v>মোছাঃ জমিরন নেছা</v>
      </c>
      <c r="G916" s="5" t="str">
        <f>IFERROR(__xludf.DUMMYFUNCTION("""COMPUTED_VALUE"""),"১৫/০৬/১৯৮৮")</f>
        <v>১৫/০৬/১৯৮৮</v>
      </c>
      <c r="H916" s="5" t="str">
        <f>IFERROR(__xludf.DUMMYFUNCTION("""COMPUTED_VALUE"""),"গৃহিণী")</f>
        <v>গৃহিণী</v>
      </c>
      <c r="I916" s="5" t="str">
        <f>IFERROR(__xludf.DUMMYFUNCTION("""COMPUTED_VALUE"""),"""গাড়াবোব")</f>
        <v>"গাড়াবোব</v>
      </c>
      <c r="J916" s="5" t="str">
        <f>IFERROR(__xludf.DUMMYFUNCTION("""COMPUTED_VALUE""")," গাংনী")</f>
        <v> গাংনী</v>
      </c>
      <c r="K916" s="5" t="str">
        <f>IFERROR(__xludf.DUMMYFUNCTION("""COMPUTED_VALUE""")," মেহেরপুর""")</f>
        <v> মেহেরপুর"</v>
      </c>
    </row>
    <row r="917" ht="15.75" customHeight="1">
      <c r="A917" s="7" t="s">
        <v>7597</v>
      </c>
      <c r="B917" s="1">
        <f>IFERROR(__xludf.DUMMYFUNCTION("SPLIT(A917,"","")"),1266.0)</f>
        <v>1266</v>
      </c>
      <c r="C917" s="5" t="str">
        <f>IFERROR(__xludf.DUMMYFUNCTION("""COMPUTED_VALUE"""),"মোছাঃ রাজমিনা খাতুন")</f>
        <v>মোছাঃ রাজমিনা খাতুন</v>
      </c>
      <c r="D917" s="5">
        <f>IFERROR(__xludf.DUMMYFUNCTION("""COMPUTED_VALUE"""),5.70038356013E11)</f>
        <v>570038356013</v>
      </c>
      <c r="E917" s="5" t="str">
        <f>IFERROR(__xludf.DUMMYFUNCTION("""COMPUTED_VALUE"""),"মোঃ জারাফত বিশ্বাস")</f>
        <v>মোঃ জারাফত বিশ্বাস</v>
      </c>
      <c r="F917" s="5" t="str">
        <f>IFERROR(__xludf.DUMMYFUNCTION("""COMPUTED_VALUE"""),"মোছাঃ আয়েশা খাতুন")</f>
        <v>মোছাঃ আয়েশা খাতুন</v>
      </c>
      <c r="G917" s="5" t="str">
        <f>IFERROR(__xludf.DUMMYFUNCTION("""COMPUTED_VALUE"""),"২২/১১/১৯৮৯")</f>
        <v>২২/১১/১৯৮৯</v>
      </c>
      <c r="H917" s="5" t="str">
        <f>IFERROR(__xludf.DUMMYFUNCTION("""COMPUTED_VALUE"""),"গৃহিণী")</f>
        <v>গৃহিণী</v>
      </c>
      <c r="I917" s="5" t="str">
        <f>IFERROR(__xludf.DUMMYFUNCTION("""COMPUTED_VALUE"""),"""গাড়াবোব")</f>
        <v>"গাড়াবোব</v>
      </c>
      <c r="J917" s="5" t="str">
        <f>IFERROR(__xludf.DUMMYFUNCTION("""COMPUTED_VALUE""")," গাংনী")</f>
        <v> গাংনী</v>
      </c>
      <c r="K917" s="5" t="str">
        <f>IFERROR(__xludf.DUMMYFUNCTION("""COMPUTED_VALUE""")," মেহেরপুর""")</f>
        <v> মেহেরপুর"</v>
      </c>
    </row>
    <row r="918" ht="15.75" customHeight="1">
      <c r="A918" s="7" t="s">
        <v>7598</v>
      </c>
      <c r="B918" s="1">
        <f>IFERROR(__xludf.DUMMYFUNCTION("SPLIT(A918,"","")"),1267.0)</f>
        <v>1267</v>
      </c>
      <c r="C918" s="5" t="str">
        <f>IFERROR(__xludf.DUMMYFUNCTION("""COMPUTED_VALUE"""),"মোছাঃ শাহাদানা খাতুন")</f>
        <v>মোছাঃ শাহাদানা খাতুন</v>
      </c>
      <c r="D918" s="5">
        <f>IFERROR(__xludf.DUMMYFUNCTION("""COMPUTED_VALUE"""),5.70038356015E11)</f>
        <v>570038356015</v>
      </c>
      <c r="E918" s="5" t="str">
        <f>IFERROR(__xludf.DUMMYFUNCTION("""COMPUTED_VALUE"""),"মোঃ নিয়ামত আলী")</f>
        <v>মোঃ নিয়ামত আলী</v>
      </c>
      <c r="F918" s="5" t="str">
        <f>IFERROR(__xludf.DUMMYFUNCTION("""COMPUTED_VALUE"""),"মোছাঃ মাহিরন নেছা")</f>
        <v>মোছাঃ মাহিরন নেছা</v>
      </c>
      <c r="G918" s="5" t="str">
        <f>IFERROR(__xludf.DUMMYFUNCTION("""COMPUTED_VALUE"""),"১০/১২/১৯৮৩")</f>
        <v>১০/১২/১৯৮৩</v>
      </c>
      <c r="H918" s="5" t="str">
        <f>IFERROR(__xludf.DUMMYFUNCTION("""COMPUTED_VALUE"""),"গৃহিণী")</f>
        <v>গৃহিণী</v>
      </c>
      <c r="I918" s="5" t="str">
        <f>IFERROR(__xludf.DUMMYFUNCTION("""COMPUTED_VALUE"""),"""গাড়াবোব")</f>
        <v>"গাড়াবোব</v>
      </c>
      <c r="J918" s="5" t="str">
        <f>IFERROR(__xludf.DUMMYFUNCTION("""COMPUTED_VALUE""")," গাংনী")</f>
        <v> গাংনী</v>
      </c>
      <c r="K918" s="5" t="str">
        <f>IFERROR(__xludf.DUMMYFUNCTION("""COMPUTED_VALUE""")," মেহেরপুর""")</f>
        <v> মেহেরপুর"</v>
      </c>
    </row>
    <row r="919" ht="15.75" customHeight="1">
      <c r="A919" s="7" t="s">
        <v>7599</v>
      </c>
      <c r="B919" s="1">
        <f>IFERROR(__xludf.DUMMYFUNCTION("SPLIT(A919,"","")"),1268.0)</f>
        <v>1268</v>
      </c>
      <c r="C919" s="5" t="str">
        <f>IFERROR(__xludf.DUMMYFUNCTION("""COMPUTED_VALUE"""),"মোছাঃ পারভীনা খাতুন")</f>
        <v>মোছাঃ পারভীনা খাতুন</v>
      </c>
      <c r="D919" s="5">
        <f>IFERROR(__xludf.DUMMYFUNCTION("""COMPUTED_VALUE"""),5.70038356017E11)</f>
        <v>570038356017</v>
      </c>
      <c r="E919" s="5" t="str">
        <f>IFERROR(__xludf.DUMMYFUNCTION("""COMPUTED_VALUE"""),"মোঃ আজিজুল হক")</f>
        <v>মোঃ আজিজুল হক</v>
      </c>
      <c r="F919" s="5" t="str">
        <f>IFERROR(__xludf.DUMMYFUNCTION("""COMPUTED_VALUE"""),"মোছাঃ জাহানারা খাতুন")</f>
        <v>মোছাঃ জাহানারা খাতুন</v>
      </c>
      <c r="G919" s="5" t="str">
        <f>IFERROR(__xludf.DUMMYFUNCTION("""COMPUTED_VALUE"""),"২০/১১/১৯৮৫")</f>
        <v>২০/১১/১৯৮৫</v>
      </c>
      <c r="H919" s="5" t="str">
        <f>IFERROR(__xludf.DUMMYFUNCTION("""COMPUTED_VALUE"""),"গৃহিণী")</f>
        <v>গৃহিণী</v>
      </c>
      <c r="I919" s="5" t="str">
        <f>IFERROR(__xludf.DUMMYFUNCTION("""COMPUTED_VALUE"""),"""গাড়াবোব")</f>
        <v>"গাড়াবোব</v>
      </c>
      <c r="J919" s="5" t="str">
        <f>IFERROR(__xludf.DUMMYFUNCTION("""COMPUTED_VALUE""")," গাংনী")</f>
        <v> গাংনী</v>
      </c>
      <c r="K919" s="5" t="str">
        <f>IFERROR(__xludf.DUMMYFUNCTION("""COMPUTED_VALUE""")," মেহেরপুর""")</f>
        <v> মেহেরপুর"</v>
      </c>
    </row>
    <row r="920" ht="15.75" customHeight="1">
      <c r="A920" s="7" t="s">
        <v>7600</v>
      </c>
      <c r="B920" s="1">
        <f>IFERROR(__xludf.DUMMYFUNCTION("SPLIT(A920,"","")"),1269.0)</f>
        <v>1269</v>
      </c>
      <c r="C920" s="5" t="str">
        <f>IFERROR(__xludf.DUMMYFUNCTION("""COMPUTED_VALUE"""),"মোছাঃ হোসেনয়ারা")</f>
        <v>মোছাঃ হোসেনয়ারা</v>
      </c>
      <c r="D920" s="5">
        <f>IFERROR(__xludf.DUMMYFUNCTION("""COMPUTED_VALUE"""),5.70038356019E11)</f>
        <v>570038356019</v>
      </c>
      <c r="E920" s="5" t="str">
        <f>IFERROR(__xludf.DUMMYFUNCTION("""COMPUTED_VALUE"""),"হাশেম আলী")</f>
        <v>হাশেম আলী</v>
      </c>
      <c r="F920" s="5" t="str">
        <f>IFERROR(__xludf.DUMMYFUNCTION("""COMPUTED_VALUE"""),"মোছাঃ হাসিনা খাতুন")</f>
        <v>মোছাঃ হাসিনা খাতুন</v>
      </c>
      <c r="G920" s="5" t="str">
        <f>IFERROR(__xludf.DUMMYFUNCTION("""COMPUTED_VALUE"""),"১৫/১২/১৯৮৫")</f>
        <v>১৫/১২/১৯৮৫</v>
      </c>
      <c r="H920" s="5" t="str">
        <f>IFERROR(__xludf.DUMMYFUNCTION("""COMPUTED_VALUE"""),"গৃহিণী")</f>
        <v>গৃহিণী</v>
      </c>
      <c r="I920" s="5" t="str">
        <f>IFERROR(__xludf.DUMMYFUNCTION("""COMPUTED_VALUE"""),"""গাড়াবোব")</f>
        <v>"গাড়াবোব</v>
      </c>
      <c r="J920" s="5" t="str">
        <f>IFERROR(__xludf.DUMMYFUNCTION("""COMPUTED_VALUE""")," গাংনী")</f>
        <v> গাংনী</v>
      </c>
      <c r="K920" s="5" t="str">
        <f>IFERROR(__xludf.DUMMYFUNCTION("""COMPUTED_VALUE""")," মেহেরপুর""")</f>
        <v> মেহেরপুর"</v>
      </c>
    </row>
    <row r="921" ht="15.75" customHeight="1">
      <c r="A921" s="7" t="s">
        <v>7601</v>
      </c>
      <c r="B921" s="1">
        <f>IFERROR(__xludf.DUMMYFUNCTION("SPLIT(A921,"","")"),1270.0)</f>
        <v>1270</v>
      </c>
      <c r="C921" s="5" t="str">
        <f>IFERROR(__xludf.DUMMYFUNCTION("""COMPUTED_VALUE"""),"মোছাঃ হোসেনয়ারা")</f>
        <v>মোছাঃ হোসেনয়ারা</v>
      </c>
      <c r="D921" s="5">
        <f>IFERROR(__xludf.DUMMYFUNCTION("""COMPUTED_VALUE"""),5.70038356021E11)</f>
        <v>570038356021</v>
      </c>
      <c r="E921" s="5" t="str">
        <f>IFERROR(__xludf.DUMMYFUNCTION("""COMPUTED_VALUE"""),"মোঃ দাউদ আলী")</f>
        <v>মোঃ দাউদ আলী</v>
      </c>
      <c r="F921" s="5" t="str">
        <f>IFERROR(__xludf.DUMMYFUNCTION("""COMPUTED_VALUE"""),"মোছাঃ মরিয়ম খাতুন")</f>
        <v>মোছাঃ মরিয়ম খাতুন</v>
      </c>
      <c r="G921" s="5" t="str">
        <f>IFERROR(__xludf.DUMMYFUNCTION("""COMPUTED_VALUE"""),"১০/০৬/১৯৮৮")</f>
        <v>১০/০৬/১৯৮৮</v>
      </c>
      <c r="H921" s="5" t="str">
        <f>IFERROR(__xludf.DUMMYFUNCTION("""COMPUTED_VALUE"""),"গৃহিণী")</f>
        <v>গৃহিণী</v>
      </c>
      <c r="I921" s="5" t="str">
        <f>IFERROR(__xludf.DUMMYFUNCTION("""COMPUTED_VALUE"""),"""গাড়াবোব")</f>
        <v>"গাড়াবোব</v>
      </c>
      <c r="J921" s="5" t="str">
        <f>IFERROR(__xludf.DUMMYFUNCTION("""COMPUTED_VALUE""")," গাংনী")</f>
        <v> গাংনী</v>
      </c>
      <c r="K921" s="5" t="str">
        <f>IFERROR(__xludf.DUMMYFUNCTION("""COMPUTED_VALUE""")," মেহেরপুর""")</f>
        <v> মেহেরপুর"</v>
      </c>
    </row>
    <row r="922" ht="15.75" customHeight="1">
      <c r="A922" s="7" t="s">
        <v>7602</v>
      </c>
      <c r="B922" s="1">
        <f>IFERROR(__xludf.DUMMYFUNCTION("SPLIT(A922,"","")"),1271.0)</f>
        <v>1271</v>
      </c>
      <c r="C922" s="5" t="str">
        <f>IFERROR(__xludf.DUMMYFUNCTION("""COMPUTED_VALUE"""),"মোছাঃ মুর্শিদা খাতুন")</f>
        <v>মোছাঃ মুর্শিদা খাতুন</v>
      </c>
      <c r="D922" s="5">
        <f>IFERROR(__xludf.DUMMYFUNCTION("""COMPUTED_VALUE"""),5.70038356023E11)</f>
        <v>570038356023</v>
      </c>
      <c r="E922" s="5" t="str">
        <f>IFERROR(__xludf.DUMMYFUNCTION("""COMPUTED_VALUE"""),"মোঃ আইয়ুব আলী")</f>
        <v>মোঃ আইয়ুব আলী</v>
      </c>
      <c r="F922" s="5" t="str">
        <f>IFERROR(__xludf.DUMMYFUNCTION("""COMPUTED_VALUE"""),"মোছাঃ নুরজাহান")</f>
        <v>মোছাঃ নুরজাহান</v>
      </c>
      <c r="G922" s="5" t="str">
        <f>IFERROR(__xludf.DUMMYFUNCTION("""COMPUTED_VALUE"""),"২৫/১০/১৯৮৮")</f>
        <v>২৫/১০/১৯৮৮</v>
      </c>
      <c r="H922" s="5" t="str">
        <f>IFERROR(__xludf.DUMMYFUNCTION("""COMPUTED_VALUE"""),"গৃহিণী")</f>
        <v>গৃহিণী</v>
      </c>
      <c r="I922" s="5" t="str">
        <f>IFERROR(__xludf.DUMMYFUNCTION("""COMPUTED_VALUE"""),"""গাড়াবোব")</f>
        <v>"গাড়াবোব</v>
      </c>
      <c r="J922" s="5" t="str">
        <f>IFERROR(__xludf.DUMMYFUNCTION("""COMPUTED_VALUE""")," গাংনী")</f>
        <v> গাংনী</v>
      </c>
      <c r="K922" s="5" t="str">
        <f>IFERROR(__xludf.DUMMYFUNCTION("""COMPUTED_VALUE""")," মেহেরপুর""")</f>
        <v> মেহেরপুর"</v>
      </c>
    </row>
    <row r="923" ht="15.75" customHeight="1">
      <c r="A923" s="7" t="s">
        <v>7603</v>
      </c>
      <c r="B923" s="1">
        <f>IFERROR(__xludf.DUMMYFUNCTION("SPLIT(A923,"","")"),1272.0)</f>
        <v>1272</v>
      </c>
      <c r="C923" s="5" t="str">
        <f>IFERROR(__xludf.DUMMYFUNCTION("""COMPUTED_VALUE"""),"মোছাঃ আরজিনা খাতুন")</f>
        <v>মোছাঃ আরজিনা খাতুন</v>
      </c>
      <c r="D923" s="5">
        <f>IFERROR(__xludf.DUMMYFUNCTION("""COMPUTED_VALUE"""),5.70038356024E11)</f>
        <v>570038356024</v>
      </c>
      <c r="E923" s="5" t="str">
        <f>IFERROR(__xludf.DUMMYFUNCTION("""COMPUTED_VALUE"""),"ছারু মন্ডল")</f>
        <v>ছারু মন্ডল</v>
      </c>
      <c r="F923" s="5" t="str">
        <f>IFERROR(__xludf.DUMMYFUNCTION("""COMPUTED_VALUE"""),"মোছাঃ নিহারন")</f>
        <v>মোছাঃ নিহারন</v>
      </c>
      <c r="G923" s="5" t="str">
        <f>IFERROR(__xludf.DUMMYFUNCTION("""COMPUTED_VALUE"""),"১৩/১২/১৯৫৮")</f>
        <v>১৩/১২/১৯৫৮</v>
      </c>
      <c r="H923" s="5" t="str">
        <f>IFERROR(__xludf.DUMMYFUNCTION("""COMPUTED_VALUE"""),"গৃহিণী")</f>
        <v>গৃহিণী</v>
      </c>
      <c r="I923" s="5" t="str">
        <f>IFERROR(__xludf.DUMMYFUNCTION("""COMPUTED_VALUE"""),"""গাড়াবোব")</f>
        <v>"গাড়াবোব</v>
      </c>
      <c r="J923" s="5" t="str">
        <f>IFERROR(__xludf.DUMMYFUNCTION("""COMPUTED_VALUE""")," গাংনী")</f>
        <v> গাংনী</v>
      </c>
      <c r="K923" s="5" t="str">
        <f>IFERROR(__xludf.DUMMYFUNCTION("""COMPUTED_VALUE""")," মেহেরপুর""")</f>
        <v> মেহেরপুর"</v>
      </c>
    </row>
    <row r="924" ht="15.75" customHeight="1">
      <c r="A924" s="7" t="s">
        <v>7604</v>
      </c>
      <c r="B924" s="1">
        <f>IFERROR(__xludf.DUMMYFUNCTION("SPLIT(A924,"","")"),1273.0)</f>
        <v>1273</v>
      </c>
      <c r="C924" s="5" t="str">
        <f>IFERROR(__xludf.DUMMYFUNCTION("""COMPUTED_VALUE"""),"মোছাঃ আশরাফন নেছা")</f>
        <v>মোছাঃ আশরাফন নেছা</v>
      </c>
      <c r="D924" s="5">
        <f>IFERROR(__xludf.DUMMYFUNCTION("""COMPUTED_VALUE"""),5.70038356025E11)</f>
        <v>570038356025</v>
      </c>
      <c r="E924" s="5" t="str">
        <f>IFERROR(__xludf.DUMMYFUNCTION("""COMPUTED_VALUE"""),"মওলা বক্‌স")</f>
        <v>মওলা বক্‌স</v>
      </c>
      <c r="F924" s="5" t="str">
        <f>IFERROR(__xludf.DUMMYFUNCTION("""COMPUTED_VALUE"""),"মোছাঃ আরজিনা খাতুন")</f>
        <v>মোছাঃ আরজিনা খাতুন</v>
      </c>
      <c r="G924" s="5" t="str">
        <f>IFERROR(__xludf.DUMMYFUNCTION("""COMPUTED_VALUE"""),"১০/০৫/১৯৮১")</f>
        <v>১০/০৫/১৯৮১</v>
      </c>
      <c r="H924" s="5" t="str">
        <f>IFERROR(__xludf.DUMMYFUNCTION("""COMPUTED_VALUE"""),"গৃহিণী")</f>
        <v>গৃহিণী</v>
      </c>
      <c r="I924" s="5" t="str">
        <f>IFERROR(__xludf.DUMMYFUNCTION("""COMPUTED_VALUE"""),"""গাড়াবোব")</f>
        <v>"গাড়াবোব</v>
      </c>
      <c r="J924" s="5" t="str">
        <f>IFERROR(__xludf.DUMMYFUNCTION("""COMPUTED_VALUE""")," গাংনী")</f>
        <v> গাংনী</v>
      </c>
      <c r="K924" s="5" t="str">
        <f>IFERROR(__xludf.DUMMYFUNCTION("""COMPUTED_VALUE""")," মেহেরপুর""")</f>
        <v> মেহেরপুর"</v>
      </c>
    </row>
    <row r="925" ht="15.75" customHeight="1">
      <c r="A925" s="7" t="s">
        <v>7605</v>
      </c>
      <c r="B925" s="1">
        <f>IFERROR(__xludf.DUMMYFUNCTION("SPLIT(A925,"","")"),1274.0)</f>
        <v>1274</v>
      </c>
      <c r="C925" s="5" t="str">
        <f>IFERROR(__xludf.DUMMYFUNCTION("""COMPUTED_VALUE"""),"মোছাঃ তারজিনা খাতুন")</f>
        <v>মোছাঃ তারজিনা খাতুন</v>
      </c>
      <c r="D925" s="5">
        <f>IFERROR(__xludf.DUMMYFUNCTION("""COMPUTED_VALUE"""),5.70038356027E11)</f>
        <v>570038356027</v>
      </c>
      <c r="E925" s="5" t="str">
        <f>IFERROR(__xludf.DUMMYFUNCTION("""COMPUTED_VALUE"""),"মোঃ তাহাজউদ্দীন")</f>
        <v>মোঃ তাহাজউদ্দীন</v>
      </c>
      <c r="F925" s="5" t="str">
        <f>IFERROR(__xludf.DUMMYFUNCTION("""COMPUTED_VALUE"""),"মোছাঃ ছকিনা খাতুন")</f>
        <v>মোছাঃ ছকিনা খাতুন</v>
      </c>
      <c r="G925" s="5" t="str">
        <f>IFERROR(__xludf.DUMMYFUNCTION("""COMPUTED_VALUE"""),"১৫/১০/১৯৮২")</f>
        <v>১৫/১০/১৯৮২</v>
      </c>
      <c r="H925" s="5" t="str">
        <f>IFERROR(__xludf.DUMMYFUNCTION("""COMPUTED_VALUE"""),"গৃহিণী")</f>
        <v>গৃহিণী</v>
      </c>
      <c r="I925" s="5" t="str">
        <f>IFERROR(__xludf.DUMMYFUNCTION("""COMPUTED_VALUE"""),"""গাড়াবোব")</f>
        <v>"গাড়াবোব</v>
      </c>
      <c r="J925" s="5" t="str">
        <f>IFERROR(__xludf.DUMMYFUNCTION("""COMPUTED_VALUE""")," গাংনী")</f>
        <v> গাংনী</v>
      </c>
      <c r="K925" s="5" t="str">
        <f>IFERROR(__xludf.DUMMYFUNCTION("""COMPUTED_VALUE""")," মেহেরপুর""")</f>
        <v> মেহেরপুর"</v>
      </c>
    </row>
    <row r="926" ht="15.75" customHeight="1">
      <c r="A926" s="7" t="s">
        <v>7606</v>
      </c>
      <c r="B926" s="1">
        <f>IFERROR(__xludf.DUMMYFUNCTION("SPLIT(A926,"","")"),1275.0)</f>
        <v>1275</v>
      </c>
      <c r="C926" s="5" t="str">
        <f>IFERROR(__xludf.DUMMYFUNCTION("""COMPUTED_VALUE"""),"মোছাঃ মমতাজ বেগম")</f>
        <v>মোছাঃ মমতাজ বেগম</v>
      </c>
      <c r="D926" s="5">
        <f>IFERROR(__xludf.DUMMYFUNCTION("""COMPUTED_VALUE"""),5.70038356029E11)</f>
        <v>570038356029</v>
      </c>
      <c r="E926" s="5" t="str">
        <f>IFERROR(__xludf.DUMMYFUNCTION("""COMPUTED_VALUE"""),"মোঃ জানালী মন্ডল")</f>
        <v>মোঃ জানালী মন্ডল</v>
      </c>
      <c r="F926" s="5" t="str">
        <f>IFERROR(__xludf.DUMMYFUNCTION("""COMPUTED_VALUE"""),"মোছাঃ আনোয়ারা খাতুন")</f>
        <v>মোছাঃ আনোয়ারা খাতুন</v>
      </c>
      <c r="G926" s="5" t="str">
        <f>IFERROR(__xludf.DUMMYFUNCTION("""COMPUTED_VALUE"""),"১২/০৪/১৯৮৪")</f>
        <v>১২/০৪/১৯৮৪</v>
      </c>
      <c r="H926" s="5" t="str">
        <f>IFERROR(__xludf.DUMMYFUNCTION("""COMPUTED_VALUE"""),"গৃহিণী")</f>
        <v>গৃহিণী</v>
      </c>
      <c r="I926" s="5" t="str">
        <f>IFERROR(__xludf.DUMMYFUNCTION("""COMPUTED_VALUE"""),"""গাড়াবোব")</f>
        <v>"গাড়াবোব</v>
      </c>
      <c r="J926" s="5" t="str">
        <f>IFERROR(__xludf.DUMMYFUNCTION("""COMPUTED_VALUE""")," গাংনী")</f>
        <v> গাংনী</v>
      </c>
      <c r="K926" s="5" t="str">
        <f>IFERROR(__xludf.DUMMYFUNCTION("""COMPUTED_VALUE""")," মেহেরপুর""")</f>
        <v> মেহেরপুর"</v>
      </c>
    </row>
    <row r="927" ht="15.75" customHeight="1">
      <c r="B927" s="1" t="str">
        <f>IFERROR(__xludf.DUMMYFUNCTION("SPLIT(A927,"","")"),"#VALUE!")</f>
        <v>#VALUE!</v>
      </c>
    </row>
    <row r="928" ht="15.75" customHeight="1">
      <c r="B928" s="1" t="str">
        <f>IFERROR(__xludf.DUMMYFUNCTION("SPLIT(A928,"","")"),"#VALUE!")</f>
        <v>#VALUE!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