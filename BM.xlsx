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nZ32zFUCdMb4FJecq6KP6wv/nOKFmQhZo6rwQCTqV/M="/>
    </ext>
  </extLst>
</workbook>
</file>

<file path=xl/sharedStrings.xml><?xml version="1.0" encoding="utf-8"?>
<sst xmlns="http://schemas.openxmlformats.org/spreadsheetml/2006/main" count="19013" uniqueCount="7606">
  <si>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</si>
  <si>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</si>
  <si>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</si>
  <si>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</si>
  <si>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</si>
  <si>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</si>
  <si>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</si>
  <si>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</si>
  <si>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খালেকুজজামান</t>
  </si>
  <si>
    <t>হাজী মোঃ আজিজুর রহমান</t>
  </si>
  <si>
    <t>মোছাঃ আমেনা খাতুন</t>
  </si>
  <si>
    <t>০১/০১/১৯৬৮</t>
  </si>
  <si>
    <t>সরকারী চাকুরী</t>
  </si>
  <si>
    <t>বাশবাড়ীয়া দক্ষিণ পাড়া গাংনী মেহেরপুর</t>
  </si>
  <si>
    <t>মোঃ মকলেছুর রহমান</t>
  </si>
  <si>
    <t>রিয়াজ উদ্দিন শেখ</t>
  </si>
  <si>
    <t>মোছাঃ শরিফন নেছা</t>
  </si>
  <si>
    <t>০১/০৮/১৯৭২</t>
  </si>
  <si>
    <t>শ্রমিক</t>
  </si>
  <si>
    <t>গাড়াদোব গাংনী মেহেরপুর</t>
  </si>
  <si>
    <t>মোঃ আকছেদ আলী শেখ</t>
  </si>
  <si>
    <t>মাদার শেখ</t>
  </si>
  <si>
    <t>আকলিমা বেগম</t>
  </si>
  <si>
    <t>০৫/০৫/১৯৬৩</t>
  </si>
  <si>
    <t>কৃষক</t>
  </si>
  <si>
    <t>মোঃ মোজাম্মেল হক</t>
  </si>
  <si>
    <t>মোঃ কুরবান আলী</t>
  </si>
  <si>
    <t>মোমেনা খাতুন</t>
  </si>
  <si>
    <t>০২/০৪/১৯৬৭</t>
  </si>
  <si>
    <t>জফুর শেখ</t>
  </si>
  <si>
    <t>ছহিমন নেছা</t>
  </si>
  <si>
    <t>০১/০৫/১৯৪৭</t>
  </si>
  <si>
    <t>মোঃ শুকুর আলী</t>
  </si>
  <si>
    <t>জাবের আলী শেখ</t>
  </si>
  <si>
    <t>লালমন নেছা</t>
  </si>
  <si>
    <t>০১/০২/১৯৪৭</t>
  </si>
  <si>
    <t>এস এম শরীফ উদ্দিন</t>
  </si>
  <si>
    <t>৩০/০৬/১৯৬৪</t>
  </si>
  <si>
    <t>ব্যবসা</t>
  </si>
  <si>
    <t>মোঃ শহিদুল ইসলাম</t>
  </si>
  <si>
    <t>রবজেল খাঁ</t>
  </si>
  <si>
    <t>আনোয়ারা খাতুন</t>
  </si>
  <si>
    <t>০১/০৩/১৯৬৭</t>
  </si>
  <si>
    <t>মোঃ মিজানুর রহমান</t>
  </si>
  <si>
    <t>মোঃ আজিম খাঁ</t>
  </si>
  <si>
    <t>মোছাঃ মিনারা বেগম</t>
  </si>
  <si>
    <t>০৫/০২/১৯৮৪</t>
  </si>
  <si>
    <t>মিস্ত্রী</t>
  </si>
  <si>
    <t>মোঃ আজিজুল খাঁ</t>
  </si>
  <si>
    <t>আনোয়ারা</t>
  </si>
  <si>
    <t>০৭/০৫/১৯৬২</t>
  </si>
  <si>
    <t>মোঃ নুর আলম</t>
  </si>
  <si>
    <t>মোছাঃ নহরবান</t>
  </si>
  <si>
    <t>০২/০৫/১৯৮৭</t>
  </si>
  <si>
    <t>মোঃ আনিছুর রহমান</t>
  </si>
  <si>
    <t>০৩/০৬/১৯৭৭</t>
  </si>
  <si>
    <t>মোঃ দুল্লফ হোসেন</t>
  </si>
  <si>
    <t>মোঃ আওলাদ হোসেন</t>
  </si>
  <si>
    <t>মোছাঃ দেলজান নেছা</t>
  </si>
  <si>
    <t>০১/০৪/১৯৬৭</t>
  </si>
  <si>
    <t>মোঃ এনামুল হক</t>
  </si>
  <si>
    <t>মোঃ শুকুর আলী শেখ</t>
  </si>
  <si>
    <t>মোছাঃ রহিমা খাতুন</t>
  </si>
  <si>
    <t>০১/০৫/১৯৮০</t>
  </si>
  <si>
    <t>মোঃ সহিদুল ইসলাম</t>
  </si>
  <si>
    <t>০১/০৫/১৯৬৫</t>
  </si>
  <si>
    <t>মোঃ আনারুল ইসলাম</t>
  </si>
  <si>
    <t>মোঃ সিরাজ উদ্দিন মুন্সী</t>
  </si>
  <si>
    <t>মোছাঃ আনোয়ারা খাতুন</t>
  </si>
  <si>
    <t>০৩/০৫/১৯৭২</t>
  </si>
  <si>
    <t>মোঃ বিশারত আলী</t>
  </si>
  <si>
    <t>০৫/০৬/১৯৭৪</t>
  </si>
  <si>
    <t>মোঃ রবিউল ইসলাম</t>
  </si>
  <si>
    <t>মোছাঃ আনোয়ারা</t>
  </si>
  <si>
    <t>০৫/০৯/১৯৭২</t>
  </si>
  <si>
    <t>মোঃ আব্দুল আলীম</t>
  </si>
  <si>
    <t>হাজী ইয়াদ আলী মীর</t>
  </si>
  <si>
    <t>মোছাঃ রওশন আরা</t>
  </si>
  <si>
    <t>০১/০৫/১৯৬৭</t>
  </si>
  <si>
    <t>মোঃ সেলিম রেজা</t>
  </si>
  <si>
    <t>০৫/০৮/১৯৬৯</t>
  </si>
  <si>
    <t>মোঃ আফছার আলী</t>
  </si>
  <si>
    <t>মোছাঃ দোলেয়ারা খাতুন</t>
  </si>
  <si>
    <t>০১/০৪/১৯৮২</t>
  </si>
  <si>
    <t>মোঃ হাবিল আলী</t>
  </si>
  <si>
    <t>মোঃ নিহাজ উদ্দিন শেখ</t>
  </si>
  <si>
    <t>মোছাঃ আছ খাতুন</t>
  </si>
  <si>
    <t>০১/০৫/১৯৭৭</t>
  </si>
  <si>
    <t>মোঃ সেকেন্দার আলী</t>
  </si>
  <si>
    <t>০২/০৫/১৯৬৫</t>
  </si>
  <si>
    <t>দিনমজুর</t>
  </si>
  <si>
    <t>মোঃ কাবেল উদ্দিন</t>
  </si>
  <si>
    <t>০১/০৬/১৯৭১</t>
  </si>
  <si>
    <t>মোঃ ফুলজার হোসেন</t>
  </si>
  <si>
    <t>তিনকড়ি খাঁ</t>
  </si>
  <si>
    <t>মোছাঃ গঞ্জরা খাতুন</t>
  </si>
  <si>
    <t>০১/০৭/১৯৫৯</t>
  </si>
  <si>
    <t>মোঃ বিল্লাল হোসেন</t>
  </si>
  <si>
    <t>খোদা বক্স</t>
  </si>
  <si>
    <t>সায়েরা খাতুন</t>
  </si>
  <si>
    <t>০৫/০৮/১৯৪৭</t>
  </si>
  <si>
    <t>মোঃ শাহাবুল খান</t>
  </si>
  <si>
    <t>মোঃ গুলজার কান</t>
  </si>
  <si>
    <t>মোছাঃ রাবেয়া খাতুন</t>
  </si>
  <si>
    <t>০৫/০৩/১৯৮৭</t>
  </si>
  <si>
    <t>মোঃ আরিফ হোসেন</t>
  </si>
  <si>
    <t>মোঃ মনিরুল ইসলাম</t>
  </si>
  <si>
    <t>মোছাঃ আলেয়া খাতুন</t>
  </si>
  <si>
    <t>০৫/০৩/১৯৮৪</t>
  </si>
  <si>
    <t>মোঃ বানারুল ইসলাম</t>
  </si>
  <si>
    <t>জান মহাম্মদ শেখ</t>
  </si>
  <si>
    <t>মোছাঃ হাসিনা বেগম</t>
  </si>
  <si>
    <t>০৫/০৩/১৯৬৭</t>
  </si>
  <si>
    <t>মোঃ জাহাদুল ইসলাম</t>
  </si>
  <si>
    <t>মোঃ আলতাফ হোসেন শেখ</t>
  </si>
  <si>
    <t>মোছাঃ জাহানারা খাতুন</t>
  </si>
  <si>
    <t>০২/০১/১৯৭৮</t>
  </si>
  <si>
    <t>মোঃ শাহজাহান আলী</t>
  </si>
  <si>
    <t>মোঃ রহিদুল ইসলাম</t>
  </si>
  <si>
    <t>মোছাঃ ছানোয়ারা খাতুন</t>
  </si>
  <si>
    <t>২৩/০৫/১৯৮৯</t>
  </si>
  <si>
    <t>ছাত্র/ছাত্রী</t>
  </si>
  <si>
    <t>মোঃ আহসানুল হক</t>
  </si>
  <si>
    <t>মোঃ আজগর আলী</t>
  </si>
  <si>
    <t>১০/১০/১৯৮৭</t>
  </si>
  <si>
    <t>মোঃ ওমর ফারুক</t>
  </si>
  <si>
    <t>মহিউদ্দিন শেখ</t>
  </si>
  <si>
    <t>ওজিফা খাতুন</t>
  </si>
  <si>
    <t>০৫/০৮/১৯৭২</t>
  </si>
  <si>
    <t>মোঃ তারিক হোসেন</t>
  </si>
  <si>
    <t>মোঃ নুরুল ইসলাম</t>
  </si>
  <si>
    <t>মোছাঃ জীবন নাহার</t>
  </si>
  <si>
    <t>০৫/১২/১৯৮০</t>
  </si>
  <si>
    <t>মোঃ আকতারুজ্জামান</t>
  </si>
  <si>
    <t>নুরুল হুদা</t>
  </si>
  <si>
    <t>মোছাঃ আনজিরা খাতুন</t>
  </si>
  <si>
    <t>০২/০৭/১৯৭৫</t>
  </si>
  <si>
    <t>মহিউদ্দিন খান</t>
  </si>
  <si>
    <t>০২/০১/১৯৭২</t>
  </si>
  <si>
    <t>মোঃ আরশেদ আলী</t>
  </si>
  <si>
    <t>মোঃ নাসির উদ্দিন</t>
  </si>
  <si>
    <t>মোছাঃ আশরাফন নেছা</t>
  </si>
  <si>
    <t>০২/০২/১৯৭৯</t>
  </si>
  <si>
    <t>বেসরকারী চাকুরী</t>
  </si>
  <si>
    <t>মোঃ আলতাব শেখ</t>
  </si>
  <si>
    <t>০৫/০৫/১৯৪২</t>
  </si>
  <si>
    <t>মোঃ মাহাতাব শেখ</t>
  </si>
  <si>
    <t>মহিউদ্দিন</t>
  </si>
  <si>
    <t>০২/০৭/১৯৪৪</t>
  </si>
  <si>
    <t>মোঃ মফিজুল ইসলাম</t>
  </si>
  <si>
    <t>মোঃ চয়ন আলী</t>
  </si>
  <si>
    <t>মোঃ সিরাজ আলী</t>
  </si>
  <si>
    <t>০৫/০২/১৯৭৭</t>
  </si>
  <si>
    <t>মোঃ আব্দুস ছালাম</t>
  </si>
  <si>
    <t>মোছাঃ রওশন আরা বেগম</t>
  </si>
  <si>
    <t>০৫/০৫/১৯৭২</t>
  </si>
  <si>
    <t>মোঃ মিলন আলী</t>
  </si>
  <si>
    <t>মোঃ কুরবান শেখ</t>
  </si>
  <si>
    <t>মোছাঃ শুকজান</t>
  </si>
  <si>
    <t>০৫/০৬/১৯৮৪</t>
  </si>
  <si>
    <t>মোঃ আনসার আলী</t>
  </si>
  <si>
    <t>মোছাঃ আনজিরা বেগম</t>
  </si>
  <si>
    <t>০১/০৭/১৯৭০</t>
  </si>
  <si>
    <t>মোঃ খোরশেদ আলী</t>
  </si>
  <si>
    <t>০৫/০৫/১৯৮১</t>
  </si>
  <si>
    <t>মোঃ আশরাফুল ইসলাম</t>
  </si>
  <si>
    <t>মোঃ মহিউদ্দিন শেখ</t>
  </si>
  <si>
    <t>মোছাঃ শামসুন্নাহার বেগম</t>
  </si>
  <si>
    <t>০৭/০৯/১৯৭৫</t>
  </si>
  <si>
    <t>মোঃ আবুল কাসেম</t>
  </si>
  <si>
    <t>নঈমুদ্দিন শেখ</t>
  </si>
  <si>
    <t>তুতা বেগম</t>
  </si>
  <si>
    <t>০২/০৫/১৯৫২</t>
  </si>
  <si>
    <t>মোঃ মশিউর রহমান</t>
  </si>
  <si>
    <t>মোঃ মহিউদ্দিন</t>
  </si>
  <si>
    <t>২৮/০৮/১৯৮৭</t>
  </si>
  <si>
    <t>মোঃ জিয়ারুদ্দিন</t>
  </si>
  <si>
    <t>আজিমুদ্দিন শেখ</t>
  </si>
  <si>
    <t>তাসলিমা খাতুন</t>
  </si>
  <si>
    <t>০১/০৪/১৯৬৮</t>
  </si>
  <si>
    <t>মোঃ শফিকুল ইসলাম</t>
  </si>
  <si>
    <t>কাজী জামাত রসুল</t>
  </si>
  <si>
    <t>মোছাঃ ফেকুছন নেছা</t>
  </si>
  <si>
    <t>০৫/১০/১৯৮৬</t>
  </si>
  <si>
    <t>মোঃ শামিম রেজা</t>
  </si>
  <si>
    <t>মোছাঃ শামিমা খাতুন</t>
  </si>
  <si>
    <t>০৫/০৪/১৯৮৪</t>
  </si>
  <si>
    <t>মোঃ আবু সাঈদ</t>
  </si>
  <si>
    <t>মোঃ আবু বক্কর</t>
  </si>
  <si>
    <t>মোছাঃ রোজেদা খাতুন</t>
  </si>
  <si>
    <t>২৫/০১/১৯৮৫</t>
  </si>
  <si>
    <t>মোঃ সোহেল রানা</t>
  </si>
  <si>
    <t>মোঃ আয়ুব আলী</t>
  </si>
  <si>
    <t>মোছাঃ সাহার বানু</t>
  </si>
  <si>
    <t>০১/০১/১৯৯০</t>
  </si>
  <si>
    <t>মোঃ হামিদুল ইসলাম</t>
  </si>
  <si>
    <t>মোছাঃ সামসুন্নাহার</t>
  </si>
  <si>
    <t>১৮/০৬/১৯৮৪</t>
  </si>
  <si>
    <t>শামসুদ্দিন শেখ</t>
  </si>
  <si>
    <t>নূরজাহান</t>
  </si>
  <si>
    <t>০৮/০৮/১৯৬২</t>
  </si>
  <si>
    <t>খঃ মোঃ আবুল হাসেম</t>
  </si>
  <si>
    <t>খঃ মহাসিন আলী</t>
  </si>
  <si>
    <t>রাহিমা খাতুন</t>
  </si>
  <si>
    <t>০৫/০৮/১৯৫৫</t>
  </si>
  <si>
    <t>মোঃ কামরুজ্জামান খাঁন</t>
  </si>
  <si>
    <t>ইয়াদ আলী খাঁ</t>
  </si>
  <si>
    <t>মোছাঃ হালিমা খাতুন</t>
  </si>
  <si>
    <t>১০/০২/১৯৮০</t>
  </si>
  <si>
    <t>মোঃ গোলাম সরোয়ার</t>
  </si>
  <si>
    <t>মোঃ গুলজার খান</t>
  </si>
  <si>
    <t>মোছাঃ সাহেরা খাতুন</t>
  </si>
  <si>
    <t>১০/০৫/১৯৮৩</t>
  </si>
  <si>
    <t>মোঃ গুলজার খাঁ</t>
  </si>
  <si>
    <t>০৯/১২/১৯৫৫</t>
  </si>
  <si>
    <t>মোঃ হায়দার আলী</t>
  </si>
  <si>
    <t>নুর মহাম্মদ শেখ</t>
  </si>
  <si>
    <t>মোছাঃ তহমিনা খাতুন</t>
  </si>
  <si>
    <t>০৫/০৯/১৯৬২</t>
  </si>
  <si>
    <t>মোঃ আওলাদ শেখ</t>
  </si>
  <si>
    <t>শাহজাহান শেখ</t>
  </si>
  <si>
    <t>খামতন নেছা</t>
  </si>
  <si>
    <t>০৫/০৪/১৯৫২</t>
  </si>
  <si>
    <t>মোঃ শরিফুল ইসলাম</t>
  </si>
  <si>
    <t>মোঃ ছাদেক আলী খাঁ</t>
  </si>
  <si>
    <t>মোছাঃ শহরবানু</t>
  </si>
  <si>
    <t>০৫/০৯/১৯৮২</t>
  </si>
  <si>
    <t>মুন্সুর আলী</t>
  </si>
  <si>
    <t>শহোদা খাতুন</t>
  </si>
  <si>
    <t>০৫/০৮/১৯৬২</t>
  </si>
  <si>
    <t>মোঃ আলী আহসান</t>
  </si>
  <si>
    <t>রহিমা খাতুন</t>
  </si>
  <si>
    <t>০৮/১০/১৯৫২</t>
  </si>
  <si>
    <t>মোঃ বারসেদ শেখ</t>
  </si>
  <si>
    <t>মোঃ নাসির উদ্দিন শেখ</t>
  </si>
  <si>
    <t>আব্দুল ওহায়েদ খন্দকার</t>
  </si>
  <si>
    <t>মতিজান খাতুন</t>
  </si>
  <si>
    <t>০৮/০৯/১৯৭২</t>
  </si>
  <si>
    <t>মোঃ মহিউদ্দিন শাহ</t>
  </si>
  <si>
    <t>মোছাঃ শামসুন্নাহার খাতুন</t>
  </si>
  <si>
    <t>মোহাঃ শাহাবুল ইসলাম</t>
  </si>
  <si>
    <t>মোঃ তাজিমুদ্দিন</t>
  </si>
  <si>
    <t>মোছাঃ শরিফা খাতুন</t>
  </si>
  <si>
    <t>০৫/০৫/১৯৮৫</t>
  </si>
  <si>
    <t>মোঃ শাহাজাহান শেখ</t>
  </si>
  <si>
    <t>নুরুল ইসলাম</t>
  </si>
  <si>
    <t>মোছাঃ ছুরাতন নেছা</t>
  </si>
  <si>
    <t>১২/১০/১৯৫৭</t>
  </si>
  <si>
    <t>মোঃ কুরমান শেখ</t>
  </si>
  <si>
    <t>মমেজান খাতুন</t>
  </si>
  <si>
    <t>১২/০৮/১৯৬২</t>
  </si>
  <si>
    <t>মোঃ তোজাম্মেল হক</t>
  </si>
  <si>
    <t>মমেজান নেছা</t>
  </si>
  <si>
    <t>১২/১০/১৯৬৭</t>
  </si>
  <si>
    <t>মোঃ আবুল কালাম</t>
  </si>
  <si>
    <t>মোছাঃ শামসুন্নাহার</t>
  </si>
  <si>
    <t>০৫/০৮/১৯৮১</t>
  </si>
  <si>
    <t>মোঃ আব্দুর রাজ্জাক</t>
  </si>
  <si>
    <t>১৫/০৯/১৯৮২</t>
  </si>
  <si>
    <t>মোঃ আব্বাছ আলী</t>
  </si>
  <si>
    <t>মোঃ সুলতান আলী</t>
  </si>
  <si>
    <t>মোছাঃ কুলসুম</t>
  </si>
  <si>
    <t>০৮/০৭/১৯৮২</t>
  </si>
  <si>
    <t>মোঃ আব্দুর রহমান</t>
  </si>
  <si>
    <t>নূর মহাম্মদ</t>
  </si>
  <si>
    <t>মোছাঃ নাজমা খাতুন</t>
  </si>
  <si>
    <t>২০/০৫/১৯৬৯</t>
  </si>
  <si>
    <t>শ্রী জতিন চন্দ্র দাস</t>
  </si>
  <si>
    <t>শ্রী গিরিস চন্দ্র দাস</t>
  </si>
  <si>
    <t>তরুবালা দাস</t>
  </si>
  <si>
    <t>০৮/০২/১৯৬৫</t>
  </si>
  <si>
    <t>মোঃ আব্দুল আহাব আলী</t>
  </si>
  <si>
    <t>খোদা রাখা</t>
  </si>
  <si>
    <t>মোছাঃ তহুরা খাতুন</t>
  </si>
  <si>
    <t>০৫/০২/১৯৭১</t>
  </si>
  <si>
    <t>মোঃ মোমিনুল ইসলাম</t>
  </si>
  <si>
    <t>মোঃ মাহাতাব আলী</t>
  </si>
  <si>
    <t>০৫/০৯/১৯৮৮</t>
  </si>
  <si>
    <t>শ্রী মৃদুল কান্তি দাস</t>
  </si>
  <si>
    <t>শ্রী কল্যানী দাসী</t>
  </si>
  <si>
    <t>১২/০৭/১৯৮৮</t>
  </si>
  <si>
    <t>মোঃ নাহিদুল ইসলাম</t>
  </si>
  <si>
    <t>মোঃ ডায়মন্ড ইসলাম</t>
  </si>
  <si>
    <t>মোছাঃ নুরুন্নাহার</t>
  </si>
  <si>
    <t>০৫/০৮/১৯৭৭</t>
  </si>
  <si>
    <t>মোঃ আমজাদ হোসেন</t>
  </si>
  <si>
    <t>মোঃ আব্দুল মোতালেব</t>
  </si>
  <si>
    <t>মোছাঃ আঞ্জুমান আরা বেগম</t>
  </si>
  <si>
    <t>১৭/০৬/১৯৮৩</t>
  </si>
  <si>
    <t>মোঃ আবু শামা</t>
  </si>
  <si>
    <t>হেলাল উদ্দিন শেখ</t>
  </si>
  <si>
    <t>মোছাঃ রঙ্গিলা খাতুন</t>
  </si>
  <si>
    <t>০৯/০২/১৯৮১</t>
  </si>
  <si>
    <t>মোঃ হাসিবুল ইসলাম</t>
  </si>
  <si>
    <t>আবুল হাসেম</t>
  </si>
  <si>
    <t>মোছাঃ রেহেনা খাতুন</t>
  </si>
  <si>
    <t>১০/০৮/১৯৮৯</t>
  </si>
  <si>
    <t>মোঃ আমিনুদ্দিন শেখ</t>
  </si>
  <si>
    <t>মোঃ ইমান উদ্দিন শেখ</t>
  </si>
  <si>
    <t>মোছাঃ শহিদা খাতুন</t>
  </si>
  <si>
    <t>০৫/০৮/১৯৮২</t>
  </si>
  <si>
    <t>মোঃ শাহিরুল ইসলাম</t>
  </si>
  <si>
    <t>মোঃ মুনসুর খন্দকার</t>
  </si>
  <si>
    <t>মোছাঃ সুধীরন নেছা</t>
  </si>
  <si>
    <t>০১/০৮/১৯৮৫</t>
  </si>
  <si>
    <t>মোঃ আজিজুল খন্দকার</t>
  </si>
  <si>
    <t>খন্দকার লুৎফর রহমান</t>
  </si>
  <si>
    <t>মোছাঃ রোকেয়া খাতুন</t>
  </si>
  <si>
    <t>মোঃ রেজাউল হক</t>
  </si>
  <si>
    <t>মোছাঃ রাবিয়া খাতুন</t>
  </si>
  <si>
    <t>০৫/০৬/১৯৮৩</t>
  </si>
  <si>
    <t>মোঃ হাফিজুর রহমান</t>
  </si>
  <si>
    <t>মোঃ আকছেদ আলী</t>
  </si>
  <si>
    <t>মোছাঃ হাফিজা বেগম</t>
  </si>
  <si>
    <t>০১/০৭/১৯৮৫</t>
  </si>
  <si>
    <t>মোঃ রাশিদুল ইসলাম</t>
  </si>
  <si>
    <t>মোঃ হাসেম আলী</t>
  </si>
  <si>
    <t>২৮/০৮/১৯৮৯</t>
  </si>
  <si>
    <t>মোঃ আবেদ আলী</t>
  </si>
  <si>
    <t>আব্দুর রহমান শেখ</t>
  </si>
  <si>
    <t>মোছাঃ জবেদা খাতুন</t>
  </si>
  <si>
    <t>০১/০৫/১৯৫৯</t>
  </si>
  <si>
    <t>মোঃ গোলাম আজম</t>
  </si>
  <si>
    <t>মোঃ ইসমাইল হোসেন</t>
  </si>
  <si>
    <t>মোছাঃ আছিয়া খাতুন</t>
  </si>
  <si>
    <t>০১/০৮/১৯৬২</t>
  </si>
  <si>
    <t>মোঃ আবুল বাসার</t>
  </si>
  <si>
    <t>ওয়াহিদ খন্দকার</t>
  </si>
  <si>
    <t>মতিজান নেছা</t>
  </si>
  <si>
    <t>মোঃ আলাউদ্দিন</t>
  </si>
  <si>
    <t>মোঃ আব্দুল কুদ্দুস</t>
  </si>
  <si>
    <t>মোছাঃ মরিয়ম খাতুন</t>
  </si>
  <si>
    <t>০১/০৫/১৯৮৪</t>
  </si>
  <si>
    <t>মোঃ শফিউল ইসলাম</t>
  </si>
  <si>
    <t>গোলাম মোস্তফা</t>
  </si>
  <si>
    <t>মোছাঃ সুফিয়া খাতুন</t>
  </si>
  <si>
    <t>১৩/০৭/১৯৮০</t>
  </si>
  <si>
    <t>মোঃ ছিদ্দিক আলী</t>
  </si>
  <si>
    <t>মোঃ গোলাম মারোতোজা</t>
  </si>
  <si>
    <t>০১/০৮/১৯৭০</t>
  </si>
  <si>
    <t>মোঃ আব্দুল মান্নান</t>
  </si>
  <si>
    <t>কলিমুদ্দিন শেখ</t>
  </si>
  <si>
    <t>মেমজান</t>
  </si>
  <si>
    <t>০৫/০৭/১৯৬৭</t>
  </si>
  <si>
    <t>মোঃ আব্দুল আজিজ</t>
  </si>
  <si>
    <t>সলেমান শেখ</t>
  </si>
  <si>
    <t>নছিয়া খাতুন</t>
  </si>
  <si>
    <t>০১/০৯/১৯৭০</t>
  </si>
  <si>
    <t>মোঃ আনসারুল ইসলাম</t>
  </si>
  <si>
    <t>১৮/১০/১৯৬৫</t>
  </si>
  <si>
    <t>মোঃ মুন্সুর আলী</t>
  </si>
  <si>
    <t>বাসের আলী</t>
  </si>
  <si>
    <t>নুরজাহান</t>
  </si>
  <si>
    <t>০১/০৫/১৯৬৩</t>
  </si>
  <si>
    <t>মীর আশাদুজ্জামান</t>
  </si>
  <si>
    <t>মীর আব্দুর রফ</t>
  </si>
  <si>
    <t>০১/০২/১৯৬১</t>
  </si>
  <si>
    <t>মীর আহসান হাবীব</t>
  </si>
  <si>
    <t>মীর আব্দুল গাফ্ফার</t>
  </si>
  <si>
    <t>মোছাঃ মাজেদা খাতুন</t>
  </si>
  <si>
    <t>১৫/০৮/১৯৬২</t>
  </si>
  <si>
    <t>মোঃ আমিরুল ইসলাম</t>
  </si>
  <si>
    <t>নুর মহামাদ</t>
  </si>
  <si>
    <t>আইমন নেছা</t>
  </si>
  <si>
    <t>মোতাহার আলী শেখ</t>
  </si>
  <si>
    <t>দেলজান নেছা</t>
  </si>
  <si>
    <t>০১/০৫/১৯৪২</t>
  </si>
  <si>
    <t>মোঃ সাইফুল ইসলাম</t>
  </si>
  <si>
    <t>দবীর উদ্দিন শেখ</t>
  </si>
  <si>
    <t>মোছাঃ কামরুন্নাহার</t>
  </si>
  <si>
    <t>মোঃ সাজাহান আলী</t>
  </si>
  <si>
    <t>নাসির উদ্দিন</t>
  </si>
  <si>
    <t>মোছাঃ কাইমন নেছা</t>
  </si>
  <si>
    <t>০৫/০৫/১৯৭৮</t>
  </si>
  <si>
    <t>মোঃ আকতারুজ্জামান টুটুল</t>
  </si>
  <si>
    <t>মোছাঃোসনে আরা</t>
  </si>
  <si>
    <t>০১/০৭/১৯৬৬</t>
  </si>
  <si>
    <t>মোহাঃ ভাষান আলী</t>
  </si>
  <si>
    <t>০১/০৪/১৯৮৪</t>
  </si>
  <si>
    <t>০১/০৮/১৯৫২</t>
  </si>
  <si>
    <t>মোঃ তৌফিক এলাহী</t>
  </si>
  <si>
    <t>মোছাঃ ফাতেমা খাতুন</t>
  </si>
  <si>
    <t>২৫/০৮/১৯৮৪</t>
  </si>
  <si>
    <t>বেকার</t>
  </si>
  <si>
    <t>মোহাঃ লালন মন্ডল</t>
  </si>
  <si>
    <t>রুপচাঁদ মন্ডল</t>
  </si>
  <si>
    <t>গোলে জান</t>
  </si>
  <si>
    <t>মোঃ লিটন আলী</t>
  </si>
  <si>
    <t>মোঃ আবুল হোসেন</t>
  </si>
  <si>
    <t>মোছাঃ আরজিয়া বেগম</t>
  </si>
  <si>
    <t>০১/০৫/১৯৮২</t>
  </si>
  <si>
    <t>মোঃ ফজলু খাঁ</t>
  </si>
  <si>
    <t>মোছাঃ সুফিয়া বেগম</t>
  </si>
  <si>
    <t>মোঃ জমিরুল ইসলাস</t>
  </si>
  <si>
    <t>নুর মহাম্মদ মল্লিক</t>
  </si>
  <si>
    <t>০১/০৬/১৯৬৯</t>
  </si>
  <si>
    <t>মোঃ তরিকুল ইসলাম</t>
  </si>
  <si>
    <t>মোঃ রিয়াজ উদ্দিন</t>
  </si>
  <si>
    <t>০২/০১/১৯৯৫</t>
  </si>
  <si>
    <t>মোহাঃ রিয়াজ উদ্দিন</t>
  </si>
  <si>
    <t>রাহাতুল্লাহ</t>
  </si>
  <si>
    <t>জামিরন নেছা</t>
  </si>
  <si>
    <t>০৫/০২/১৯৬৩</t>
  </si>
  <si>
    <t>মোঃ তহিদুল ইসলাম</t>
  </si>
  <si>
    <t>মোঃ কাবেল হোসেন</t>
  </si>
  <si>
    <t>মোছাঃ তহদা বেগম</t>
  </si>
  <si>
    <t>০৮/০৭/১৯৮৪</t>
  </si>
  <si>
    <t>মোঃ শামীম রেজা</t>
  </si>
  <si>
    <t>মোছাঃ ছামিনা খাতুন</t>
  </si>
  <si>
    <t>০১/০৪/১৯৮৫</t>
  </si>
  <si>
    <t>মোঃ মতিয়ার রহমান</t>
  </si>
  <si>
    <t>ঝুমুর আলী শেখ</t>
  </si>
  <si>
    <t>মাতেজা বেগম</t>
  </si>
  <si>
    <t>০৮/০৭/১৯৫৫</t>
  </si>
  <si>
    <t>মোঃ ওহেদ আলী</t>
  </si>
  <si>
    <t>লুৎফর বারী খাঁ</t>
  </si>
  <si>
    <t>মোছাঃ হিজলা খাতুন</t>
  </si>
  <si>
    <t>০৮/০৯/১৯৬২</t>
  </si>
  <si>
    <t>মোঃ মমিনুল ইসলাম</t>
  </si>
  <si>
    <t>মোঃ আব্দুল জলিল</t>
  </si>
  <si>
    <t>১২/১২/১৯৮৫</t>
  </si>
  <si>
    <t>আফেল উদ্দিন</t>
  </si>
  <si>
    <t>মোছাঃ জাহানারা বেগম</t>
  </si>
  <si>
    <t>মোঃ আব্দুল লতিফ খান</t>
  </si>
  <si>
    <t>মোহাব খান</t>
  </si>
  <si>
    <t>লুৎফন নেছা</t>
  </si>
  <si>
    <t>০১/০৬/১৯৪২</t>
  </si>
  <si>
    <t>মোঃ আব্দুল জলিল খাঁন</t>
  </si>
  <si>
    <t>ঝডুখান</t>
  </si>
  <si>
    <t>শুকজান বেগম</t>
  </si>
  <si>
    <t>২০/০৫/১৯৫৮</t>
  </si>
  <si>
    <t>মোঃ ইউনুস আলী</t>
  </si>
  <si>
    <t>কলিমুদ্দিন</t>
  </si>
  <si>
    <t>০১/০৫/১৯৭২</t>
  </si>
  <si>
    <t>মোঃ আব্দুর রশিদ</t>
  </si>
  <si>
    <t>মোছাঃ সাইদা খাতুন</t>
  </si>
  <si>
    <t>০৫/০৪/১৯৮৭</t>
  </si>
  <si>
    <t>মোঃ তাহাজুদ্দিন</t>
  </si>
  <si>
    <t>মোছাঃ রাহেলা বেগম</t>
  </si>
  <si>
    <t>০৫/০৯/১৯৭৪</t>
  </si>
  <si>
    <t>মোছাঃ সেলিনা খাতুন</t>
  </si>
  <si>
    <t>২৫/১০/১৯৮৭</t>
  </si>
  <si>
    <t>আফেল উদ্দিন মন্ডল</t>
  </si>
  <si>
    <t>১২/১২/১৯৬৬</t>
  </si>
  <si>
    <t>মোঃ রিপন আলী</t>
  </si>
  <si>
    <t>মোঃ আব্দুল বারী</t>
  </si>
  <si>
    <t>কদবানু</t>
  </si>
  <si>
    <t>মোঃ নাহিদুজ্জামান</t>
  </si>
  <si>
    <t>মোছাঃ লালবানু</t>
  </si>
  <si>
    <t>০১/০৮/১৯৮৭</t>
  </si>
  <si>
    <t>০৫/০৭/১৯৮৩</t>
  </si>
  <si>
    <t>মুহাঃ শামসুজ্জোহা</t>
  </si>
  <si>
    <t>মীর মোহাঃ হুফেদ আলী</t>
  </si>
  <si>
    <t>ফাতেমা খাতুন</t>
  </si>
  <si>
    <t>৩০/১১/১৯৬৪</t>
  </si>
  <si>
    <t>মোঃ খাইরুল বাশার</t>
  </si>
  <si>
    <t>মোঃ শামসুজ্জোহা</t>
  </si>
  <si>
    <t>মোছাঃ শেফালী খাতুন</t>
  </si>
  <si>
    <t>০৫/০১/১৯৮৯</t>
  </si>
  <si>
    <t>মোঃ আব্দুস সাত্তার</t>
  </si>
  <si>
    <t>হুফেদ আলী</t>
  </si>
  <si>
    <t>০৯/০১/১৯৫৬</t>
  </si>
  <si>
    <t>মোঃ আবু হুসাইন</t>
  </si>
  <si>
    <t>মোঃ শাহ জামাল</t>
  </si>
  <si>
    <t>মোছাঃ লাল বানু</t>
  </si>
  <si>
    <t>৩১/১২/১৯৮৩</t>
  </si>
  <si>
    <t>আয়ুব আলী</t>
  </si>
  <si>
    <t>রিজিয়া খাতুন</t>
  </si>
  <si>
    <t>২৫/০৪/১৯৫৯</t>
  </si>
  <si>
    <t>মীর মোঃ গোলাম ফারুক</t>
  </si>
  <si>
    <t>মীর মোঃ আব্দুর রশীদ</t>
  </si>
  <si>
    <t>মোছাঃ ফিরোজা খাতুন</t>
  </si>
  <si>
    <t>০৮/০৮/১৯৭৭</t>
  </si>
  <si>
    <t>১৫/০৭/১৯৫৩</t>
  </si>
  <si>
    <t>মীর জবেদ আলী</t>
  </si>
  <si>
    <t>মোছাঃ মর্জিনা খাতুন</t>
  </si>
  <si>
    <t>১৫/১১/১৯৭২</t>
  </si>
  <si>
    <t>মোঃ লোকমান হোসেন</t>
  </si>
  <si>
    <t>মোছাঃ হাজেরা খাতুন</t>
  </si>
  <si>
    <t>১৫/০৮/১৯৮৯</t>
  </si>
  <si>
    <t>জবেদ আলী</t>
  </si>
  <si>
    <t>১৩/০৬/১৯৮১</t>
  </si>
  <si>
    <t>মোঃ আমিনুর রহমান</t>
  </si>
  <si>
    <t>০৪/০৪/১৯৮৬</t>
  </si>
  <si>
    <t>মোঃ জামিরুল ইসলাম</t>
  </si>
  <si>
    <t>মোঃ সোবাহান শেখ</t>
  </si>
  <si>
    <t>মোছাঃ কাফেলা খাতুন</t>
  </si>
  <si>
    <t>০৭/০৪/১৯৭৯</t>
  </si>
  <si>
    <t>মোঃ নজরুল ইসলাম</t>
  </si>
  <si>
    <t>মওলা বকস</t>
  </si>
  <si>
    <t>মোছাঃ খদেজান নেছা</t>
  </si>
  <si>
    <t>২৩/০৩/১৯৭০</t>
  </si>
  <si>
    <t>মোঃ আব্দুল মান্নাফ</t>
  </si>
  <si>
    <t>কিয়ামুদ্দীন শেখ</t>
  </si>
  <si>
    <t>আমেনা খাতুন</t>
  </si>
  <si>
    <t>০১/০৬/১৯৬৫</t>
  </si>
  <si>
    <t>মোঃ আব্দুস সামাদ</t>
  </si>
  <si>
    <t>যমুনা খাতুন</t>
  </si>
  <si>
    <t>২২/০৩/১৯৫৪</t>
  </si>
  <si>
    <t>মোঃ মাজেদ আলী খাঁন</t>
  </si>
  <si>
    <t>ফকির মহম্মদ খান</t>
  </si>
  <si>
    <t>নিহারন নেছা</t>
  </si>
  <si>
    <t>১১/১০/১৯৪৭</t>
  </si>
  <si>
    <t>মোঃ আহাদ আলী</t>
  </si>
  <si>
    <t>মোছাঃ হামেদা খাতুন</t>
  </si>
  <si>
    <t>০৪/১১/১৯৭৬</t>
  </si>
  <si>
    <t>মোঃ মোয়াজ্জেম হোসেন</t>
  </si>
  <si>
    <t>১১/০৭/১৯৭৪</t>
  </si>
  <si>
    <t>মোঃ মজিরুল ইসলাম</t>
  </si>
  <si>
    <t>মোছাঃ খদেজা খাতুন</t>
  </si>
  <si>
    <t>০৭/০৫/১৯৭৭</t>
  </si>
  <si>
    <t>মোঃ শাহজাহান কবির</t>
  </si>
  <si>
    <t>জাফিরুল ইসলাম</t>
  </si>
  <si>
    <t>২০/০৪/১৯৭৫</t>
  </si>
  <si>
    <t>মোঃ আলমগীর হোসেন</t>
  </si>
  <si>
    <t>খন্দকার আব্দুল মান্নান</t>
  </si>
  <si>
    <t>১০/০৭/১৯৭৩</t>
  </si>
  <si>
    <t>মোঃ রজব আলী</t>
  </si>
  <si>
    <t>মোছাঃ রবেজান খাতুন</t>
  </si>
  <si>
    <t>২৩/০১/১৯৭৯</t>
  </si>
  <si>
    <t>মোঃ গোলাম কাউছার</t>
  </si>
  <si>
    <t>খোদা বকস</t>
  </si>
  <si>
    <t>মোছাঃ তরু খাতুন</t>
  </si>
  <si>
    <t>১২/০৩/১৯৬৭</t>
  </si>
  <si>
    <t>মোঃ মিন্টু মিয়া</t>
  </si>
  <si>
    <t>১৮/০৯/১৯৮৫</t>
  </si>
  <si>
    <t>মোঃ বিনার বকস</t>
  </si>
  <si>
    <t>জালাল বকস</t>
  </si>
  <si>
    <t>জাহেরন নেছা</t>
  </si>
  <si>
    <t>২৪/০৬/১৯৪৭</t>
  </si>
  <si>
    <t>মোঃ হারান বকস</t>
  </si>
  <si>
    <t>মোঃ কিনার বকস</t>
  </si>
  <si>
    <t>মোছাঃ সালেহা খাতুন</t>
  </si>
  <si>
    <t>২১/০৯/১৯৭০</t>
  </si>
  <si>
    <t>মোঃ মামুন অর রশিদ</t>
  </si>
  <si>
    <t>মোঃ আব্দুল বারী খান</t>
  </si>
  <si>
    <t>মোছাঃ ছামেনা খাতুন</t>
  </si>
  <si>
    <t>১০/০২/১৯৭৭</t>
  </si>
  <si>
    <t>মোঃ মোলায়েম খাঁন</t>
  </si>
  <si>
    <t>পাঞ্জাব খান</t>
  </si>
  <si>
    <t>মোছাঃ ফজিরন নেছা</t>
  </si>
  <si>
    <t>১৪/০৩/১৯৬৭</t>
  </si>
  <si>
    <t>মোঃ আবুল কাশেম</t>
  </si>
  <si>
    <t>রাহাতুল্লাহ শেখ</t>
  </si>
  <si>
    <t>০৬/০৭/১৯৫২</t>
  </si>
  <si>
    <t>মীর মোঃ বদরুজ্জামান</t>
  </si>
  <si>
    <t>১৬/০১/১৯৬২</t>
  </si>
  <si>
    <t>মীর মোঃ ফিরোজ আহমেদ</t>
  </si>
  <si>
    <t>১০/০৩/১৯৮৯</t>
  </si>
  <si>
    <t>মোঃ ইদ্রিস আলী</t>
  </si>
  <si>
    <t>মোছাঃ রশিদা খাতুন</t>
  </si>
  <si>
    <t>২১/০৩/১৯৭৯</t>
  </si>
  <si>
    <t>ওয়াহেদ খন্দকার</t>
  </si>
  <si>
    <t>মোছাঃ ছলেমা খাতুন</t>
  </si>
  <si>
    <t>২৩/০২/১৯৪৫</t>
  </si>
  <si>
    <t>মোঃ আব্দুল হালিম</t>
  </si>
  <si>
    <t>২৬/০৯/১৯৭২</t>
  </si>
  <si>
    <t>মোঃ হযরত আলী</t>
  </si>
  <si>
    <t>০৪/০৫/১৯৮৬</t>
  </si>
  <si>
    <t>মোঃ রফিকুল ইসলাম</t>
  </si>
  <si>
    <t>ইদু শেখ</t>
  </si>
  <si>
    <t>সখিনা খাতুন</t>
  </si>
  <si>
    <t>০৮/১০/১৯৭০</t>
  </si>
  <si>
    <t>মোঃ শুকচাঁদ আলী</t>
  </si>
  <si>
    <t>১২/০৩/১৯৭৫</t>
  </si>
  <si>
    <t>খন্দকার আব্দুল ওয়াহেদ</t>
  </si>
  <si>
    <t>সলেমা খাতুন</t>
  </si>
  <si>
    <t>০২/০৮/১৯৫৩</t>
  </si>
  <si>
    <t>মোঃ মাহবুব ইলাহী</t>
  </si>
  <si>
    <t>মোছাঃ মরিয়ম বেগম</t>
  </si>
  <si>
    <t>০৬/০৪/১৯৮৫</t>
  </si>
  <si>
    <t>০৪/০৬/১৯৮০</t>
  </si>
  <si>
    <t>মোঃ গোলাম হোসেন খাঁন</t>
  </si>
  <si>
    <t>রবজেল খাঁন</t>
  </si>
  <si>
    <t>আনোয়ারা বেগম</t>
  </si>
  <si>
    <t>১৫/১০/১৯৫৭</t>
  </si>
  <si>
    <t>মোছাঃ আবেদা খাতুন</t>
  </si>
  <si>
    <t>৩০/১০/১৯৮৯</t>
  </si>
  <si>
    <t>মোঃ আশাদুল ইসলাম</t>
  </si>
  <si>
    <t>মুক্তার শেখ</t>
  </si>
  <si>
    <t>০৫/০৬/১৯৭৭</t>
  </si>
  <si>
    <t>মোঃ হাসেম আলী খাঁন</t>
  </si>
  <si>
    <t>ইউসুব আলী খাঁন</t>
  </si>
  <si>
    <t>মোছাঃ হাচেনা খাতুন</t>
  </si>
  <si>
    <t>২৩/০২/১৯৬৩</t>
  </si>
  <si>
    <t>মোঃ আব্দুল মাবুদ</t>
  </si>
  <si>
    <t>আব্দুল জলিল</t>
  </si>
  <si>
    <t>আছিয়া খাতুন</t>
  </si>
  <si>
    <t>১০/১০/১৯৫৯</t>
  </si>
  <si>
    <t>বেগম</t>
  </si>
  <si>
    <t>মোঃ আতিয়ার রহমান</t>
  </si>
  <si>
    <t>মোঃ আত্তাব আলী</t>
  </si>
  <si>
    <t>০৪/০৪/১৯৬৫</t>
  </si>
  <si>
    <t>শিক্ষক</t>
  </si>
  <si>
    <t>গাড়াবোড়</t>
  </si>
  <si>
    <t>গাংনী</t>
  </si>
  <si>
    <t>মেহেরপুর</t>
  </si>
  <si>
    <t>মোঃ জহুরুল ইসলাম</t>
  </si>
  <si>
    <t>ফকির মোহাম্মদ খান</t>
  </si>
  <si>
    <t>১০/০২/১৯৫৭</t>
  </si>
  <si>
    <t>মোঃ বেলায়েত হোসেন</t>
  </si>
  <si>
    <t>মোছাঃ ছাদেকা খাতুন</t>
  </si>
  <si>
    <t>২৯/০৫/১৯৮৬</t>
  </si>
  <si>
    <t>মোঃ তোকলিফুল ইসলাম</t>
  </si>
  <si>
    <t>মোঃ আব্দুল গফুর</t>
  </si>
  <si>
    <t>মোছাঃ তাসলিমা খাতুন</t>
  </si>
  <si>
    <t>০৯/১০/১৯৮০</t>
  </si>
  <si>
    <t>০১/০১/১৯৬১</t>
  </si>
  <si>
    <t>মোঃ রুহুল আমিন</t>
  </si>
  <si>
    <t>আব্দুল কাদের</t>
  </si>
  <si>
    <t>মোছাঃ ছাহেরা খাতুন</t>
  </si>
  <si>
    <t>২০/০৩/১৯৭০</t>
  </si>
  <si>
    <t>মোঃ আব্দুর রহিম</t>
  </si>
  <si>
    <t>খেদের আলী শাহ</t>
  </si>
  <si>
    <t>১৮/০৫/১৯৫২</t>
  </si>
  <si>
    <t>মোঃ আব্দুর রব</t>
  </si>
  <si>
    <t>মোছাঃ রওশনারা খাতুন</t>
  </si>
  <si>
    <t>১৫/০২/১৯৮১</t>
  </si>
  <si>
    <t>খেদের আলী</t>
  </si>
  <si>
    <t>১৮/০৫/১৯৫৭</t>
  </si>
  <si>
    <t>২৮/০৪/১৯৮৯</t>
  </si>
  <si>
    <t>মোঃ আব্দুর রউফ</t>
  </si>
  <si>
    <t>২২/০৩/১৯৬২</t>
  </si>
  <si>
    <t>০৫/১০/১৯৮৭</t>
  </si>
  <si>
    <t>০৮/০৫/১৯৮৯</t>
  </si>
  <si>
    <t>মোঃ জাফর আলী</t>
  </si>
  <si>
    <t>মোঃ আক্কাচ আলি মন্ডল</t>
  </si>
  <si>
    <t>সালেহা বেগম</t>
  </si>
  <si>
    <t>২৩/০৪/১৯৭২</t>
  </si>
  <si>
    <t>মোঃ আব্দুল আলিম</t>
  </si>
  <si>
    <t>মোঃ গোলাম হোসেন</t>
  </si>
  <si>
    <t>১০/০৫/১৯৮৫</t>
  </si>
  <si>
    <t>০৬/০২/১৯৫২</t>
  </si>
  <si>
    <t>মোঃ ইদ্রিস আলি</t>
  </si>
  <si>
    <t>২৩/০৩/১৯৭৩</t>
  </si>
  <si>
    <t>মোঃ মসলেম শেখ</t>
  </si>
  <si>
    <t>১২/০২/১৯৭৭</t>
  </si>
  <si>
    <t>মোঃ ইকবাল হোসেন</t>
  </si>
  <si>
    <t>১৩/০২/১৯৮১</t>
  </si>
  <si>
    <t>মোঃ জসিম উদ্দীন</t>
  </si>
  <si>
    <t>মোছাঃ জোসনা খাতুন</t>
  </si>
  <si>
    <t>১১/০৩/১৯৮২</t>
  </si>
  <si>
    <t>খোদা বখ্শ</t>
  </si>
  <si>
    <t>১১/০৪/১৯৬২</t>
  </si>
  <si>
    <t>মোছাঃ রহিমা বেগম</t>
  </si>
  <si>
    <t>১৩/০৪/১৯৬৫</t>
  </si>
  <si>
    <t>মোঃ আবুল কালাম আজাদ</t>
  </si>
  <si>
    <t>০৯/০৩/১৯৮৫</t>
  </si>
  <si>
    <t>মোঃ সালাউদ্দীন খাঁন</t>
  </si>
  <si>
    <t>মোঃ জহুরুল ইসলাম খাঁন</t>
  </si>
  <si>
    <t>মোছাঃ ছাদেকা বানু</t>
  </si>
  <si>
    <t>০৫/০৪/১৯৮৫</t>
  </si>
  <si>
    <t>আব্দুল ওহাব খাঁন</t>
  </si>
  <si>
    <t>১০/০২/১৯৫৯</t>
  </si>
  <si>
    <t>মোঃ হাসানুজ্জামান</t>
  </si>
  <si>
    <t>১৫/০৮/১৯৭১</t>
  </si>
  <si>
    <t>মোঃ মহিবুল ইসলাম</t>
  </si>
  <si>
    <t>মোঃ নাসির উদ্দীন</t>
  </si>
  <si>
    <t>আলেকাজান</t>
  </si>
  <si>
    <t>১৫/০৫/১৯৬৮</t>
  </si>
  <si>
    <t>মোছাঃ ফুলছুরাতন্</t>
  </si>
  <si>
    <t>১৩/০৩/১৯৮৩</t>
  </si>
  <si>
    <t>মোঃ আমিদুল ইসলাম</t>
  </si>
  <si>
    <t>১০/০২/১৯৬৩</t>
  </si>
  <si>
    <t>১২/০৩/১৯৬৯</t>
  </si>
  <si>
    <t>মোঃ জিয়াউর রহমান</t>
  </si>
  <si>
    <t>হাবিবুর রহমান</t>
  </si>
  <si>
    <t>মোছাঃ সখিনা বেগম</t>
  </si>
  <si>
    <t>২৮/০৬/১৯৮১</t>
  </si>
  <si>
    <t>মোঃ খায়রুল বাশার</t>
  </si>
  <si>
    <t>সৈয়দ আলী শেখ</t>
  </si>
  <si>
    <t>মোছাঃ মহিমা বেগম</t>
  </si>
  <si>
    <t>২০/০৬/১৯৮৭</t>
  </si>
  <si>
    <t>মোহাঃ আব্দুস সামাদ</t>
  </si>
  <si>
    <t>মোঃ কলিম উদ্দীন খাঁ</t>
  </si>
  <si>
    <t>০৬/০৮/১৯৭৮</t>
  </si>
  <si>
    <t>মোঃ বদরুদ্দোজা বদর</t>
  </si>
  <si>
    <t>আনছারুল হক</t>
  </si>
  <si>
    <t>০৫/০৩/১৯৭২</t>
  </si>
  <si>
    <t>মোহাঃ শাহজাহান আলী</t>
  </si>
  <si>
    <t>মোঃ কলিম উদ্দীন খাঁন</t>
  </si>
  <si>
    <t>৩০/০৫/১৯৭৯</t>
  </si>
  <si>
    <t>মোঃ সিরাজুল ইসলাম</t>
  </si>
  <si>
    <t>মোবারক হোসেন</t>
  </si>
  <si>
    <t>১১/০৫/১৯৫৫</t>
  </si>
  <si>
    <t>মোছাঃ হাফিজা খাতুন</t>
  </si>
  <si>
    <t>২২/০৯/১৯৮৪</t>
  </si>
  <si>
    <t>মোঃ আব্দুল মালেক</t>
  </si>
  <si>
    <t>মোঃ এনায়েত আলী</t>
  </si>
  <si>
    <t>১০/০২/১৯৭৪</t>
  </si>
  <si>
    <t>১০/০২/১৯৮১</t>
  </si>
  <si>
    <t>মোঃ আব্দুল বাতেন</t>
  </si>
  <si>
    <t>১৪/০২/১৯৮৫</t>
  </si>
  <si>
    <t>নধের আলী</t>
  </si>
  <si>
    <t>তাহারন নেছা</t>
  </si>
  <si>
    <t>০১/০১/১৯৫১</t>
  </si>
  <si>
    <t>সিরাজুল ইসলাম</t>
  </si>
  <si>
    <t>মোছাঃ জরিনা খাতুন</t>
  </si>
  <si>
    <t>০১/০৩/১৯৮৮</t>
  </si>
  <si>
    <t>মোঃ ইয়াদ আলী</t>
  </si>
  <si>
    <t>০২/০৭/১৯৫৭</t>
  </si>
  <si>
    <t>মোঃ নাসির উদ্দীন শেখ</t>
  </si>
  <si>
    <t>ফজল করিম শেখ</t>
  </si>
  <si>
    <t>নুরজাহান বেগম</t>
  </si>
  <si>
    <t>১০/১১/১৯৭৪</t>
  </si>
  <si>
    <t>আবু সালেহ মোহামাদ তোহা</t>
  </si>
  <si>
    <t>ফকির মোহামাদ</t>
  </si>
  <si>
    <t>বেবী ইয়াসমিন</t>
  </si>
  <si>
    <t>০৪/০১/১৯৮৯</t>
  </si>
  <si>
    <t>মোঃ বাবলুর রহমান</t>
  </si>
  <si>
    <t>আব্দুর রহিম</t>
  </si>
  <si>
    <t>বালাজান</t>
  </si>
  <si>
    <t>২০/১০/১৯৬২</t>
  </si>
  <si>
    <t>মোঃ গোলাম রসুল</t>
  </si>
  <si>
    <t>সখিনা বেগম</t>
  </si>
  <si>
    <t>২৪/০৩/১৯৫২</t>
  </si>
  <si>
    <t>মোঃ খোদা বকস</t>
  </si>
  <si>
    <t>আব্দুল গনি শেখ</t>
  </si>
  <si>
    <t>২৩/০৫/১৯৪৭</t>
  </si>
  <si>
    <t>মোঃ আলী হোসেন খাঁন</t>
  </si>
  <si>
    <t>মোছাঃ কলিম উদ্দীন খাঁন</t>
  </si>
  <si>
    <t>মোছাঃ আছিয়া বেগম</t>
  </si>
  <si>
    <t>মোঃ স্বপন আলী</t>
  </si>
  <si>
    <t>সাবদার আলী</t>
  </si>
  <si>
    <t>মোছাঃ খাদেজা খাতুন</t>
  </si>
  <si>
    <t>১৩/০৭/১৯৮৫</t>
  </si>
  <si>
    <t>সাবদার হোসেন</t>
  </si>
  <si>
    <t>মোছাঃ খাদেজান খাতুন</t>
  </si>
  <si>
    <t>১১/০৫/১৯৮২</t>
  </si>
  <si>
    <t>মোঃ আবু ইউসুফ</t>
  </si>
  <si>
    <t>মোঃ আবু বাক্কার</t>
  </si>
  <si>
    <t>মোছাঃ রেহেনা পারভীন</t>
  </si>
  <si>
    <t>১০/১২/১৯৮৬</t>
  </si>
  <si>
    <t>মোছাঃ নাজিরা খাতুন</t>
  </si>
  <si>
    <t>১০/০৫/১৯৬৯</t>
  </si>
  <si>
    <t>মোঃ সাজেদুল ইসলাম</t>
  </si>
  <si>
    <t>মোছাঃ নাজিরা বেগম</t>
  </si>
  <si>
    <t>০৩/০৭/১৯৮১</t>
  </si>
  <si>
    <t>লুৎফর বারী শেখ</t>
  </si>
  <si>
    <t>১৫/০৩/১৯৬৯</t>
  </si>
  <si>
    <t>মোঃ ফজলুর রহমান</t>
  </si>
  <si>
    <t>২০/০৫/১৯৭১</t>
  </si>
  <si>
    <t>মোছাঃ সানোয়ারা খাতুন</t>
  </si>
  <si>
    <t>০৬/০৭/১৯৮৭</t>
  </si>
  <si>
    <t>মোছাঃ আরজিয়া খাতুন</t>
  </si>
  <si>
    <t>১৩/০২/১৯৮০</t>
  </si>
  <si>
    <t>মোঃ আবু বিন ইসতিয়াক</t>
  </si>
  <si>
    <t>মোঃ আবু তাহের</t>
  </si>
  <si>
    <t>মোছাঃ সালমা সুলতানা</t>
  </si>
  <si>
    <t>২৪/১০/১৯৮৯</t>
  </si>
  <si>
    <t>মোঃ মহিরুদ্দিন শেখ</t>
  </si>
  <si>
    <t>মোছাঃ আনোয়ারা বেগম</t>
  </si>
  <si>
    <t>২৩/০৫/১৯৭৫</t>
  </si>
  <si>
    <t>মোঃ শাহিন আলম</t>
  </si>
  <si>
    <t>মোঃ আব্দুল রশিদ</t>
  </si>
  <si>
    <t>মোছাঃ শাহিদা খাতুন</t>
  </si>
  <si>
    <t>০৫/০৬/১৯৮৫</t>
  </si>
  <si>
    <t>মোঃ দৌলত হসেন</t>
  </si>
  <si>
    <t>মোছাঃ মুকরেমা খাতুন</t>
  </si>
  <si>
    <t>০৯/০৬/১৯৮০</t>
  </si>
  <si>
    <t>মোঃ হুমায়ন কবীর</t>
  </si>
  <si>
    <t>মীর মোঃ আঃ রশীদ</t>
  </si>
  <si>
    <t>মোঃ জাহাঙ্গীর আলম</t>
  </si>
  <si>
    <t>২৩/০৪/১৯৭১</t>
  </si>
  <si>
    <t>মোঃ সিদ্দিকুর রহমান</t>
  </si>
  <si>
    <t>০১/০১/১৯৮৪</t>
  </si>
  <si>
    <t>মোঃ নুরুল হুদা</t>
  </si>
  <si>
    <t>১৭/০২/১৯৬৭</t>
  </si>
  <si>
    <t>মুহাঃ আব্দুল্লাহ আল মামুন</t>
  </si>
  <si>
    <t>মুহাঃ কিয়ামুদ্দীন শেখ</t>
  </si>
  <si>
    <t>মোছাঃ আলতাফন নেছা</t>
  </si>
  <si>
    <t>২৮/১১/১৯৮১</t>
  </si>
  <si>
    <t>মোহাঃ হাফিজুর রহমান</t>
  </si>
  <si>
    <t>০১/১০/১৯৭৭</t>
  </si>
  <si>
    <t>মোঃ রাশেদুল ইসলাম</t>
  </si>
  <si>
    <t>মোঃ জবেদ আলী</t>
  </si>
  <si>
    <t>১৩/০৮/১৯৮৭</t>
  </si>
  <si>
    <t>মোঃ আইজদ্দীন</t>
  </si>
  <si>
    <t>১১/০৩/১৯৮৫</t>
  </si>
  <si>
    <t>দিরাজ উদ্দীন শেখ</t>
  </si>
  <si>
    <t>মোঃ ফজলুল হক</t>
  </si>
  <si>
    <t>মোছাঃ ফজিলা খাতুন</t>
  </si>
  <si>
    <t>১৫/০৪/১৯৮৪</t>
  </si>
  <si>
    <t>০৩/০৭/১৯৭৭</t>
  </si>
  <si>
    <t>মোঃ কিরামত আলী</t>
  </si>
  <si>
    <t>মোছাঃ নার্গিস খাতুন</t>
  </si>
  <si>
    <t>২৫/০৩/১৯৮৯</t>
  </si>
  <si>
    <t>মোছাঃ সাহিদা খাতুন</t>
  </si>
  <si>
    <t>১২/০৪/১৯৮৯</t>
  </si>
  <si>
    <t>মোছাঃ নূরন্নাহার খাতুন</t>
  </si>
  <si>
    <t>১২/০৭/১৯৮৯</t>
  </si>
  <si>
    <t>মোঃ কলিমুদ্দীন খাঁন</t>
  </si>
  <si>
    <t>১০/০৫/১৯৮৭</t>
  </si>
  <si>
    <t>মোহাঃ শাহারুল ইসলাম</t>
  </si>
  <si>
    <t>আব্দুল আলিম</t>
  </si>
  <si>
    <t>মোছাঃ হালিমা বেগম</t>
  </si>
  <si>
    <t>১৮/০৯/১৯৭৮</t>
  </si>
  <si>
    <t>মোঃ নাজিম উদ্দীন</t>
  </si>
  <si>
    <t>মোঃ কিয়ামুদ্দীন</t>
  </si>
  <si>
    <t>১২/০৭/১৯৮১</t>
  </si>
  <si>
    <t>মোঃ আবু বক্কর শেখ</t>
  </si>
  <si>
    <t>মোছাঃ হামিদা খাতুন</t>
  </si>
  <si>
    <t>নাম: কে, এম, আবু হাসান</t>
  </si>
  <si>
    <t>০১/০১/১৯৮৬</t>
  </si>
  <si>
    <t>মোঃ মফিজুর রহমান</t>
  </si>
  <si>
    <t>মোঃ আব্দুল জব্বার</t>
  </si>
  <si>
    <t>০২/১০/১৯৭৮</t>
  </si>
  <si>
    <t>মোঃ আলতাব হোসেন</t>
  </si>
  <si>
    <t>মোঃ মফিজুল মন্ডল</t>
  </si>
  <si>
    <t>মোছাঃ হাওয়া খাতুন</t>
  </si>
  <si>
    <t>২২/০৪/১৯৭৪</t>
  </si>
  <si>
    <t>মোঃ গোলাম মতুর্জা শেখ</t>
  </si>
  <si>
    <t>মোছাঃ বিলকিস আরা</t>
  </si>
  <si>
    <t>মোঃ আব্দুল করিম খাঁন</t>
  </si>
  <si>
    <t>২২/০৮/১৯৮৫</t>
  </si>
  <si>
    <t>মোঃ রমজান আলী</t>
  </si>
  <si>
    <t>কালু বিশ্বাস</t>
  </si>
  <si>
    <t>খুকি জান</t>
  </si>
  <si>
    <t>২২/০৪/১৯৪৭</t>
  </si>
  <si>
    <t>২০/০৩/১৯৭২</t>
  </si>
  <si>
    <t>শ্রী গোপাল দাস</t>
  </si>
  <si>
    <t>গঞ্জাধর দাস</t>
  </si>
  <si>
    <t>চন্দনী দাস</t>
  </si>
  <si>
    <t>১০/০২/১৯৫২</t>
  </si>
  <si>
    <t>মোঃ আব্দুল ওয়াহেদ</t>
  </si>
  <si>
    <t>মোছাঃ মিছনারা</t>
  </si>
  <si>
    <t>১৫/০৪/১৯৮৭</t>
  </si>
  <si>
    <t>মোঃ হাবিবুর রহমান</t>
  </si>
  <si>
    <t>মোঃ আব্দুল লতিফ খাঁন</t>
  </si>
  <si>
    <t>মোছাঃ উমিয়া খানম</t>
  </si>
  <si>
    <t>১০/০৫/১৯৮৯</t>
  </si>
  <si>
    <t>মোঃ উবাইদুল হক</t>
  </si>
  <si>
    <t>মোঃ আব্দুল ওদুদ</t>
  </si>
  <si>
    <t>মোছাঃ শশিতা বেগম</t>
  </si>
  <si>
    <t>মোঃ জাবির হোসেন</t>
  </si>
  <si>
    <t>০৫/০৮/১৯৮৫</t>
  </si>
  <si>
    <t>মোহাঃ আব্দুল মজিদ</t>
  </si>
  <si>
    <t>২১/০৭/১৯৭৪</t>
  </si>
  <si>
    <t>মোঃ সামাদুল ইসলাম</t>
  </si>
  <si>
    <t>মোঃ ফজলুল খাঁ</t>
  </si>
  <si>
    <t>মোঃ রিপন আলি</t>
  </si>
  <si>
    <t>সাবদুল হক</t>
  </si>
  <si>
    <t>আকলিমা</t>
  </si>
  <si>
    <t>২৭/০৫/১৯৮৩</t>
  </si>
  <si>
    <t>মোঃ লাবলু মীর</t>
  </si>
  <si>
    <t>মোঃ আফাজ উদ্দীন</t>
  </si>
  <si>
    <t>মিজাতন নেছা</t>
  </si>
  <si>
    <t>১০/০৬/১৯৭৭</t>
  </si>
  <si>
    <t>মোঃ আরিফুল ইসলাম</t>
  </si>
  <si>
    <t>মোঃ আবুর কাশেম</t>
  </si>
  <si>
    <t>মোছাঃ আছমা খাতুন</t>
  </si>
  <si>
    <t>২২/০২/১৯৮৯</t>
  </si>
  <si>
    <t>মোঃ আব্দুল গনি</t>
  </si>
  <si>
    <t>আলী হোসেন</t>
  </si>
  <si>
    <t>শ্রীমন নেছা</t>
  </si>
  <si>
    <t>০১/০৫/১৯৪৩</t>
  </si>
  <si>
    <t>মোছাঃ সামছুন্নাহার</t>
  </si>
  <si>
    <t>০১/০৩/১৯৭১</t>
  </si>
  <si>
    <t>০১/০৪/১৯৭৭</t>
  </si>
  <si>
    <t>আবুল কাসেম</t>
  </si>
  <si>
    <t>মোছাঃ মাবিয়া খাতুন</t>
  </si>
  <si>
    <t>০১/০১/১৯৭৪</t>
  </si>
  <si>
    <t>২০/০২/১৯৭৩</t>
  </si>
  <si>
    <t>আতর আলী মিযা</t>
  </si>
  <si>
    <t>শাকিরন নেছা</t>
  </si>
  <si>
    <t>০১/০২/১৯৫৩</t>
  </si>
  <si>
    <t>মোঃ আলাউদ্দিন মিয়া</t>
  </si>
  <si>
    <t>আতাহার আলী</t>
  </si>
  <si>
    <t>জাহিদা বেগম</t>
  </si>
  <si>
    <t>০১/০৪/১৯৬৫</t>
  </si>
  <si>
    <t>আব্দুল হক</t>
  </si>
  <si>
    <t>মোছাঃ হাসেনা বানু</t>
  </si>
  <si>
    <t>০১/০১/১৯৬৯</t>
  </si>
  <si>
    <t>মোঃ আজিমুর সান</t>
  </si>
  <si>
    <t>আব্দুর রশীদ</t>
  </si>
  <si>
    <t>০৬/০৫/১৯৮২</t>
  </si>
  <si>
    <t>০১/০৫/১৯৬৮</t>
  </si>
  <si>
    <t>মোছাঃ ছাহেরা বেগম</t>
  </si>
  <si>
    <t>০২/০৫/১৯৬৮</t>
  </si>
  <si>
    <t>০৭/০৩/১৯৬৪</t>
  </si>
  <si>
    <t>২১/০৫/১৯৭৭</t>
  </si>
  <si>
    <t>মোঃ সেন্টু খাঁ</t>
  </si>
  <si>
    <t>দেদের খাঁ</t>
  </si>
  <si>
    <t>মোঃ হিরক খাঁ</t>
  </si>
  <si>
    <t>মোছাঃ ছিরাতন</t>
  </si>
  <si>
    <t>০১/০১/১৯৮৯</t>
  </si>
  <si>
    <t>মোঃ আব্দুল্লা আল মামুন</t>
  </si>
  <si>
    <t>১৩/১০/১৯৮৪</t>
  </si>
  <si>
    <t>রহমান শেখ</t>
  </si>
  <si>
    <t>০১/০১/১৯৬৩</t>
  </si>
  <si>
    <t>০১/০১/১৯৮৫</t>
  </si>
  <si>
    <t>তাজের আলী</t>
  </si>
  <si>
    <t>মেহের নিগার</t>
  </si>
  <si>
    <t>০১/০১/১৯৬৬</t>
  </si>
  <si>
    <t>০১/০১/১৯৮২</t>
  </si>
  <si>
    <t>মোঃ আব্দুল লতিব শেখ</t>
  </si>
  <si>
    <t>০৬/০৬/১৯৭০</t>
  </si>
  <si>
    <t>মোঃ ছানোয়ার হোসেন</t>
  </si>
  <si>
    <t>মোঃ সিরাজ উদ্দিন</t>
  </si>
  <si>
    <t>মোঃ সমসের আলী</t>
  </si>
  <si>
    <t>মোছাঃ রিজিয়া খাতুন</t>
  </si>
  <si>
    <t>০৫/০৪/১৯৭১</t>
  </si>
  <si>
    <t>মোঃ জাহিদুল ইসলাম</t>
  </si>
  <si>
    <t>মোঃ জিব্রাইল হোসেন</t>
  </si>
  <si>
    <t>মোছাঃ জাহেদা খাতুন</t>
  </si>
  <si>
    <t>০৪/০৪/১৯৮৪</t>
  </si>
  <si>
    <t>১৪/০২/১৯৮৬</t>
  </si>
  <si>
    <t>মোঃ জাহারুল ইসলাম</t>
  </si>
  <si>
    <t>মোঃ আব্দুস সাত্তার শেখ</t>
  </si>
  <si>
    <t>জহুরা খাতুন</t>
  </si>
  <si>
    <t>০৮/০৭/১৯৭৯</t>
  </si>
  <si>
    <t>মোঃ জিবরাইল হোসেন</t>
  </si>
  <si>
    <t>আব্দুল গফুর</t>
  </si>
  <si>
    <t>মোছাঃ নিহারন নেছা</t>
  </si>
  <si>
    <t>০৯/০৯/১৯৫৪</t>
  </si>
  <si>
    <t>মোঃ বুলবুল আহম্মেদ</t>
  </si>
  <si>
    <t>তাহাজদ্দিন বিশ্বাস</t>
  </si>
  <si>
    <t>জরিনা খাতুন</t>
  </si>
  <si>
    <t>০৪/০৬/১৯৭২</t>
  </si>
  <si>
    <t>নাম: মাহমুদুল হাসান</t>
  </si>
  <si>
    <t>০১/০১/১৯৮৮</t>
  </si>
  <si>
    <t>জাকের আলী শেখ</t>
  </si>
  <si>
    <t>জইমন নেছা</t>
  </si>
  <si>
    <t>১১/০৪/১৯৫২</t>
  </si>
  <si>
    <t>হোসেন আলী</t>
  </si>
  <si>
    <t>মোছাঃ নূরন্নাহার</t>
  </si>
  <si>
    <t>০২/০৩/১৯৮৫</t>
  </si>
  <si>
    <t>নুর মহম্মাদ শেখ</t>
  </si>
  <si>
    <t>১৩/০৪/১৯৬২</t>
  </si>
  <si>
    <t>তাহাজদ্দীন</t>
  </si>
  <si>
    <t>মেহেরনিগার</t>
  </si>
  <si>
    <t>০১/০৫/১৯৭৮</t>
  </si>
  <si>
    <t>মোঃ আব্দুল মুতালেব</t>
  </si>
  <si>
    <t>হেলাল উদ্দিন</t>
  </si>
  <si>
    <t>মোছাঃ রঙ্গিলা</t>
  </si>
  <si>
    <t>০১/০৩/১৯৫৭</t>
  </si>
  <si>
    <t>মোঃ আবু তালেব</t>
  </si>
  <si>
    <t>০১/১১/১৯৭৪</t>
  </si>
  <si>
    <t>মোঃ শাহিন রেজা</t>
  </si>
  <si>
    <t>মোছাঃ জহুরা বেগম</t>
  </si>
  <si>
    <t>২০/১২/১৯৮৪</t>
  </si>
  <si>
    <t>মোঃ আকছার আলী</t>
  </si>
  <si>
    <t>নুর বকস</t>
  </si>
  <si>
    <t>মোছাঃ জালিমন্ নেছা</t>
  </si>
  <si>
    <t>০৫/০১/১৯৬২</t>
  </si>
  <si>
    <t>মোঃ সাদিমান আলী</t>
  </si>
  <si>
    <t>০১/১০/১৯৭৯</t>
  </si>
  <si>
    <t>মোঃ দাইমুল ইসলাম খন্দকার</t>
  </si>
  <si>
    <t>দাখিল উদ্দিন</t>
  </si>
  <si>
    <t>আতেকা খাতুন</t>
  </si>
  <si>
    <t>১০/০১/১৯৪৭</t>
  </si>
  <si>
    <t>মোঃ নজরুল ইসলাম (মনি)</t>
  </si>
  <si>
    <t>মোঃ দাইমুল ইসলাম খন্দকার ডায়মন্ড</t>
  </si>
  <si>
    <t>০৫/০৩/১৯৭১</t>
  </si>
  <si>
    <t>মোঃ রায়হান আলী</t>
  </si>
  <si>
    <t>মোছাঃ আয়েশা খাতুন</t>
  </si>
  <si>
    <t>২০/০১/১৯৫৭</t>
  </si>
  <si>
    <t>মোঃ জাফিরুল ইসলাম</t>
  </si>
  <si>
    <t>মোঃ লিয়াকত আলী</t>
  </si>
  <si>
    <t>২০/০১/১৯৮২</t>
  </si>
  <si>
    <t>খন্দকার লিয়াকত আলী</t>
  </si>
  <si>
    <t>লুৎফর রহমান</t>
  </si>
  <si>
    <t>মোছাঃ রোকেয়া বেগম</t>
  </si>
  <si>
    <t>২০/০১/১৯৫৫</t>
  </si>
  <si>
    <t>মোঃ মোমিনুদ্দিন</t>
  </si>
  <si>
    <t>মোঃ ঈমানুদ্দিন</t>
  </si>
  <si>
    <t>মোছাঃ শহিদা</t>
  </si>
  <si>
    <t>১২/০৭/১৯৮২</t>
  </si>
  <si>
    <t>খন্দকার মুকুল</t>
  </si>
  <si>
    <t>গোলাম রসুল</t>
  </si>
  <si>
    <t>মোছাঃ মালেকা খাতুন</t>
  </si>
  <si>
    <t>২০/১২/১৯৭১</t>
  </si>
  <si>
    <t>মোহাঃ গোলাম ফারুক</t>
  </si>
  <si>
    <t>মোহাঃ নুরুল ইসলাম</t>
  </si>
  <si>
    <t>১০/১২/১৯৭৮</t>
  </si>
  <si>
    <t>ছকিনা বেগম</t>
  </si>
  <si>
    <t>০১/১০/১৯৬০</t>
  </si>
  <si>
    <t>মোঃ সামাদুল হক</t>
  </si>
  <si>
    <t>মোছাঃ জহুরা খাতুন</t>
  </si>
  <si>
    <t>১১/০২/১৯৮৪</t>
  </si>
  <si>
    <t>ড্রাইভার</t>
  </si>
  <si>
    <t>মোঃ ওমর আলী</t>
  </si>
  <si>
    <t>তিনকড়ি</t>
  </si>
  <si>
    <t>অলিমা</t>
  </si>
  <si>
    <t>০৪/০২/১৯৬২</t>
  </si>
  <si>
    <t>০২/১০/১৯৮৪</t>
  </si>
  <si>
    <t>মোঃ আজাদ আলী</t>
  </si>
  <si>
    <t>মজিবর রহমান</t>
  </si>
  <si>
    <t>১০/০৪/১৯৭৩</t>
  </si>
  <si>
    <t>মোঃ ছামাদ আলী</t>
  </si>
  <si>
    <t>ভাদু শেখ</t>
  </si>
  <si>
    <t>মোছাঃ মনজুরা খাতুন</t>
  </si>
  <si>
    <t>১১/০২/১৯৮৫</t>
  </si>
  <si>
    <t>মোঃ মাসুম রেজা</t>
  </si>
  <si>
    <t>মোঃ আবুল হাসেম</t>
  </si>
  <si>
    <t>মোছাঃ মেহেরজান</t>
  </si>
  <si>
    <t>০২/১১/১৯৮৭</t>
  </si>
  <si>
    <t>মোঃ রকিবুল ইসলাম</t>
  </si>
  <si>
    <t>ভাদু খন্দকার</t>
  </si>
  <si>
    <t>১৪/০৪/১৯৮৭</t>
  </si>
  <si>
    <t>মোঃ আব্দুল করিম খাঁ</t>
  </si>
  <si>
    <t>ভাদু খাঁ</t>
  </si>
  <si>
    <t>নিখার বানু</t>
  </si>
  <si>
    <t>১১/০২/১৯৩৭</t>
  </si>
  <si>
    <t>মোঃ আঃ ইদু</t>
  </si>
  <si>
    <t>১১/০৪/১৯৮৬</t>
  </si>
  <si>
    <t>মোঃ জাহাঙ্গীর হোসেন</t>
  </si>
  <si>
    <t>খন্দকার আব্দুল মতিন</t>
  </si>
  <si>
    <t>২৭/০৪/১৯৬৯</t>
  </si>
  <si>
    <t>খন্দকার আঃ মতিন</t>
  </si>
  <si>
    <t>মহসিন আলী</t>
  </si>
  <si>
    <t>১১/০৫/১৯৪২</t>
  </si>
  <si>
    <t>মোঃ শাহাজাহান খন্দকার</t>
  </si>
  <si>
    <t>১১/০৬/১৯৮১</t>
  </si>
  <si>
    <t>মোঃ আসাদুজ্জামান</t>
  </si>
  <si>
    <t>১৯/০৫/১৯৮০</t>
  </si>
  <si>
    <t>মোঃ নাজমুল হক</t>
  </si>
  <si>
    <t>মোঃ আক্কবর আলী</t>
  </si>
  <si>
    <t>মোছাঃ মর্জিনা</t>
  </si>
  <si>
    <t>শ্রী অবিলাশ চন্দ্র দাস</t>
  </si>
  <si>
    <t>বটচন্দ্র দাস</t>
  </si>
  <si>
    <t>শেফালী দাস</t>
  </si>
  <si>
    <t>১০/১০/১৯৭২</t>
  </si>
  <si>
    <t>শ্রী কমল চন্দ্র দাস</t>
  </si>
  <si>
    <t>গোলাপ চন্দ্র দাস</t>
  </si>
  <si>
    <t>শ্রীমতি রেখা বালা দাসী</t>
  </si>
  <si>
    <t>১১/১০/১৯৭৭</t>
  </si>
  <si>
    <t>শ্রী যুগল চন্দ্র দাস</t>
  </si>
  <si>
    <t>শ্রী শ্রীদাম চন্দ্র দাস</t>
  </si>
  <si>
    <t>শ্রীমতি পুশু বালা দাসী</t>
  </si>
  <si>
    <t>১০/১০/১৯৭৯</t>
  </si>
  <si>
    <t>শ্রী সুফল চন্দ্র দাস</t>
  </si>
  <si>
    <t>শ্রীমতী শেফালী বালা দাসী</t>
  </si>
  <si>
    <t>১০/০৭/১৯৮৩</t>
  </si>
  <si>
    <t>শ্রী ছিদাম চন্দ্র দাস</t>
  </si>
  <si>
    <t>গিরীশ চন্দ্র দাস</t>
  </si>
  <si>
    <t>শ্রীমতী তরু বালা দাসী</t>
  </si>
  <si>
    <t>১১/০২/১৯৪৪</t>
  </si>
  <si>
    <t>শ্রী সাধন চন্দ্র দাস</t>
  </si>
  <si>
    <t>নিরাপদো দাস</t>
  </si>
  <si>
    <t>শ্রীমতি মহারানী দাসী</t>
  </si>
  <si>
    <t>১১/০২/১৯৭৭</t>
  </si>
  <si>
    <t>শ্রী অর্জন চন্দ্র দাস</t>
  </si>
  <si>
    <t>শ্রী শ্রীদাস চন্দ্র দাস</t>
  </si>
  <si>
    <t>২২/১১/১৯৮২</t>
  </si>
  <si>
    <t>শ্রী জিতেন চন্দ্র দাস</t>
  </si>
  <si>
    <t>শ্রীমতি তরুবালা দাসী</t>
  </si>
  <si>
    <t>১১/০৯/১৯৬২</t>
  </si>
  <si>
    <t>শ্রী নিমাই চন্দ্র দাস</t>
  </si>
  <si>
    <t>সুবল চন্দ্র দাস</t>
  </si>
  <si>
    <t>বাসন্তী বালা দাসী</t>
  </si>
  <si>
    <t>১৪/০২/১৯৭২</t>
  </si>
  <si>
    <t>মোঃ মুনছুর আলী</t>
  </si>
  <si>
    <t>আঃ ওয়াহেদ খন্দকার</t>
  </si>
  <si>
    <t>মতি খাতুন</t>
  </si>
  <si>
    <t>১৫/০৫/১৯৬৫</t>
  </si>
  <si>
    <t>মোঃ ফয়সাল আহম্মেদ</t>
  </si>
  <si>
    <t>অহিদ খন্দকার</t>
  </si>
  <si>
    <t>মতি</t>
  </si>
  <si>
    <t>১৯/০৫/১৯৮১</t>
  </si>
  <si>
    <t>মোঃ গোলজারুল ইসলাম কাজল</t>
  </si>
  <si>
    <t>১১/০২/১৯৭১</t>
  </si>
  <si>
    <t>মোঃ নাজিমদ্দিন খোকন</t>
  </si>
  <si>
    <t>০৫/১০/১৯৭৭</t>
  </si>
  <si>
    <t>মোঃ মাকছেদুল হক</t>
  </si>
  <si>
    <t>মোঃ আজিজুল হক</t>
  </si>
  <si>
    <t>০১/০৫/১৯৮১</t>
  </si>
  <si>
    <t>মোছাঃ ছামছুন্নাহার</t>
  </si>
  <si>
    <t>০৫/০৫/১৯৭১</t>
  </si>
  <si>
    <t>মোঃ সমশের আলী</t>
  </si>
  <si>
    <t>আঃ অহিদ খন্দকার</t>
  </si>
  <si>
    <t>২০/১২/১৯৭৫</t>
  </si>
  <si>
    <t>মোঃ আরশাব আলী</t>
  </si>
  <si>
    <t>আঃ করিম শেখ</t>
  </si>
  <si>
    <t>মোছাঃ দেলজান</t>
  </si>
  <si>
    <t>১১/০৫/১৯৩৭</t>
  </si>
  <si>
    <t>মোঃ আঃ হাকিম</t>
  </si>
  <si>
    <t>মোঃ আরশাদ আলী</t>
  </si>
  <si>
    <t>২৫/১০/১৯৮৮</t>
  </si>
  <si>
    <t>মোঃ আঃ লতিফ খান</t>
  </si>
  <si>
    <t>উমিয়া খাতুন</t>
  </si>
  <si>
    <t>০২/০২/১৯৮২</t>
  </si>
  <si>
    <t>মোঃ ইন্তেখাব আলম</t>
  </si>
  <si>
    <t>আঃ গাফফার</t>
  </si>
  <si>
    <t>মোছাঃ মাজেদা বেগম</t>
  </si>
  <si>
    <t>১৬/০৫/১৯৭১</t>
  </si>
  <si>
    <t>মোঃ মিল্টন শেখ</t>
  </si>
  <si>
    <t>০৫/১০/১৯৮২</t>
  </si>
  <si>
    <t>মোঃ গোলাম মোস্তফা</t>
  </si>
  <si>
    <t>মোঃ মোশারফ হোসেন</t>
  </si>
  <si>
    <t>মাতা: সামছুন্নাহার</t>
  </si>
  <si>
    <t>২৭/০২/১৯৭২</t>
  </si>
  <si>
    <t>মোঃ আলামীন হোসেন</t>
  </si>
  <si>
    <t>পিতা: ফয়জুদ্দিন</t>
  </si>
  <si>
    <t>মোছাঃ বানুয়ারা</t>
  </si>
  <si>
    <t>১৫/০৪/১৯৬৯</t>
  </si>
  <si>
    <t>মোঃ আঃ রশিদ</t>
  </si>
  <si>
    <t>পিতা: ফয়জদ্দীন শেখ</t>
  </si>
  <si>
    <t>১৪/০৪/১৯৫৫</t>
  </si>
  <si>
    <t>মোঃ আঃ গনি</t>
  </si>
  <si>
    <t>পিতা: ফয়জদ্দীন</t>
  </si>
  <si>
    <t>১১/০৫/১৯৬২</t>
  </si>
  <si>
    <t>মোছাঃ বানুয়ারা খাতুন</t>
  </si>
  <si>
    <t>১১/০২/১৯৪০</t>
  </si>
  <si>
    <t>কে এম মামুনল ইসলাম</t>
  </si>
  <si>
    <t>মোঃ আব্দুল জলীল</t>
  </si>
  <si>
    <t>পিতা: কুদরত</t>
  </si>
  <si>
    <t>মোছাঃ ফাতেমা</t>
  </si>
  <si>
    <t>১১/০৪/১৯৪৯</t>
  </si>
  <si>
    <t>পিতা: তৈয়ব আলী</t>
  </si>
  <si>
    <t>মোছাঃ জাহানারা</t>
  </si>
  <si>
    <t>১১/০৯/১৯৬৯</t>
  </si>
  <si>
    <t>মোঃ গোলাম সারোয়ার</t>
  </si>
  <si>
    <t>২৫/০৪/১৯৭১</t>
  </si>
  <si>
    <t>মোঃ ভাষান মল্লিক</t>
  </si>
  <si>
    <t>১১/০৫/১৯৮০</t>
  </si>
  <si>
    <t>মোঃ মাহবুবুল আলম</t>
  </si>
  <si>
    <t>মাতা: জোহরা খাতুন</t>
  </si>
  <si>
    <t>০৫/০৭/১৯৭৯</t>
  </si>
  <si>
    <t>মোঃ আকরাম হোসেন</t>
  </si>
  <si>
    <t>মোঃ খবির উদ্দিন</t>
  </si>
  <si>
    <t>১১/১১/১৯৮৩</t>
  </si>
  <si>
    <t>মাতা: হেনা খাতুন</t>
  </si>
  <si>
    <t>২৫/০১/১৯৮২</t>
  </si>
  <si>
    <t>০৬/০৭/১৯৮০</t>
  </si>
  <si>
    <t>মোঃ আনিছুরজ্জজামান</t>
  </si>
  <si>
    <t>পিতা: আঃ রব</t>
  </si>
  <si>
    <t>মোছাঃ আছিয়া</t>
  </si>
  <si>
    <t>১৮/০৫/১৯৮৭</t>
  </si>
  <si>
    <t>মোঃ আব্দুল মাজেদ</t>
  </si>
  <si>
    <t>পিতা: কলিম উদ্দিন</t>
  </si>
  <si>
    <t>মাতা: মেমজান</t>
  </si>
  <si>
    <t>২৭/১১/১৯৬৭</t>
  </si>
  <si>
    <t>মোঃ ইয়ারুল ইসলাম</t>
  </si>
  <si>
    <t>মোঃ মজিবর রহমান</t>
  </si>
  <si>
    <t>মোছাঃ ইলাফন</t>
  </si>
  <si>
    <t>১০/১১/১৯৭০</t>
  </si>
  <si>
    <t>মোঃ তাজউদ্দীন শেখ</t>
  </si>
  <si>
    <t>১৮/১০/১৯৭৫</t>
  </si>
  <si>
    <t>গাড়াড়োব, গাংনী, মেহেরপুর</t>
  </si>
  <si>
    <t>মোঃ ওয়ালিউল্লাহ</t>
  </si>
  <si>
    <t>সেকেন্দার আলী</t>
  </si>
  <si>
    <t>মোছাঃ কোরফুলান নেছা</t>
  </si>
  <si>
    <t>০২/০৬/১৯৫১</t>
  </si>
  <si>
    <t>মোছাঃ কোরফুল নেছা</t>
  </si>
  <si>
    <t>১১/০৮/১৯৫৪</t>
  </si>
  <si>
    <t>মোঃ হযরত আলি</t>
  </si>
  <si>
    <t>০১/০৯/১৯৫৭</t>
  </si>
  <si>
    <t>ছামছদ্দিন সেখ</t>
  </si>
  <si>
    <t>২১/০৯/১৯৭৯</t>
  </si>
  <si>
    <t>মোঃ আব্দুল গণি</t>
  </si>
  <si>
    <t>২১/১০/১৯৭১</t>
  </si>
  <si>
    <t>মোছাঃ কোরফুলন নেছা</t>
  </si>
  <si>
    <t>০৬/০৬/১৯৬৯</t>
  </si>
  <si>
    <t>মোঃ তৈয়ব আলী</t>
  </si>
  <si>
    <t>হাজী মোঃ আক্কেল আলী</t>
  </si>
  <si>
    <t>২২/০৮/১৯৫৭</t>
  </si>
  <si>
    <t>মোঃ মকবুল হোসেন</t>
  </si>
  <si>
    <t>মোঃ আক্কেল আলী</t>
  </si>
  <si>
    <t>০২/০১/১৯৫৫</t>
  </si>
  <si>
    <t>০১/১০/১৯৮৮</t>
  </si>
  <si>
    <t>মোঃ আবুবক্কর</t>
  </si>
  <si>
    <t>মসলেম আলী</t>
  </si>
  <si>
    <t>মোছাঃ পিয়ারা বেগম</t>
  </si>
  <si>
    <t>২২/০৯/১৯৫৯</t>
  </si>
  <si>
    <t>মানজু সেখ</t>
  </si>
  <si>
    <t>১১/০৫/১৯৭১</t>
  </si>
  <si>
    <t>মোঃ আব্দুল কাদের</t>
  </si>
  <si>
    <t>২২/০৮/১৯৮৭</t>
  </si>
  <si>
    <t>মোঃ আসাদুল ইসলাম</t>
  </si>
  <si>
    <t>২৩/০৩/১৯৮৫</t>
  </si>
  <si>
    <t>মোহাম্মাদ নাজমুল হক</t>
  </si>
  <si>
    <t>মসলেম উদ্দিন</t>
  </si>
  <si>
    <t>পেয়ারা বেগম</t>
  </si>
  <si>
    <t>০৪/০৭/১৯৮৩</t>
  </si>
  <si>
    <t>মোঃ রবিউল হক</t>
  </si>
  <si>
    <t>শাহেরা খাতুন</t>
  </si>
  <si>
    <t>০৫/০৯/১৯৮৬</t>
  </si>
  <si>
    <t>মোছাঃ রাহাতন নেছা</t>
  </si>
  <si>
    <t>২২/১০/১৯৬০</t>
  </si>
  <si>
    <t>মোঃ মহিবুল হোসেন</t>
  </si>
  <si>
    <t>মোঃ আব্দুল কালাম</t>
  </si>
  <si>
    <t>১৬/১২/১৯৮৬</t>
  </si>
  <si>
    <t>মোঃ জাকির হোসেন</t>
  </si>
  <si>
    <t>০৫/১২/১৯৮৮</t>
  </si>
  <si>
    <t>মোঃ অলিউল্লাহ</t>
  </si>
  <si>
    <t>মোছাঃ জমেলা খাতুন</t>
  </si>
  <si>
    <t>২৫/০১/১৯৮০</t>
  </si>
  <si>
    <t>মোঃ দৌলত হোসেন</t>
  </si>
  <si>
    <t>মোছাঃ জুলেখা বেগম</t>
  </si>
  <si>
    <t>২২/০৩/১৯৮২</t>
  </si>
  <si>
    <t>মোঃ মোক্তার হোসেন</t>
  </si>
  <si>
    <t>মোঃ আব্দুল ছাত্তার</t>
  </si>
  <si>
    <t>১৪/০৭/১৯৫২</t>
  </si>
  <si>
    <t>মোছাঃ নুরজাহান খাতুন</t>
  </si>
  <si>
    <t>মহামদ আলী</t>
  </si>
  <si>
    <t>২১/০৫/১৯৭২</t>
  </si>
  <si>
    <t>মোঃ আক্ছাত মিয়া</t>
  </si>
  <si>
    <t>মোছাঃ ছাদিয়া ভানু</t>
  </si>
  <si>
    <t>০৭/০৩/১৯৫৭</t>
  </si>
  <si>
    <t>মোছাঃ রিজিয়া পারভীন</t>
  </si>
  <si>
    <t>২৫/০৫/১৯৮১</t>
  </si>
  <si>
    <t>মোঃ আব্দুল বারি</t>
  </si>
  <si>
    <t>মোছাঃ নুরজাহান বেগম</t>
  </si>
  <si>
    <t>২৯/০৩/১৯৬২</t>
  </si>
  <si>
    <t>মোঃ হচেন আলী</t>
  </si>
  <si>
    <t>আমির আলী</t>
  </si>
  <si>
    <t>আলিজান নেছা</t>
  </si>
  <si>
    <t>২৯/০৫/১৯৫৫</t>
  </si>
  <si>
    <t>মোছাঃ সাজেদা খাতুন</t>
  </si>
  <si>
    <t>১৩/০১/১৯৮৬</t>
  </si>
  <si>
    <t>আলম সেখ</t>
  </si>
  <si>
    <t>মোছাঃ রঙিলা খাতুন</t>
  </si>
  <si>
    <t>০৩/১১/১৯৮৮</t>
  </si>
  <si>
    <t>মোঃ জিন্দার আলী</t>
  </si>
  <si>
    <t>আমির খাঁ</t>
  </si>
  <si>
    <t>আলিজান</t>
  </si>
  <si>
    <t>০৯/০২/১৯৬১</t>
  </si>
  <si>
    <t>মোছাঃ আবুল হাসনাত</t>
  </si>
  <si>
    <t>মোহাঃ রেজাউল হক</t>
  </si>
  <si>
    <t>মোছাঃ হোসনে আরা</t>
  </si>
  <si>
    <t>১২/০৮/১৯৭২</t>
  </si>
  <si>
    <t>আব্দুল ওহায়েদ</t>
  </si>
  <si>
    <t>সারেজান</t>
  </si>
  <si>
    <t>২৮/০৩/১৯৪৭</t>
  </si>
  <si>
    <t>মোঃ মোক্তার আলী</t>
  </si>
  <si>
    <t>মোছাঃ শহর বানু</t>
  </si>
  <si>
    <t>০২/০৫/১৯৮২</t>
  </si>
  <si>
    <t>মোঃ আব্দুস সালাম</t>
  </si>
  <si>
    <t>মোঃ জাহের আলী</t>
  </si>
  <si>
    <t>দবির উদ্দিন সেখ</t>
  </si>
  <si>
    <t>২২/১০/১৯৬৯</t>
  </si>
  <si>
    <t>মোঃ আব্দুল মজিদ</t>
  </si>
  <si>
    <t>ছুপারুদ্দিন সেখ</t>
  </si>
  <si>
    <t>২২/০২/১৯৫৭</t>
  </si>
  <si>
    <t>মোঃ বিশারদ্দিন</t>
  </si>
  <si>
    <t>ছুপারদ্দিন</t>
  </si>
  <si>
    <t>১২/০৭/১৯৭০</t>
  </si>
  <si>
    <t>মোছাঃ রিজিয়া খাতুন</t>
  </si>
  <si>
    <t>১২/০৭/১৯৮৭</t>
  </si>
  <si>
    <t>মোঃ জামাল উদ্দিন</t>
  </si>
  <si>
    <t>মোছাঃ আব্দুল মজিদ</t>
  </si>
  <si>
    <t>মোছাঃ আলেছা খাতুন</t>
  </si>
  <si>
    <t>০৩/০১/১৯৮৫</t>
  </si>
  <si>
    <t>২৩/০৮/১৯৮৪</t>
  </si>
  <si>
    <t>মোঃ মোক্তর আলী</t>
  </si>
  <si>
    <t>২৫/০৫/১৯৮৭</t>
  </si>
  <si>
    <t>মোঃ আশরাফুল</t>
  </si>
  <si>
    <t>২৩/০৩/১৯৮৬</t>
  </si>
  <si>
    <t>মোঃ মিরাজুল ইসলাম</t>
  </si>
  <si>
    <t>মোঃ জানেছ আলী</t>
  </si>
  <si>
    <t>দবির উদ্দিন</t>
  </si>
  <si>
    <t>২২/০৭/১৯৬২</t>
  </si>
  <si>
    <t>মোঃ আব্দুল করিম</t>
  </si>
  <si>
    <t>মোছাঃ কহিনুর বেগম</t>
  </si>
  <si>
    <t>২৪/০৮/১৯৮৭</t>
  </si>
  <si>
    <t>মোঃ বাবর আলী</t>
  </si>
  <si>
    <t>২২/০৭/১৯৫২</t>
  </si>
  <si>
    <t>মোঃ আকবর আলী</t>
  </si>
  <si>
    <t>নাজাত আলী</t>
  </si>
  <si>
    <t>মোছাঃ জামেনা খাতুন</t>
  </si>
  <si>
    <t>১০/০১/১৯৬৭</t>
  </si>
  <si>
    <t>মোঃ কাউছার আলী</t>
  </si>
  <si>
    <t>১২/০৮/১৯৭১</t>
  </si>
  <si>
    <t>হামেদ আলী</t>
  </si>
  <si>
    <t>মোছাঃ নিহারন খাতুন</t>
  </si>
  <si>
    <t>২২/০৯/১৯৪২</t>
  </si>
  <si>
    <t>মোছাঃ জান্নাতন নেছা</t>
  </si>
  <si>
    <t>২০/০১/১৯৮৮</t>
  </si>
  <si>
    <t>মোঃ আব্দুল ওহাব</t>
  </si>
  <si>
    <t>মোছাঃ নুরজাহান</t>
  </si>
  <si>
    <t>০৮/০১/১৯৭১</t>
  </si>
  <si>
    <t>মোঃ নুরুজ্জামান</t>
  </si>
  <si>
    <t>০৫/০২/১৯৭৫</t>
  </si>
  <si>
    <t>মোছাঃ ছুরাতন খাতুন</t>
  </si>
  <si>
    <t>২৫/০৩/১৯৭৭</t>
  </si>
  <si>
    <t>মোঃ নবীছদ্দিন</t>
  </si>
  <si>
    <t>আব্দুর রহমান</t>
  </si>
  <si>
    <t>আয়জান খাতুন</t>
  </si>
  <si>
    <t>০৮/০২/১৯৪৭</t>
  </si>
  <si>
    <t>মোঃ সহরাব আলী</t>
  </si>
  <si>
    <t>মোছাঃ রহিদা বেগম</t>
  </si>
  <si>
    <t>১০/০৮/১৯৮৭</t>
  </si>
  <si>
    <t>মোঃ সৃজন আলি</t>
  </si>
  <si>
    <t>মোঃ সিতার আলী</t>
  </si>
  <si>
    <t>মোছাঃ আশেরা খাতুন</t>
  </si>
  <si>
    <t>১৭/০৭/১৯৮৫</t>
  </si>
  <si>
    <t>মোঃ আজমত আলী</t>
  </si>
  <si>
    <t>মোছাঃ বালাজান নেছা</t>
  </si>
  <si>
    <t>১৫/০৮/১৯৮৮</t>
  </si>
  <si>
    <t>মোছাঃ ফুলছুরাতন</t>
  </si>
  <si>
    <t>২২/০৩/১৯৬৭</t>
  </si>
  <si>
    <t>মোঃ শাহবুদ্দিন মন্ডল</t>
  </si>
  <si>
    <t>আয়জান নেছা</t>
  </si>
  <si>
    <t>১০/১১/১৯৬২</t>
  </si>
  <si>
    <t>মোঃ জমসের আলী</t>
  </si>
  <si>
    <t>মোহাঃ মেহের আলী</t>
  </si>
  <si>
    <t>আলম সর্দার</t>
  </si>
  <si>
    <t>১১/০৭/১৯৭৩</t>
  </si>
  <si>
    <t>মোঃ শাহবুদ্দিন</t>
  </si>
  <si>
    <t>২৭/০৯/১৯৮৬</t>
  </si>
  <si>
    <t>মোঃ দুখমিয়া</t>
  </si>
  <si>
    <t>মোছাঃ নিছারন নেছা</t>
  </si>
  <si>
    <t>২৩/১১/১৯৮৮</t>
  </si>
  <si>
    <t>মোঃ আনছার আলী</t>
  </si>
  <si>
    <t>১৬/১০/১৯৭২</t>
  </si>
  <si>
    <t>মোঃ মন্টু হোসেন</t>
  </si>
  <si>
    <t>১১/০৭/১৯৮৪</t>
  </si>
  <si>
    <t>মোঃ কবিরউদ্দীন</t>
  </si>
  <si>
    <t>আলম সরদার</t>
  </si>
  <si>
    <t>১২/০৫/১৯৫৭</t>
  </si>
  <si>
    <t>০১/০৫/১৯৮৫</t>
  </si>
  <si>
    <t>মোঃ শাহারুল ইসলাম</t>
  </si>
  <si>
    <t>মোঃ ওয়ালি উল্লাহ</t>
  </si>
  <si>
    <t>১২/০২/১৯৭২</t>
  </si>
  <si>
    <t>মোঃ সহরাফ আলী</t>
  </si>
  <si>
    <t>মোছাঃ অলিজন</t>
  </si>
  <si>
    <t>১৫/০৭/১৯৬৭</t>
  </si>
  <si>
    <t>পাঞ্জাব খাঁ</t>
  </si>
  <si>
    <t>০৯/০১/১৯৬২</t>
  </si>
  <si>
    <t>রুস্তম আলী</t>
  </si>
  <si>
    <t>রমেছা খাতুন</t>
  </si>
  <si>
    <t>১৩/০৮/১৯৫৭</t>
  </si>
  <si>
    <t>অনকুল সেখ</t>
  </si>
  <si>
    <t>পাতা খাতুন</t>
  </si>
  <si>
    <t>১২/০৪/১৯৪৭</t>
  </si>
  <si>
    <t>মোঃ আলী কদর</t>
  </si>
  <si>
    <t>মোছাঃ আশরাফুন নেছা</t>
  </si>
  <si>
    <t>২৬/০৯/১৯৮২</t>
  </si>
  <si>
    <t>মোঃ বাবুল হোসেন</t>
  </si>
  <si>
    <t>নজরুল ইসলাম</t>
  </si>
  <si>
    <t>মোছাঃ খদেজা বেগম</t>
  </si>
  <si>
    <t>১৭/০৬/১৯৭৭</t>
  </si>
  <si>
    <t>মোঃ আজিজ আহম্মাদ</t>
  </si>
  <si>
    <t>ছফরুদ্দীন</t>
  </si>
  <si>
    <t>১৯/০৭/১৯৬৭</t>
  </si>
  <si>
    <t>মোঃ শাহাতাব সেখ</t>
  </si>
  <si>
    <t>মোছাঃ মরজিলা খাতুন</t>
  </si>
  <si>
    <t>১৯/০৯/১৯৮৪</t>
  </si>
  <si>
    <t>মোঃ আলী হোসেন</t>
  </si>
  <si>
    <t>মোঃ জসিম উদ্দিন</t>
  </si>
  <si>
    <t>মোছাঃ আলেমা খাতুন</t>
  </si>
  <si>
    <t>১২/০৪/১৯৮৭</t>
  </si>
  <si>
    <t>দেওয়ানত সেখ</t>
  </si>
  <si>
    <t>আয়শা খাতুন</t>
  </si>
  <si>
    <t>১২/০৫/১৯৬৭</t>
  </si>
  <si>
    <t>মোঃ আবু হানেফ</t>
  </si>
  <si>
    <t>নয়ামদ্দিন সেখ</t>
  </si>
  <si>
    <t>তুতা খাতুন</t>
  </si>
  <si>
    <t>১৩/০১/১৯৫২</t>
  </si>
  <si>
    <t>মোঃ ফারুক হোসেন</t>
  </si>
  <si>
    <t>মোঃ হানেফ সেখ</t>
  </si>
  <si>
    <t>১৯/০৩/১৯৮৫</t>
  </si>
  <si>
    <t>মোঃ হানিফ সেখ</t>
  </si>
  <si>
    <t>০৫/০২/১৯৮৮</t>
  </si>
  <si>
    <t>মোঃ বাবলু সেখ</t>
  </si>
  <si>
    <t>নুরুলহুদা</t>
  </si>
  <si>
    <t>০৭/১১/১৯৭০</t>
  </si>
  <si>
    <t>মোঃ সবুর আলী</t>
  </si>
  <si>
    <t>আব্দুর রহমান সেখ</t>
  </si>
  <si>
    <t>মোছাঃ জাহারন নেছা</t>
  </si>
  <si>
    <t>০১/০২/১৯৭৩</t>
  </si>
  <si>
    <t>মোছাঃ নূর জাহান</t>
  </si>
  <si>
    <t>২২/১০/১৯৮৩</t>
  </si>
  <si>
    <t>আজিমদ্দিন সেখ</t>
  </si>
  <si>
    <t>তাছেমা খাতুন</t>
  </si>
  <si>
    <t>১১/০৭/১৯৬৭</t>
  </si>
  <si>
    <t>মোঃ তাহাজ উদ্দিন</t>
  </si>
  <si>
    <t>আজিমদ্দিন</t>
  </si>
  <si>
    <t>তাছিমা খাতুন</t>
  </si>
  <si>
    <t>২২/০৭/১৯৭২</t>
  </si>
  <si>
    <t>মোঃ তাজিমদ্দিন</t>
  </si>
  <si>
    <t>০২/০৩/১৯৮৪</t>
  </si>
  <si>
    <t>মোঃ আকুব্বার আলী</t>
  </si>
  <si>
    <t>মহিউদ্দিন সেখ</t>
  </si>
  <si>
    <t>অজিফা খাতুন</t>
  </si>
  <si>
    <t>১৭/০৮/১৯৬০</t>
  </si>
  <si>
    <t>আব্দুর গফুর</t>
  </si>
  <si>
    <t>০৭/০১/১৯৫২</t>
  </si>
  <si>
    <t>মোঃ কামরুজ্জামান</t>
  </si>
  <si>
    <t>লুৎফর হোসেন</t>
  </si>
  <si>
    <t>মোছাঃ রোমেছা খাতুন</t>
  </si>
  <si>
    <t>১৫/০৫/১৯৭২</t>
  </si>
  <si>
    <t>জান মহাম্মাদ</t>
  </si>
  <si>
    <t>মোছাঃ হাচিনা বানু</t>
  </si>
  <si>
    <t>২৬/০২/১৯৭১</t>
  </si>
  <si>
    <t>১৩/০৩/১৯৮১</t>
  </si>
  <si>
    <t>২২/০৮/১৯৬৭</t>
  </si>
  <si>
    <t>মোঃ শাহতাব আলী</t>
  </si>
  <si>
    <t>আজিফা খাতুন</t>
  </si>
  <si>
    <t>২১/০৯/১৯৫৮</t>
  </si>
  <si>
    <t>ওয়াজ সেখ</t>
  </si>
  <si>
    <t>জাহেদা বিবি</t>
  </si>
  <si>
    <t>১১/০১/১৯৬২</t>
  </si>
  <si>
    <t>মোঃ আইয়ুব আলী</t>
  </si>
  <si>
    <t>১৬/০৬/১৯৭৭</t>
  </si>
  <si>
    <t>২২/০২/১৯৮৬</t>
  </si>
  <si>
    <t>মোঃ ইয়াছিন আলী</t>
  </si>
  <si>
    <t>মরিয়ম বেগম</t>
  </si>
  <si>
    <t>৩০/০৮/১৯৮৩</t>
  </si>
  <si>
    <t>জয়েদ আলী</t>
  </si>
  <si>
    <t>মোছাঃ শহরা খাতুন</t>
  </si>
  <si>
    <t>মোঃ তোফাজ্জেল হোসেন</t>
  </si>
  <si>
    <t>মোঃ নুরুল হক</t>
  </si>
  <si>
    <t>০৫/০৮/১৯৮৭</t>
  </si>
  <si>
    <t>মোঃ মঞ্জুর আলী</t>
  </si>
  <si>
    <t>মোছাঃ মনোয়রা খাতুন</t>
  </si>
  <si>
    <t>১১/০২/১৯৮৮</t>
  </si>
  <si>
    <t>মোহাঃ লোকমান হোসেন</t>
  </si>
  <si>
    <t>মোঃ দুখু মিয়া</t>
  </si>
  <si>
    <t>মোছাঃ নেছারন খাতুন</t>
  </si>
  <si>
    <t>২০/১০/১৯৮১</t>
  </si>
  <si>
    <t>মোঃ ছাবের আলী</t>
  </si>
  <si>
    <t>১১/০৩/১৯৮৮</t>
  </si>
  <si>
    <t>মোঃ জয়নাল আবেদিন</t>
  </si>
  <si>
    <t>২২/০৫/১৯৭৯</t>
  </si>
  <si>
    <t>মোঃ সাদ্দাম হোসেন</t>
  </si>
  <si>
    <t>আব্দুল হাম্নান</t>
  </si>
  <si>
    <t>১৮/০৯/১৯৯৫</t>
  </si>
  <si>
    <t>সৈয়দ সেখ</t>
  </si>
  <si>
    <t>মোছাঃ মহিমা খাতুন</t>
  </si>
  <si>
    <t>০১/১২/১৯৭৪</t>
  </si>
  <si>
    <t>মোঃ মারুফ হোসেন</t>
  </si>
  <si>
    <t>মোছাঃ কহিনুর খাতুন</t>
  </si>
  <si>
    <t>১১/০১/১৯৮৮</t>
  </si>
  <si>
    <t>১৯/১০/১৯৬২</t>
  </si>
  <si>
    <t>ইবরাহীম শেখ</t>
  </si>
  <si>
    <t>আলতাফন নেছা</t>
  </si>
  <si>
    <t>২৬/০৬/১৯৭২</t>
  </si>
  <si>
    <t>মোঃ আকুব্বার শেখ</t>
  </si>
  <si>
    <t>ইব্রাহীম শেখ</t>
  </si>
  <si>
    <t>১৫/১০/১৯৪৭</t>
  </si>
  <si>
    <t>মোঃ জয়নাল আবেদীন</t>
  </si>
  <si>
    <t>ইব্রাহিম শেখ</t>
  </si>
  <si>
    <t>মোঃ আঃ হাশেম</t>
  </si>
  <si>
    <t>২১/১০/১৯৭২</t>
  </si>
  <si>
    <t>মোছাঃ জাহেরা খাতুন</t>
  </si>
  <si>
    <t>২০/০৫/১৯৮১</t>
  </si>
  <si>
    <t>মোঃ শাহরুল ইসলাম</t>
  </si>
  <si>
    <t>১০/০২/১৯৭৬</t>
  </si>
  <si>
    <t>ইউসুদ</t>
  </si>
  <si>
    <t>সদু বিবি</t>
  </si>
  <si>
    <t>১০/১০/১৯২৭</t>
  </si>
  <si>
    <t>০১/০২/১৯৭৫</t>
  </si>
  <si>
    <t>০৫/০৬/১৯৮৭</t>
  </si>
  <si>
    <t>১৫/১০/১৯৭৭</t>
  </si>
  <si>
    <t>২০/১০/১৯৮৯</t>
  </si>
  <si>
    <t>আঃ বারী</t>
  </si>
  <si>
    <t>মোছাঃ আহাতন নেছা</t>
  </si>
  <si>
    <t>১৫/০৫/১৯৪৭</t>
  </si>
  <si>
    <t>মোঃ মফিদুল ইসলাম</t>
  </si>
  <si>
    <t>মোছাঃ ছফেলা খাতুন</t>
  </si>
  <si>
    <t>২৫/১০/১৯৮৩</t>
  </si>
  <si>
    <t>মোঃ আঃ ছালাম</t>
  </si>
  <si>
    <t>মহিজদ্দীন</t>
  </si>
  <si>
    <t>ছালেহা খাতুন</t>
  </si>
  <si>
    <t>১০/০২/১৯৬২</t>
  </si>
  <si>
    <t>মজিবর</t>
  </si>
  <si>
    <t>মোছাঃ সফেলা খাতুন</t>
  </si>
  <si>
    <t>১৯/০৫/১৯৭৯</t>
  </si>
  <si>
    <t>মোঃ শাহিন আলী</t>
  </si>
  <si>
    <t>০২/০১/১৯৮৮</t>
  </si>
  <si>
    <t>মোঃ ইউনুচ আলী</t>
  </si>
  <si>
    <t>মোছাঃ মরজিনা খাতুন</t>
  </si>
  <si>
    <t>২০/০১/১৯৮৭</t>
  </si>
  <si>
    <t>ওমর আলী</t>
  </si>
  <si>
    <t>জিলু খাতুন</t>
  </si>
  <si>
    <t>২০/১০/১৯৫৯</t>
  </si>
  <si>
    <t>মোঃ শমসের আলী</t>
  </si>
  <si>
    <t>ভোলা শেখ</t>
  </si>
  <si>
    <t>খাতুন নেছা</t>
  </si>
  <si>
    <t>মোঃ আশরাফ আলী</t>
  </si>
  <si>
    <t>মোছাঃ আলফাতন নেছা</t>
  </si>
  <si>
    <t>০২/১২/১৯৭৫</t>
  </si>
  <si>
    <t>মোঃ জিয়ারুল হক</t>
  </si>
  <si>
    <t>মোঃ রুফাত আলী</t>
  </si>
  <si>
    <t>মোছাঃ সবুরন নেছা</t>
  </si>
  <si>
    <t>২০/০১/১৯৮০</t>
  </si>
  <si>
    <t>মোঃ আনিচুর রহমান</t>
  </si>
  <si>
    <t>মোছাঃ আসমা খাতুন</t>
  </si>
  <si>
    <t>১০/০২/১৯৮৭</t>
  </si>
  <si>
    <t>০২/০১/১৯৮৫</t>
  </si>
  <si>
    <t>মোঃ আঃ হালিম</t>
  </si>
  <si>
    <t>১৬/০৬/১৯৮০</t>
  </si>
  <si>
    <t>মোঃ আবুল হাশেম</t>
  </si>
  <si>
    <t>জাকের শেষ</t>
  </si>
  <si>
    <t>জেমন নেছা</t>
  </si>
  <si>
    <t>১০/০২/১৯৬৭</t>
  </si>
  <si>
    <t>জাকের</t>
  </si>
  <si>
    <t>জেমন</t>
  </si>
  <si>
    <t>১৫/১২/১৯৬৭</t>
  </si>
  <si>
    <t>মোঃ আমিনুল হক</t>
  </si>
  <si>
    <t>০৭/০৮/১৯৮৭</t>
  </si>
  <si>
    <t>মোঃ তাললুল</t>
  </si>
  <si>
    <t>ছিধামন্দী</t>
  </si>
  <si>
    <t>মোছাঃ লাল বুড়ি</t>
  </si>
  <si>
    <t>১৫/১০/১৯৬৭</t>
  </si>
  <si>
    <t>মোঃ গোলাম কাওছার</t>
  </si>
  <si>
    <t>জীবন নেছা</t>
  </si>
  <si>
    <t>০৮/১২/১৯৮৫</t>
  </si>
  <si>
    <t>১০/০২/১৯৮৩</t>
  </si>
  <si>
    <t>মোঃ আসাদুল হক</t>
  </si>
  <si>
    <t>মোঃ আকতার হোসেন</t>
  </si>
  <si>
    <t>১০/০৫/১৯৮২</t>
  </si>
  <si>
    <t>মোঃ পালু</t>
  </si>
  <si>
    <t>ছিয়ামদ্দী</t>
  </si>
  <si>
    <t>১০/০১/১৯৮৪</t>
  </si>
  <si>
    <t>মোঃ আলমাস হোসেন</t>
  </si>
  <si>
    <t>মোঃ মসলেম আলী</t>
  </si>
  <si>
    <t>১৬/০৪/১৯৮৪</t>
  </si>
  <si>
    <t>মোঃ দারাউদ্দীন গাজী</t>
  </si>
  <si>
    <t>শামসুদ্দীন গাজী</t>
  </si>
  <si>
    <t>১০/০৫/১৯৭৬</t>
  </si>
  <si>
    <t>মোঃ ফরমান আলী</t>
  </si>
  <si>
    <t>হচেন শেখ</t>
  </si>
  <si>
    <t>জফেলা খাতুন</t>
  </si>
  <si>
    <t>১০/১২/১৯৬২</t>
  </si>
  <si>
    <t>মোঃ কামাল হোসেন</t>
  </si>
  <si>
    <t>মোঃ রিফাতুল্লা</t>
  </si>
  <si>
    <t>মোছাঃ রাহেলা খাতুন</t>
  </si>
  <si>
    <t>১২/১২/১৯৭৭</t>
  </si>
  <si>
    <t>মোছাঃ ছহেলা খাতুন</t>
  </si>
  <si>
    <t>২০/০১/১৯৫৯</t>
  </si>
  <si>
    <t>মোঃ মরজেস হোসেন</t>
  </si>
  <si>
    <t>১১/১০/১৯৭২</t>
  </si>
  <si>
    <t>মোঃ রহিম খাঁ</t>
  </si>
  <si>
    <t>মোছাঃ উলফাতন খাতুন</t>
  </si>
  <si>
    <t>২০/১০/১৯৭২</t>
  </si>
  <si>
    <t>কিনার বকস</t>
  </si>
  <si>
    <t>হালেহা খাতুন</t>
  </si>
  <si>
    <t>১০/১০/১৯৭০</t>
  </si>
  <si>
    <t>মোঃ ইব্রাহীম</t>
  </si>
  <si>
    <t>আঃ গণি</t>
  </si>
  <si>
    <t>মরিয়ম</t>
  </si>
  <si>
    <t>১০/০৫/১৯৬৭</t>
  </si>
  <si>
    <t>মোঃ খায়রুল</t>
  </si>
  <si>
    <t>হামিদ মোল্লা</t>
  </si>
  <si>
    <t>মোছাঃ ককিজান খাতুন</t>
  </si>
  <si>
    <t>১৫/০৫/১৯৭১</t>
  </si>
  <si>
    <t>ওসমান মন্ডল</t>
  </si>
  <si>
    <t>সহিদা খাতুন</t>
  </si>
  <si>
    <t>১০/১০/১৯৫২</t>
  </si>
  <si>
    <t>মোঃ হাসমত আলী</t>
  </si>
  <si>
    <t>আনছার আলী</t>
  </si>
  <si>
    <t>১৫/১০/১৯৮২</t>
  </si>
  <si>
    <t>মোঃ আঃ ওয়াদুদ</t>
  </si>
  <si>
    <t>খতুজান</t>
  </si>
  <si>
    <t>২০/০২/১৯৫৯</t>
  </si>
  <si>
    <t>জান মহামাদ শেখ</t>
  </si>
  <si>
    <t>হাসেনা বানু</t>
  </si>
  <si>
    <t>২০/১০/১৯৮৫</t>
  </si>
  <si>
    <t>মোঃ সাইদুল ইসলাম</t>
  </si>
  <si>
    <t>২০/০৬/১৯৮০</t>
  </si>
  <si>
    <t>আজিজ খাঁ</t>
  </si>
  <si>
    <t>শাহেনা খাতুন</t>
  </si>
  <si>
    <t>১০/০৯/১৯৭০</t>
  </si>
  <si>
    <t>মোঃ মিয়ারুল ইসলাম</t>
  </si>
  <si>
    <t>জানমহামাদ শেখ</t>
  </si>
  <si>
    <t>মোছাঃ হাসনা বানু</t>
  </si>
  <si>
    <t>১৯/০১/১৯৭০</t>
  </si>
  <si>
    <t>মোছাঃ রাহেমা খাতুন</t>
  </si>
  <si>
    <t>১০/০৮/১৯৮২</t>
  </si>
  <si>
    <t>উম্মত আলী</t>
  </si>
  <si>
    <t>হালিমা খাতুন</t>
  </si>
  <si>
    <t>১৮/১১/১৯৮৭</t>
  </si>
  <si>
    <t>এস এম আতিয়ার রহমান</t>
  </si>
  <si>
    <t>০২/০১/১৯৬৪</t>
  </si>
  <si>
    <t>১৭/১১/১৯৮৬</t>
  </si>
  <si>
    <t>১৬/১০/১৯৮৭</t>
  </si>
  <si>
    <t>মোঃ রাজু আহম্মেদ</t>
  </si>
  <si>
    <t>মোঃ আঃ সাত্তার</t>
  </si>
  <si>
    <t>ওসমান</t>
  </si>
  <si>
    <t>সহিজান</t>
  </si>
  <si>
    <t>১৫/০৬/১৯৫৭</t>
  </si>
  <si>
    <t>মোঃ মনিরুজ্জামান</t>
  </si>
  <si>
    <t>মোছাঃ মরিয়ম নেছা</t>
  </si>
  <si>
    <t>জাকের আলী</t>
  </si>
  <si>
    <t>১৫/০৭/১৯৫৭</t>
  </si>
  <si>
    <t>মোহাঃ হাসেম আলী</t>
  </si>
  <si>
    <t>হেলাল উদ্দীন</t>
  </si>
  <si>
    <t>২০/০৮/১৯৬৭</t>
  </si>
  <si>
    <t>মোঃ মাহাবুব আলম</t>
  </si>
  <si>
    <t>আহম্মদ আলী</t>
  </si>
  <si>
    <t>মুলাম জান</t>
  </si>
  <si>
    <t>মোঃ লিটন মীর</t>
  </si>
  <si>
    <t>মোঃ আফাজুদ্দীন মীর</t>
  </si>
  <si>
    <t>মোছাঃ ফুলজান নেছা</t>
  </si>
  <si>
    <t>১৫/১২/১৯৮৭</t>
  </si>
  <si>
    <t>মোঃ আনোয়ার হোসেন</t>
  </si>
  <si>
    <t>সৈয়দ আলী</t>
  </si>
  <si>
    <t>মোছাঃ মদিনা খাতুন</t>
  </si>
  <si>
    <t>১০/১০/১৯৬৯</t>
  </si>
  <si>
    <t>মোঃ ডাবলু মির</t>
  </si>
  <si>
    <t>মোঃ আফাজুদ্দীন</t>
  </si>
  <si>
    <t>মোছাঃ ফুলা খাতুন</t>
  </si>
  <si>
    <t>জামাত আলী</t>
  </si>
  <si>
    <t>মোছাঃ রাজিমন</t>
  </si>
  <si>
    <t>১০/১০/১৯৬২</t>
  </si>
  <si>
    <t>আজগর</t>
  </si>
  <si>
    <t>মোছাঃ রেজিনা খাতুন</t>
  </si>
  <si>
    <t>আজিজ</t>
  </si>
  <si>
    <t>২০/১০/১৯৭৭</t>
  </si>
  <si>
    <t>মোঃ একরামুল হক</t>
  </si>
  <si>
    <t>আফেল মন্ডল</t>
  </si>
  <si>
    <t>জাহানারা</t>
  </si>
  <si>
    <t>১০/০৬/১৯৭৩</t>
  </si>
  <si>
    <t>মোঃ আদম আলী</t>
  </si>
  <si>
    <t>আঃ রহিম মন্ডল</t>
  </si>
  <si>
    <t>২০/১০/১৯৬৯</t>
  </si>
  <si>
    <t>সবুর জান</t>
  </si>
  <si>
    <t>১৫/০১/১৯৮২</t>
  </si>
  <si>
    <t>মীর কামরুজ্জামান</t>
  </si>
  <si>
    <t>মীর আব্দুল গফফার</t>
  </si>
  <si>
    <t>মাজেদা খাতুন</t>
  </si>
  <si>
    <t>০১/০৩/১৯৬৪</t>
  </si>
  <si>
    <t>মোঃ আলী আজগর</t>
  </si>
  <si>
    <t>আওলাদ হোসেন</t>
  </si>
  <si>
    <t>ইনছারন নেছা</t>
  </si>
  <si>
    <t>১২/১০/১৯৬২</t>
  </si>
  <si>
    <t>মোঃ সেলিম হোসেন</t>
  </si>
  <si>
    <t>মোঃ আঃ সালাম</t>
  </si>
  <si>
    <t>সাহেদা খাতুন</t>
  </si>
  <si>
    <t>১৫/১০/১৯৮৮</t>
  </si>
  <si>
    <t>আঃ হামাদ</t>
  </si>
  <si>
    <t>রদভানু</t>
  </si>
  <si>
    <t>১০/০২/১৯৭১</t>
  </si>
  <si>
    <t>মোঃ সজিব হোসেন</t>
  </si>
  <si>
    <t>মোঃ দুয়াত আলী</t>
  </si>
  <si>
    <t>মোছাঃ এছেলা খাতুন</t>
  </si>
  <si>
    <t>০২/০৪/১৯৮৭</t>
  </si>
  <si>
    <t>মোঃ রিফাতুল্লাহ</t>
  </si>
  <si>
    <t>১০/০২/১৯৭০</t>
  </si>
  <si>
    <t>মোঃ হাসান আলী</t>
  </si>
  <si>
    <t>১৫/০৫/১৯৮৫</t>
  </si>
  <si>
    <t>মোঃ রাকিবুল ইসলাম</t>
  </si>
  <si>
    <t>রেক্সোনা খাতুন</t>
  </si>
  <si>
    <t>০৩/০৭/১৯৮৭</t>
  </si>
  <si>
    <t>মোছাঃ জাহিদুর রহমান</t>
  </si>
  <si>
    <t>৩০/১১/১৯৭৮</t>
  </si>
  <si>
    <t>মোঃ সোহের রানা</t>
  </si>
  <si>
    <t>মোঃ হারান খাঁ</t>
  </si>
  <si>
    <t>মোছাঃ দুলু</t>
  </si>
  <si>
    <t>০৫/০৬/১৯৮৬</t>
  </si>
  <si>
    <t>মোঃ আবু হাসান</t>
  </si>
  <si>
    <t>১৭/০৬/১৯৮৭</t>
  </si>
  <si>
    <t>০৯/০৫/১৯৮৩</t>
  </si>
  <si>
    <t>মোঃ আবুবক্কর সিদ্দিক</t>
  </si>
  <si>
    <t>মোঃ চাঁদ আলী</t>
  </si>
  <si>
    <t>১১/০৫/১৯৮৭</t>
  </si>
  <si>
    <t>আবু হানিফ</t>
  </si>
  <si>
    <t>মোছাঃ মেহেরন নেছা</t>
  </si>
  <si>
    <t>০৫/০৫/১৯৮৮</t>
  </si>
  <si>
    <t>মোঃ ইয়াকুব আলী</t>
  </si>
  <si>
    <t>মোঃ ইনছান আলী</t>
  </si>
  <si>
    <t>গাড়াবোব</t>
  </si>
  <si>
    <t>জাকারিয়া</t>
  </si>
  <si>
    <t>১৮/০৩/১৯৮২</t>
  </si>
  <si>
    <t>১৫/০৪/১৯৮৯</t>
  </si>
  <si>
    <t>ইদু সেখ</t>
  </si>
  <si>
    <t>১২/০৩/১৯৫৭</t>
  </si>
  <si>
    <t>মোঃ উজ্জ্বল হোসেন</t>
  </si>
  <si>
    <t>ছাদের আলী</t>
  </si>
  <si>
    <t>মোছাঃ আজিরন নেছা</t>
  </si>
  <si>
    <t>দর্জি</t>
  </si>
  <si>
    <t>মোঃ সবুজ আলী</t>
  </si>
  <si>
    <t>মোঃ মহিদুল ইসলাম</t>
  </si>
  <si>
    <t>মোছাঃ নূন্নাহার</t>
  </si>
  <si>
    <t>২০/০৮/১৯৮৮</t>
  </si>
  <si>
    <t>মোঃ মামুনুর রশিদ</t>
  </si>
  <si>
    <t>মোছাঃ ইলাফন নেছা</t>
  </si>
  <si>
    <t>২৫/০৫/১৯৭০</t>
  </si>
  <si>
    <t>শ্রী সুনিল দাস</t>
  </si>
  <si>
    <t>সুবল দাস</t>
  </si>
  <si>
    <t>শ্রীমতি বাসন্তী বালা</t>
  </si>
  <si>
    <t>০১/০৫/১৯৮৬</t>
  </si>
  <si>
    <t>অন্যান্য</t>
  </si>
  <si>
    <t>মোঃ শামিম</t>
  </si>
  <si>
    <t>মোছাঃ সহুরা খাতুন</t>
  </si>
  <si>
    <t>২৩/০৩/১৯৮৩</t>
  </si>
  <si>
    <t>মোঃ জহিরুল ইসলাম</t>
  </si>
  <si>
    <t>মোঃ নিয়াকত আলী</t>
  </si>
  <si>
    <t>১৮/০৮/১৯৮৮</t>
  </si>
  <si>
    <t>মোছাঃ পারূলা খাতুন</t>
  </si>
  <si>
    <t>১০/০৩/১৯৮৮</t>
  </si>
  <si>
    <t>মোঃ শারিফুল ইসলাম</t>
  </si>
  <si>
    <t>মোঃ দেলোয়ার হোসেন</t>
  </si>
  <si>
    <t>১৮/০৩/১৯৮৯</t>
  </si>
  <si>
    <t>ফজের</t>
  </si>
  <si>
    <t>মতিয়ার</t>
  </si>
  <si>
    <t>ছকিনা</t>
  </si>
  <si>
    <t>১০/০৭/১৯৮২</t>
  </si>
  <si>
    <t>মোঃ দিন মুহাম্মদ</t>
  </si>
  <si>
    <t>শেতল মন্ডল</t>
  </si>
  <si>
    <t>হাজেরা খাতুন</t>
  </si>
  <si>
    <t>মোঃ শ্যামল হোসেন</t>
  </si>
  <si>
    <t>সান্দার হোসেন</t>
  </si>
  <si>
    <t>০১/০৫/১৯৮৭</t>
  </si>
  <si>
    <t>মোহাঃ আছিরুল ইসলাম</t>
  </si>
  <si>
    <t>২২/০২/১৯৮৭</t>
  </si>
  <si>
    <t>মোঃ আব্দুল্লাহ আল মামুন</t>
  </si>
  <si>
    <t>মোঃ মিনারুল ইসলাম</t>
  </si>
  <si>
    <t>মোঃ জব্বার আলী</t>
  </si>
  <si>
    <t>০৮/১১/১৯৮৬</t>
  </si>
  <si>
    <t>মোঃ মিঠু মিয়া</t>
  </si>
  <si>
    <t>মোঃ মান্নান</t>
  </si>
  <si>
    <t>মোছাঃ আকলিমা</t>
  </si>
  <si>
    <t>১২/০৫/১৯৮৮</t>
  </si>
  <si>
    <t>মোঃ সাগর আলী</t>
  </si>
  <si>
    <t>মোঃ আঃ মজিদ</t>
  </si>
  <si>
    <t>মোছাঃ আমেনা বেগম</t>
  </si>
  <si>
    <t>০৪/০৩/১৯৮৯</t>
  </si>
  <si>
    <t>মোঃ আতর আলী মোল্লা</t>
  </si>
  <si>
    <t>মোছাঃ তহমিনা বেগম</t>
  </si>
  <si>
    <t>১০/০৫/১৯৮১</t>
  </si>
  <si>
    <t>মোঃ রজ্জব আলী</t>
  </si>
  <si>
    <t>মোছাঃ রোছুল্লা খাতুন</t>
  </si>
  <si>
    <t>২১/১১/১৯৮০</t>
  </si>
  <si>
    <t>মোঃ সোহোরব হোসেন</t>
  </si>
  <si>
    <t>মোঃ ইয়াদ আলী মোল্লা</t>
  </si>
  <si>
    <t>মোছাঃ ছালেহার বেগম</t>
  </si>
  <si>
    <t>২০/০৮/১৯৬৯</t>
  </si>
  <si>
    <t>২৬/০৩/১৯৮১</t>
  </si>
  <si>
    <t>মোঃ আজিমদ্দি</t>
  </si>
  <si>
    <t>আছিয়া</t>
  </si>
  <si>
    <t>২০/০৫/১৯৭৭</t>
  </si>
  <si>
    <t>মোঃ আঃ মজিদ হোসেন</t>
  </si>
  <si>
    <t>১৮/১০/১৯৮৭</t>
  </si>
  <si>
    <t>মোঃ মনিরুজ্জামান খাঁন</t>
  </si>
  <si>
    <t>ইয়াদালী খান</t>
  </si>
  <si>
    <t>মোঃ ছানোয়ার হোসেন খান</t>
  </si>
  <si>
    <t>ইয়াদ আলী খান</t>
  </si>
  <si>
    <t>০১/০১/১৯৭৫</t>
  </si>
  <si>
    <t>মোঃ আব্দুল খালেক</t>
  </si>
  <si>
    <t>মোঃ ইয়াদালী</t>
  </si>
  <si>
    <t>০২/০৫/১৯৫৮</t>
  </si>
  <si>
    <t>মোঃ কালু</t>
  </si>
  <si>
    <t>মোঃ ওয়াজ মোল্লা</t>
  </si>
  <si>
    <t>মোছাঃ আহাতন</t>
  </si>
  <si>
    <t>১৫/০৬/১৯৬৯</t>
  </si>
  <si>
    <t>মোঃ মশিরুল ইসলাম</t>
  </si>
  <si>
    <t>মোছাঃ নিছারন বেগম</t>
  </si>
  <si>
    <t>১৬/০৭/১৯৮০</t>
  </si>
  <si>
    <t>মোঃ ছাদের আলী</t>
  </si>
  <si>
    <t>কাঙ্গাল সেখ</t>
  </si>
  <si>
    <t>ছুপরা বেগম</t>
  </si>
  <si>
    <t>ছাবদার হোসেন</t>
  </si>
  <si>
    <t>মোছাঃ খোদেজান</t>
  </si>
  <si>
    <t>১৮/০৯/১৯৭৭</t>
  </si>
  <si>
    <t>আব্দুল জব্বার</t>
  </si>
  <si>
    <t>মোছাঃ খদেজান</t>
  </si>
  <si>
    <t>২০/১০/১৯৬০</t>
  </si>
  <si>
    <t>ডাক্তার</t>
  </si>
  <si>
    <t>মোঃ রিন্টু মামুন</t>
  </si>
  <si>
    <t>১৭/০৫/১৯৮৬</t>
  </si>
  <si>
    <t>মোঃ খোকন</t>
  </si>
  <si>
    <t>মোঃ তাহেরুদ্দিন</t>
  </si>
  <si>
    <t>মোছাঃ ছায়েরা বেগম</t>
  </si>
  <si>
    <t>১৬/০৬/১৯৮৫</t>
  </si>
  <si>
    <t>মোঃ আজিল হক</t>
  </si>
  <si>
    <t>১৯/০৮/১৯৮২</t>
  </si>
  <si>
    <t>মোঃ শাহাবুদ্দীন</t>
  </si>
  <si>
    <t>আকবর আলী</t>
  </si>
  <si>
    <t>মোছাঃ কুলছুম খাতুন</t>
  </si>
  <si>
    <t>২৬/০৬/১৯৮৮</t>
  </si>
  <si>
    <t>মোঃ নূরইসলাম</t>
  </si>
  <si>
    <t>মোঃ ফরমান আলি</t>
  </si>
  <si>
    <t>মোছাঃ ছইমন নেছা</t>
  </si>
  <si>
    <t>২৬/০৭/১৯৬৫</t>
  </si>
  <si>
    <t>মোঃ ইসরাইল হোসেন</t>
  </si>
  <si>
    <t>মোঃ পরমান আলি</t>
  </si>
  <si>
    <t>২৪/০৫/১৯৮১</t>
  </si>
  <si>
    <t>মোঃ সদর আলি</t>
  </si>
  <si>
    <t>মোছাঃ জানেহার</t>
  </si>
  <si>
    <t>১৬/১০/১৯৮২</t>
  </si>
  <si>
    <t>হেকমত আলি</t>
  </si>
  <si>
    <t>২০/১১/১৯৮২</t>
  </si>
  <si>
    <t>মোঃ কিতাব আলি</t>
  </si>
  <si>
    <t>মোঃ বরকত আলি</t>
  </si>
  <si>
    <t>২৪/০৫/১৯৬৫</t>
  </si>
  <si>
    <t>মোঃ মিলন আলি</t>
  </si>
  <si>
    <t>মোছাঃ ছবিরন</t>
  </si>
  <si>
    <t>১৮/০৬/১৯৮৮</t>
  </si>
  <si>
    <t>০২/০৪/১৯৭৩</t>
  </si>
  <si>
    <t>মোঃ আক্কাস আলী</t>
  </si>
  <si>
    <t>মোঃ আফসার আলী</t>
  </si>
  <si>
    <t>১৭/১১/১৯৮০</t>
  </si>
  <si>
    <t>মোছাঃ বুলুয়ারা খাতুন</t>
  </si>
  <si>
    <t>১১/১২/১৯৮১</t>
  </si>
  <si>
    <t>মোঃ ওবাইদুল্লা</t>
  </si>
  <si>
    <t>সপেত সেখ</t>
  </si>
  <si>
    <t>মোছাঃ কুলছন বিবি</t>
  </si>
  <si>
    <t>১৩/০৬/১৯৫৭</t>
  </si>
  <si>
    <t>গাড়াবোব কুঠিপাড়া</t>
  </si>
  <si>
    <t>মোঃ জাকের আলি</t>
  </si>
  <si>
    <t>মোঃ একরাম আলি</t>
  </si>
  <si>
    <t>মোছাঃ জিয়ান খাতুন</t>
  </si>
  <si>
    <t>১৭/১১/১৯৭১</t>
  </si>
  <si>
    <t>মোঃ সালাউদ্দীন হোসেন</t>
  </si>
  <si>
    <t>মোছাঃ ছালেহার খাতুন</t>
  </si>
  <si>
    <t>জসিমুদ্দীন</t>
  </si>
  <si>
    <t>০২/০১/১৯৬৫</t>
  </si>
  <si>
    <t>মোঃ ফরিদুল ইসলাম</t>
  </si>
  <si>
    <t>মোঃ নজিমুদ্দিন</t>
  </si>
  <si>
    <t>০৫/০৯/১৯৭৯</t>
  </si>
  <si>
    <t>মোহাঃ শরিফুল</t>
  </si>
  <si>
    <t>২৬/০৫/১৯৮১</t>
  </si>
  <si>
    <t>মোহাঃ রবিউল ইসলাম</t>
  </si>
  <si>
    <t>মোঃ মোজাম্মেল</t>
  </si>
  <si>
    <t>মোছাঃ নিসারন</t>
  </si>
  <si>
    <t>০৭/০১/১৯৮৩</t>
  </si>
  <si>
    <t>হিমমত সেখ</t>
  </si>
  <si>
    <t>আতেজান নেছা</t>
  </si>
  <si>
    <t>১৪/১০/১৯৪৩</t>
  </si>
  <si>
    <t>অবসরপ্রাপ্ত সরকারী চাকুরী</t>
  </si>
  <si>
    <t>রহজু আহমেদ</t>
  </si>
  <si>
    <t>আজিজুল হক</t>
  </si>
  <si>
    <t>শামসুন্নাহার</t>
  </si>
  <si>
    <t>৩১/১২/১৯৮৫</t>
  </si>
  <si>
    <t>মোহাঃ আব্দুল মান্নান</t>
  </si>
  <si>
    <t>হিমমত শেষ</t>
  </si>
  <si>
    <t>০৮/১১/১৯৫৯</t>
  </si>
  <si>
    <t>আব্দুল মান্নান</t>
  </si>
  <si>
    <t>২৭/০৭/১৯৮৭</t>
  </si>
  <si>
    <t>মোঃ লালচাঁদ আলী</t>
  </si>
  <si>
    <t>৩০/০৮/১৯৮০</t>
  </si>
  <si>
    <t>মোহাঃ শামসুজ্জামান</t>
  </si>
  <si>
    <t>মোহাঃ আজিজুল হক</t>
  </si>
  <si>
    <t>২৮/১২/১৯৭৩</t>
  </si>
  <si>
    <t>মোঃ মোজামেল</t>
  </si>
  <si>
    <t>নূর বক্স</t>
  </si>
  <si>
    <t>মৃতা খাতুন নেছা</t>
  </si>
  <si>
    <t>২৮/০১/১৯৫৭</t>
  </si>
  <si>
    <t>আব্দুল কাদের শেখ</t>
  </si>
  <si>
    <t>০৭/০১/১৯৮১</t>
  </si>
  <si>
    <t>মোঃ কামির উদ্দীন</t>
  </si>
  <si>
    <t>মোছাঃ আফাতন বেগম</t>
  </si>
  <si>
    <t>১৫/০৫/১৯৭৫</t>
  </si>
  <si>
    <t>মোঃ কামির উদ্দিন</t>
  </si>
  <si>
    <t>মোছাঃ আফাতন</t>
  </si>
  <si>
    <t>১৫/০৫/১৯৭৭</t>
  </si>
  <si>
    <t>মোঃ নিহারুল ইসলাম</t>
  </si>
  <si>
    <t>মোছাঃ ছালেহার</t>
  </si>
  <si>
    <t>১০/০৬/১৯৭২</t>
  </si>
  <si>
    <t>আমিরুল ইসলাম</t>
  </si>
  <si>
    <t>০১/০১/১৯৮৩</t>
  </si>
  <si>
    <t>মোঃ শাকিরুল ইসলাম</t>
  </si>
  <si>
    <t>মোঃ আমিনুল</t>
  </si>
  <si>
    <t>মোছাঃ ছাকেদা খাতুন</t>
  </si>
  <si>
    <t>০৮/১০/১৯৮২</t>
  </si>
  <si>
    <t>আঃ সামাদ</t>
  </si>
  <si>
    <t>রদবানু</t>
  </si>
  <si>
    <t>১৫/১১/১৯৭৭</t>
  </si>
  <si>
    <t>মোঃ আতর আলী</t>
  </si>
  <si>
    <t>১৮/০৪/১৯৮৮</t>
  </si>
  <si>
    <t>মোঃ তাহের</t>
  </si>
  <si>
    <t>২৫/০৮/১৯৮৩</t>
  </si>
  <si>
    <t>মোঃ আঃ রাজ্জাক</t>
  </si>
  <si>
    <t>মোছাঃ ছপুরন নেছা</t>
  </si>
  <si>
    <t>১৫/০৪/১৯৭২</t>
  </si>
  <si>
    <t>মোঃ মনিরুদ্দিন</t>
  </si>
  <si>
    <t>জামাল মুন্সি</t>
  </si>
  <si>
    <t>২১/০৮/১৯৫২</t>
  </si>
  <si>
    <t>মোঃ হারেজ উদ্দিন</t>
  </si>
  <si>
    <t>মোঃ তাহের উদ্দিন</t>
  </si>
  <si>
    <t>১২/১১/১৯৬৭</t>
  </si>
  <si>
    <t>মোঃ আক্কাচ আলী</t>
  </si>
  <si>
    <t>ছকিনা খাতুন</t>
  </si>
  <si>
    <t>১৩/০৪/১৯৫৫</t>
  </si>
  <si>
    <t>মোঃ জয়নাল আলী</t>
  </si>
  <si>
    <t>২৩/০১/১৯৬৯</t>
  </si>
  <si>
    <t>১৮/০৬/১৯৮৭</t>
  </si>
  <si>
    <t>মকিম উদ্দীন</t>
  </si>
  <si>
    <t>মোছাঃ লাইলী খাতুন</t>
  </si>
  <si>
    <t>১৫/০৬/১৯৭১</t>
  </si>
  <si>
    <t>মোঃ দুলাল</t>
  </si>
  <si>
    <t>মোঃ ইসলাম</t>
  </si>
  <si>
    <t>মোছাঃ ছকিনা খাতুন</t>
  </si>
  <si>
    <t>১২/০৬/১৯৮২</t>
  </si>
  <si>
    <t>মোঃ ওলিল হোসেন</t>
  </si>
  <si>
    <t>জামাল উদ্দিন</t>
  </si>
  <si>
    <t>মোছাঃ আকলিমা খাতুন</t>
  </si>
  <si>
    <t>১২/১০/১৯৬৯</t>
  </si>
  <si>
    <t>মোঃ হুমায়ন</t>
  </si>
  <si>
    <t>আঃ ওহাব</t>
  </si>
  <si>
    <t>মোছাঃ বেগতন নেছা</t>
  </si>
  <si>
    <t>২৬/১০/১৯৭২</t>
  </si>
  <si>
    <t>কামার</t>
  </si>
  <si>
    <t>আঃ আজিজ</t>
  </si>
  <si>
    <t>২১/০৯/১৯৫৭</t>
  </si>
  <si>
    <t>মোঃ আশাদুজ্জামান পলাশ</t>
  </si>
  <si>
    <t>মোছাঃ লতিফন নেছা</t>
  </si>
  <si>
    <t>২৮/০১/১৯৮২</t>
  </si>
  <si>
    <t>ভৈরোম শেখ</t>
  </si>
  <si>
    <t>মোছাঃ হারুজান</t>
  </si>
  <si>
    <t>১৮/০৯/১৯৬৭</t>
  </si>
  <si>
    <t>রিফাজদ্দী</t>
  </si>
  <si>
    <t>০৫/১১/১৯৭৫</t>
  </si>
  <si>
    <t>মোছাঃ রহিমা</t>
  </si>
  <si>
    <t>২২/১১/১৯৫৯</t>
  </si>
  <si>
    <t>২০/০৮/১৯৮২</t>
  </si>
  <si>
    <t>মোঃ মজিরদ্দিন</t>
  </si>
  <si>
    <t>বারন বিশ্বাস</t>
  </si>
  <si>
    <t>নিহারন</t>
  </si>
  <si>
    <t>২১/০৪/১৯৪২</t>
  </si>
  <si>
    <t>মোঃ খাইরুল ইসলাম</t>
  </si>
  <si>
    <t>মোঃ মজিরদ্দি</t>
  </si>
  <si>
    <t>২৮/০৪/১৯৮৩</t>
  </si>
  <si>
    <t>মোছাঃ তহিদা খাতুন</t>
  </si>
  <si>
    <t>২৫/১১/১৯৬৯</t>
  </si>
  <si>
    <t>মোঃ আত্তাব উদ্দিন</t>
  </si>
  <si>
    <t>ছকিনা বানু</t>
  </si>
  <si>
    <t>০৫/১২/১৯৬৭</t>
  </si>
  <si>
    <t>মোঃ টিপু সুলতান</t>
  </si>
  <si>
    <t>মোঃ বছের শেখ</t>
  </si>
  <si>
    <t>মোছাঃ ছাইনা খাতুন</t>
  </si>
  <si>
    <t>১১/১০/১৯৭০</t>
  </si>
  <si>
    <t>মোঃ ময়নাল হক</t>
  </si>
  <si>
    <t>মোঃ গোলাম মর্তুজা</t>
  </si>
  <si>
    <t>মোছাঃ বিলকিচ</t>
  </si>
  <si>
    <t>১৩/১০/১৯৭০</t>
  </si>
  <si>
    <t>দিরাজ শেখ</t>
  </si>
  <si>
    <t>২৮/১১/১৯৭৭</t>
  </si>
  <si>
    <t>মোঃ ছানোয়ার</t>
  </si>
  <si>
    <t>মোছাঃ আমবিয়া</t>
  </si>
  <si>
    <t>১০/০৫/১৯৭৯</t>
  </si>
  <si>
    <t>মোঃ আনছারুল হক</t>
  </si>
  <si>
    <t>কোবাদ আলী</t>
  </si>
  <si>
    <t>মোছাঃ নহরজান খাতুন</t>
  </si>
  <si>
    <t>মোঃ আইনুল হক</t>
  </si>
  <si>
    <t>১০/১২/১৯৭২</t>
  </si>
  <si>
    <t>২০/০৫/১৯৮০</t>
  </si>
  <si>
    <t>মোঃ মাসুদুজ্জামা</t>
  </si>
  <si>
    <t>মোছাঃ নহরজান</t>
  </si>
  <si>
    <t>০১/০১/১৯৭৩</t>
  </si>
  <si>
    <t>মোঃ ফজের আলী</t>
  </si>
  <si>
    <t>১৫/০৪/১৯৫২</t>
  </si>
  <si>
    <t>মোঃ শাহজাহান খাঁন</t>
  </si>
  <si>
    <t>আঃ রহিম খাঁন</t>
  </si>
  <si>
    <t>১৫/০৫/১৯৮৪</t>
  </si>
  <si>
    <t>মোঃ ইয়াদালী মোল্লা</t>
  </si>
  <si>
    <t>মোছাঃ ছালেহা বেগম</t>
  </si>
  <si>
    <t>২৬/১০/১৯৮৩</t>
  </si>
  <si>
    <t>মোছা ছালেহা বেগম</t>
  </si>
  <si>
    <t>০১/০১/১৯৭০</t>
  </si>
  <si>
    <t>মোঃ কায়েম আলী</t>
  </si>
  <si>
    <t>মোঃ বছের আলী</t>
  </si>
  <si>
    <t>২৫/১২/১৯৭৭</t>
  </si>
  <si>
    <t>ইছারদ্দি</t>
  </si>
  <si>
    <t>আদরী</t>
  </si>
  <si>
    <t>২৪/১০/১৯৫২</t>
  </si>
  <si>
    <t>১২/০৬/১৯৬৭</t>
  </si>
  <si>
    <t>মোঃ ইমরান হোসেন</t>
  </si>
  <si>
    <t>মোঃ কালাম হোসেন</t>
  </si>
  <si>
    <t>মোছাঃ ছালেহা খাতুন</t>
  </si>
  <si>
    <t>০২/০৫/১৯৭৪</t>
  </si>
  <si>
    <t>১০/০৮/১৯৮১</t>
  </si>
  <si>
    <t>মোঃ আলাউল হক</t>
  </si>
  <si>
    <t>২৪/০৪/১৯৬২</t>
  </si>
  <si>
    <t>মধু কবিরাজ</t>
  </si>
  <si>
    <t>খইজান</t>
  </si>
  <si>
    <t>১১/০৮/১৯৪৯</t>
  </si>
  <si>
    <t>মোছাঃ খাদেজা বেগম</t>
  </si>
  <si>
    <t>১৩/০৬/১৯৮০</t>
  </si>
  <si>
    <t>দিরাজ উদ্দিন শেখ</t>
  </si>
  <si>
    <t>মোছাঃ শাহান বানু</t>
  </si>
  <si>
    <t>১৮/০১/১৯৮৭</t>
  </si>
  <si>
    <t>২০/০৪/১৯৭২</t>
  </si>
  <si>
    <t>০৮/০৫/১৯৭২</t>
  </si>
  <si>
    <t>মোছাঃ হামেদা</t>
  </si>
  <si>
    <t>২৫/১০/১৯৭৭</t>
  </si>
  <si>
    <t>মোঃ কুদ্দুস আলী</t>
  </si>
  <si>
    <t>মোছাঃ মনোয়ারা</t>
  </si>
  <si>
    <t>মোঃ বদর উদ্দিন</t>
  </si>
  <si>
    <t>১৮/০৪/১৯৮২</t>
  </si>
  <si>
    <t>মোঃ হারেজ</t>
  </si>
  <si>
    <t>মোছাঃ মুর্শিদা</t>
  </si>
  <si>
    <t>মোঃ আখেরুজ্জামান</t>
  </si>
  <si>
    <t>মোঃ আঃ ছামাদ</t>
  </si>
  <si>
    <t>মোছাঃ হাজেরা বেগম</t>
  </si>
  <si>
    <t>মুলুক চাঁদ</t>
  </si>
  <si>
    <t>খেপি খাতুন</t>
  </si>
  <si>
    <t>১২/০৫/১৯৮৭</t>
  </si>
  <si>
    <t>মোঃ বেল্টু মিয়া</t>
  </si>
  <si>
    <t>০৬/০৪/১৯৮০</t>
  </si>
  <si>
    <t>মোঃ রাহিদুল ইসলাম</t>
  </si>
  <si>
    <t>ছামছুদ্দীন</t>
  </si>
  <si>
    <t>রাবিয়া খাতুন</t>
  </si>
  <si>
    <t>০১/০৪/১৯৭৫</t>
  </si>
  <si>
    <t>মোঃ ছামাদুল ইসলাম</t>
  </si>
  <si>
    <t>১৬/০৬/১৯৭৮</t>
  </si>
  <si>
    <t>মোঃ আঃ রহিম</t>
  </si>
  <si>
    <t>আব্দুল করিম</t>
  </si>
  <si>
    <t>পার্বতী খাতুন</t>
  </si>
  <si>
    <t>০৫/১০/১৯৭২</t>
  </si>
  <si>
    <t>সলেমান বিঃ</t>
  </si>
  <si>
    <t>মোছাঃ লতিফন বিবি</t>
  </si>
  <si>
    <t>মোঃ শাহেদ আলী</t>
  </si>
  <si>
    <t>সলেমান বিশ্বাস</t>
  </si>
  <si>
    <t>১৩/১২/১৯৬৫</t>
  </si>
  <si>
    <t>মোঃ আবুর আলী</t>
  </si>
  <si>
    <t>১০/০২/১৯৬৮</t>
  </si>
  <si>
    <t>নকিমুদ্দিন মন্ডল</t>
  </si>
  <si>
    <t>০৩/০৫/১৯৬৫</t>
  </si>
  <si>
    <t>কাদের বকস</t>
  </si>
  <si>
    <t>মোছাঃ নকিমন</t>
  </si>
  <si>
    <t>০৬/০৪/১৯৭৩</t>
  </si>
  <si>
    <t>মোঃ রাশিদুল হক</t>
  </si>
  <si>
    <t>১০/০৬/১৯৮৯</t>
  </si>
  <si>
    <t>আইনউদ্দীন</t>
  </si>
  <si>
    <t>রিকাতন নেছা</t>
  </si>
  <si>
    <t>০৬/১০/১৯৫৭</t>
  </si>
  <si>
    <t>মোঃ কামাল উদ্দিন</t>
  </si>
  <si>
    <t>হানিফ মিয়া</t>
  </si>
  <si>
    <t>মোছাঃ নূরজাহান</t>
  </si>
  <si>
    <t>০২/১০/১৯৮৭</t>
  </si>
  <si>
    <t>মোঃ রিহান আলী</t>
  </si>
  <si>
    <t>মোঃ আঃ রউফ</t>
  </si>
  <si>
    <t>০৩/০৫/১৯৭৯</t>
  </si>
  <si>
    <t>মোঃ জাহাঙ্গীর আলি</t>
  </si>
  <si>
    <t>হায়দার আলি</t>
  </si>
  <si>
    <t>মোঃ ইব্রাহিম হোসেন</t>
  </si>
  <si>
    <t>মোঃ কাওছার আলি</t>
  </si>
  <si>
    <t>০৫/০৬/১৯৮৮</t>
  </si>
  <si>
    <t>মোঃ আঃ লতিফ</t>
  </si>
  <si>
    <t>জুলমাত আলি</t>
  </si>
  <si>
    <t>দৌরবজান</t>
  </si>
  <si>
    <t>০৩/০৪/১৯৭০</t>
  </si>
  <si>
    <t>দৌরব খাতুন</t>
  </si>
  <si>
    <t>০৬/১২/১৯৭১</t>
  </si>
  <si>
    <t>মোঃ লিটন আলি</t>
  </si>
  <si>
    <t>ওয়াজেদ আলি</t>
  </si>
  <si>
    <t>মোছাঃ শেইমন নেছা</t>
  </si>
  <si>
    <t>০৭/১০/১৯৮১</t>
  </si>
  <si>
    <t>মোঃ আহাদ আলি</t>
  </si>
  <si>
    <t>দৌরব জান</t>
  </si>
  <si>
    <t>১৭/০৮/১৯৬৫</t>
  </si>
  <si>
    <t>মুনতাজ আলি</t>
  </si>
  <si>
    <t>আহাতন নেছা</t>
  </si>
  <si>
    <t>১০/০৬/১৯৮২</t>
  </si>
  <si>
    <t>০৬/১২/১৯৭৭</t>
  </si>
  <si>
    <t>মোঃ বুলবুল বাদশা</t>
  </si>
  <si>
    <t>মোঃ দাউদ হোসেন</t>
  </si>
  <si>
    <t>মোছাঃ শাহেদা খাতুন</t>
  </si>
  <si>
    <t>০৬/১০/১৯৮৪</t>
  </si>
  <si>
    <t>মোঃ বাবুর আলি</t>
  </si>
  <si>
    <t>গরীবুল্লা</t>
  </si>
  <si>
    <t>আদরি খাতুন</t>
  </si>
  <si>
    <t>৩০/০৮/১৯৪৫</t>
  </si>
  <si>
    <t>মোঃ রিয়াজুল আলি</t>
  </si>
  <si>
    <t>মোঃ রমজান আলি</t>
  </si>
  <si>
    <t>মোছাঃ ছুরাতন</t>
  </si>
  <si>
    <t>০৬/১১/১৯৭৭</t>
  </si>
  <si>
    <t>মোঃ রমজান মন্ডল</t>
  </si>
  <si>
    <t>২০/০৮/১৯৮৫</t>
  </si>
  <si>
    <t>মোঃ শাহিন উদ্দীন</t>
  </si>
  <si>
    <t>১৭/১১/১৯৮৯</t>
  </si>
  <si>
    <t>মোঃ লালু মন্ডল</t>
  </si>
  <si>
    <t>বানুয়ারা খাতুন</t>
  </si>
  <si>
    <t>০৬/১০/১৯৬৬</t>
  </si>
  <si>
    <t>মোঃ রূপচাঁদ মন্ডল</t>
  </si>
  <si>
    <t>মোঃ খেদের আলী</t>
  </si>
  <si>
    <t>১৩/১২/১৯৭০</t>
  </si>
  <si>
    <t>মোছাঃ সকিনা খাতুন</t>
  </si>
  <si>
    <t>১৬/১০/১৯৮৫</t>
  </si>
  <si>
    <t>১৬/০৪/১৯৮৯</t>
  </si>
  <si>
    <t>রহমত মন্ডল</t>
  </si>
  <si>
    <t>১৮/০২/১৯৬২</t>
  </si>
  <si>
    <t>মোছাঃ আহারন নেছা</t>
  </si>
  <si>
    <t>২০/১২/১৯৮০</t>
  </si>
  <si>
    <t>ইছাছতুল্লা মন্ডল</t>
  </si>
  <si>
    <t>১৩/১২/১৯৫৮</t>
  </si>
  <si>
    <t>মোঃ আলম হোসেন</t>
  </si>
  <si>
    <t>মোছাঃ মাছুরা খাতুন</t>
  </si>
  <si>
    <t>১৩/১১/১৯৮৩</t>
  </si>
  <si>
    <t>মোঃ রফিজ উদ্দীন</t>
  </si>
  <si>
    <t>পাঞ্জাব আলি</t>
  </si>
  <si>
    <t>০২/০৩/১৯৫২</t>
  </si>
  <si>
    <t>মোঃ রকিব উজ্জামান</t>
  </si>
  <si>
    <t>২১/০৫/১৯৮৫</t>
  </si>
  <si>
    <t>মোঃ শফিকুজ্জামান</t>
  </si>
  <si>
    <t>১৯/০৫/১৯৮৫</t>
  </si>
  <si>
    <t>মোঃ আবেদুল হক</t>
  </si>
  <si>
    <t>পাঞ্জাব আলী</t>
  </si>
  <si>
    <t>মোছাঃ শাহিনা আক্তার চিন্তা</t>
  </si>
  <si>
    <t>১২/১০/১৯৮৩</t>
  </si>
  <si>
    <t>০১/০৩/১৯৮৫</t>
  </si>
  <si>
    <t>তৌহিদুল ইসলাম</t>
  </si>
  <si>
    <t>০৫/০৫/১৯৮৭</t>
  </si>
  <si>
    <t>মোঃ আক্তারুজ্জামান</t>
  </si>
  <si>
    <t>২৭/১২/১৯৬৭</t>
  </si>
  <si>
    <t>মোঃ আব্দুল ওয়াদুদ</t>
  </si>
  <si>
    <t>১২/১০/১৯৭২</t>
  </si>
  <si>
    <t>মোঃ মজিদ আলি</t>
  </si>
  <si>
    <t>মোহাঃ রফছুদ্দীন</t>
  </si>
  <si>
    <t>মোছাঃ চাদীরন</t>
  </si>
  <si>
    <t>০৬/১১/১৯৪৮</t>
  </si>
  <si>
    <t>মোহাঃ হামিদুল হক</t>
  </si>
  <si>
    <t>মোহাঃ হাবিবুর রহমান</t>
  </si>
  <si>
    <t>মোছাঃ রাশিয়া খাতুন</t>
  </si>
  <si>
    <t>১০/০৬/১৯৮৩</t>
  </si>
  <si>
    <t>মোহাঃ নূর ইসলাম</t>
  </si>
  <si>
    <t>আঃ কাশেম</t>
  </si>
  <si>
    <t>মোছাঃ আছিরন</t>
  </si>
  <si>
    <t>২৫/১০/১৯৭৫</t>
  </si>
  <si>
    <t>মোহাঃ আবুল বাসার</t>
  </si>
  <si>
    <t>মোছাঃ শাহরবানু খাতুন</t>
  </si>
  <si>
    <t>২০/১০/১৯৮৩</t>
  </si>
  <si>
    <t>মোহাঃ জিয়ারুল ইসলাম</t>
  </si>
  <si>
    <t>আবুল কাশেম</t>
  </si>
  <si>
    <t>মোছাঃ আছিরন খাতুন</t>
  </si>
  <si>
    <t>০৬/১০/১৯৭৯</t>
  </si>
  <si>
    <t>মোহাঃ খোয়াজ আলী</t>
  </si>
  <si>
    <t>আব্দুল কাশেম আলী</t>
  </si>
  <si>
    <t>১৮/০৫/১৯৬৭</t>
  </si>
  <si>
    <t>মোঃ আঃ বারীক</t>
  </si>
  <si>
    <t>রহুল পিয়াদা</t>
  </si>
  <si>
    <t>মোছাঃ মেহেরো খাতুন</t>
  </si>
  <si>
    <t>১০/১১/১৯৬৭</t>
  </si>
  <si>
    <t>মোঃ মিছা মন্ডল</t>
  </si>
  <si>
    <t>মোঃ ভাদু মন্ডল</t>
  </si>
  <si>
    <t>মোছাঃ আকুল খাতুন</t>
  </si>
  <si>
    <t>০২/০৭/১৯৮২</t>
  </si>
  <si>
    <t>মোহাঃ আরশেদ আলী</t>
  </si>
  <si>
    <t>মোছাঃ তুরাতন খাতুন</t>
  </si>
  <si>
    <t>০৬/০৩/১৯৭৯</t>
  </si>
  <si>
    <t>মোঃ মজির আলী</t>
  </si>
  <si>
    <t>কাজীবুদ্দীন</t>
  </si>
  <si>
    <t>হারেজান</t>
  </si>
  <si>
    <t>১২/১১/১৯৬৩</t>
  </si>
  <si>
    <t>মোহাঃ শিপন আলী</t>
  </si>
  <si>
    <t>মোহাঃ আওলাদ হোসেন</t>
  </si>
  <si>
    <t>মোছাঃ ইলাফন খাতুন</t>
  </si>
  <si>
    <t>০৬/১২/১৯৮০</t>
  </si>
  <si>
    <t>মোঃ আব্দুল হামিদ</t>
  </si>
  <si>
    <t>মওলা বকস মন্ডল</t>
  </si>
  <si>
    <t>মহিমন নেছা</t>
  </si>
  <si>
    <t>০৭/০৪/১৯৪৯</t>
  </si>
  <si>
    <t>মোঃ আলামিন হোসেন</t>
  </si>
  <si>
    <t>মোঃ আঃ হামিদ</t>
  </si>
  <si>
    <t>মোছাঃ আছেনা খাতুন</t>
  </si>
  <si>
    <t>১৮/০৭/১৯৮৫</t>
  </si>
  <si>
    <t>মোঃ সামসুদ্দীন মন্ডল</t>
  </si>
  <si>
    <t>অজিত সেক</t>
  </si>
  <si>
    <t>১০/১২/১৯৫৫</t>
  </si>
  <si>
    <t>মোহাঃ লুকমান হোসেন</t>
  </si>
  <si>
    <t>মোহাঃ সামসুদ্দীন হোসেন</t>
  </si>
  <si>
    <t>মোছাঃ ছোকিয়া বেগম</t>
  </si>
  <si>
    <t>মোহাঃ শামজাদ আলী</t>
  </si>
  <si>
    <t>মোহাঃ খেদের আলী</t>
  </si>
  <si>
    <t>০৪/০৬/১৯৭৭</t>
  </si>
  <si>
    <t>মোঃ মোহন আলী</t>
  </si>
  <si>
    <t>ইসমাইল হোসেন</t>
  </si>
  <si>
    <t>মোছাঃ খাইরন নেছা</t>
  </si>
  <si>
    <t>২৬/১০/১৯৭১</t>
  </si>
  <si>
    <t>মোঃ জিরাফত আলী</t>
  </si>
  <si>
    <t>ভরস মন্ডল</t>
  </si>
  <si>
    <t>আহাতন খাতুন</t>
  </si>
  <si>
    <t>২১/১০/১৯৬২</t>
  </si>
  <si>
    <t>মোঃ জারাফত আলী</t>
  </si>
  <si>
    <t>মোছাঃ জালেহার খাতুন</t>
  </si>
  <si>
    <t>০২/০৬/১৯৮৫</t>
  </si>
  <si>
    <t>আজিজ সেক</t>
  </si>
  <si>
    <t>০৬/১২/১৯৬৭</t>
  </si>
  <si>
    <t>মোঃ ছুবান আলী</t>
  </si>
  <si>
    <t>মোছাঃ রমেছা খাতুন</t>
  </si>
  <si>
    <t>২৩/১১/১৯৮৯</t>
  </si>
  <si>
    <t>মোঃ ইমান মন্ডল</t>
  </si>
  <si>
    <t>মোছাঃ ছাবিয়া খাতুন</t>
  </si>
  <si>
    <t>২৭/১২/১৯৮৭</t>
  </si>
  <si>
    <t>১৬/১১/১৯৭২</t>
  </si>
  <si>
    <t>০৪/০৬/১৯৮৯</t>
  </si>
  <si>
    <t>১১/০৬/১৯৭৭</t>
  </si>
  <si>
    <t>মোঃ আফতাব আলী</t>
  </si>
  <si>
    <t>ইছাছতুল্লাহ মন্ডল</t>
  </si>
  <si>
    <t>মোছাঃ ছায়েরা খাতুন</t>
  </si>
  <si>
    <t>০৭/১২/১৯৬৯</t>
  </si>
  <si>
    <t>মোঃ বদর আলী</t>
  </si>
  <si>
    <t>১২/১০/১৯৭৭</t>
  </si>
  <si>
    <t>আঃ গফুর</t>
  </si>
  <si>
    <t>মোছাঃ খেসজান খাতুন</t>
  </si>
  <si>
    <t>০৪/১০/১৯৪২</t>
  </si>
  <si>
    <t>মোঃ সফিকুল ইসলাম</t>
  </si>
  <si>
    <t>মোছাঃ আফরোজা খাতুন</t>
  </si>
  <si>
    <t>০২/০৬/১৯৭৯</t>
  </si>
  <si>
    <t>০৫/১১/১৯৮৩</t>
  </si>
  <si>
    <t>মোছাঃ খোসজান</t>
  </si>
  <si>
    <t>২০/০৯/১৯৫০</t>
  </si>
  <si>
    <t>"গাড়াডোব</t>
  </si>
  <si>
    <t xml:space="preserve"> গাংনী</t>
  </si>
  <si>
    <t xml:space="preserve"> মেহেরপুর"</t>
  </si>
  <si>
    <t>মোঃ আঃ সামাদ</t>
  </si>
  <si>
    <t>মোছাঃ মানুয়ারা খাতুন</t>
  </si>
  <si>
    <t>০১/০৭/১৯৮০</t>
  </si>
  <si>
    <t>মোছাঃ খোসজান নেছা</t>
  </si>
  <si>
    <t>১৩/১২/১৯৬০</t>
  </si>
  <si>
    <t>মোঃ ওয়ারেছ আলী</t>
  </si>
  <si>
    <t>মোঃ নবীর আলী</t>
  </si>
  <si>
    <t>গরীব আলী</t>
  </si>
  <si>
    <t>মোছাঃ খুকি নেছা</t>
  </si>
  <si>
    <t>১২/১০/১৯৬৫</t>
  </si>
  <si>
    <t>মোঃ সামসুল ইসলাম</t>
  </si>
  <si>
    <t>ছাবের আলী</t>
  </si>
  <si>
    <t>মোছাঃ আজিমণ নেছা</t>
  </si>
  <si>
    <t>০৫/১১/১৯৬৭</t>
  </si>
  <si>
    <t>মোঃ আব্দুল মতিন</t>
  </si>
  <si>
    <t>ইব্রাহিম মোল্লা</t>
  </si>
  <si>
    <t>মোছাঃ গেদু নেছা</t>
  </si>
  <si>
    <t>২১/১০/১৯৬৪</t>
  </si>
  <si>
    <t>জুলমাত মন্ডল</t>
  </si>
  <si>
    <t>মোছাঃ পেয়রা নেছা</t>
  </si>
  <si>
    <t>১২/১০/১৯৪৮</t>
  </si>
  <si>
    <t>০৪/০৬/১৯৮৮</t>
  </si>
  <si>
    <t>মোঃ আঃ হান্নান</t>
  </si>
  <si>
    <t>আতর আলী</t>
  </si>
  <si>
    <t>২৪/০৮/১৯৮৮</t>
  </si>
  <si>
    <t>নুরউদ্দীন মোঃ আশরাফ আলী</t>
  </si>
  <si>
    <t>৩০/১১/১৯৭৭</t>
  </si>
  <si>
    <t>মোঃ আঃ কুদ্দুস</t>
  </si>
  <si>
    <t>আব্দুল আলীমুদ্দীন</t>
  </si>
  <si>
    <t>১৯/০৯/১৯৫৭</t>
  </si>
  <si>
    <t>মোছাঃ ফনিরুল ইসলাম</t>
  </si>
  <si>
    <t>১৭/০৬/১৯৭২</t>
  </si>
  <si>
    <t>মোঃ ময়নুদ্দীন আহমেদ</t>
  </si>
  <si>
    <t>মোছাঃ মনোয়ারা খাতুন</t>
  </si>
  <si>
    <t>২৫/০১/১৯৮৮</t>
  </si>
  <si>
    <t>মোছাঃ মলেজান</t>
  </si>
  <si>
    <t>২২/১২/১৯৫৯</t>
  </si>
  <si>
    <t>দিদার বকস</t>
  </si>
  <si>
    <t>মোছাঃ জুলেখা</t>
  </si>
  <si>
    <t>২১/১১/১৯৭১</t>
  </si>
  <si>
    <t>আলীমুদ্দীন</t>
  </si>
  <si>
    <t>১২/১২/১৯৭০</t>
  </si>
  <si>
    <t>০৫/১১/১৯৭২</t>
  </si>
  <si>
    <t>মোঃ জালাল উদ্দীন</t>
  </si>
  <si>
    <t>আঃ জলিল</t>
  </si>
  <si>
    <t>মোছাঃ জহিরন</t>
  </si>
  <si>
    <t>১৫/০২/১৯৬৫</t>
  </si>
  <si>
    <t>০৭/০৩/১৯৬৫</t>
  </si>
  <si>
    <t>কান্ডারী শেখ</t>
  </si>
  <si>
    <t>মোছাঃ ফলেজান</t>
  </si>
  <si>
    <t>০৫/০৯/১৯৫৯</t>
  </si>
  <si>
    <t>মোঃ আখের আলী</t>
  </si>
  <si>
    <t>মোছাঃ জফিরন</t>
  </si>
  <si>
    <t>মোহাঃ আব্দুল জব্বার</t>
  </si>
  <si>
    <t>০৯/০৭/১৯৭২</t>
  </si>
  <si>
    <t>মোহাঃ তফিজুর রহমান</t>
  </si>
  <si>
    <t>১০/১১/১৯৮১</t>
  </si>
  <si>
    <t>মোহাঃ মোস্তাফিজুর রহমান</t>
  </si>
  <si>
    <t>মোছাঃ মমতাজ বেগম</t>
  </si>
  <si>
    <t>২৬/০৪/১৯৮৬</t>
  </si>
  <si>
    <t>মোছাঃ জহিরন খাতুন</t>
  </si>
  <si>
    <t>০৩/০১/১৯৬৭</t>
  </si>
  <si>
    <t>মোঃ আরজ আলী</t>
  </si>
  <si>
    <t>১৩/০৭/১৯৭৭</t>
  </si>
  <si>
    <t>জয়নাল শেখ</t>
  </si>
  <si>
    <t>মোছাঃ রফেজা</t>
  </si>
  <si>
    <t>০১/০৩/১৯৬২</t>
  </si>
  <si>
    <t>মোছাঃ নার্গিস</t>
  </si>
  <si>
    <t>২৮/১২/১৯৮৭</t>
  </si>
  <si>
    <t>মোঃ সাজিদুল ইসলাম</t>
  </si>
  <si>
    <t>মোঃ ইমাজুদ্দীন শেখ</t>
  </si>
  <si>
    <t>০৮/১২/১৯৭৫</t>
  </si>
  <si>
    <t>১২/০৯/১৯৭৭</t>
  </si>
  <si>
    <t>মোঃ রবগুল হোসেন</t>
  </si>
  <si>
    <t>মোছাঃ খাতুন</t>
  </si>
  <si>
    <t>১৩/১২/১৯৬২</t>
  </si>
  <si>
    <t>২২/১১/১৯৫২</t>
  </si>
  <si>
    <t>২১/০৭/১৯৮৯</t>
  </si>
  <si>
    <t>মোঃ মাসুদ রানা</t>
  </si>
  <si>
    <t>মোছাঃ মাসুরা খাতুন</t>
  </si>
  <si>
    <t>২০/১১/১৯৮৮</t>
  </si>
  <si>
    <t>মোঃ নজিমুদ্দীন</t>
  </si>
  <si>
    <t>০৫/০৩/১৯৫৭</t>
  </si>
  <si>
    <t>মোহাঃ ছানোয়ার আলী</t>
  </si>
  <si>
    <t>মোঃ সোনাতন</t>
  </si>
  <si>
    <t>মোছাঃ জঙ্গলী খাতুন</t>
  </si>
  <si>
    <t>০৩/০২/১৯৬২</t>
  </si>
  <si>
    <t>মোঃ মোফাজ্জেল হক</t>
  </si>
  <si>
    <t>মোঃ মোবারক হোসেন</t>
  </si>
  <si>
    <t>০১/০৯/১৯৮২</t>
  </si>
  <si>
    <t>মোঃ আক্তারুল ইসলাম</t>
  </si>
  <si>
    <t>মোছাঃ জামিরন</t>
  </si>
  <si>
    <t>২২/১২/১৯৬৯</t>
  </si>
  <si>
    <t>খবির</t>
  </si>
  <si>
    <t>০১/০২/১৯৮৮</t>
  </si>
  <si>
    <t>মোঃ রফিকুল</t>
  </si>
  <si>
    <t>হায়াত আলী</t>
  </si>
  <si>
    <t>মোছাঃ ছাহারন নেছা</t>
  </si>
  <si>
    <t>০৫/০৪/১৯৬৯</t>
  </si>
  <si>
    <t>মোঃ কাবা</t>
  </si>
  <si>
    <t>মোছাঃ আমিরন নেছা</t>
  </si>
  <si>
    <t>০৫/০৭/১৯৮৪</t>
  </si>
  <si>
    <t>মোঃ আহাদ</t>
  </si>
  <si>
    <t>সামসুদ্দীন</t>
  </si>
  <si>
    <t>মোছাঃ খুকিজান</t>
  </si>
  <si>
    <t>২৮/০৫/১৯৬২</t>
  </si>
  <si>
    <t>মোঃ আজিমুদ্দীন</t>
  </si>
  <si>
    <t>মোছাঃ সালেহার বেগম</t>
  </si>
  <si>
    <t>১২/১২/১৯৮৩</t>
  </si>
  <si>
    <t>মোঃ বকুল হোসেন</t>
  </si>
  <si>
    <t>ফজলু</t>
  </si>
  <si>
    <t>২৩/১০/১৯৮৫</t>
  </si>
  <si>
    <t>মোঃ জমির উদ্দীন</t>
  </si>
  <si>
    <t>১৩/১১/১৯৮৫</t>
  </si>
  <si>
    <t>২৭/০৩/১৯৫৭</t>
  </si>
  <si>
    <t>রহিম বকস</t>
  </si>
  <si>
    <t>০৪/০৪/১৯৬২</t>
  </si>
  <si>
    <t>মোঃ জশের আলী (নাহিদ)</t>
  </si>
  <si>
    <t>মোছাঃ সায়েস্তা খাতুন</t>
  </si>
  <si>
    <t>২৪/০৩/১৯৪৭</t>
  </si>
  <si>
    <t>ইমাম/পুরোহিত/পাদ্রী</t>
  </si>
  <si>
    <t>১৪/১১/১৯৭৭</t>
  </si>
  <si>
    <t>মোঃ শহিবুল ইসলাম</t>
  </si>
  <si>
    <t>মোছাঃ মাবিয়া</t>
  </si>
  <si>
    <t>০৫/০৮/১৯৮৪</t>
  </si>
  <si>
    <t>মোছাঃ রইজন খাতুন</t>
  </si>
  <si>
    <t>১২/১১/১৯৮০</t>
  </si>
  <si>
    <t>২৮/০৭/১৯৮৪</t>
  </si>
  <si>
    <t>মোঃ তমরোজ খাঁ</t>
  </si>
  <si>
    <t>মোঃ সবুর খাঁ</t>
  </si>
  <si>
    <t>২৫/১০/১৯৬২</t>
  </si>
  <si>
    <t>মোছাঃ জহিরন নেছা</t>
  </si>
  <si>
    <t>২১/০২/১৯৬৩</t>
  </si>
  <si>
    <t>মোঃ আলাল উদ্দীন</t>
  </si>
  <si>
    <t>নুর ইসলাম</t>
  </si>
  <si>
    <t>মোছাঃ নছিয়া</t>
  </si>
  <si>
    <t>০৫/০৮/১৯৭০</t>
  </si>
  <si>
    <t>রিক্সা/ভ্যান চালক</t>
  </si>
  <si>
    <t>মোঃ শহীদুল ইসলাম</t>
  </si>
  <si>
    <t>মোছাঃ জুলেখা বিবি</t>
  </si>
  <si>
    <t>০২/০৪/১৯৫২</t>
  </si>
  <si>
    <t>মোছাঃ সাহারন বেগম</t>
  </si>
  <si>
    <t>০৫/০৮/১৯৬৩</t>
  </si>
  <si>
    <t>মোছাঃ আয়েশা বেগম</t>
  </si>
  <si>
    <t>০৩/০৪/১৯৮২</t>
  </si>
  <si>
    <t>মোঃ শওকত আলী</t>
  </si>
  <si>
    <t>১১/০৮/১৯৭২</t>
  </si>
  <si>
    <t>২০/০৮/১৯৮৪</t>
  </si>
  <si>
    <t>২৮/১২/১৯৮৫</t>
  </si>
  <si>
    <t>মোঃ মজিদুল ইসলাম</t>
  </si>
  <si>
    <t>মোঃ মোবারক আলী</t>
  </si>
  <si>
    <t>২৯/১১/১৯৭০</t>
  </si>
  <si>
    <t>মোঃ আবিদুল হক</t>
  </si>
  <si>
    <t>জসিমউদ্দিন সেখ</t>
  </si>
  <si>
    <t>মোছাঃ শারভানু</t>
  </si>
  <si>
    <t>০৩/০৮/১৯৭৭</t>
  </si>
  <si>
    <t>মোহাঃ হাসানুজ্জামান</t>
  </si>
  <si>
    <t>মোহাঃ আলী হোসেন</t>
  </si>
  <si>
    <t>০৭/০৪/১৯৮৬</t>
  </si>
  <si>
    <t>মোঃ জসিম</t>
  </si>
  <si>
    <t>মাতা: রহিমা</t>
  </si>
  <si>
    <t>০৫/০৮/১৯৭৯</t>
  </si>
  <si>
    <t>মোঃ সহিদুল</t>
  </si>
  <si>
    <t>হাদেক আলী</t>
  </si>
  <si>
    <t>মোছাঃ পনকা বিবি</t>
  </si>
  <si>
    <t>১৪/১১/১৯৫৯</t>
  </si>
  <si>
    <t>০৮/০৪/১৯৭৭</t>
  </si>
  <si>
    <t>আলীজান মালিথা</t>
  </si>
  <si>
    <t>০৫/০৮/১৯৫৭</t>
  </si>
  <si>
    <t>২৫/০৫/১৯৫২</t>
  </si>
  <si>
    <t>মোঃ সুন্নত আলী</t>
  </si>
  <si>
    <t>আলীজান</t>
  </si>
  <si>
    <t>০৭/০৮/১৯৪২</t>
  </si>
  <si>
    <t>মোছাঃ মুনজিরা খাতুন</t>
  </si>
  <si>
    <t>০২/০৯/১৯৭৫</t>
  </si>
  <si>
    <t>মোঃ ছাদিমান</t>
  </si>
  <si>
    <t>মোছাঃ সুনজিরা খাতুন</t>
  </si>
  <si>
    <t>০৫/০২/১৯৮১</t>
  </si>
  <si>
    <t>১২/০৭/১৯৮৫</t>
  </si>
  <si>
    <t>মোঃ খলিলুর রহমান</t>
  </si>
  <si>
    <t>মোছাঃ আজিমন খাতুন</t>
  </si>
  <si>
    <t>০৭/০৮/১৯৬২</t>
  </si>
  <si>
    <t>মোঃ কুবাদ আলী</t>
  </si>
  <si>
    <t>মোঃ নবীছদ্দীণ</t>
  </si>
  <si>
    <t>লুৎফর শেখ</t>
  </si>
  <si>
    <t>মোছাঃ মলেজান বেগম</t>
  </si>
  <si>
    <t>০৮/১২/১৯৫৭</t>
  </si>
  <si>
    <t>মোঃ জমির আলী</t>
  </si>
  <si>
    <t>২৪/১১/১৯৮১</t>
  </si>
  <si>
    <t>মোহাঃ আব্দুর রশিদ</t>
  </si>
  <si>
    <t>মোছাঃ আতেজান নেছা</t>
  </si>
  <si>
    <t>২৫/১১/১৯৬৫</t>
  </si>
  <si>
    <t>মোঃ বাবলু</t>
  </si>
  <si>
    <t>মাতা: জেলেখা</t>
  </si>
  <si>
    <t>০৫/০৫/১৯৬৭</t>
  </si>
  <si>
    <t>মোঃ নিহাজদ্দীন</t>
  </si>
  <si>
    <t>হাফিজুদ্দীন</t>
  </si>
  <si>
    <t>১৮/১২/১৯৬৩</t>
  </si>
  <si>
    <t>মোহাঃ আবুল হাশেম</t>
  </si>
  <si>
    <t>মোহাঃ ফজের আলী খান</t>
  </si>
  <si>
    <t>মোহাঃ রহিমা খাতুন</t>
  </si>
  <si>
    <t>মোঃ ফজের আলী খান</t>
  </si>
  <si>
    <t>০৩/০২/১৯৬৯</t>
  </si>
  <si>
    <t>১৭/০৩/১৯৫৯</t>
  </si>
  <si>
    <t>মোছাঃ শাহরন</t>
  </si>
  <si>
    <t>০৩/১০/১৯৫৯</t>
  </si>
  <si>
    <t>মোহাঃ ছামাদুল হক</t>
  </si>
  <si>
    <t>শেখ মোহাঃ মুছা</t>
  </si>
  <si>
    <t>মোছাঃ ছামেদা খাতুন</t>
  </si>
  <si>
    <t>মোঃ সাইদুল হক</t>
  </si>
  <si>
    <t>শেখ মোঃ মুছা</t>
  </si>
  <si>
    <t>১৩/০১/১৯৭৬</t>
  </si>
  <si>
    <t>মোঃ হামিদুল হক</t>
  </si>
  <si>
    <t>১৫/০৯/১৯৭০</t>
  </si>
  <si>
    <t>০৬/০৯/১৯৮২</t>
  </si>
  <si>
    <t>মুহাঃ আনোয়ার হোসেন খান</t>
  </si>
  <si>
    <t>মুহাঃ ইয়াদ আলী খান</t>
  </si>
  <si>
    <t>২৮/০২/১৯৬০</t>
  </si>
  <si>
    <t>মোঃ মাজেদুল হক</t>
  </si>
  <si>
    <t>মোছাঃ মজিরন নেছা</t>
  </si>
  <si>
    <t>২৫/১০/১৯৮৬</t>
  </si>
  <si>
    <t>মোছাঃ সাফিয়া খাতুন</t>
  </si>
  <si>
    <t>১৫/০৫/১৯৮৭</t>
  </si>
  <si>
    <t>মোঃ জনাপ আলী</t>
  </si>
  <si>
    <t>মোঃ রোবকুল ইসলাম</t>
  </si>
  <si>
    <t>১৬/০৬/১৯৮২</t>
  </si>
  <si>
    <t>মোঃ ফারুক হাসান</t>
  </si>
  <si>
    <t>২১/০২/১৯৮৭</t>
  </si>
  <si>
    <t>মোঃ বুলবুল আহমেদ</t>
  </si>
  <si>
    <t>মোঃ আমির হোসেন</t>
  </si>
  <si>
    <t>মোঃ আমিনুর ইসলাম</t>
  </si>
  <si>
    <t>মোছাঃ মোমেনা খাতুন</t>
  </si>
  <si>
    <t>১৫/০৬/১৯৮৩</t>
  </si>
  <si>
    <t>মোঃ মোতালেব হোসেন</t>
  </si>
  <si>
    <t>মোঃ ওয়াজ আলী মোল্লা</t>
  </si>
  <si>
    <t>২০/১০/১৯৭৫</t>
  </si>
  <si>
    <t>মোঃ কাশেম খাঁন</t>
  </si>
  <si>
    <t>মোঃ নাসির খাঁন</t>
  </si>
  <si>
    <t>মোছাঃ উম্মাতোন নেছা</t>
  </si>
  <si>
    <t>০৮/০৬/১৯৭৮</t>
  </si>
  <si>
    <t>মোহাঃ বজলুল হুদা</t>
  </si>
  <si>
    <t>বালাজান খাতুন</t>
  </si>
  <si>
    <t>মোছাঃ মুনজুরা খাতুন</t>
  </si>
  <si>
    <t>০৪/০৭/১৯৮৯</t>
  </si>
  <si>
    <t>মোঃ মকছেদ আলি</t>
  </si>
  <si>
    <t>মোছাঃ আজিরুল</t>
  </si>
  <si>
    <t>০৯/০৬/১৯৬০</t>
  </si>
  <si>
    <t>মোঃ জাকেরুল ইসলাম</t>
  </si>
  <si>
    <t>মোঃ ফজল মালিথা</t>
  </si>
  <si>
    <t>০৮/০৬/১৯৮৫</t>
  </si>
  <si>
    <t>মোছাঃ তোজবিরা খাতুন</t>
  </si>
  <si>
    <t>১৩/১০/১৯৮৮</t>
  </si>
  <si>
    <t>মোঃ নেজমত আলী</t>
  </si>
  <si>
    <t>২৫/০৫/১৯৮৮</t>
  </si>
  <si>
    <t>মোহাত্ব আব্দুল হান্নান</t>
  </si>
  <si>
    <t>মোঃ কলিম উদ্দীন</t>
  </si>
  <si>
    <t>মোঃ সমর আলী</t>
  </si>
  <si>
    <t>১৩/০৬/১৯৮৭</t>
  </si>
  <si>
    <t>মোঃ ছাইনাল হোসেন</t>
  </si>
  <si>
    <t>ভিকু শেখ</t>
  </si>
  <si>
    <t>মাতা: নেকজান</t>
  </si>
  <si>
    <t>১৫/০৪/১৯৬৭</t>
  </si>
  <si>
    <t>মোঃ মানারুল ইসলাম</t>
  </si>
  <si>
    <t>১৭/০৪/১৯৮১</t>
  </si>
  <si>
    <t>১০/০৮/১৯৮৬</t>
  </si>
  <si>
    <t>মোঃ মুসফার আলী</t>
  </si>
  <si>
    <t>০৯/০৮/১৯৭২</t>
  </si>
  <si>
    <t>মোছাঃ খাদেজান</t>
  </si>
  <si>
    <t>১১/০৫/১৯৬৯</t>
  </si>
  <si>
    <t>মোঃ হেদায়েত আলী</t>
  </si>
  <si>
    <t>শামসুদ্দীন</t>
  </si>
  <si>
    <t>১৫/০৫/১৯৬০</t>
  </si>
  <si>
    <t>মোহাঃ মনিরুল ইসলাম</t>
  </si>
  <si>
    <t>মোছাঃ খাদে জান</t>
  </si>
  <si>
    <t>১৩/১০/১৯৬৫</t>
  </si>
  <si>
    <t>মোঃ শামসুল ইসলাম</t>
  </si>
  <si>
    <t>১৮/০৪/১৯৫৮</t>
  </si>
  <si>
    <t>মোঃ আয়ুব নবী</t>
  </si>
  <si>
    <t>দীন মোহাম্মদ শেখ</t>
  </si>
  <si>
    <t>মাতা: কয়েদা খাতুন</t>
  </si>
  <si>
    <t>১৩/০৯/১৯৫৫</t>
  </si>
  <si>
    <t>মোঃ শাহাবুদ্দিন</t>
  </si>
  <si>
    <t>মোছাঃ সাবিরন নেছা</t>
  </si>
  <si>
    <t>১৪/০৮/১৯৮২</t>
  </si>
  <si>
    <t>মোঃ হামিজদ্দিন</t>
  </si>
  <si>
    <t>১৬/০৮/১৯৮৮</t>
  </si>
  <si>
    <t>মাতা: পরিসকার বেগম</t>
  </si>
  <si>
    <t>১৪/০৫/১৯৭১</t>
  </si>
  <si>
    <t>১৮/০৫/১৯৬২</t>
  </si>
  <si>
    <t>মোঃ সাহাবুদ্দীন</t>
  </si>
  <si>
    <t>মোঃ মহিরুল ইসলাম</t>
  </si>
  <si>
    <t>আলম শেখ</t>
  </si>
  <si>
    <t>মাতা: জমিরন নেছা</t>
  </si>
  <si>
    <t>কাঙ্গাল শেখ</t>
  </si>
  <si>
    <t>মোছাঃ ছুপুরা খাতুন</t>
  </si>
  <si>
    <t>মোঃ আব্বাস</t>
  </si>
  <si>
    <t>মোঃ রিয়াজতুল্লাহ</t>
  </si>
  <si>
    <t>১৮/১০/১৯৮৫</t>
  </si>
  <si>
    <t>মোঃ ছমিরুল ইসলাম</t>
  </si>
  <si>
    <t>মোছাঃ জমিনা খাতুন</t>
  </si>
  <si>
    <t>১৭/০৬/১৯৮৬</t>
  </si>
  <si>
    <t>মোঃ নকিমিদ্দিন</t>
  </si>
  <si>
    <t>আমীরুদ্দীন</t>
  </si>
  <si>
    <t>মোছাঃ ছকিনা বেগম</t>
  </si>
  <si>
    <t>১৩/০৭/১৯৬২</t>
  </si>
  <si>
    <t>মোঃ মিলন হক</t>
  </si>
  <si>
    <t>মোছাঃ ফুলজান বেগম</t>
  </si>
  <si>
    <t>২১/১০/১৯৮৫</t>
  </si>
  <si>
    <t>মোঃ বাছাদ আলী</t>
  </si>
  <si>
    <t>মোঃ ইক্তার আলী</t>
  </si>
  <si>
    <t>১৭/০৬/১৯৭৯</t>
  </si>
  <si>
    <t>মোঃ জমিরুল ইসলাম</t>
  </si>
  <si>
    <t>১৪/০৪/১৯৮২</t>
  </si>
  <si>
    <t>১৮/১০/১৯৬৭</t>
  </si>
  <si>
    <t>মোঃ তাহেরুদ্দীন</t>
  </si>
  <si>
    <t>১৩/১০/১৯৪২</t>
  </si>
  <si>
    <t>মোছাঃ সাহেরান বেগম</t>
  </si>
  <si>
    <t>২১/০৮/১৯৭৭</t>
  </si>
  <si>
    <t>মোঃ শরিফ উদ্দিন</t>
  </si>
  <si>
    <t>মোঃ জমিরুদ্দিন</t>
  </si>
  <si>
    <t>মোছাঃ ছাইরেজান বেগম</t>
  </si>
  <si>
    <t>১১/০৯/১৯৬৬</t>
  </si>
  <si>
    <t>১৩/০৮/১৯৮৫</t>
  </si>
  <si>
    <t>১৮/০৬/১৯৫৯</t>
  </si>
  <si>
    <t>রাখাল শেখ</t>
  </si>
  <si>
    <t>মাতা: হাওয়া খাতুন</t>
  </si>
  <si>
    <t>মুল্লক শেখ</t>
  </si>
  <si>
    <t>মাতা: জহুরা বেগম</t>
  </si>
  <si>
    <t>১৩/১০/১৯৭২</t>
  </si>
  <si>
    <t>মোঃ সেন্টু হোসেন</t>
  </si>
  <si>
    <t>মোঃ রেজাইল ইসলাম</t>
  </si>
  <si>
    <t>মোছাঃ নকিজান</t>
  </si>
  <si>
    <t>১৩/০৮/১৯৮৩</t>
  </si>
  <si>
    <t>১৩/০৯/১৯৮৭</t>
  </si>
  <si>
    <t>মাতা: ছানোয়ারা খাতুন</t>
  </si>
  <si>
    <t>১৫/০৭/১৯৮৮</t>
  </si>
  <si>
    <t>মোঃ মিলন</t>
  </si>
  <si>
    <t>মোঃ আব্দুল লতিফ</t>
  </si>
  <si>
    <t>মোছাঃ হালেজান</t>
  </si>
  <si>
    <t>১৬/০৭/১৯৮৩</t>
  </si>
  <si>
    <t>১৪/১০/১৯৭৭</t>
  </si>
  <si>
    <t>মোঃ হুমায়ুন কবীর</t>
  </si>
  <si>
    <t>০২/১২/১৯৮৭</t>
  </si>
  <si>
    <t>মোঃ মজির উদ্দীন</t>
  </si>
  <si>
    <t>রইছউদ্দীন</t>
  </si>
  <si>
    <t>মোছাঃ নাছিমা খাতুন</t>
  </si>
  <si>
    <t>১৬/০৭/১৯৬০</t>
  </si>
  <si>
    <t>সুলতান আলী</t>
  </si>
  <si>
    <t>১০/০৫/১৯৭৫</t>
  </si>
  <si>
    <t>মোঃ জামাত আলী</t>
  </si>
  <si>
    <t>মোছাঃ রিকাতন নেছা</t>
  </si>
  <si>
    <t>১৫/০৫/১৯৬৭</t>
  </si>
  <si>
    <t>মোঃ আককাচ আলী</t>
  </si>
  <si>
    <t>মোছাঃ জোলেখা খাতুন</t>
  </si>
  <si>
    <t>১৫/০৬/১৯৮৬</t>
  </si>
  <si>
    <t>আমোদ আলী</t>
  </si>
  <si>
    <t>মাতা: দৌলব বেওয়া</t>
  </si>
  <si>
    <t>১১/০৮/১৯৬৭</t>
  </si>
  <si>
    <t>মাতা: জৌলব বেওয়া নেছা</t>
  </si>
  <si>
    <t>১৭/০৭/১৯৫৭</t>
  </si>
  <si>
    <t>ফজু আলী</t>
  </si>
  <si>
    <t>মোছাঃ সোনাভানু</t>
  </si>
  <si>
    <t>১৬/০৯/১৯৮২</t>
  </si>
  <si>
    <t>আব্দুর ওহাব</t>
  </si>
  <si>
    <t>মাতা: বেগুজান নেছা</t>
  </si>
  <si>
    <t>১১/০৮/১৯৫৭</t>
  </si>
  <si>
    <t>মোঃ কামাল আহমেদ</t>
  </si>
  <si>
    <t>মোঃ চমৎকার আলী</t>
  </si>
  <si>
    <t>১০/১০/১৯৮৫</t>
  </si>
  <si>
    <t>কাঙ্গালী শেখ</t>
  </si>
  <si>
    <t>মাতা: ছপুরা বেগম</t>
  </si>
  <si>
    <t>১৩/১০/১৯৬২</t>
  </si>
  <si>
    <t>মোঃ আছেরুদ্দীন</t>
  </si>
  <si>
    <t>মোছাঃ ছফেলা বেগম</t>
  </si>
  <si>
    <t>১৫/০৮/১৯৬৭</t>
  </si>
  <si>
    <t>মোঃ আবু জাহিদ হিরো</t>
  </si>
  <si>
    <t>মফিজ উদ্দীন আহমেদ</t>
  </si>
  <si>
    <t>মাতা: জায়েদা খাতুন</t>
  </si>
  <si>
    <t>১৩/০৭/১৯৬৭</t>
  </si>
  <si>
    <t>মোঃ মতলেব হোসেন</t>
  </si>
  <si>
    <t>মোছাঃ সোহাগী বেগম</t>
  </si>
  <si>
    <t>১৭/০৮/১৯৮৬</t>
  </si>
  <si>
    <t>১৪/১০/১৯৬৭</t>
  </si>
  <si>
    <t>মোঃ মতলেব আলী</t>
  </si>
  <si>
    <t>ফজরুদ্দিন</t>
  </si>
  <si>
    <t>মোছাঃ মুকেলছা বানু</t>
  </si>
  <si>
    <t>১৪/০৭/১৯৫৭</t>
  </si>
  <si>
    <t>মোঃ মুলাম হোসেন</t>
  </si>
  <si>
    <t>মোছাঃ অমেলা বেগম</t>
  </si>
  <si>
    <t>১০/০৯/১৯৭৭</t>
  </si>
  <si>
    <t>মোঃ নেকবার হোসেন</t>
  </si>
  <si>
    <t>১১/০৮/১৯৬৯</t>
  </si>
  <si>
    <t>ছিপারুদ্দিন শেখ</t>
  </si>
  <si>
    <t>মাতা: রাফিজান</t>
  </si>
  <si>
    <t>১৭/০৯/১৯৫২</t>
  </si>
  <si>
    <t>কামাল হোসেন</t>
  </si>
  <si>
    <t>মাতা: খাতেজান</t>
  </si>
  <si>
    <t>১৪/০৮/১৯৬৭</t>
  </si>
  <si>
    <t>আবুল কালাম আজাদ</t>
  </si>
  <si>
    <t>১৪/০৯/১৯৮৮</t>
  </si>
  <si>
    <t>১১/০৬/১৯৮৭</t>
  </si>
  <si>
    <t>মোঃ আবুল বাশার</t>
  </si>
  <si>
    <t>আজাহার আলী</t>
  </si>
  <si>
    <t>মাতা: ফাতেমা বেগম</t>
  </si>
  <si>
    <t>২১/০৮/১৯৬২</t>
  </si>
  <si>
    <t>২১/০৪/১৯৭৯</t>
  </si>
  <si>
    <t>মোঃ জাকারুল ইসলাম</t>
  </si>
  <si>
    <t>মোঃ আছের উদ্দীন</t>
  </si>
  <si>
    <t>মোঃ আফজাল হোসেন</t>
  </si>
  <si>
    <t>হায়াত আলী জোয়ার্দার</t>
  </si>
  <si>
    <t>মোছাঃ জেলেহার</t>
  </si>
  <si>
    <t>১৬/০৫/১৯৭৮</t>
  </si>
  <si>
    <t>মাতা: রমেলা খাতুন</t>
  </si>
  <si>
    <t>০২/০২/১৯৪৮</t>
  </si>
  <si>
    <t>অবসরপ্রাপ্ত বেসরকারী চাকুরী</t>
  </si>
  <si>
    <t>মাতা: তাজ বানু</t>
  </si>
  <si>
    <t>১৭/০৯/১৯৭৭</t>
  </si>
  <si>
    <t>২০/০৫/১৯৭৮</t>
  </si>
  <si>
    <t>মোছাঃ ফাতেমা বেগম</t>
  </si>
  <si>
    <t>০১/০৩/১৯৬৮</t>
  </si>
  <si>
    <t>মোঃ আবু হানিফ</t>
  </si>
  <si>
    <t>০১/০৭/১৯৭৯</t>
  </si>
  <si>
    <t>নিয়ামত আলী</t>
  </si>
  <si>
    <t>মোছাঃ ভাদিরন নেছা</t>
  </si>
  <si>
    <t>১৮/০৮/১৯৭৯</t>
  </si>
  <si>
    <t>মোঃ বশির আহমেদ</t>
  </si>
  <si>
    <t>০১/০২/১৯৮১</t>
  </si>
  <si>
    <t>২১/০৮/১৯৬৯</t>
  </si>
  <si>
    <t>মোঃ শাহাতাব আলী</t>
  </si>
  <si>
    <t>মোঃ হেমাত আলী</t>
  </si>
  <si>
    <t>১৩/০৭/১৯৮৮</t>
  </si>
  <si>
    <t>মোঃ আকরাম আলী</t>
  </si>
  <si>
    <t>মাতা: তাজবানু</t>
  </si>
  <si>
    <t>১৩/০৭/১৯৬১</t>
  </si>
  <si>
    <t>মোঃ শফিউল্লাহ</t>
  </si>
  <si>
    <t>আহমত আলী</t>
  </si>
  <si>
    <t>মাতা: জয়ফুরা খাতুন</t>
  </si>
  <si>
    <t>১৩/০৮/১৯৫২</t>
  </si>
  <si>
    <t>মোঃ তাইজুল ইসলাম</t>
  </si>
  <si>
    <t>মাতা: খুসু বেগম</t>
  </si>
  <si>
    <t>১৬/০৮/১৯৮২</t>
  </si>
  <si>
    <t>হাফিজ উদ্দীন</t>
  </si>
  <si>
    <t>মোছাঃ জরফুন নেছা</t>
  </si>
  <si>
    <t>১০/০৮/১৯৬৭</t>
  </si>
  <si>
    <t>মোঃ ছবদেল হোসেন</t>
  </si>
  <si>
    <t>২০/০৯/১৯৮৫</t>
  </si>
  <si>
    <t>১৩/০৮/১৯৮৬</t>
  </si>
  <si>
    <t>জানালী শেখ</t>
  </si>
  <si>
    <t>মাতা: চিনা বিবি</t>
  </si>
  <si>
    <t>মোঃ মহাবুল হক</t>
  </si>
  <si>
    <t>ইয়ার আলী</t>
  </si>
  <si>
    <t>মাতা: সবুর</t>
  </si>
  <si>
    <t>মোঃ আব্দুল হান্নান</t>
  </si>
  <si>
    <t>ফজল</t>
  </si>
  <si>
    <t>মাতা: মহিলা বেগম</t>
  </si>
  <si>
    <t>২০/০৮/১৯৭১</t>
  </si>
  <si>
    <t>মোঃ ইউছুব আলী</t>
  </si>
  <si>
    <t>ফজল শেখ</t>
  </si>
  <si>
    <t>মাতা: মহিলা খাতুন</t>
  </si>
  <si>
    <t>১৯/০৭/১৯৭২</t>
  </si>
  <si>
    <t>মোঃ আমজাদ আলী</t>
  </si>
  <si>
    <t>পাতান</t>
  </si>
  <si>
    <t>১১/০৯/১৯৮১</t>
  </si>
  <si>
    <t>২০/০৭/১৯৭৭</t>
  </si>
  <si>
    <t>মোঃ আব্দুর ছাত্তার</t>
  </si>
  <si>
    <t>মোছাঃ ছপুরা বেগম</t>
  </si>
  <si>
    <t>২০/০৭/১৯৭৫</t>
  </si>
  <si>
    <t>মোহাম্মদ আলী</t>
  </si>
  <si>
    <t>মতিয়ার রহমান</t>
  </si>
  <si>
    <t>মোমেনা বেগম</t>
  </si>
  <si>
    <t>১১/১০/১৯৮১</t>
  </si>
  <si>
    <t>গাড়াডোব, গাংনী, মেহেরপুর</t>
  </si>
  <si>
    <t>মোঃ আব্দুল আলী</t>
  </si>
  <si>
    <t>১৩/০৫/১৯৮৩</t>
  </si>
  <si>
    <t>মোঃ শাহাজান</t>
  </si>
  <si>
    <t>রমুজা</t>
  </si>
  <si>
    <t>মোঃ আমিকুল ইসলাম</t>
  </si>
  <si>
    <t>মনোয়ারা বেগম</t>
  </si>
  <si>
    <t>১৪/০৮/১৯৮৬</t>
  </si>
  <si>
    <t>মোঃ মিয়ারুল ইসলাম</t>
  </si>
  <si>
    <t>দীন মোহাম্মদ</t>
  </si>
  <si>
    <t>কহিনুর বেগম</t>
  </si>
  <si>
    <t>১৪/১০/১৯৮৩</t>
  </si>
  <si>
    <t>মোঃ আবদার আলী</t>
  </si>
  <si>
    <t>১৫/০৮/১৯৭৫</t>
  </si>
  <si>
    <t>তাহের আলী</t>
  </si>
  <si>
    <t>১৩/০৭/১৯৫৭</t>
  </si>
  <si>
    <t>মোঃ কিতাব আলী</t>
  </si>
  <si>
    <t>আঞ্জুরা খাতুন</t>
  </si>
  <si>
    <t>১৪/০৮/১৯৮৮</t>
  </si>
  <si>
    <t>মোঃ মোজাহার আলী</t>
  </si>
  <si>
    <t>নেকছার বিবি</t>
  </si>
  <si>
    <t>১৩/০৫/১৯৮৭</t>
  </si>
  <si>
    <t>মোঃ ইনতাজ আলী</t>
  </si>
  <si>
    <t>১৭/০৮/১৯৭০</t>
  </si>
  <si>
    <t>মোঃ আব্দুস ছাত্তার</t>
  </si>
  <si>
    <t>ফজিলা খাতুন</t>
  </si>
  <si>
    <t>১৪/০৮/১৯৮৫</t>
  </si>
  <si>
    <t>মোঃ দবির উদ্দীন</t>
  </si>
  <si>
    <t>১৩/০৭/১৯৫২</t>
  </si>
  <si>
    <t>মোঃ ফিরোজ হাসান</t>
  </si>
  <si>
    <t>ফিরোজা খাতুন</t>
  </si>
  <si>
    <t>১৬/০৮/১৯৮৭</t>
  </si>
  <si>
    <t>রাহাতুল্লা</t>
  </si>
  <si>
    <t>লতিফন নেছা</t>
  </si>
  <si>
    <t>খোকা মন্ডল</t>
  </si>
  <si>
    <t>ছোবারন বিবি</t>
  </si>
  <si>
    <t>১৩/০৭/১৯৩৯</t>
  </si>
  <si>
    <t>আজগর আলী</t>
  </si>
  <si>
    <t>খালেছা বেগম</t>
  </si>
  <si>
    <t>১৭/০৬/১৯৫৭</t>
  </si>
  <si>
    <t>মোঃ ছাবদুল</t>
  </si>
  <si>
    <t>ছইমন নেছা</t>
  </si>
  <si>
    <t>১৪/০১/১৯৫৩</t>
  </si>
  <si>
    <t>মোঃ চায়েন সেখ</t>
  </si>
  <si>
    <t>রমেলা খাতুন</t>
  </si>
  <si>
    <t>মোঃ রফিক</t>
  </si>
  <si>
    <t>১৬/০৭/১৯৫৯</t>
  </si>
  <si>
    <t>সুরুজান</t>
  </si>
  <si>
    <t>২২/০৬/১৯৮৫</t>
  </si>
  <si>
    <t>মোঃ ফারুক আলী</t>
  </si>
  <si>
    <t>নূর মোহাম্মাদ</t>
  </si>
  <si>
    <t>জবেদা বেগম</t>
  </si>
  <si>
    <t>১১/১১/১৯৮৫</t>
  </si>
  <si>
    <t>মোঃ বাদল আলী</t>
  </si>
  <si>
    <t>পজিলা খাতুন</t>
  </si>
  <si>
    <t>১০/০৪/১৯৭৫</t>
  </si>
  <si>
    <t>মোঃ ইকরাম আলী</t>
  </si>
  <si>
    <t>জিউজান বিবি</t>
  </si>
  <si>
    <t>২০/০৬/১৯৬৯</t>
  </si>
  <si>
    <t>০৪/০৫/১৯৮৩</t>
  </si>
  <si>
    <t>মোঃ নায়েব আলি</t>
  </si>
  <si>
    <t>জকিরুন</t>
  </si>
  <si>
    <t>১৫/১১/১৯৬২</t>
  </si>
  <si>
    <t>মোঃ কুরমান আলি</t>
  </si>
  <si>
    <t>আরশাদ</t>
  </si>
  <si>
    <t>১৪/০৫/১৯৮৩</t>
  </si>
  <si>
    <t>মোঃ আখের আলি</t>
  </si>
  <si>
    <t>জিফন খাতুন</t>
  </si>
  <si>
    <t>১৬/০৪/১৯৬৪</t>
  </si>
  <si>
    <t>মোঃ আতাহার বিশ্বাস</t>
  </si>
  <si>
    <t>নুরালি বিশ্বাস</t>
  </si>
  <si>
    <t>ওহাগজান</t>
  </si>
  <si>
    <t>১২/১১/১৯৬৫</t>
  </si>
  <si>
    <t>মোঃ আলি হোসেন</t>
  </si>
  <si>
    <t>রেজিয়া খাতুন</t>
  </si>
  <si>
    <t>মোঃ খইরুদ্দি কারিগর</t>
  </si>
  <si>
    <t>শামছুদ্দীন কারিগর</t>
  </si>
  <si>
    <t>১১/০৬/১৯৫৭</t>
  </si>
  <si>
    <t>আনজিরা খাতুন</t>
  </si>
  <si>
    <t>২০/০৪/১৯৮২</t>
  </si>
  <si>
    <t>জিজান নেছা</t>
  </si>
  <si>
    <t>১২/০৮/১৯৮১</t>
  </si>
  <si>
    <t>মোঃ ফয়সাল হোসেন</t>
  </si>
  <si>
    <t>০২/০৮/১৯৮৪</t>
  </si>
  <si>
    <t>মোঃ এরসাদ আলী</t>
  </si>
  <si>
    <t>ছিয়াতোন</t>
  </si>
  <si>
    <t>১৪/০১/১৯৮৭</t>
  </si>
  <si>
    <t>মোঃ কুরমান মালিথা</t>
  </si>
  <si>
    <t>গরিব মালিথা</t>
  </si>
  <si>
    <t>রঙ্গিলা</t>
  </si>
  <si>
    <t>২০/০৫/১৯৩৭</t>
  </si>
  <si>
    <t>মোঃ মসলেম মালিথা</t>
  </si>
  <si>
    <t>ছিয়াতন খাতুন</t>
  </si>
  <si>
    <t>১৬/০৭/১৯৭৭</t>
  </si>
  <si>
    <t>২২/০৪/১৯৮৭</t>
  </si>
  <si>
    <t>মোঃ সোনা মিয়া</t>
  </si>
  <si>
    <t>জবেদা খাতুন</t>
  </si>
  <si>
    <t>১১/০৬/১৯৫৯</t>
  </si>
  <si>
    <t>মোঃ মহির উদ্দীন</t>
  </si>
  <si>
    <t>কুলছুম খাতুন</t>
  </si>
  <si>
    <t>২৫/০৪/১৯৮১</t>
  </si>
  <si>
    <t>কুলছুম</t>
  </si>
  <si>
    <t>১৮/০৭/১৯৮৭</t>
  </si>
  <si>
    <t>মোঃ জিয়ারুল ইসলাম</t>
  </si>
  <si>
    <t>মোঃ আঃ বারী</t>
  </si>
  <si>
    <t>সোনা ভানু</t>
  </si>
  <si>
    <t>১৮/০৪/১৯৭৯</t>
  </si>
  <si>
    <t>মোঃ ইবাদত আলী</t>
  </si>
  <si>
    <t>আব্দুল বিশ্বাস</t>
  </si>
  <si>
    <t>করিমন খাতুন</t>
  </si>
  <si>
    <t>২০/০৫/১৯৮৫</t>
  </si>
  <si>
    <t>২৪/০৬/১৯৭৭</t>
  </si>
  <si>
    <t>১১/০৪/১৯৭৫</t>
  </si>
  <si>
    <t>আব্দুল আজিজ</t>
  </si>
  <si>
    <t>জফিরন নেছা</t>
  </si>
  <si>
    <t>১৪/০৬/১৯৫৬</t>
  </si>
  <si>
    <t>মোঃ বুলবুল হোসেন</t>
  </si>
  <si>
    <t>ফকির মোহাম্মাদ</t>
  </si>
  <si>
    <t>সজিমন নেছা</t>
  </si>
  <si>
    <t>২৪/০৬/১৯৮৬</t>
  </si>
  <si>
    <t>মোঃ আশমত আলি</t>
  </si>
  <si>
    <t>জিজান বিবি</t>
  </si>
  <si>
    <t>১০/০১/১৯৭৯</t>
  </si>
  <si>
    <t>মোঃ জামাল উদ্দীন</t>
  </si>
  <si>
    <t>মোঃ শাহজাহান আলি</t>
  </si>
  <si>
    <t>জাহানারা খাতুন</t>
  </si>
  <si>
    <t>১০/০২/১৯৮২</t>
  </si>
  <si>
    <t>মোঃ আছের আলি</t>
  </si>
  <si>
    <t>মোঃ বাদল সেখ</t>
  </si>
  <si>
    <t>শরজান</t>
  </si>
  <si>
    <t>২৬/০৫/১৯৮২</t>
  </si>
  <si>
    <t>মোঃ হায়দার আলি</t>
  </si>
  <si>
    <t>মোঃ মক্কর আলি</t>
  </si>
  <si>
    <t>১৪/০৪/১৯৭১</t>
  </si>
  <si>
    <t>মোঃ ইজাবুল হোসেন</t>
  </si>
  <si>
    <t>১৬/০৭/১৯৮৮</t>
  </si>
  <si>
    <t>ছামেনা খাতুন</t>
  </si>
  <si>
    <t>১০/০১/১৯৮৯</t>
  </si>
  <si>
    <t>মোঃ বাদল শেখ</t>
  </si>
  <si>
    <t>শারজান</t>
  </si>
  <si>
    <t>২৭/০৪/১৯৬২</t>
  </si>
  <si>
    <t>রশিদা খাতুন</t>
  </si>
  <si>
    <t>১১/০৯/১৯৮২</t>
  </si>
  <si>
    <t>মোঃ ছাবারুল</t>
  </si>
  <si>
    <t>মোঃ ছুরমান</t>
  </si>
  <si>
    <t>মুনছুরা খাতুন</t>
  </si>
  <si>
    <t>১৬/০৫/১৯৮৭</t>
  </si>
  <si>
    <t>মোঃ নুর ইসলাম</t>
  </si>
  <si>
    <t>২৫/০৭/১৯৮৮</t>
  </si>
  <si>
    <t>মোঃ কাবারুল ইসলাম</t>
  </si>
  <si>
    <t>মোঃ ছুরমান আলি</t>
  </si>
  <si>
    <t>২৬/০৬/১৯৮৫</t>
  </si>
  <si>
    <t>মোঃ বিরাজ কারিগর</t>
  </si>
  <si>
    <t>মোঃ আবছার কারিগর</t>
  </si>
  <si>
    <t>২৬/০৫/১৯৬২</t>
  </si>
  <si>
    <t>আঃ করিম</t>
  </si>
  <si>
    <t>জিজুজান</t>
  </si>
  <si>
    <t>১৩/০৮/১৯৭২</t>
  </si>
  <si>
    <t>মোঃ মওলাদ হোসেন</t>
  </si>
  <si>
    <t>তাছের শেখ</t>
  </si>
  <si>
    <t>মেহেরুন নেছা</t>
  </si>
  <si>
    <t>১৬/০৬/১৯৮৭</t>
  </si>
  <si>
    <t>মোঃ বজলুর</t>
  </si>
  <si>
    <t>ছামসুদ্দীন</t>
  </si>
  <si>
    <t>০৭/০৬/১৯৬৫</t>
  </si>
  <si>
    <t>নঈমুদ্দীন</t>
  </si>
  <si>
    <t>০৮/০৬/১৯৬৫</t>
  </si>
  <si>
    <t>মোঃ ওবাইদুল্লাহ</t>
  </si>
  <si>
    <t>১৬/০১/১৯৮২</t>
  </si>
  <si>
    <t>মোঃ শরিফুল</t>
  </si>
  <si>
    <t>আকবর</t>
  </si>
  <si>
    <t>১২/০৬/১৯৭২</t>
  </si>
  <si>
    <t>মোঃ আমদ আলী</t>
  </si>
  <si>
    <t>১৪/০৭/১৯৬২</t>
  </si>
  <si>
    <t>মফেজা খাতুন</t>
  </si>
  <si>
    <t>১৫/০৭/১৯৮২</t>
  </si>
  <si>
    <t>মোঃ জয়নাল</t>
  </si>
  <si>
    <t>মোঃ রমজান</t>
  </si>
  <si>
    <t>দুখীজান</t>
  </si>
  <si>
    <t>০১/০৪/১৯৬২</t>
  </si>
  <si>
    <t>করিমন</t>
  </si>
  <si>
    <t>০৬/০৪/১৯৬৭</t>
  </si>
  <si>
    <t>বকস</t>
  </si>
  <si>
    <t>খদেজান</t>
  </si>
  <si>
    <t>মল্লিক</t>
  </si>
  <si>
    <t>আমেনা</t>
  </si>
  <si>
    <t>১৮/০৯/১৯৬৪</t>
  </si>
  <si>
    <t>মোঃ তক্কেব আলী</t>
  </si>
  <si>
    <t>মোঃ আলামিন</t>
  </si>
  <si>
    <t>তহুরা</t>
  </si>
  <si>
    <t>২৪/০৭/১৯৮১</t>
  </si>
  <si>
    <t>সাকিমন খাতুন</t>
  </si>
  <si>
    <t>১০/০৭/১৯৩৭</t>
  </si>
  <si>
    <t>মোঃ জান আলী</t>
  </si>
  <si>
    <t>আজিরন</t>
  </si>
  <si>
    <t>১৫/০৪/১৯৬২</t>
  </si>
  <si>
    <t>মোঃ ছইরদ্দীন</t>
  </si>
  <si>
    <t>সামছুদ্দীন কারিগর</t>
  </si>
  <si>
    <t>০১/০৪/১৯৪৭</t>
  </si>
  <si>
    <t>আজেদা খাতুন</t>
  </si>
  <si>
    <t>০৮/০৬/১৯৮৭</t>
  </si>
  <si>
    <t>আব্দুল রহিম</t>
  </si>
  <si>
    <t>রেজিনা খাতুন</t>
  </si>
  <si>
    <t>০১/০৬/১৯৭৭</t>
  </si>
  <si>
    <t>১২/০৭/১৯৬১</t>
  </si>
  <si>
    <t>১১/০৬/১৯৬৭</t>
  </si>
  <si>
    <t>মোঃ আঃ লতিব</t>
  </si>
  <si>
    <t>১০/০৪/১৯৭০</t>
  </si>
  <si>
    <t>মোঃ কাবারুল আলী</t>
  </si>
  <si>
    <t>আজিরুন নেছা</t>
  </si>
  <si>
    <t>০৭/০৫/১৯৮০</t>
  </si>
  <si>
    <t>মোঃ আবু বক্কার আলি</t>
  </si>
  <si>
    <t>তহুরা খাতুন</t>
  </si>
  <si>
    <t>১৫/০৯/১৯৭৯</t>
  </si>
  <si>
    <t>নাজির শেখ</t>
  </si>
  <si>
    <t>আয়াজান</t>
  </si>
  <si>
    <t>১৪/০৬/১৯৭৫</t>
  </si>
  <si>
    <t>মোঃ মহন আলি</t>
  </si>
  <si>
    <t>মোঃ বজলু শেখ</t>
  </si>
  <si>
    <t>নূর্নীহার খাতুন</t>
  </si>
  <si>
    <t>১৬/০৪/১৯৮৩</t>
  </si>
  <si>
    <t>মোঃ আকুল শেখ</t>
  </si>
  <si>
    <t>ফজিরুন নেছা</t>
  </si>
  <si>
    <t>১৭/০৬/১৯৭৪</t>
  </si>
  <si>
    <t>মোঃ লালু</t>
  </si>
  <si>
    <t>০৬/০৪/১৯৫৭</t>
  </si>
  <si>
    <t>হেরিং শেখ</t>
  </si>
  <si>
    <t>আহাতোন</t>
  </si>
  <si>
    <t>০৮/০৩/১৯৭২</t>
  </si>
  <si>
    <t>মোঃ কামরুল ইসলাম</t>
  </si>
  <si>
    <t>মোঃ কালু শেখ</t>
  </si>
  <si>
    <t>ছবেদা খাতুন</t>
  </si>
  <si>
    <t>০৭/০৩/১৯৮৩</t>
  </si>
  <si>
    <t>মল্লিক শেখ</t>
  </si>
  <si>
    <t>জায়েদা খাতুন</t>
  </si>
  <si>
    <t>০৮/০৩/১৯৭০</t>
  </si>
  <si>
    <t>মোঃ খেদের আলি</t>
  </si>
  <si>
    <t>০৬/০৩/১৯৫২</t>
  </si>
  <si>
    <t>মোঃ মামুন আলি</t>
  </si>
  <si>
    <t>নূর্নিহার খাতুন</t>
  </si>
  <si>
    <t>০৬/০৩/১৯৮১</t>
  </si>
  <si>
    <t>মোঃ ইলিয়াস হোসেন</t>
  </si>
  <si>
    <t>উলফা খাতুন</t>
  </si>
  <si>
    <t>জয়রুন নেছা</t>
  </si>
  <si>
    <t>খোদা বকস মন্ডল</t>
  </si>
  <si>
    <t>সালেহা খাতুন</t>
  </si>
  <si>
    <t>২২/০৬/১৯৫৭</t>
  </si>
  <si>
    <t>মোঃ সাহাবুদ্দিন</t>
  </si>
  <si>
    <t>সামসুন্নাহার খাতুন</t>
  </si>
  <si>
    <t>২৩/০৪/১৯৮০</t>
  </si>
  <si>
    <t>মোঃ চায়েন শেখ</t>
  </si>
  <si>
    <t>অমেলা খাতুন</t>
  </si>
  <si>
    <t>আবু তালেব শেখ</t>
  </si>
  <si>
    <t>কাদিরন খাতুন</t>
  </si>
  <si>
    <t>২২/০৮/১৯৮৪</t>
  </si>
  <si>
    <t>চায়েন কারিগর</t>
  </si>
  <si>
    <t>ছকিমন নেছা</t>
  </si>
  <si>
    <t>২৮/১০/১৯৫৭</t>
  </si>
  <si>
    <t>মোঃ আব্দুল হাকিম</t>
  </si>
  <si>
    <t>২৫/১০/১৯৬৭</t>
  </si>
  <si>
    <t>মোঃ সাহাবুদ্দীন সেখ</t>
  </si>
  <si>
    <t>রাজিমোন খাতুন</t>
  </si>
  <si>
    <t>১৯/১০/১৯৭৭</t>
  </si>
  <si>
    <t>মোঃ ওহাব আলী</t>
  </si>
  <si>
    <t>মল্লিক মন্ডল</t>
  </si>
  <si>
    <t>১৮/১১/১৯৭৪</t>
  </si>
  <si>
    <t>চাঁন মিয়া</t>
  </si>
  <si>
    <t>বিবিজান</t>
  </si>
  <si>
    <t>২৬/১০/১৯৭০</t>
  </si>
  <si>
    <t>মোঃ আবু শামা মিয়া</t>
  </si>
  <si>
    <t>চাঁদ মিয়া</t>
  </si>
  <si>
    <t>১৪/০৮/১৯৭২</t>
  </si>
  <si>
    <t>বিবি জান</t>
  </si>
  <si>
    <t>১০/০৮/১৯৭৪</t>
  </si>
  <si>
    <t>মোঃ শাহাজুল ইসলাম</t>
  </si>
  <si>
    <t>১৩/০৩/১৯৭৮</t>
  </si>
  <si>
    <t>বুদুমিয়া</t>
  </si>
  <si>
    <t>রমেজান বিবি</t>
  </si>
  <si>
    <t>০২/০৫/১৯৫৭</t>
  </si>
  <si>
    <t>মোঃ রশিদ আলি</t>
  </si>
  <si>
    <t>২৪/০৪/১৯৮২</t>
  </si>
  <si>
    <t>মোঃ শেরে আলী</t>
  </si>
  <si>
    <t>ছয়ের উদ্দীন</t>
  </si>
  <si>
    <t>হানিফা খাতুন</t>
  </si>
  <si>
    <t>২৭/০৯/১৯৮৫</t>
  </si>
  <si>
    <t>মোঃ ওবাইদুল্লাহ শেখ</t>
  </si>
  <si>
    <t>ইসমাইল মন্ডল</t>
  </si>
  <si>
    <t>খইজান খাতুন</t>
  </si>
  <si>
    <t>১২/০৪/১৯৫৭</t>
  </si>
  <si>
    <t>মোঃ কিবরিয়া শেখ</t>
  </si>
  <si>
    <t>০৬/০৯/১৯৭২</t>
  </si>
  <si>
    <t>মোঃ ভুলু শেখ</t>
  </si>
  <si>
    <t>খাজিরুন নেছা</t>
  </si>
  <si>
    <t>নাছিমা খাতুন</t>
  </si>
  <si>
    <t>১৬/০৬/১৯৮৯</t>
  </si>
  <si>
    <t>রিকাতন খাতুন</t>
  </si>
  <si>
    <t>১৩/০৯/১৯৮৫</t>
  </si>
  <si>
    <t>বিবিজান খাতুন</t>
  </si>
  <si>
    <t>১৩/০৪/১৯৭৭</t>
  </si>
  <si>
    <t>রাশিদা বেগম</t>
  </si>
  <si>
    <t>১২/০৫/১৯৭৯</t>
  </si>
  <si>
    <t>তাহের শেখ</t>
  </si>
  <si>
    <t>০৭/০৭/১৯৫৩</t>
  </si>
  <si>
    <t>মোঃ আমানুল হক</t>
  </si>
  <si>
    <t>রাশেদা খাতুন</t>
  </si>
  <si>
    <t>১৮/০৯/১৯৮৪</t>
  </si>
  <si>
    <t>মেরজান খাতুন</t>
  </si>
  <si>
    <t>১৭/০৫/১৯৬৭</t>
  </si>
  <si>
    <t>মোঃ হাশেম আলী</t>
  </si>
  <si>
    <t>তাছের আলী</t>
  </si>
  <si>
    <t>১১/০৭/১৯৭১</t>
  </si>
  <si>
    <t>মোঃ মাঈদুল হক</t>
  </si>
  <si>
    <t>রহমতুল্লা</t>
  </si>
  <si>
    <t>জাহানারা বেগম</t>
  </si>
  <si>
    <t>১৫/০২/১৯৭৮</t>
  </si>
  <si>
    <t>২৭/০৯/১৯৭৮</t>
  </si>
  <si>
    <t>মোঃ ফিরোজুর রহমান</t>
  </si>
  <si>
    <t>৩১/১২/১৯৭৯</t>
  </si>
  <si>
    <t>মোঃ নূহনবী</t>
  </si>
  <si>
    <t>জান্নাতুন নেছা</t>
  </si>
  <si>
    <t>মুহাঃ একরামুল হাসান</t>
  </si>
  <si>
    <t>০২/১১/১৯৭২</t>
  </si>
  <si>
    <t>মোহাঃ আব্দুল ওয়াহেদ</t>
  </si>
  <si>
    <t>আব্দুর রশিদ</t>
  </si>
  <si>
    <t>ইলা্পন নেছা</t>
  </si>
  <si>
    <t>১৩/১১/১৯৩২</t>
  </si>
  <si>
    <t>মোহাঃ নজরুল ইসলাম</t>
  </si>
  <si>
    <t>২৫/১১/১৯৫৮</t>
  </si>
  <si>
    <t>মোঃ বাবুল হাসান</t>
  </si>
  <si>
    <t>৩১/১২/১৯৭৫</t>
  </si>
  <si>
    <t>খাদিজা খাতুন</t>
  </si>
  <si>
    <t>২০/০৯/১৯৮২</t>
  </si>
  <si>
    <t>মোঃ রিয়াজুল ইসলাম</t>
  </si>
  <si>
    <t>১৪/০৪/১৯৭৯</t>
  </si>
  <si>
    <t>০৯/০৬/১৯৮৭</t>
  </si>
  <si>
    <t>মোঃ আবু হেনা মস্তফা কামাল</t>
  </si>
  <si>
    <t>মোঃ ইয়ানুল হক</t>
  </si>
  <si>
    <t>ছায়না খাতুন</t>
  </si>
  <si>
    <t>মোঃ গোলাম কিবরিয়া</t>
  </si>
  <si>
    <t>আসমা বেগম</t>
  </si>
  <si>
    <t>১২/১০/১৯৭৫</t>
  </si>
  <si>
    <t>ছিপাত মন্ডল</t>
  </si>
  <si>
    <t>১৮/০৫/১৯৫৪</t>
  </si>
  <si>
    <t>মোঃ লাল মোহাম্মাদ</t>
  </si>
  <si>
    <t>০৮/১০/১৯৭২</t>
  </si>
  <si>
    <t>মোঃ আমজিদ</t>
  </si>
  <si>
    <t>তামে্শা</t>
  </si>
  <si>
    <t>০৫/০৪/১৯৮২</t>
  </si>
  <si>
    <t>মোঃ শামিম শেখ</t>
  </si>
  <si>
    <t>একছেদ আলী</t>
  </si>
  <si>
    <t>লাল বিবি</t>
  </si>
  <si>
    <t>১০/০৮/১৯৭২</t>
  </si>
  <si>
    <t>ছিপাত শেখ</t>
  </si>
  <si>
    <t>২৫/০৯/১৯৫২</t>
  </si>
  <si>
    <t>মোঃ আব্দুর রকিব</t>
  </si>
  <si>
    <t>২৫/০৪/১৯৭৯</t>
  </si>
  <si>
    <t>সুফিয়া খাতুন</t>
  </si>
  <si>
    <t>০৮/০৪/১৯৬২</t>
  </si>
  <si>
    <t>লাল মোহাম্মাদ</t>
  </si>
  <si>
    <t>০৫/১১/১৯৭৭</t>
  </si>
  <si>
    <t>আস্ত শেখ</t>
  </si>
  <si>
    <t>ভবানী</t>
  </si>
  <si>
    <t>১০/১১/১৯৩৭</t>
  </si>
  <si>
    <t>মোঃ আনিচ</t>
  </si>
  <si>
    <t>মোঃ মস্তফা</t>
  </si>
  <si>
    <t>১৮/০৯/১৯৭৩</t>
  </si>
  <si>
    <t>নূরমোহাম্মাদ</t>
  </si>
  <si>
    <t>খদেজা বেগম</t>
  </si>
  <si>
    <t>১০/০৫/১৯৬৫</t>
  </si>
  <si>
    <t>জাছিমদ্দি</t>
  </si>
  <si>
    <t>২৩/১২/১৯৫৫</t>
  </si>
  <si>
    <t>মোঃ ইউসুফ</t>
  </si>
  <si>
    <t>মারজিয়া বেগম</t>
  </si>
  <si>
    <t>১১/০৯/১৯৮৫</t>
  </si>
  <si>
    <t>মোঃ লিটন হোসেন</t>
  </si>
  <si>
    <t>আলতাফন</t>
  </si>
  <si>
    <t>ফলেজান নেছা</t>
  </si>
  <si>
    <t>০৩/১১/১৯৫৪</t>
  </si>
  <si>
    <t>২২/০৫/১৯৮০</t>
  </si>
  <si>
    <t>মোঃ গোলাম</t>
  </si>
  <si>
    <t>নেকজান</t>
  </si>
  <si>
    <t>০৫/১২/১৯৫৭</t>
  </si>
  <si>
    <t>মোঃ ফকরুল আলী</t>
  </si>
  <si>
    <t>দুখিজান</t>
  </si>
  <si>
    <t>১৮/০৯/১৯৫৭</t>
  </si>
  <si>
    <t>মোঃ মকলেছুর রহমান বাদল</t>
  </si>
  <si>
    <t>সামছুদ্দীন মন্ডল</t>
  </si>
  <si>
    <t>জাহিনারা</t>
  </si>
  <si>
    <t>২৮/০৫/১৯৭৩</t>
  </si>
  <si>
    <t>আঃ ওয়াহেদ খাঁ</t>
  </si>
  <si>
    <t>মানোয়ারা</t>
  </si>
  <si>
    <t>০৯/০৭/১৯৬৫</t>
  </si>
  <si>
    <t>মোঃ আমিনুল ইসলাম</t>
  </si>
  <si>
    <t>মুক্তার আলী</t>
  </si>
  <si>
    <t>১০/১২/১৯৮৮</t>
  </si>
  <si>
    <t>মোঃ পোলটু মিয়া</t>
  </si>
  <si>
    <t>মোঃ মজিদ</t>
  </si>
  <si>
    <t>তামেশা</t>
  </si>
  <si>
    <t>২৩/০৫/১৯৮৫</t>
  </si>
  <si>
    <t>মোঃ মাজেদ</t>
  </si>
  <si>
    <t>রওশনারা</t>
  </si>
  <si>
    <t>০১/০১/১৯৮৭</t>
  </si>
  <si>
    <t>ফুলচাঁদ</t>
  </si>
  <si>
    <t>নুননিহার</t>
  </si>
  <si>
    <t>১৩/০৪/১৯৮২</t>
  </si>
  <si>
    <t>তুষ্টু শেখ</t>
  </si>
  <si>
    <t>১৫/০৮/১৯৫২</t>
  </si>
  <si>
    <t>মোঃ পলাশ</t>
  </si>
  <si>
    <t>মোঃ ইমাজদ্দিন</t>
  </si>
  <si>
    <t>ছামেনা বেগম</t>
  </si>
  <si>
    <t>১২/০৫/১৯৮৩</t>
  </si>
  <si>
    <t>মোঃ ইমান আলী</t>
  </si>
  <si>
    <t>মোঃ সেজেদ আলী</t>
  </si>
  <si>
    <t>জেগন নেছা</t>
  </si>
  <si>
    <t>মোঃ হালিম</t>
  </si>
  <si>
    <t>হালিমা বেগম</t>
  </si>
  <si>
    <t>২৭/১০/১৯৮০</t>
  </si>
  <si>
    <t>মোঃ নওশাদ আলী</t>
  </si>
  <si>
    <t>বিলকিছ খাতুন</t>
  </si>
  <si>
    <t>মোঃ মিজানুর</t>
  </si>
  <si>
    <t>জান্নাতুন</t>
  </si>
  <si>
    <t>১০/১১/১৯৮৩</t>
  </si>
  <si>
    <t>কপিরন</t>
  </si>
  <si>
    <t>০৯/০৬/১৯৬২</t>
  </si>
  <si>
    <t>কে. এম. সোহেল</t>
  </si>
  <si>
    <t>সেলিনা খাতুন</t>
  </si>
  <si>
    <t>৩১/১২/১৯৮০</t>
  </si>
  <si>
    <t>মোঃ ইউসুফ আলী</t>
  </si>
  <si>
    <t>১৮/০১/১৯৬২</t>
  </si>
  <si>
    <t>মীর সাজ্জাদুল আলম</t>
  </si>
  <si>
    <t>২৫/০১/১৯৭৭</t>
  </si>
  <si>
    <t>মোঃ মারজেম আলি</t>
  </si>
  <si>
    <t>দিদার আলি</t>
  </si>
  <si>
    <t>মজিরন</t>
  </si>
  <si>
    <t>০৮/০১/১৯৭৯</t>
  </si>
  <si>
    <t>মোঃ ফলটু মিয়া</t>
  </si>
  <si>
    <t>জসিমদ্দিন</t>
  </si>
  <si>
    <t>সারভান</t>
  </si>
  <si>
    <t>গরিবুল্লা</t>
  </si>
  <si>
    <t>১৩/০৩/১৯৭৩</t>
  </si>
  <si>
    <t>মোঃ আকবর</t>
  </si>
  <si>
    <t>হাফেজ</t>
  </si>
  <si>
    <t>খিলাফ জান</t>
  </si>
  <si>
    <t>১১/০১/১৯৬৭</t>
  </si>
  <si>
    <t>মোঃ শাহিদুল ইসলাম</t>
  </si>
  <si>
    <t>রাবেয়া খাতুন</t>
  </si>
  <si>
    <t>০৮/১১/১৯৮৭</t>
  </si>
  <si>
    <t>মোঃ আবু সালেহ</t>
  </si>
  <si>
    <t>কুমকুম আরা</t>
  </si>
  <si>
    <t>০৮/০৬/১৯৮৯</t>
  </si>
  <si>
    <t>মাবিয়া খাতুন</t>
  </si>
  <si>
    <t>মোঃ মুনতাজ আলী</t>
  </si>
  <si>
    <t>মদিনা খাতুন</t>
  </si>
  <si>
    <t>১৫/১১/১৯৮১</t>
  </si>
  <si>
    <t>মেহেরন নেছা</t>
  </si>
  <si>
    <t>০৫/১১/১৯৪৭</t>
  </si>
  <si>
    <t>মোহাম্মাদ আলী শেখ</t>
  </si>
  <si>
    <t>ছপুরা খাতুন</t>
  </si>
  <si>
    <t>০১/০৬/১৯৬৪</t>
  </si>
  <si>
    <t>মোঃ নাজিমদ্দিন</t>
  </si>
  <si>
    <t>খোদাবক্স</t>
  </si>
  <si>
    <t>শায়েস্তা খাতুন</t>
  </si>
  <si>
    <t>১৫/০৮/১৯৫৯</t>
  </si>
  <si>
    <t>হাফেজ মোহাম্মাদ তোফাজ্জেল হোসেন</t>
  </si>
  <si>
    <t>১০/০৬/১৯৮৮</t>
  </si>
  <si>
    <t>ইমাম/পুরোহিত</t>
  </si>
  <si>
    <t>রিজিয়া</t>
  </si>
  <si>
    <t>মোঃ মাজেদ আলী</t>
  </si>
  <si>
    <t>মহাম্মদ</t>
  </si>
  <si>
    <t>মোঃ লেকছার</t>
  </si>
  <si>
    <t>কইনা</t>
  </si>
  <si>
    <t>২১/১০/১৯৮৮</t>
  </si>
  <si>
    <t>মোঃ ওসমান গনি</t>
  </si>
  <si>
    <t>খালেকা বেগম</t>
  </si>
  <si>
    <t>মোঃ হেমায়েত আলী</t>
  </si>
  <si>
    <t>মনোয়ারা খাতুন</t>
  </si>
  <si>
    <t>১৫/০২/১৯৮৮</t>
  </si>
  <si>
    <t>মোঃ মিঠুন</t>
  </si>
  <si>
    <t>মোঃ রাসেল</t>
  </si>
  <si>
    <t>তাছলিমা খাতুন</t>
  </si>
  <si>
    <t>১১/০৯/১৯৮৮</t>
  </si>
  <si>
    <t>মুসলিমা খাতুন</t>
  </si>
  <si>
    <t>০৮/০৬/১৯৮৮</t>
  </si>
  <si>
    <t>ছপুরা</t>
  </si>
  <si>
    <t>১৩/০৭/১৯৮৭</t>
  </si>
  <si>
    <t>০৭/০৬/১৯৮৯</t>
  </si>
  <si>
    <t>আছতারা খাতুন</t>
  </si>
  <si>
    <t>২০/০৬/১৯৮৩</t>
  </si>
  <si>
    <t>মোঃ গোলাম মস্তফা</t>
  </si>
  <si>
    <t>০৬/০৮/১৯৮৮</t>
  </si>
  <si>
    <t>মোঃ আকছাদ আলী</t>
  </si>
  <si>
    <t>আব্দুল শেখ</t>
  </si>
  <si>
    <t>১০/০৫/১৯৬২</t>
  </si>
  <si>
    <t>আছতারা</t>
  </si>
  <si>
    <t>২৩/১০/১৯৪৭</t>
  </si>
  <si>
    <t>মোঃ মতিয়ার রহমান খান</t>
  </si>
  <si>
    <t>৩০/১২/১৯৭৮</t>
  </si>
  <si>
    <t>হামিদা খাতুন</t>
  </si>
  <si>
    <t>১৩/০৮/১৯৭৫</t>
  </si>
  <si>
    <t>১৮/০৯/১৯৮০</t>
  </si>
  <si>
    <t>মোঃ মজিদুল হক</t>
  </si>
  <si>
    <t>মোঃ ফজলু</t>
  </si>
  <si>
    <t>আজিরন খাতুন</t>
  </si>
  <si>
    <t>২৫/০৮/১৯৮৭</t>
  </si>
  <si>
    <t>আমিরুদ্দিন</t>
  </si>
  <si>
    <t>২৬/০৭/১৯৫৯</t>
  </si>
  <si>
    <t>মোঃ মাহাবুল ইসলাম</t>
  </si>
  <si>
    <t>ইউনুস আলী</t>
  </si>
  <si>
    <t>ছায়েরা বেগম</t>
  </si>
  <si>
    <t>১৬/০৮/১৯৬৭</t>
  </si>
  <si>
    <t>মোঃ ইমাদুল হক</t>
  </si>
  <si>
    <t>সদর আলী</t>
  </si>
  <si>
    <t>খাতুন</t>
  </si>
  <si>
    <t>আলেয়া খাতুন</t>
  </si>
  <si>
    <t>১৮/০৭/১৯৭০</t>
  </si>
  <si>
    <t>মোঃ ইসলাম নবী</t>
  </si>
  <si>
    <t>শাহানারা</t>
  </si>
  <si>
    <t>১২/০৮/১৯৮৫</t>
  </si>
  <si>
    <t>মোঃ খেজমত আলী</t>
  </si>
  <si>
    <t>মোঃ মুরাদ আলী</t>
  </si>
  <si>
    <t>সবিরন নেছা</t>
  </si>
  <si>
    <t>২৬/০৯/১৯৭৭</t>
  </si>
  <si>
    <t>নূর ইসলাম</t>
  </si>
  <si>
    <t>নোহিয়া খাতুন</t>
  </si>
  <si>
    <t>২৪/০৬/১৯৬৪</t>
  </si>
  <si>
    <t>মোঃ ইল্লাত আলী</t>
  </si>
  <si>
    <t>নোহিয়া বেগম</t>
  </si>
  <si>
    <t>২১/১০/১৯৭৯</t>
  </si>
  <si>
    <t>ফজল মালিথা</t>
  </si>
  <si>
    <t>মহিলা বেগম</t>
  </si>
  <si>
    <t>মোঃ সুজন আলী</t>
  </si>
  <si>
    <t>মোঃ ছিতাব আলী</t>
  </si>
  <si>
    <t>সবুরন খাতুন</t>
  </si>
  <si>
    <t>২৪/১০/১৯৭৭</t>
  </si>
  <si>
    <t>সবুরন নেছা</t>
  </si>
  <si>
    <t>১৪/০৬/১৯৬২</t>
  </si>
  <si>
    <t>মকবুল হোসেন</t>
  </si>
  <si>
    <t>মিনা খাতুন</t>
  </si>
  <si>
    <t>২১/০৭/১৯৮৭</t>
  </si>
  <si>
    <t>মুল্লুক শেখ</t>
  </si>
  <si>
    <t>জহুরা বেগম</t>
  </si>
  <si>
    <t>১৯/০৫/১৯৫৭</t>
  </si>
  <si>
    <t>আত্তর আলী</t>
  </si>
  <si>
    <t>নরমজান</t>
  </si>
  <si>
    <t>২৩/০৮/১৯৭৮</t>
  </si>
  <si>
    <t>মোঃ মুক্তার আলী</t>
  </si>
  <si>
    <t>খুকি খাতুন</t>
  </si>
  <si>
    <t>মোঃ মুজাল হোসেন</t>
  </si>
  <si>
    <t>আজগার আলী</t>
  </si>
  <si>
    <t>খােলছা খাতুন</t>
  </si>
  <si>
    <t>২২/০৭/১৯৭৫</t>
  </si>
  <si>
    <t>১৪/০৯/১৯৩৭</t>
  </si>
  <si>
    <t>২৬/০৮/১৯৮২</t>
  </si>
  <si>
    <t>২২/০৮/১৯৭৯</t>
  </si>
  <si>
    <t>আন্জিরা খাতুন</t>
  </si>
  <si>
    <t>২০/০৫/১৯৭২</t>
  </si>
  <si>
    <t>মোঃ আজিম উদ্দীন</t>
  </si>
  <si>
    <t>ছালেহা বেগম</t>
  </si>
  <si>
    <t>১৫/০৫/১৯৬৯</t>
  </si>
  <si>
    <t>মোঃ আবুল মালেক</t>
  </si>
  <si>
    <t>১৭/০৮/১৯৬৭</t>
  </si>
  <si>
    <t>নছিয়া বেগম</t>
  </si>
  <si>
    <t>১৯/০৭/১৯৭৭</t>
  </si>
  <si>
    <t>মোঃ মিন্টু</t>
  </si>
  <si>
    <t>১৮/০৪/১৯৮১</t>
  </si>
  <si>
    <t>তোয়াজ শেখ</t>
  </si>
  <si>
    <t>১৩/০৪/১৯৫৭</t>
  </si>
  <si>
    <t>১৮/০৮/১৯৭৮</t>
  </si>
  <si>
    <t>মোঃ লাল চাঁদ আলী</t>
  </si>
  <si>
    <t>জহুরা</t>
  </si>
  <si>
    <t>১৩/০৮/১৯৫০</t>
  </si>
  <si>
    <t>সায়েস্তা বেগম</t>
  </si>
  <si>
    <t>১২/০৬/১৯৭৪</t>
  </si>
  <si>
    <t>মোঃ শাহাদ আলী</t>
  </si>
  <si>
    <t>১৪/০৫/১৯৬৭</t>
  </si>
  <si>
    <t>সুপিয়া বেগম</t>
  </si>
  <si>
    <t>১২/০৬/১৯৭৯</t>
  </si>
  <si>
    <t>রমুজা বেগম</t>
  </si>
  <si>
    <t>১৫/০৭/১৯৪২</t>
  </si>
  <si>
    <t>আবেদা বেগম</t>
  </si>
  <si>
    <t>১৮/০৭/১৯৬০</t>
  </si>
  <si>
    <t>মোঃ পিয়ারুল ইসলাম</t>
  </si>
  <si>
    <t>রাহেলা খাতুন</t>
  </si>
  <si>
    <t>২১/০২/১৯৮১</t>
  </si>
  <si>
    <t>কহিনুর খাতুন</t>
  </si>
  <si>
    <t>তহুরা বেগম</t>
  </si>
  <si>
    <t>২১/০৮/১৯৮২</t>
  </si>
  <si>
    <t>ফুলছুরা খাতুন</t>
  </si>
  <si>
    <t>১৯/১০/১৯৮৫</t>
  </si>
  <si>
    <t>মোঃ তাহাজ উদ্দীন</t>
  </si>
  <si>
    <t>হাফেজ উদ্দীন</t>
  </si>
  <si>
    <t>মোঃ ফয়েজ আলী</t>
  </si>
  <si>
    <t>ফুলজান</t>
  </si>
  <si>
    <t>১১/০৪/১৯৬৮</t>
  </si>
  <si>
    <t>আবুল হোসেন</t>
  </si>
  <si>
    <t>রসেনা খাতুন</t>
  </si>
  <si>
    <t>১৪/০৩/১৯৭২</t>
  </si>
  <si>
    <t>মোঃ তৌহিদুল ইসলাম</t>
  </si>
  <si>
    <t>তহমিনা খাতুন</t>
  </si>
  <si>
    <t>হাসিনা খাতুন</t>
  </si>
  <si>
    <t>৩০/০১/১৯৮৫</t>
  </si>
  <si>
    <t>মোহাঃ নেকবার হোসেন</t>
  </si>
  <si>
    <t>মোহাঃ মহিরুদ্দীন</t>
  </si>
  <si>
    <t>আমিরন নেছা</t>
  </si>
  <si>
    <t>১০/১১/১৯৭৮</t>
  </si>
  <si>
    <t>১৯/১০/১৯৮১</t>
  </si>
  <si>
    <t>গাড়াবোড়, গাংনী, মেহেরপুর</t>
  </si>
  <si>
    <t>১৭/১২/১৯৭৭</t>
  </si>
  <si>
    <t>মোছাঃ আরজিনা খাতুন</t>
  </si>
  <si>
    <t>১৯/০৫/১৯৭৮</t>
  </si>
  <si>
    <t>মোঃ আলফাজ উদ্দীন</t>
  </si>
  <si>
    <t>মোছাঃ হোসেনয়ারা</t>
  </si>
  <si>
    <t>১৩/১২/১৯৮২</t>
  </si>
  <si>
    <t>মোঃ মিন্টু মিয়া</t>
  </si>
  <si>
    <t>২৬/০৬/১৯৭৯</t>
  </si>
  <si>
    <t>মোঃ বাবলু হোসেন</t>
  </si>
  <si>
    <t>মোঃ নকিমুদ্দীন</t>
  </si>
  <si>
    <t>২১/০৬/১৯৮৩</t>
  </si>
  <si>
    <t>১২/১০/১৯৮৯</t>
  </si>
  <si>
    <t>মোঃ ইয়ার আলী</t>
  </si>
  <si>
    <t>মোঃ বাহারুল ইসলাম</t>
  </si>
  <si>
    <t>১৬/০৫/১৯৭২</t>
  </si>
  <si>
    <t>মোঃ বাহার আলী</t>
  </si>
  <si>
    <t>১৯/০৭/১৯৮২</t>
  </si>
  <si>
    <t>মোঃ করিম</t>
  </si>
  <si>
    <t>রহমান আলী</t>
  </si>
  <si>
    <t>মোছাঃ নুরমান খাতুন</t>
  </si>
  <si>
    <t>৩১/০৩/১৯৭২</t>
  </si>
  <si>
    <t>মোঃ আহাদুল ইসলাম</t>
  </si>
  <si>
    <t>রেজাউল হক</t>
  </si>
  <si>
    <t>মোঃ জাহাঙ্গীর আলম মহব্বত</t>
  </si>
  <si>
    <t>মোছাঃ বাছিরন নেছা</t>
  </si>
  <si>
    <t>মোঃ লাভলু মিয়া</t>
  </si>
  <si>
    <t>নকিমুদ্দিন</t>
  </si>
  <si>
    <t>১০/০১/১৯৮১</t>
  </si>
  <si>
    <t>ছফুরা খাতুন</t>
  </si>
  <si>
    <t>১২/১২/১৯৫৬</t>
  </si>
  <si>
    <t>১২/১০/১৯৮৪</t>
  </si>
  <si>
    <t>মোঃ ছাইফুল ইসলাম</t>
  </si>
  <si>
    <t>মোঃ আব্দুর জব্বার</t>
  </si>
  <si>
    <t>ছকুরা খাতুন</t>
  </si>
  <si>
    <t>মোঃ মহিরদ্দিন আলী</t>
  </si>
  <si>
    <t>১১/০৪/১৯৬৯</t>
  </si>
  <si>
    <t>০৫/০৭/১৯৮১</t>
  </si>
  <si>
    <t>রতিমন্ডল</t>
  </si>
  <si>
    <t>মোছাঃ খোসজান খাতুন</t>
  </si>
  <si>
    <t>০২/১০/১৯৭১</t>
  </si>
  <si>
    <t>১১/০৭/১৯৮৩</t>
  </si>
  <si>
    <t>১০/০৫/১৯৭২</t>
  </si>
  <si>
    <t>সলেমান আলী</t>
  </si>
  <si>
    <t>১১/১২/১৯৮০</t>
  </si>
  <si>
    <t>মকছেদ আলী</t>
  </si>
  <si>
    <t>মোছাঃ ছফুরা খাতুন</t>
  </si>
  <si>
    <t>১০/১২/১৯৬৬</t>
  </si>
  <si>
    <t>০৫/০৬/১৯৭০</t>
  </si>
  <si>
    <t>মোঃ নাজমুল ইসলাম</t>
  </si>
  <si>
    <t>মোঃ রইচ উদ্দীন</t>
  </si>
  <si>
    <t>১০/১১/১৯৮৭</t>
  </si>
  <si>
    <t>মোঃ আব্বাস আলী</t>
  </si>
  <si>
    <t>১২/০৬/১৯৭০</t>
  </si>
  <si>
    <t>মরিয়ম খাতুন</t>
  </si>
  <si>
    <t>১৬/১০/১৯৭৭</t>
  </si>
  <si>
    <t>মোঃ রইছ উদ্দিন</t>
  </si>
  <si>
    <t>মহিরুদ্দীন</t>
  </si>
  <si>
    <t>১২/১২/১৯৬৭</t>
  </si>
  <si>
    <t>সোলেমান বিঃ</t>
  </si>
  <si>
    <t>০৫/১০/১৯৭৯</t>
  </si>
  <si>
    <t>মোঃ হিফাজ উদ্দীন</t>
  </si>
  <si>
    <t>২২/১০/১৯৭৩</t>
  </si>
  <si>
    <t>আজিমুদ্দীন</t>
  </si>
  <si>
    <t>রাহাতন নেছা</t>
  </si>
  <si>
    <t>১৮/১১/১৯৬৫</t>
  </si>
  <si>
    <t>মোঃ আবু বক্কার</t>
  </si>
  <si>
    <t>মোছাঃ রসেনা খাতুন</t>
  </si>
  <si>
    <t>৩০/১২/১৯৮২</t>
  </si>
  <si>
    <t>মোঃ রফছেদ আলী (রকি)</t>
  </si>
  <si>
    <t>১২/১০/১৯৮৬</t>
  </si>
  <si>
    <t>২২/০৫/১৯৭৮</t>
  </si>
  <si>
    <t>মোঃ মাসুদুর রশীদ</t>
  </si>
  <si>
    <t>০৮/০৫/১৯৭৫</t>
  </si>
  <si>
    <t>মোঃ এমদাদুল হক</t>
  </si>
  <si>
    <t>০৭/০৬/১৯৮১</t>
  </si>
  <si>
    <t>মোছাঃ জাহানা খাতুন</t>
  </si>
  <si>
    <t>১৪/০৯/১৯৭৬</t>
  </si>
  <si>
    <t>মোঃ রেজাউল করিম</t>
  </si>
  <si>
    <t>ছামসুল আলম</t>
  </si>
  <si>
    <t>মোছাঃ ফিরোজা বেগম</t>
  </si>
  <si>
    <t>০৮/০৩/১৯৬৫</t>
  </si>
  <si>
    <t>মোঃ রোকনুজ্জামান চপল</t>
  </si>
  <si>
    <t>০৮/০৫/১৯৭৬</t>
  </si>
  <si>
    <t>মোঃ গালিব হাসান</t>
  </si>
  <si>
    <t>মোছাঃ ফেরদৌসী আরা</t>
  </si>
  <si>
    <t>মোঃ মহরম আলী</t>
  </si>
  <si>
    <t>রহমত উল্লাহ</t>
  </si>
  <si>
    <t>মোছাঃ করিমন নেছা</t>
  </si>
  <si>
    <t>০২/০৩/১৯৫৩</t>
  </si>
  <si>
    <t>মোঃ আশরাফ সিদ্দিকি</t>
  </si>
  <si>
    <t>মোঃ রুহুল কুদ্দুস</t>
  </si>
  <si>
    <t>মোছাঃ গুলশান আরা বেগম</t>
  </si>
  <si>
    <t>০১/১২/১৯৮৫</t>
  </si>
  <si>
    <t>৯৭৯, গাড়াবোড়, গাংনী, মেহেরপুর</t>
  </si>
  <si>
    <t>মোঃ শহিদুল হক</t>
  </si>
  <si>
    <t>০২/০২/১৯৮০</t>
  </si>
  <si>
    <t>০৩/০১/১৯৭১</t>
  </si>
  <si>
    <t>মোঃ আহাসান আলী</t>
  </si>
  <si>
    <t>০৫/০৪/১৯৬৭</t>
  </si>
  <si>
    <t>এম, এম হাদিদুর রহমান</t>
  </si>
  <si>
    <t>ছদের আলী</t>
  </si>
  <si>
    <t>মোছাঃ অজিরন নেছা</t>
  </si>
  <si>
    <t>০৫/০১/১৯৭৬</t>
  </si>
  <si>
    <t>আফসার আলী</t>
  </si>
  <si>
    <t>মোছাঃ উজিলা খাতুন</t>
  </si>
  <si>
    <t>০৫/০৪/১৯৭০</t>
  </si>
  <si>
    <t>মোঃ দুলাল হোসেন</t>
  </si>
  <si>
    <t>০৮/০২/১৯৮১</t>
  </si>
  <si>
    <t>মোঃ হেলাল উদ্দীন</t>
  </si>
  <si>
    <t>১০/০৫/১৯৮৪</t>
  </si>
  <si>
    <t>মোঃ আলাহী মজনু</t>
  </si>
  <si>
    <t>১২/০২/১৯৭৯</t>
  </si>
  <si>
    <t>১০/০১/১৯৮৩</t>
  </si>
  <si>
    <t>মছের আলী</t>
  </si>
  <si>
    <t>মোছাঃ তোতা খাতুন</t>
  </si>
  <si>
    <t>০৮/০১/১৯৬২</t>
  </si>
  <si>
    <t>মোছাঃ অজিরন খাতুন</t>
  </si>
  <si>
    <t>০৭/০৩/১৯৬০</t>
  </si>
  <si>
    <t>মোঃ মাহফুজ আলম</t>
  </si>
  <si>
    <t>মোছাঃ মাহমুদা খাতুন</t>
  </si>
  <si>
    <t>০১/০২/১৯৭০</t>
  </si>
  <si>
    <t>১৮/১০/১৯৭০</t>
  </si>
  <si>
    <t>ছাদের আলী শেখ</t>
  </si>
  <si>
    <t>মোছাঃ আয়রন নেছা</t>
  </si>
  <si>
    <t>০৫/০১/১৯৫৮</t>
  </si>
  <si>
    <t>মোছাঃ ছানোয়ারা</t>
  </si>
  <si>
    <t>০৫/০৩/১৯৮১</t>
  </si>
  <si>
    <t>০৬/০৪/১৯৮৭</t>
  </si>
  <si>
    <t>১০/০৩/১৯৭০</t>
  </si>
  <si>
    <t>মোছাঃ হাযরন নেছা</t>
  </si>
  <si>
    <t>১৫/০২/১৯৬৩</t>
  </si>
  <si>
    <t>মোঃ আলাউদ্দীন</t>
  </si>
  <si>
    <t>মোছাঃ আয়রন খাতুন</t>
  </si>
  <si>
    <t>০৫/০৭/১৯৬১</t>
  </si>
  <si>
    <t>১৫/১০/১৯৭৩</t>
  </si>
  <si>
    <t>১৮/১০/১৯৭৭</t>
  </si>
  <si>
    <t>মোঃ জালাল</t>
  </si>
  <si>
    <t>শাহাদত শেখ</t>
  </si>
  <si>
    <t>২০/১১/১৯৫২</t>
  </si>
  <si>
    <t>মোহাঃ আশরাফুজ্জামান</t>
  </si>
  <si>
    <t>নাজমুল হক</t>
  </si>
  <si>
    <t>মোছাঃ তানজিলা খাতুন</t>
  </si>
  <si>
    <t>৩১/১২/১৯৬৫</t>
  </si>
  <si>
    <t>মোঃ জাহিদুল হক</t>
  </si>
  <si>
    <t>০৩/০৮/১৯৭৫</t>
  </si>
  <si>
    <t>সমর আলী</t>
  </si>
  <si>
    <t>সাবানী</t>
  </si>
  <si>
    <t>১৮/১০/১৯৬৪</t>
  </si>
  <si>
    <t>মোঃ হাফিজুল ইসলাম</t>
  </si>
  <si>
    <t>০৮/১১/১৯৭২</t>
  </si>
  <si>
    <t>হাজি আওলাদ শেখ</t>
  </si>
  <si>
    <t>মোছাঃ শুবারন নেছা</t>
  </si>
  <si>
    <t>০১/০৭/১৯৪৫</t>
  </si>
  <si>
    <t>মোঃ আহসন আলী</t>
  </si>
  <si>
    <t>০১/০১/১৯৭২</t>
  </si>
  <si>
    <t>০৬/০২/১৯৪৮</t>
  </si>
  <si>
    <t>ভরোস মন্ডল</t>
  </si>
  <si>
    <t>জয়মন নেছা</t>
  </si>
  <si>
    <t>১২/০৩/১৯৩৭</t>
  </si>
  <si>
    <t>মোঃ লাভলু</t>
  </si>
  <si>
    <t>আব্দুল বারী</t>
  </si>
  <si>
    <t>মোছাঃ হাজেরা</t>
  </si>
  <si>
    <t>২০/১১/১৯৭৯</t>
  </si>
  <si>
    <t>মোঃ বাবুল</t>
  </si>
  <si>
    <t>১৫/০৮/১৯৫৭</t>
  </si>
  <si>
    <t>মোছাঃ যমুনা খাতুন</t>
  </si>
  <si>
    <t>২৫/১০/১৯৫৪</t>
  </si>
  <si>
    <t>০৩/০৫/১৯৮১</t>
  </si>
  <si>
    <t>মাদার আলী বিশ্বাস</t>
  </si>
  <si>
    <t>০৫/০৩/১৯৫১</t>
  </si>
  <si>
    <t>০৩/০১/১৯৮২</t>
  </si>
  <si>
    <t>মোঃ মহসিন আলী</t>
  </si>
  <si>
    <t>০৩/১১/১৯৭৯</t>
  </si>
  <si>
    <t>আলাহমদো শেখ</t>
  </si>
  <si>
    <t>মোছাঃ ফুলেশশা</t>
  </si>
  <si>
    <t>১৪/০৫/১৯৮৭</t>
  </si>
  <si>
    <t>মোঃ শাহোসান কবির</t>
  </si>
  <si>
    <t>মোছাঃ সহিদা খাতুন</t>
  </si>
  <si>
    <t>০৩/০২/১৯৭০</t>
  </si>
  <si>
    <t>রুফাত আলী শেখ</t>
  </si>
  <si>
    <t>০৩/০১/১৯৬৫</t>
  </si>
  <si>
    <t>মোঃ আনিসুর রহমান</t>
  </si>
  <si>
    <t>মোঃ নাজির আলী</t>
  </si>
  <si>
    <t>রুফাত আলী</t>
  </si>
  <si>
    <t>০৫/০২/১৯৭২</t>
  </si>
  <si>
    <t>শাহাদাত হোসেন</t>
  </si>
  <si>
    <t>মোঃ পাতান আলী</t>
  </si>
  <si>
    <t>আহামদো শেখ</t>
  </si>
  <si>
    <t>মোছাঃ ফুলজান</t>
  </si>
  <si>
    <t>২০/০৯/১৯৪৯</t>
  </si>
  <si>
    <t>মোঃ বজলুর রহমান</t>
  </si>
  <si>
    <t>মোঃ গোলাম পাঞ্জাতন</t>
  </si>
  <si>
    <t>শাহাদাত শেখ</t>
  </si>
  <si>
    <t>মোছাঃ রঙ্গীলা খাতুন</t>
  </si>
  <si>
    <t>১০/০৮/১৯৮৫</t>
  </si>
  <si>
    <t>আয়জদ্দীন</t>
  </si>
  <si>
    <t>মোছাঃ খোশজান</t>
  </si>
  <si>
    <t>০৬/০৪/১৯৪২</t>
  </si>
  <si>
    <t>মোঃ আবু তৈয়ব</t>
  </si>
  <si>
    <t>মোছাঃ বেদেনা খাতুন</t>
  </si>
  <si>
    <t>১১/০২/১৯৬৪</t>
  </si>
  <si>
    <t>মোছাঃ তসলিমা খাতুন</t>
  </si>
  <si>
    <t>১০/০১/১৯৮৭</t>
  </si>
  <si>
    <t>মোঃ সহরাফ হোসেন</t>
  </si>
  <si>
    <t>০৭/০২/১৯৮৩</t>
  </si>
  <si>
    <t>আরোজ আলী শেখ</t>
  </si>
  <si>
    <t>১০/০৫/১৯৫২</t>
  </si>
  <si>
    <t>মোঃ হাফিজুল হক</t>
  </si>
  <si>
    <t>মোঃ সহরাব হোসেন</t>
  </si>
  <si>
    <t>১২/১০/১৯৭৬</t>
  </si>
  <si>
    <t>মোঃ শাহেব আলী</t>
  </si>
  <si>
    <t>মোঃ মকলেছুর রহমান মুকুল</t>
  </si>
  <si>
    <t>মোছাঃ শহিদা বেগম</t>
  </si>
  <si>
    <t>আহাম্মদ আলী</t>
  </si>
  <si>
    <t>মোছাঃ মুলামজান</t>
  </si>
  <si>
    <t>১০/০৬/১৯৫৫</t>
  </si>
  <si>
    <t>মোছাঃ রাশিরা খাতুন</t>
  </si>
  <si>
    <t>১২/০১/১৯৫৯</t>
  </si>
  <si>
    <t>মোঃ দোয়াত আলী</t>
  </si>
  <si>
    <t>মোছাঃ তামসা</t>
  </si>
  <si>
    <t>০৬/০২/১৯৬৯</t>
  </si>
  <si>
    <t>১১/০৩/১৯৬২</t>
  </si>
  <si>
    <t>মোছাঃ মুসলিমা</t>
  </si>
  <si>
    <t>১৩/১০/১৯৮৩</t>
  </si>
  <si>
    <t>মোছাঃ নাছেরা খাতুন</t>
  </si>
  <si>
    <t>১৫/০৭/১৯৮১</t>
  </si>
  <si>
    <t>মছর আলী শেখ</t>
  </si>
  <si>
    <t>মোছাঃ তোতাজান</t>
  </si>
  <si>
    <t>৩০/১২/১৯৮১</t>
  </si>
  <si>
    <t>মোছাঃ তমসা</t>
  </si>
  <si>
    <t>০৬/০১/১৯৮১</t>
  </si>
  <si>
    <t>মোঃ আতাহার আলী</t>
  </si>
  <si>
    <t>মোছাঃ মেলজন</t>
  </si>
  <si>
    <t>মোছাঃ শরমজান</t>
  </si>
  <si>
    <t>০৯/০১/১৯৬৭</t>
  </si>
  <si>
    <t>মোছাঃ মিনা বেগম</t>
  </si>
  <si>
    <t>১৮/০৮/১৯৫৮</t>
  </si>
  <si>
    <t>এস, এম, নেয়ামুল আশরাফ</t>
  </si>
  <si>
    <t>০৪/০১/১৯৮৪</t>
  </si>
  <si>
    <t>এস, এম, মুস্তাফিজুর আশরাফ</t>
  </si>
  <si>
    <t>এস, এম, আব্দুল করিম</t>
  </si>
  <si>
    <t>মোছাঃ মানেজা বেগম</t>
  </si>
  <si>
    <t>৩০/১১/১৯৭০</t>
  </si>
  <si>
    <t>কে,এম, শাহিন ইউসুফ</t>
  </si>
  <si>
    <t>কে, এম, নাসির উদ্দীন</t>
  </si>
  <si>
    <t>মোছাঃ শাহিন আরা</t>
  </si>
  <si>
    <t>০৩/০১/১৯৮৮</t>
  </si>
  <si>
    <t>এস, এম শফিউল ইসলাম</t>
  </si>
  <si>
    <t>এস,এম আব্দুল করিম</t>
  </si>
  <si>
    <t>৩০/১২/১৯৭০</t>
  </si>
  <si>
    <t>মোঃ ডালিম হোসেন</t>
  </si>
  <si>
    <t>০৯/০৫/১৯৭৯</t>
  </si>
  <si>
    <t>১২/০৩/১৯৭৪</t>
  </si>
  <si>
    <t>১২/০৬/১৯৭১</t>
  </si>
  <si>
    <t>০২/০৩/১৯৫৭</t>
  </si>
  <si>
    <t>০৩/০১/১৯৫২</t>
  </si>
  <si>
    <t>০৫/০৪/১৯৬৫</t>
  </si>
  <si>
    <t>১০/০১/১৯৪২</t>
  </si>
  <si>
    <t>মোছাঃ রাবেয়া বেগম</t>
  </si>
  <si>
    <t>০৭/০১/১৯৭৫</t>
  </si>
  <si>
    <t>মোঃ আলমগীর কবির</t>
  </si>
  <si>
    <t>১০/০৬/১৯৮৬</t>
  </si>
  <si>
    <t>মোঃ মনটু আলী</t>
  </si>
  <si>
    <t>মোছাঃ মনোয়ারা বেগম</t>
  </si>
  <si>
    <t>০৫/০৮/১৯৭৬</t>
  </si>
  <si>
    <t>আফছার আলী</t>
  </si>
  <si>
    <t>০৮/০৩/১৯৬৭</t>
  </si>
  <si>
    <t>মছর আলী</t>
  </si>
  <si>
    <t>০৯/০৩/১৯৬৫</t>
  </si>
  <si>
    <t>মোঃ ছানাউল ইসলাম</t>
  </si>
  <si>
    <t>০২/০১/১৯৮৪</t>
  </si>
  <si>
    <t>মোছাঃ বেগম খাতুন</t>
  </si>
  <si>
    <t>০৩/০২/১৯৮৩</t>
  </si>
  <si>
    <t>মোছাঃ মিলু বেগম</t>
  </si>
  <si>
    <t>০১/০৬/১৯৭৫</t>
  </si>
  <si>
    <t>১৩/০১/১৯৮১</t>
  </si>
  <si>
    <t>০৬/০১/১৯৭১</t>
  </si>
  <si>
    <t>মোঃ লালোন খাঁ</t>
  </si>
  <si>
    <t>মোঃ দৌলত খাঁ</t>
  </si>
  <si>
    <t>মোছাঃ আদরী খাতুন</t>
  </si>
  <si>
    <t>মোঃ হুমায়ুন কবির</t>
  </si>
  <si>
    <t>১০/০১/১৯৮৮</t>
  </si>
  <si>
    <t>মোঃ আশিক মোস্তফা</t>
  </si>
  <si>
    <t>মোছাঃ আক্তার বানু</t>
  </si>
  <si>
    <t>০৮/০৪/১৯৮৮</t>
  </si>
  <si>
    <t>মোঃ হাচান</t>
  </si>
  <si>
    <t>০৩/০১/১৯৮১</t>
  </si>
  <si>
    <t>০৭/০৫/১৯৮৫</t>
  </si>
  <si>
    <t>মোঃ ছাবহান আলী</t>
  </si>
  <si>
    <t>০৭/০৪/১৯৮০</t>
  </si>
  <si>
    <t>১০/০১/১৯৮৫</t>
  </si>
  <si>
    <t>০৫/০২/১৯৫৮</t>
  </si>
  <si>
    <t>মোঃ শাহিনুর রহমান সুজন</t>
  </si>
  <si>
    <t>মোছাঃ রেবেকা খাতুন</t>
  </si>
  <si>
    <t>০৬/০৫/১৯৮৮</t>
  </si>
  <si>
    <t>মোঃ সেন্টু মিয়া</t>
  </si>
  <si>
    <t>০৭/০৬/১৯৮২</t>
  </si>
  <si>
    <t>মোছাঃ ইমামন নেছা</t>
  </si>
  <si>
    <t>১০/০৩/১৯৩২</t>
  </si>
  <si>
    <t>মোঃ আইনাল হক</t>
  </si>
  <si>
    <t>০৮/০৩/১৯৮৭</t>
  </si>
  <si>
    <t>মোঃ লাল চাঁদ</t>
  </si>
  <si>
    <t>ছিয়ামদ্দীন শেখ</t>
  </si>
  <si>
    <t>মোছাঃ লালবুড়ি</t>
  </si>
  <si>
    <t>১০/০৮/১৯৬৫</t>
  </si>
  <si>
    <t>মোঃ মুশফিকুর রশীদ</t>
  </si>
  <si>
    <t>রওশন আরা বেগম</t>
  </si>
  <si>
    <t>১৫/১০/১৯৮৫</t>
  </si>
  <si>
    <t>মোঃ শাহিনুর রহমান</t>
  </si>
  <si>
    <t>মোঃ শাকিল হাসান</t>
  </si>
  <si>
    <t>মোঃ নবীরদ্দীন শেখ</t>
  </si>
  <si>
    <t>মোছাঃ শিরিয়া বেগম</t>
  </si>
  <si>
    <t>০৩/০২/১৯৭৭</t>
  </si>
  <si>
    <t>এস, এম সালাউদ্দিন</t>
  </si>
  <si>
    <t>মোছাঃ খাদেজা আক্তার</t>
  </si>
  <si>
    <t>২৮/১২/১৯৭৭</t>
  </si>
  <si>
    <t>মোঃ জিল্লুর রহমান</t>
  </si>
  <si>
    <t>০৩/০৫/১৯৮৩</t>
  </si>
  <si>
    <t>০২/০৩/১৯৮৮</t>
  </si>
  <si>
    <t>আফছার সিমান্দার</t>
  </si>
  <si>
    <t>মোঃ আরশাদ আলী শেখ</t>
  </si>
  <si>
    <t>০২/০৩/১৯৮২</t>
  </si>
  <si>
    <t>মোঃ সাজ্জাদ হোসেন সাজু</t>
  </si>
  <si>
    <t>মোছাঃ পুতুল বেগম</t>
  </si>
  <si>
    <t>০৩/০৫/১৯৮৭</t>
  </si>
  <si>
    <t>সাদেক আলী</t>
  </si>
  <si>
    <t>১২/১১/১৯৬২</t>
  </si>
  <si>
    <t>বাঁশবাড়ীয়া, গাড়াবোড়, গাংনী, মেহেরপুর</t>
  </si>
  <si>
    <t>মোহাঃ গোলাম মূর্তজা</t>
  </si>
  <si>
    <t>হাসিনা বেগম</t>
  </si>
  <si>
    <t>১০/০১/১৯৭৮</t>
  </si>
  <si>
    <t>গাড়াবোড়, বাঁশবাড়ীয়া, গাংনী, মেহেরপুর</t>
  </si>
  <si>
    <t>মোহাঃ আবুজার গাফ্ফারী</t>
  </si>
  <si>
    <t>মোঃ মহিউদ্দীন</t>
  </si>
  <si>
    <t>২৫/১১/১৯৮২</t>
  </si>
  <si>
    <t>আজাহার মন্ডল</t>
  </si>
  <si>
    <t>মোছাঃ সারা খাতুন</t>
  </si>
  <si>
    <t>১০/০৭/১৯৪৮</t>
  </si>
  <si>
    <t>বাঁশবাড়িয়া, গাড়াবোড়, গাংনী, মেহেরপুর</t>
  </si>
  <si>
    <t>মোহাঃ মাসুদ রানা</t>
  </si>
  <si>
    <t>১৫/১০/১৯৮৭</t>
  </si>
  <si>
    <t>১০/১১/১৯৭৭</t>
  </si>
  <si>
    <t>১২/০৬/১৯৬২</t>
  </si>
  <si>
    <t>মোঃ জহির উদ্দীন</t>
  </si>
  <si>
    <t>শেরআলী মন্ডল</t>
  </si>
  <si>
    <t>১২/০৭/১৯৪৭</t>
  </si>
  <si>
    <t>মোঃ আলামীন</t>
  </si>
  <si>
    <t>মোঃ জহিরুদ্দীন</t>
  </si>
  <si>
    <t>১৫/০৬/১৯৭৭</t>
  </si>
  <si>
    <t>মোঃ তরিকুল ইসলাম মিন্টু</t>
  </si>
  <si>
    <t>মোঃ সিদ্দীকুর রহমান</t>
  </si>
  <si>
    <t>১০/১১/১৯৮২</t>
  </si>
  <si>
    <t>১৬/০৬/১৯৭২</t>
  </si>
  <si>
    <t>মোঃ লাভলু হোসেন</t>
  </si>
  <si>
    <t>১৫/০৯/১৯৭১</t>
  </si>
  <si>
    <t>মজেস আলী</t>
  </si>
  <si>
    <t>১৫/০৭/১৯৫৬</t>
  </si>
  <si>
    <t>মোছাঃ মলেজান বিবি</t>
  </si>
  <si>
    <t>১৮/১০/১৯৮৪</t>
  </si>
  <si>
    <t>মোছাঃ আসিয়া খাতুন</t>
  </si>
  <si>
    <t>১৬/০৬/১৯৫৮</t>
  </si>
  <si>
    <t>মোঃ মনিরুল হক</t>
  </si>
  <si>
    <t>আফিল উদ্দীন</t>
  </si>
  <si>
    <t>ছাহারন নেছা</t>
  </si>
  <si>
    <t>মোছাঃ সালেহার</t>
  </si>
  <si>
    <t>১৬/০৬/১৯৬৫</t>
  </si>
  <si>
    <t>মোঃ নবিরুল ইসলাম</t>
  </si>
  <si>
    <t>মোঃ হাফিজুদ্দীন</t>
  </si>
  <si>
    <t>মোছাঃ নাসিমা খাতুন</t>
  </si>
  <si>
    <t>১৫/০৬/১৯৮২</t>
  </si>
  <si>
    <t>মোঃ হাফিজ উদ্দীন</t>
  </si>
  <si>
    <t>১১/০৭/১৯৮৫</t>
  </si>
  <si>
    <t>মোঃ পলাশ পাতান</t>
  </si>
  <si>
    <t>রইচউদ্দীন</t>
  </si>
  <si>
    <t>১৮/০৮/১৯৭২</t>
  </si>
  <si>
    <t>মোঃ হাফিজ উদ্দিন</t>
  </si>
  <si>
    <t>রইচ উদ্দীন</t>
  </si>
  <si>
    <t>১৫/১০/১৯৫৯</t>
  </si>
  <si>
    <t>মোঃ ইজারুল হক</t>
  </si>
  <si>
    <t>জুমুত মন্ডল</t>
  </si>
  <si>
    <t>মোছাঃ পীরপ নেছা</t>
  </si>
  <si>
    <t>৩০/০৬/১৯৮২</t>
  </si>
  <si>
    <t>১৮/০৮/১৯৮৫</t>
  </si>
  <si>
    <t>মোঃ আকবর হোসেন</t>
  </si>
  <si>
    <t>মোছাঃ ভানুয়ারা</t>
  </si>
  <si>
    <t>০৭/০৮/১৯৮০</t>
  </si>
  <si>
    <t>মোঃ বিপ্লব হোসেন</t>
  </si>
  <si>
    <t>১৫/০৮/১৯৮২</t>
  </si>
  <si>
    <t>মোছাঃ আমেনা</t>
  </si>
  <si>
    <t>১০/১১/১৯৭৩</t>
  </si>
  <si>
    <t>মোহাঃ সিদ্দীকুর রহমান</t>
  </si>
  <si>
    <t>আত্তাব মন্ডল</t>
  </si>
  <si>
    <t>মোছাঃ নিজারন খাতুন</t>
  </si>
  <si>
    <t>২০/১০/১৯৮২</t>
  </si>
  <si>
    <t>পাচু শেখ</t>
  </si>
  <si>
    <t>মোছাঃ সায়রা খাতুন</t>
  </si>
  <si>
    <t>১২/০৯/১৯৮৭</t>
  </si>
  <si>
    <t>ইয়াকুব আলী শেখ</t>
  </si>
  <si>
    <t>বাজেদা খাতুন</t>
  </si>
  <si>
    <t>মোঃ ইয়াসিন আলী</t>
  </si>
  <si>
    <t>ফকির মলিথা</t>
  </si>
  <si>
    <t>নেকজান খাতুন</t>
  </si>
  <si>
    <t>২৮/০৯/১৯৫২</t>
  </si>
  <si>
    <t>মোছাঃ নুরনাহার</t>
  </si>
  <si>
    <t>১২/০৯/১৯৭৮</t>
  </si>
  <si>
    <t>মোঃ মাসুদ আলী</t>
  </si>
  <si>
    <t>মোশারেফ হোসেন</t>
  </si>
  <si>
    <t>১৮/০৮/১৯৬৫</t>
  </si>
  <si>
    <t>মোহাঃ আলমগীর হোসেন</t>
  </si>
  <si>
    <t>ছফিরুদ্দিন খান</t>
  </si>
  <si>
    <t>০৫/১০/১৯৭৮</t>
  </si>
  <si>
    <t>মোছাঃ সামেনা খাতুন</t>
  </si>
  <si>
    <t>রহমত শেখ</t>
  </si>
  <si>
    <t>১২/১২/১৯৭২</t>
  </si>
  <si>
    <t>মোঃ আলমাছ হোসেন</t>
  </si>
  <si>
    <t>মোশারফ হোসেন</t>
  </si>
  <si>
    <t>২০/০৬/১৯৭৪</t>
  </si>
  <si>
    <t>২৫/০৮/১৯৭৩</t>
  </si>
  <si>
    <t>মোঃ বনি আমীন</t>
  </si>
  <si>
    <t>১৭/০৮/১৯৮৮</t>
  </si>
  <si>
    <t>মোঃ আবু সুফিয়ান</t>
  </si>
  <si>
    <t>২৮/০৮/১৯৮৩</t>
  </si>
  <si>
    <t>মহির উদ্দীন</t>
  </si>
  <si>
    <t>১০/০৮/১৯৫৫</t>
  </si>
  <si>
    <t>মোছাঃ সোহাগী খাতুন</t>
  </si>
  <si>
    <t>১২/০৮/১৯৮২</t>
  </si>
  <si>
    <t>০১, গাড়াবোড়, গাংনী, মেহেরপুর</t>
  </si>
  <si>
    <t>মেছন বেওয়া</t>
  </si>
  <si>
    <t>১৮/১০/১৯৪২</t>
  </si>
  <si>
    <t>মোঃ ওয়াজেদ আলী</t>
  </si>
  <si>
    <t>১২/০২/১৯৬৮</t>
  </si>
  <si>
    <t>মোঃ ওয়াজেদ আলি</t>
  </si>
  <si>
    <t>মোছাঃ আকিয়া খাতুন</t>
  </si>
  <si>
    <t>১৭/০৭/১৯৭০</t>
  </si>
  <si>
    <t>মোছাঃ আমিয়া খাতুন</t>
  </si>
  <si>
    <t>২২/০৪/১৯৬৬</t>
  </si>
  <si>
    <t>মোছাঃ মায়া খাতুন</t>
  </si>
  <si>
    <t>১৮/০২/১৯৮৮</t>
  </si>
  <si>
    <t>১০/০৭/১৯৭৫</t>
  </si>
  <si>
    <t>মোঃ দুলাল আলী</t>
  </si>
  <si>
    <t>মোঃ হারান আলী</t>
  </si>
  <si>
    <t>মোছাঃ দুলু খাতুন</t>
  </si>
  <si>
    <t>১৫/০৫/১৯৮১</t>
  </si>
  <si>
    <t>২৭/০৬/১৯৭৭</t>
  </si>
  <si>
    <t>মোঃ মজিবার রহমান</t>
  </si>
  <si>
    <t>মুকবুল হোসেন</t>
  </si>
  <si>
    <t>মোছাঃ মজিরা খাতুন</t>
  </si>
  <si>
    <t>১৫/০১/১৯৬৪</t>
  </si>
  <si>
    <t>মুন্তাজ আলী শেখ</t>
  </si>
  <si>
    <t>১৪/০৪/১৯৫৭</t>
  </si>
  <si>
    <t>মোঃ কামাল উদ্দীন</t>
  </si>
  <si>
    <t>নিজাম উদ্দিন</t>
  </si>
  <si>
    <t>মোছাঃ জামিরন নেছা</t>
  </si>
  <si>
    <t>২৭/০৭/১৯৭২</t>
  </si>
  <si>
    <t>১৭/০৮/১৯৭৮</t>
  </si>
  <si>
    <t>আব্দুর রাজ্জাক</t>
  </si>
  <si>
    <t>২১/০৭/১৯৫৭</t>
  </si>
  <si>
    <t>২২/১০/১৯৫৭</t>
  </si>
  <si>
    <t>মোছাঃ আহিয়া খাতুন</t>
  </si>
  <si>
    <t>২৭/০৫/১৯৫৮</t>
  </si>
  <si>
    <t>মোঃ সিদ্দিক আলী</t>
  </si>
  <si>
    <t>আহমাদ আলী</t>
  </si>
  <si>
    <t>মোছাঃ খোদেজা</t>
  </si>
  <si>
    <t>১৯/১২/১৯৭৭</t>
  </si>
  <si>
    <t>রফেজ উদ্দিন শেখ</t>
  </si>
  <si>
    <t>মোছাঃ খোদেজা খাতুন</t>
  </si>
  <si>
    <t>২৮/০৯/১৯৮২</t>
  </si>
  <si>
    <t>মোঃ মিরাজুল ইসলাম মিন্টু</t>
  </si>
  <si>
    <t>১৬/০৬/১৯৮৮</t>
  </si>
  <si>
    <t>মোঃ আইয়ুব আলী</t>
  </si>
  <si>
    <t>হুফের উদ্দিন খান</t>
  </si>
  <si>
    <t>২৮/০৮/১৯৬৫</t>
  </si>
  <si>
    <t>মোঃ সারোয়ার হোসেন</t>
  </si>
  <si>
    <t>ছফিরুদ্দীন খান</t>
  </si>
  <si>
    <t>২২/০৬/১৯৬৬</t>
  </si>
  <si>
    <t>ছফিরুদ্দিন খাঁ</t>
  </si>
  <si>
    <t>ইয়াকুব আলী</t>
  </si>
  <si>
    <t>বোজেদা খাতুন</t>
  </si>
  <si>
    <t>১২/০৯/১৯৭৫</t>
  </si>
  <si>
    <t>মোঃ শওকত আলী সুজন</t>
  </si>
  <si>
    <t>মোছাঃ সাহারা খাতুন</t>
  </si>
  <si>
    <t>মোঃ মখলেছুর রহমান</t>
  </si>
  <si>
    <t>মোঃ মসলেম উদ্দীন বিশ্বাস</t>
  </si>
  <si>
    <t>১৬/০৯/১৯৭২</t>
  </si>
  <si>
    <t>মোঃ মসলেম উদ্দিন বিশ্বাস</t>
  </si>
  <si>
    <t>মোছাঃ জামেদা খাতুন</t>
  </si>
  <si>
    <t>১৬/০৮/১৯৭৯</t>
  </si>
  <si>
    <t>ছফির উদ্দীন খান</t>
  </si>
  <si>
    <t>০৭/০৫/১৯৬১</t>
  </si>
  <si>
    <t>বজু খাতুন</t>
  </si>
  <si>
    <t>০৩/০৯/১৯৬৫</t>
  </si>
  <si>
    <t>মোঃ জাহরুল ইসলাম</t>
  </si>
  <si>
    <t>১৬/০৫/১৯৮৩</t>
  </si>
  <si>
    <t>মোঃ গোলজার হোসেন</t>
  </si>
  <si>
    <t>মোছাঃ রইজোন খাতুন</t>
  </si>
  <si>
    <t>১৩/০৬/১৯৭৫</t>
  </si>
  <si>
    <t>মোঃ নুরুল আমীন</t>
  </si>
  <si>
    <t>মোঃ আঃব্দুর মজিদ</t>
  </si>
  <si>
    <t>আমেলা খাতুন</t>
  </si>
  <si>
    <t>১২/১১/১৯৭১</t>
  </si>
  <si>
    <t>মোঃ হাবিল উদ্দিন</t>
  </si>
  <si>
    <t>মোছাঃ য়ৈমন</t>
  </si>
  <si>
    <t>২১/০৮/১৯৫৭</t>
  </si>
  <si>
    <t>মোঃ আবের আলী</t>
  </si>
  <si>
    <t>খয়ের উদ্দীন শেখ</t>
  </si>
  <si>
    <t>২৮/১২/১৯৫৭</t>
  </si>
  <si>
    <t>২৫/০৮/১৯৮২</t>
  </si>
  <si>
    <t>মোঃ ঈদবার আলী</t>
  </si>
  <si>
    <t>দাউদ আলী শেখ</t>
  </si>
  <si>
    <t>২২/০৮/১৯৭৭</t>
  </si>
  <si>
    <t>নাম: আশরাফ আলী</t>
  </si>
  <si>
    <t>পিতা: মো: গোলাম পাঞ্জাতন শেখ</t>
  </si>
  <si>
    <t>মাতা: আবেদা খাতুন</t>
  </si>
  <si>
    <t>ভোটার নং: ৫৭০০৩৮৩৫৬৮২৮</t>
  </si>
  <si>
    <t>জন্ম তারিখ: ২৫/০৫/১৯৬৩</t>
  </si>
  <si>
    <t>পেশা: মিস্ত্রী</t>
  </si>
  <si>
    <t>ঠিকানা: গাড়াবোব</t>
  </si>
  <si>
    <t xml:space="preserve"> মেহেরপুর</t>
  </si>
  <si>
    <t>নাম: মো: আব্দুস সাত্তার</t>
  </si>
  <si>
    <t>পিতা: মো: এলমান শেখ</t>
  </si>
  <si>
    <t>মাতা: জমেলা খাতুন</t>
  </si>
  <si>
    <t>ভোটার নং: ৫৭০০৩৮৩৫৬৬২৯</t>
  </si>
  <si>
    <t>জন্ম তারিখ: ১২/০৮/১৯৫৭</t>
  </si>
  <si>
    <t>পেশা: ব্যবসা</t>
  </si>
  <si>
    <t>নাম: এস এম আব্দুল কুদ্দুস</t>
  </si>
  <si>
    <t>পিতা: এস এম আনোয়ার হোসেন</t>
  </si>
  <si>
    <t>ভোটার নং: ৫৭০০৩৮৩৫৬৬৩২</t>
  </si>
  <si>
    <t>জন্ম তারিখ: ২৪/০৬/১৯৭৪</t>
  </si>
  <si>
    <t>পেশা: বেসরকারী চাকুরী</t>
  </si>
  <si>
    <t>নাম: মোহা: হামিজ উদ্দীন</t>
  </si>
  <si>
    <t>পিতা: আতের আলী শেখ</t>
  </si>
  <si>
    <t>মাতা: পরিছন</t>
  </si>
  <si>
    <t>ভোটার নং: ৫৭০০৩৮৩৫৬৬৩৬</t>
  </si>
  <si>
    <t>জন্ম তারিখ: ০১/০১/১৯৬৮</t>
  </si>
  <si>
    <t>পেশা: শিক্ষক</t>
  </si>
  <si>
    <t>নাম: মো: আব্দুর রাজ্জাক</t>
  </si>
  <si>
    <t>পিতা: মো: আনোয়ার হোসেন</t>
  </si>
  <si>
    <t>ভোটার নং: ৫৭০০৩৮৩৫৬৬৪০</t>
  </si>
  <si>
    <t>জন্ম তারিখ: ০২/০৪/১৯৬৭</t>
  </si>
  <si>
    <t>পেশা: কৃষক</t>
  </si>
  <si>
    <t>নাম: মো: গোলাম রসুল</t>
  </si>
  <si>
    <t>পিতা: কিয়ামদ্দিন</t>
  </si>
  <si>
    <t>ভোটার নং: ৫৭০০৩৮৩৫৬৬৪১</t>
  </si>
  <si>
    <t>জন্ম তারিখ: ১৪/০৭/১৯৬০</t>
  </si>
  <si>
    <t>নাম: মো: ইউনুছ আলী</t>
  </si>
  <si>
    <t>ভোটার নং: ৫৭০০৩৮৩৫৬৬৪২</t>
  </si>
  <si>
    <t>জন্ম তারিখ: ১৮/০৯/১৯৬৬</t>
  </si>
  <si>
    <t>পেশা: দিনমজুর</t>
  </si>
  <si>
    <t>নাম: মো: আরিফুল ইসলাম</t>
  </si>
  <si>
    <t>পিতা: মো: ইউনুছ আলী</t>
  </si>
  <si>
    <t>মাতা: মোছা: আনোয়ারা খাতুন</t>
  </si>
  <si>
    <t>ভোটার নং: ৫৭০০৩৮৩৫৬৬৪৪</t>
  </si>
  <si>
    <t>জন্ম তারিখ: ১২/০৮/১৯৮৭</t>
  </si>
  <si>
    <t>নাম: মো: আনেচ আলী</t>
  </si>
  <si>
    <t>ভোটার নং: ৫৭০০৩৮৩৫৬৬৪৫</t>
  </si>
  <si>
    <t>জন্ম তারিখ: ২১/১০/১৯৭০</t>
  </si>
  <si>
    <t>নাম: মো: নিয়াত আলী</t>
  </si>
  <si>
    <t>ভোটার নং: ৫৭০০৩৮৩৫৬৬৪৭</t>
  </si>
  <si>
    <t>জন্ম তারিখ: ১৭/০৯/১৯৬২</t>
  </si>
  <si>
    <t>নাম: মো: আব্দুল মালেক</t>
  </si>
  <si>
    <t>পিতা: মো: বরকত আলী</t>
  </si>
  <si>
    <t>মাতা: মোছা: নাছিমা খাতুন</t>
  </si>
  <si>
    <t>ভোটার নং: ৫৭০০৩৮৩৫৬৬৫৬</t>
  </si>
  <si>
    <t>জন্ম তারিখ: ০৯/০৮/১৯৮২</t>
  </si>
  <si>
    <t>নাম: মো: বরকত আলী</t>
  </si>
  <si>
    <t>পিতা: মো: বাবর আলী শেখ</t>
  </si>
  <si>
    <t>মাতা: মোছা: শরিফা খাতুন</t>
  </si>
  <si>
    <t>ভোটার নং: ৫৭০০৩৮৩৫৬৬৫৮</t>
  </si>
  <si>
    <t>জন্ম তারিখ: ০৭/০৯/১৯৫৭</t>
  </si>
  <si>
    <t>নাম: মো: ইউছুফ আলী মালিথা</t>
  </si>
  <si>
    <t>পিতা: ফকির মালিথা</t>
  </si>
  <si>
    <t>মাতা: নেকজান খাতুন</t>
  </si>
  <si>
    <t>ভোটার নং: ৫৭০০৩৮৩৫৬৬৬০</t>
  </si>
  <si>
    <t>জন্ম তারিখ: ১৬/০৯/১৯৫৭</t>
  </si>
  <si>
    <t>নাম: মো: আজিম উদ্দীন</t>
  </si>
  <si>
    <t>পিতা: মো: ছামছুদ্দিন শেখ</t>
  </si>
  <si>
    <t>মাতা: মোছা: খোদেজা</t>
  </si>
  <si>
    <t>ভোটার নং: ৫৭০০৩৮৩৫৬৬৬৩</t>
  </si>
  <si>
    <t>জন্ম তারিখ: ১২/০২/১৯৭৬</t>
  </si>
  <si>
    <t>নাম: মো: শফিকুল ইসলাম</t>
  </si>
  <si>
    <t>ভোটার নং: ৫৭০০৩৮৩৫৬৬৬৫</t>
  </si>
  <si>
    <t>জন্ম তারিখ: ১৬/০৫/১৯৮৫</t>
  </si>
  <si>
    <t>পেশা: শ্রমিক</t>
  </si>
  <si>
    <t>নাম: মো: রুস্তম আলী</t>
  </si>
  <si>
    <t>পিতা: মো: ছামহুদ্দিন শেখ</t>
  </si>
  <si>
    <t>মাতা: মোছা: খোদেজা খাতুন</t>
  </si>
  <si>
    <t>ভোটার নং: ৫৭০০৩৮৩৫৬৬৬৬</t>
  </si>
  <si>
    <t>জন্ম তারিখ: ২১/০৩/১৯৬৫</t>
  </si>
  <si>
    <t>নাম: মো: ছানোয়ার হোসেন</t>
  </si>
  <si>
    <t>পিতা: মো: ইউছুফ মালিথা</t>
  </si>
  <si>
    <t>মাতা: হানিফা খাতুন</t>
  </si>
  <si>
    <t>ভোটার নং: ৫৭০০৩৮৩৫৬৬৬৯</t>
  </si>
  <si>
    <t>জন্ম তারিখ: ০৬/০৪/১৯৭৯</t>
  </si>
  <si>
    <t>নাম: মোহা: তানভীর আহমেদ</t>
  </si>
  <si>
    <t>পিতা: মো: আবু বক্কর</t>
  </si>
  <si>
    <t>মাতা: মোছা: রেহেনা পারভিন</t>
  </si>
  <si>
    <t>ভোটার নং: ৫৭০০৩৮৩৫৬৬৭০</t>
  </si>
  <si>
    <t>জন্ম তারিখ: ১০/১২/১৯৮৬</t>
  </si>
  <si>
    <t>পেশা: ছাত্র/ছাত্রী</t>
  </si>
  <si>
    <t>নাম: মো: রফিকুল ইসলাম</t>
  </si>
  <si>
    <t>পিতা: মো: মসলেম শেখ</t>
  </si>
  <si>
    <t>মাতা: মোছা: রোকেয়া খাতুন</t>
  </si>
  <si>
    <t>ভোটার নং: ৫৭০০৩৮৩৫৬৬৭২</t>
  </si>
  <si>
    <t>জন্ম তারিখ: ১৬/০৮/১৯৬৯</t>
  </si>
  <si>
    <t>নাম: মো: বানাত আলী</t>
  </si>
  <si>
    <t>ভোটার নং: ৫৭০০৩৮৩৫৬৬৭৩</t>
  </si>
  <si>
    <t>জন্ম তারিখ: ০৭/১২/১৯৮২</t>
  </si>
  <si>
    <t>নাম: মো: জামিরুল ইসলাম</t>
  </si>
  <si>
    <t>পিতা: মো: মোরজেত আলী</t>
  </si>
  <si>
    <t>মাতা: মোছা: ছামিরন নেছা</t>
  </si>
  <si>
    <t>ভোটার নং: ৫৭০০৩৮৩৫৬৬৭৫</t>
  </si>
  <si>
    <t>জন্ম তারিখ: ২৫/১০/১৯৬৭</t>
  </si>
  <si>
    <t>পিতা: মো: সামসুদ্দিন শেখ</t>
  </si>
  <si>
    <t>মাতা: মোছা: খোদেজা বেগম</t>
  </si>
  <si>
    <t>ভোটার নং: ৫৭০০৩৮৩৫৬৬৭৬</t>
  </si>
  <si>
    <t>জন্ম তারিখ: ২৭/০৮/১৯৮২</t>
  </si>
  <si>
    <t>নাম: মো: মনিরুল ইসলাম</t>
  </si>
  <si>
    <t>মাতা: জামেনা খাতুন</t>
  </si>
  <si>
    <t>ভোটার নং: ৫৭০০৩৮৩৫৬৬৭৭</t>
  </si>
  <si>
    <t>জন্ম তারিখ: ০৮/১০/১৯৮২</t>
  </si>
  <si>
    <t>নাম: মো: বাবর আলী শেখ</t>
  </si>
  <si>
    <t>পিতা: জহিরুদ্দিন শেখ</t>
  </si>
  <si>
    <t>মাতা: জবেদা খাতুন</t>
  </si>
  <si>
    <t>ভোটার নং: ৫৭০০৩৮৩৫৬৬৭৮</t>
  </si>
  <si>
    <t>জন্ম তারিখ: ১৪/১২/১৯৫০</t>
  </si>
  <si>
    <t>নাম: মো: আজগর আলী</t>
  </si>
  <si>
    <t>মাতা: মোছা: মর্জিনা খাতুন</t>
  </si>
  <si>
    <t>ভোটার নং: ৫৭০০৩৮৩৫৬৬৭৯</t>
  </si>
  <si>
    <t>জন্ম তারিখ: ২১/১০/১৯৮১</t>
  </si>
  <si>
    <t>নাম: মো: ইদ্রিস আলী</t>
  </si>
  <si>
    <t>পিতা: মো: তাহাজ উদ্দীন</t>
  </si>
  <si>
    <t>মাতা: মোছা: আছিয়া খাতুন</t>
  </si>
  <si>
    <t>ভোটার নং: ৫৭০০৩৮৩৫৬৬৮০</t>
  </si>
  <si>
    <t>জন্ম তারিখ: ০৬/০৩/১৯৮২</t>
  </si>
  <si>
    <t>নাম: মো: শাহ আলম বাদশা</t>
  </si>
  <si>
    <t>পিতা: মো: আব্দুর রশিদ</t>
  </si>
  <si>
    <t>মাতা: মোছা: মাবিয়া খাতুন</t>
  </si>
  <si>
    <t>ভোটার নং: ৫৭০০৩৮৩৫৬৬৮১</t>
  </si>
  <si>
    <t>জন্ম তারিখ: ১৪/০৯/১৯৮২</t>
  </si>
  <si>
    <t>নাম: মো: গোলাম মালিথা</t>
  </si>
  <si>
    <t>ভোটার নং: ৫৭০০৩৮৩৫৬৬৮২</t>
  </si>
  <si>
    <t>জন্ম তারিখ: ২২/০৪/১৯৫৭</t>
  </si>
  <si>
    <t>নাম: মো: আবু বক্কর</t>
  </si>
  <si>
    <t>পিতা: মো: কলিম উদ্দীন</t>
  </si>
  <si>
    <t>ভোটার নং: ৫৭০০৩৮৩৫৬৬৮৬</t>
  </si>
  <si>
    <t>জন্ম তারিখ: ০২/০৩/১৯৬১</t>
  </si>
  <si>
    <t>পেশা: সরকারী চাকুরী</t>
  </si>
  <si>
    <t>নাম: মো: সাফায়াত হোসেন</t>
  </si>
  <si>
    <t>পিতা: মো: নাসির উদ্দীন</t>
  </si>
  <si>
    <t>মাতা: আলেক জান</t>
  </si>
  <si>
    <t>ভোটার নং: ৫৭০০৩৮৩৫৬৬৮৮</t>
  </si>
  <si>
    <t>জন্ম তারিখ: ১৫/১০/১৯৫৯</t>
  </si>
  <si>
    <t>নাম: মো: আশরাফুল ইসলাম</t>
  </si>
  <si>
    <t>ভোটার নং: ৫৭০০৩৮৩৫৬৬৮৯</t>
  </si>
  <si>
    <t>জন্ম তারিখ: ১০/০৬/১৯৭১</t>
  </si>
  <si>
    <t>নাম: মো: চাঁদ আলী</t>
  </si>
  <si>
    <t>পিতা: সাবিতুল্লাহ শেখ</t>
  </si>
  <si>
    <t>মাতা: ফজিলা খাতুন</t>
  </si>
  <si>
    <t>ভোটার নং: ৫৭০০৩৮৩৫৬৬৯০</t>
  </si>
  <si>
    <t>জন্ম তারিখ: ০২/০৪/১৯৮১</t>
  </si>
  <si>
    <t>নাম: মোহা: রাজিকুল ইসলাম</t>
  </si>
  <si>
    <t>পিতা: মোহা: নুরুল ইসলাম</t>
  </si>
  <si>
    <t>মাতা: মোহা: রাজিয়া খাতুন</t>
  </si>
  <si>
    <t>ভোটার নং: ৫৭০০৩৮৩৫৬৬৯৪</t>
  </si>
  <si>
    <t>জন্ম তারিখ: ১৫/১২/১৯৮৭</t>
  </si>
  <si>
    <t>নাম: মো: সালাউদ্দীন</t>
  </si>
  <si>
    <t>পিতা: মো: মহিউদ্দীন</t>
  </si>
  <si>
    <t>ভোটার নং: ৫৭০০৩৮৩৫৬৬৯৫</t>
  </si>
  <si>
    <t>জন্ম তারিখ: ০২/০১/১৯৮৭</t>
  </si>
  <si>
    <t>নাম: মো: আব্দুল হান্নান</t>
  </si>
  <si>
    <t>পিতা: মো: আবুল কালাম</t>
  </si>
  <si>
    <t>মাতা: মোছা: বেদেনা খাতুন</t>
  </si>
  <si>
    <t>ভোটার নং: ৫৭০০৩৮৩৫৬৭০২</t>
  </si>
  <si>
    <t>জন্ম তারিখ: ২৭/০৬/১৯৬২</t>
  </si>
  <si>
    <t>নাম: মো: আবুল কালাম</t>
  </si>
  <si>
    <t>পিতা: ফাকের আলী</t>
  </si>
  <si>
    <t>মাতা: জাসিমন নেছা</t>
  </si>
  <si>
    <t>ভোটার নং: ৫৭০০৩৮৩৫৬৭০৩</t>
  </si>
  <si>
    <t>জন্ম তারিখ: ০৪/০৫/১৯২৫</t>
  </si>
  <si>
    <t>পেশা: বেকার</t>
  </si>
  <si>
    <t>নাম: মো: আব্দুর রহিম</t>
  </si>
  <si>
    <t>ভোটার নং: ৫৭০০৩৮৩৫৬৭০৫</t>
  </si>
  <si>
    <t>জন্ম তারিখ: ১৫/০৯/১৯৭১</t>
  </si>
  <si>
    <t>নাম: মো: জমিরুল ইসলাম</t>
  </si>
  <si>
    <t>পিতা: মো: আবুল হোসেন</t>
  </si>
  <si>
    <t>মাতা: মোছা: নেকজান খাতুন</t>
  </si>
  <si>
    <t>ভোটার নং: ৫৭০০৩৮৩৫৬৭১২</t>
  </si>
  <si>
    <t>জন্ম তারিখ: ০৬/০৬/১৯৮০</t>
  </si>
  <si>
    <t>নাম: মো: শরিফুল ইসলাম</t>
  </si>
  <si>
    <t>পিতা: মো: আব্দুল খালেক</t>
  </si>
  <si>
    <t>মাতা: মোছা: সাহিদা খাতুন</t>
  </si>
  <si>
    <t>ভোটার নং: ৫৭০০৩৮৩৫৬৭১৬</t>
  </si>
  <si>
    <t>জন্ম তারিখ: ১২/০৩/১৯৬৫</t>
  </si>
  <si>
    <t>নাম: মো: আক্কাচ আলী</t>
  </si>
  <si>
    <t>পিতা: আজগার আলী</t>
  </si>
  <si>
    <t>ভোটার নং: ৫৭০০৩৮৩৫৬৭২১</t>
  </si>
  <si>
    <t>জন্ম তারিখ: ২৩/০৯/১৯৬০</t>
  </si>
  <si>
    <t>নাম: মো: আনিছুর রহমান</t>
  </si>
  <si>
    <t>পিতা: হেকমত শেখ</t>
  </si>
  <si>
    <t>মাতা: মোছা: জহেরা বেগম</t>
  </si>
  <si>
    <t>ভোটার নং: ৫৭০০৩৮৩৫৬৭২৪</t>
  </si>
  <si>
    <t>জন্ম তারিখ: ২৯/১০/১৯৬৩</t>
  </si>
  <si>
    <t>নাম: মো: ছবেদ আলী</t>
  </si>
  <si>
    <t>পিতা: ছাদের আলী</t>
  </si>
  <si>
    <t>মাতা: হায়রুন নেছা</t>
  </si>
  <si>
    <t>ভোটার নং: ৫৭০০৩৮৩৫৬৭২৮</t>
  </si>
  <si>
    <t>জন্ম তারিখ: ১৭/০৭/১৯৪৮</t>
  </si>
  <si>
    <t>নাম: মো: আওলাদ হোসেন</t>
  </si>
  <si>
    <t>পিতা: শুকুর আলী</t>
  </si>
  <si>
    <t>মাতা: মোছা: জবেদা খাতুন</t>
  </si>
  <si>
    <t>ভোটার নং: ৫৭০০৩৮৩৫৬৭৩০</t>
  </si>
  <si>
    <t>জন্ম তারিখ: ১৯/০২/১৯৬৮</t>
  </si>
  <si>
    <t>নাম: মোহা: মহসীন আলী</t>
  </si>
  <si>
    <t>ভোটার নং: ৫৭০০৩৮৩৫৬৭৩৪</t>
  </si>
  <si>
    <t>জন্ম তারিখ: ২৬/০২/১৯৭৭</t>
  </si>
  <si>
    <t>নাম: মো: জাফর আলী</t>
  </si>
  <si>
    <t>পিতা: মো: আব্দুল শাফী</t>
  </si>
  <si>
    <t>মাতা: মোছা: বুলু নেছা</t>
  </si>
  <si>
    <t>ভোটার নং: ৫৭০০৩৮৩৫৬৭৩৯</t>
  </si>
  <si>
    <t>জন্ম তারিখ: ১৭/০৯/১৯৮৮</t>
  </si>
  <si>
    <t>নাম: মো: আব্দুল গণি</t>
  </si>
  <si>
    <t>ভোটার নং: ৫৭০০৩৮৩৫৬৭৪০</t>
  </si>
  <si>
    <t>জন্ম তারিখ: ০২/০১/১৯৭৯</t>
  </si>
  <si>
    <t>নাম: মো: তৌহিদুল ইসলাম</t>
  </si>
  <si>
    <t>মাতা: মোছা: তহুরা খাতুন</t>
  </si>
  <si>
    <t>ভোটার নং: ৫৭০০৩৮৩৫৬৭৬০</t>
  </si>
  <si>
    <t>জন্ম তারিখ: ১৯/০৩/১৯৮৫</t>
  </si>
  <si>
    <t>নাম: মো: ফিরোজ আলী</t>
  </si>
  <si>
    <t>মাতা: মোছা: আছিয়া বেগম</t>
  </si>
  <si>
    <t>ভোটার নং: ৫৭০০৩৮৩৫৬৭৬১</t>
  </si>
  <si>
    <t>জন্ম তারিখ: ২৫/০৫/১৯৭০</t>
  </si>
  <si>
    <t>নাম: মো: আলী হোসেন</t>
  </si>
  <si>
    <t>ভোটার নং: ৫৭০০৩৮৩৫৬৭৬৫</t>
  </si>
  <si>
    <t>জন্ম তারিখ: ০৫/০৩/১৯৬৯</t>
  </si>
  <si>
    <t>নাম: মো: কুদ্দুস আলী</t>
  </si>
  <si>
    <t>পিতা: ফকির মোহাম্মাদ</t>
  </si>
  <si>
    <t>মাতা: মোছা: নবিছন নেছা</t>
  </si>
  <si>
    <t>ভোটার নং: ৫৭০০৩৮৩৫৬৭৬৬</t>
  </si>
  <si>
    <t>জন্ম তারিখ: ০৭/০৪/১৯৭০</t>
  </si>
  <si>
    <t>নাম: মো: কামাল হোসেন</t>
  </si>
  <si>
    <t>পিতা: মোহা: হাশেম আলী</t>
  </si>
  <si>
    <t>মাতা: মোছা: জাহানারা খাতুন</t>
  </si>
  <si>
    <t>ভোটার নং: ৫৭০০৩৮৩৫৬৭৬৭</t>
  </si>
  <si>
    <t>জন্ম তারিখ: ০৬/০৫/১৯৮০</t>
  </si>
  <si>
    <t>নাম: মোহা: কেসমত আলী</t>
  </si>
  <si>
    <t>ভোটার নং: ৫৭০০৩৮৩৫৬৭৬৮</t>
  </si>
  <si>
    <t>জন্ম তারিখ: ১২/০৪/১৯৮০</t>
  </si>
  <si>
    <t>নাম: মো: আবুল হোসেন</t>
  </si>
  <si>
    <t>পিতা: মোহা: নুর মোহাম্মাদ</t>
  </si>
  <si>
    <t>মাতা: মোছা: জাকিমন খাতুন</t>
  </si>
  <si>
    <t>ভোটার নং: ৫৭০০৩৮৩৫৬৭৬৯</t>
  </si>
  <si>
    <t>জন্ম তারিখ: ২২/০৭/১৯৪৬</t>
  </si>
  <si>
    <t>নাম: মো: হাশেম আলী</t>
  </si>
  <si>
    <t>মাতা: মোছা: জকিমন নেছা</t>
  </si>
  <si>
    <t>ভোটার নং: ৫৭০০৩৮৩৫৬৭৭০</t>
  </si>
  <si>
    <t>জন্ম তারিখ: ১৮/০৯/১৯৬০</t>
  </si>
  <si>
    <t>পিতা: মো: জহুর আলী</t>
  </si>
  <si>
    <t>মাতা: মোছা: গণ বিবি</t>
  </si>
  <si>
    <t>ভোটার নং: ৫৭০০৩৮৩৫৬৭৭৩</t>
  </si>
  <si>
    <t>জন্ম তারিখ: ১৬/০২/১৯৬০</t>
  </si>
  <si>
    <t>পিতা: সৈয়দ আলী শেখ</t>
  </si>
  <si>
    <t>মাতা: মোছা: জোহরা খাতুন</t>
  </si>
  <si>
    <t>ভোটার নং: ৫৭০০৩৮৩৫৬৭৮১</t>
  </si>
  <si>
    <t>জন্ম তারিখ: ১১/০৩/১৯৫৭</t>
  </si>
  <si>
    <t>নাম: মো: কাওছার আলী</t>
  </si>
  <si>
    <t>পিতা: সৈয়দ আলী</t>
  </si>
  <si>
    <t>ভোটার নং: ৫৭০০৩৮৩৫৬৭৮২</t>
  </si>
  <si>
    <t>জন্ম তারিখ: ১২/০৬/১৯৭২</t>
  </si>
  <si>
    <t>নাম: মো: হযরত আলী</t>
  </si>
  <si>
    <t>মাতা: মোছা: মহিমা খাতুন</t>
  </si>
  <si>
    <t>ভোটার নং: ৫৭০০৩৮৩৫৬৭৮৬</t>
  </si>
  <si>
    <t>জন্ম তারিখ: ০২/১০/১৯৭৮</t>
  </si>
  <si>
    <t>নাম: মোহা: বাবলু মিয়া</t>
  </si>
  <si>
    <t>পিতা: মো: আফাজ উদ্দীন</t>
  </si>
  <si>
    <t>মাতা: মিজাতন নেছা</t>
  </si>
  <si>
    <t>ভোটার নং: ৫৭০০৩৮৩৫৬৭৯৫</t>
  </si>
  <si>
    <t>জন্ম তারিখ: ২৭/০৯/১৯৬৭</t>
  </si>
  <si>
    <t>নাম: মো: মফিজুল ইসলাম</t>
  </si>
  <si>
    <t>মাতা: মোছা: ফুলু বেগম</t>
  </si>
  <si>
    <t>ভোটার নং: ৫৭০০৩৮৩৫৬৭৯৬</t>
  </si>
  <si>
    <t>জন্ম তারিখ: ১১/০৮/১৯৭৭</t>
  </si>
  <si>
    <t>নাম: মো: শওকত আলী</t>
  </si>
  <si>
    <t>পিতা: মো: জহুর শেখ</t>
  </si>
  <si>
    <t>মাতা: মোছা: গোলেজান বিবি</t>
  </si>
  <si>
    <t>ভোটার নং: ৫৭০০৩৮৩৫৬৭৯৭</t>
  </si>
  <si>
    <t>জন্ম তারিখ: ১৪/০৮/১৯৭৭</t>
  </si>
  <si>
    <t>নাম: মো: আব্দুর রহমান</t>
  </si>
  <si>
    <t>পিতা: আব্দুল ওয়াহেদ</t>
  </si>
  <si>
    <t>ভোটার নং: ৫৭০০৩৮৩৫৬৭৯৮</t>
  </si>
  <si>
    <t>জন্ম তারিখ: ২৮/০৩/১৯৪৯</t>
  </si>
  <si>
    <t>নাম: মো: ইয়ার আলী</t>
  </si>
  <si>
    <t>পিতা: মো: আব্দুর রহমান</t>
  </si>
  <si>
    <t>মাতা: মোছা: রাফিয়া খাতুন</t>
  </si>
  <si>
    <t>ভোটার নং: ৫৭০০৩৮৩৫৬৭৯৯</t>
  </si>
  <si>
    <t>জন্ম তারিখ: ০২/০৫/১৯৭২</t>
  </si>
  <si>
    <t>নাম: মো: মল্লিক হোসেন</t>
  </si>
  <si>
    <t>পিতা: ইমাজ উদ্দীন</t>
  </si>
  <si>
    <t>ভোটার নং: ৫৭০০৩৮৩৫৬৮০০</t>
  </si>
  <si>
    <t>জন্ম তারিখ: ২৮/০৯/১৯৫৭</t>
  </si>
  <si>
    <t>নাম: মো: আকবর আলী</t>
  </si>
  <si>
    <t>পিতা: শাফেজ উদ্দীন</t>
  </si>
  <si>
    <t>মাতা: মোছা: আয়েশা খাতুন</t>
  </si>
  <si>
    <t>ভোটার নং: ৫৭০০৩৮৩৫৬৮০১</t>
  </si>
  <si>
    <t>জন্ম তারিখ: ১১/০৭/১৯৬২</t>
  </si>
  <si>
    <t>নাম: মো: মনি মোল্লা</t>
  </si>
  <si>
    <t>পিতা: মো: শাফী</t>
  </si>
  <si>
    <t>মাতা: মোছা: বুলু খাতুন</t>
  </si>
  <si>
    <t>ভোটার নং: ৫৭০০৩৮৩৫৬৮০২</t>
  </si>
  <si>
    <t>জন্ম তারিখ: ১২/০৩/১৯৮২</t>
  </si>
  <si>
    <t>নাম: মো: আইয়ুব আলী</t>
  </si>
  <si>
    <t>ভোটার নং: ৫৭০০৩৮৩৫৬৮০৩</t>
  </si>
  <si>
    <t>নাম: মো: মেহেদুল ইসলাম</t>
  </si>
  <si>
    <t>পিতা: আব্দুল আজিজ</t>
  </si>
  <si>
    <t>মাতা: মোছা: মেহেরন নেছা</t>
  </si>
  <si>
    <t>ভোটার নং: ৫৭০০৩৮৩৫৬৮০৪</t>
  </si>
  <si>
    <t>জন্ম তারিখ: ০৫/০৭/১৯৭২</t>
  </si>
  <si>
    <t>নাম: মো: শাহজাহান আলী</t>
  </si>
  <si>
    <t>পিতা: মো: আকবর আলী</t>
  </si>
  <si>
    <t>মাতা: মোছা: রহিমা খাতুন</t>
  </si>
  <si>
    <t>ভোটার নং: ৫৭০০৩৮৩৫৬৮০৫</t>
  </si>
  <si>
    <t>জন্ম তারিখ: ১২/০৭/১৯৮৮</t>
  </si>
  <si>
    <t>নাম: মো: জুয়েল রানা</t>
  </si>
  <si>
    <t>পিতা: মো: হাশেম আলী</t>
  </si>
  <si>
    <t>ভোটার নং: ৫৭০০৩৮৩৫৬৮০৬</t>
  </si>
  <si>
    <t>জন্ম তারিখ: ১৫/০৪/১৯৮৭</t>
  </si>
  <si>
    <t>নাম: মো: জব্বারুল ইসলাম</t>
  </si>
  <si>
    <t>পিতা: মো: আহাদ আলী</t>
  </si>
  <si>
    <t>মাতা: মোছা: সাজেদা খাতুন</t>
  </si>
  <si>
    <t>ভোটার নং: ৫৭০০৩৮৩৫৬৮০৭</t>
  </si>
  <si>
    <t>জন্ম তারিখ: ১৫/০৫/১৯৮০</t>
  </si>
  <si>
    <t>নাম: মো: সিদ্দীক হোসেন</t>
  </si>
  <si>
    <t>মাতা: মোছা: সকিলা খাতুন</t>
  </si>
  <si>
    <t>ভোটার নং: ৫৭০০৩৮৩৫৬৮০৮</t>
  </si>
  <si>
    <t>জন্ম তারিখ: ১৫/০৭/১৯৮৫</t>
  </si>
  <si>
    <t>নাম: মো: আসেম আলী</t>
  </si>
  <si>
    <t>পিতা: মোজাম্মেল হক</t>
  </si>
  <si>
    <t>মাতা: মোছা: তাহেরা খাতুন</t>
  </si>
  <si>
    <t>ভোটার নং: ৫৭০০৩৮৩৫৬৮০৯</t>
  </si>
  <si>
    <t>জন্ম তারিখ: ১২/০৪/১৯৫৯</t>
  </si>
  <si>
    <t>নাম: মো: রবিউল ইসলাম</t>
  </si>
  <si>
    <t>পিতা: মো: আতাহার আলী</t>
  </si>
  <si>
    <t>মাতা: মোছা: মিলু খাতুন</t>
  </si>
  <si>
    <t>ভোটার নং: ৫৭০০৩৮৩৫৬৮১০</t>
  </si>
  <si>
    <t>জন্ম তারিখ: ১০/০৩/১৯৭৭</t>
  </si>
  <si>
    <t>পিতা: মো: খেজমত আলী</t>
  </si>
  <si>
    <t>ভোটার নং: ৫৭০০৩৮৩৫৬৮১১</t>
  </si>
  <si>
    <t>জন্ম তারিখ: ১১/০৫/১৯৭০</t>
  </si>
  <si>
    <t>নাম: মো: মহিবুল ইসলাম</t>
  </si>
  <si>
    <t>মাতা: মোছা: নিহারন নেছা</t>
  </si>
  <si>
    <t>ভোটার নং: ৫৭০০৩৮৩৫৬৮১২</t>
  </si>
  <si>
    <t>জন্ম তারিখ: ১০/০৫/১৯৮১</t>
  </si>
  <si>
    <t>নাম: মো: কবির আলী</t>
  </si>
  <si>
    <t>মাতা: মোছা: ছয়েলা খাতুন</t>
  </si>
  <si>
    <t>ভোটার নং: ৫৭০০৩৮৩৫৬৮১৩</t>
  </si>
  <si>
    <t>জন্ম তারিখ: ১৫/০৩/১৯৭৪</t>
  </si>
  <si>
    <t>নাম: মো: বাবর আলী</t>
  </si>
  <si>
    <t>ভোটার নং: ৫৭০০৩৮৩৫৬৮১৪</t>
  </si>
  <si>
    <t>জন্ম তারিখ: ২৯/০১/১৯৭৩</t>
  </si>
  <si>
    <t>নাম: মো: রহিদুল ইসলাম</t>
  </si>
  <si>
    <t>ভোটার নং: ৫৭০০৩৮৩৫৬৮১৫</t>
  </si>
  <si>
    <t>জন্ম তারিখ: ১১/০৫/১৯৬২</t>
  </si>
  <si>
    <t>নাম: মো: আবু তাহের</t>
  </si>
  <si>
    <t>পিতা: সৈয়দ আলী</t>
  </si>
  <si>
    <t>ভোটার নং: ৫৭০০৩৮৩৫৬৮১৬</t>
  </si>
  <si>
    <t>জন্ম তারিখ: ১০/০৭/১৯৬৭</t>
  </si>
  <si>
    <t xml:space="preserve">  এ এস এম শাহজাহান কবীর</t>
  </si>
  <si>
    <t>পিতা: মো: আ: খালেক</t>
  </si>
  <si>
    <t>ভোটার নং: ৫৭০০৩৮৩৫৬৮১৭</t>
  </si>
  <si>
    <t>জন্ম তারিখ: ২৪/০৫/১৯৭৪</t>
  </si>
  <si>
    <t>নাম: মোহা: আবুবক্কার</t>
  </si>
  <si>
    <t>পিতা: কুদরত আলী</t>
  </si>
  <si>
    <t>মাতা: মোছা: ফতেজান</t>
  </si>
  <si>
    <t>ভোটার নং: ৫৭০০৩৮৩৫৬৮২২</t>
  </si>
  <si>
    <t>জন্ম তারিখ: ১৮/০৮/১৯৫৭</t>
  </si>
  <si>
    <t>নাম: মো: আব্দুর রশিদ</t>
  </si>
  <si>
    <t>পিতা: আব্দুল কাদের</t>
  </si>
  <si>
    <t>মাতা: মোছা: খাদিজা বেগম</t>
  </si>
  <si>
    <t>ভোটার নং: ৫৭০০৩৮৩৫৬৮২৪</t>
  </si>
  <si>
    <t>জন্ম তারিখ: ০৫/১১/১৯৫৫</t>
  </si>
  <si>
    <t>নাম: মো: মোবারক হোসেন</t>
  </si>
  <si>
    <t>ভোটার নং: ৫৭০০৩৮৩৫৬৮২৬</t>
  </si>
  <si>
    <t>জন্ম তারিখ: ০৮/০৭/১৯৮০</t>
  </si>
  <si>
    <t>নাম: মোহা: মোমিন মিয়া</t>
  </si>
  <si>
    <t>মাতা: মোছা: জমেলা খাতুন</t>
  </si>
  <si>
    <t>ভোটার নং: ৫৭০০৩৮৩৫৬৮৩৩</t>
  </si>
  <si>
    <t>জন্ম তারিখ: ০৮/০৪/১৯৭৭</t>
  </si>
  <si>
    <t>নাম: মো: আবু সাইদ</t>
  </si>
  <si>
    <t>মাতা: মোছা: পানোয়ারা বেগম</t>
  </si>
  <si>
    <t>ভোটার নং: ৫৭০০৩৮৩৫৬৮৩৬</t>
  </si>
  <si>
    <t>জন্ম তারিখ: ২৮/০৭/১৯৮৩</t>
  </si>
  <si>
    <t>পিতা: দৌলত হোসেন</t>
  </si>
  <si>
    <t>ভোটার নং: ৫৭০০৩৮৩৫৬৮৪০</t>
  </si>
  <si>
    <t>জন্ম তারিখ: ২৫/০৫/১৯৮৩</t>
  </si>
  <si>
    <t>ভোটার নং: ৫৭০০৩৮৩৫৬৮৪৩</t>
  </si>
  <si>
    <t>জন্ম তারিখ: ১৭/০৭/১৯৮০</t>
  </si>
  <si>
    <t>নাম: মো: জামাল হোসেন</t>
  </si>
  <si>
    <t>পিতা: মো: আব্দুল বারেক</t>
  </si>
  <si>
    <t>মাতা: মোছা: বানুয়ারা খাতুন</t>
  </si>
  <si>
    <t>ভোটার নং: ৫৭০০৩৮৩৫৬৮৪৮</t>
  </si>
  <si>
    <t>জন্ম তারিখ: ১৩/০৩/১৯৮৫</t>
  </si>
  <si>
    <t>ভোটার নং: ৫৭০০৩৮৩৫৬৮৫১</t>
  </si>
  <si>
    <t>জন্ম তারিখ: ১২/০৩/১৯৮০</t>
  </si>
  <si>
    <t>নাম: মো: নিহাজ উদ্দীন</t>
  </si>
  <si>
    <t>পিতা: আতর আলী</t>
  </si>
  <si>
    <t>মাতা: পরিছুন নেছা</t>
  </si>
  <si>
    <t>ভোটার নং: ৫৭০০৩৮৩৫৬৮৫২</t>
  </si>
  <si>
    <t>জন্ম তারিখ: ১৩/০৭/১৯৬০</t>
  </si>
  <si>
    <t>নাম: মো: আবুল কালাম আজাদ</t>
  </si>
  <si>
    <t>পিতা: মো: গোলাম মোস্তফা</t>
  </si>
  <si>
    <t>মাতা: মোছা: বদিরন নেছা</t>
  </si>
  <si>
    <t>ভোটার নং: ৫৭০০৩৮৩৫৬৮৫৫</t>
  </si>
  <si>
    <t>জন্ম তারিখ: ৩১/১০/১৯৮২</t>
  </si>
  <si>
    <t>নাম: মো: কিশোর মহাম্মদ</t>
  </si>
  <si>
    <t>পিতা: মো: মরজেম হোসেন</t>
  </si>
  <si>
    <t>মাতা: মোছা: শাহিদা খাতুন</t>
  </si>
  <si>
    <t>ভোটার নং: ৫৭০০৩৮৩৫৬৮৫৬</t>
  </si>
  <si>
    <t>জন্ম তারিখ: ১২/০৫/১৯৮৩</t>
  </si>
  <si>
    <t>নাম: মো: আব্দুস সামাদ</t>
  </si>
  <si>
    <t>পিতা: মো: বদর উদ্দীন</t>
  </si>
  <si>
    <t>মাতা: মোছা: ছানোয়ারা</t>
  </si>
  <si>
    <t>ভোটার নং: ৫৭০০৩৮৩৫৬৮৫৯</t>
  </si>
  <si>
    <t>জন্ম তারিখ: ০৯/০২/১৯৬৭</t>
  </si>
  <si>
    <t>নাম: মো: বদর উদ্দীন</t>
  </si>
  <si>
    <t>পিতা: আব্দুল জলিল</t>
  </si>
  <si>
    <t>মাতা: খোসজান বেগম</t>
  </si>
  <si>
    <t>ভোটার নং: ৫৭০০৩৮৩৫৬৮৬১</t>
  </si>
  <si>
    <t>জন্ম তারিখ: ১৫/০৭/১৯৩৭</t>
  </si>
  <si>
    <t>নাম: মো: ছলেমান শেখ</t>
  </si>
  <si>
    <t>মাতা: খোশ জান</t>
  </si>
  <si>
    <t>ভোটার নং: ৫৭০০৩৮৩৫৬৮৬২</t>
  </si>
  <si>
    <t>নাম: মো: আনোয়ার হোসেন</t>
  </si>
  <si>
    <t>পিতা: মো: ইউসুফ মিয়া</t>
  </si>
  <si>
    <t>মাতা: হনুফা খাতুন</t>
  </si>
  <si>
    <t>ভোটার নং: ৫৭০০৩৮৩৫৬৮৬৬</t>
  </si>
  <si>
    <t>জন্ম তারিখ: ১৭/০৭/১৯৭২</t>
  </si>
  <si>
    <t>পিতা: কাদের মল্লিক</t>
  </si>
  <si>
    <t>মাতা: মোছা: সবুজান</t>
  </si>
  <si>
    <t>ভোটার নং: ৫৭০০৩৮৩৫৬৮৬৮</t>
  </si>
  <si>
    <t>জন্ম তারিখ: ১৬/০৮/১৯৬৫</t>
  </si>
  <si>
    <t>নাম: মো: আমজাদ হোসেন</t>
  </si>
  <si>
    <t>মাতা: মোছা: সবু জান</t>
  </si>
  <si>
    <t>ভোটার নং: ৫৭০০৩৮৩৫৬৮৭১</t>
  </si>
  <si>
    <t>জন্ম তারিখ: ১১/০৪/১৯৭১</t>
  </si>
  <si>
    <t>নাম: মো: আব্দুল মান্নান</t>
  </si>
  <si>
    <t>ভোটার নং: ৫৭০০৩৮৩৫৬৮৭২</t>
  </si>
  <si>
    <t>জন্ম তারিখ: ১৩/০৭/১৯৬৬</t>
  </si>
  <si>
    <t>নাম: মো: শহিদুল ইসলাম</t>
  </si>
  <si>
    <t>মাতা: মোছা: রাশিয়া খাতুন</t>
  </si>
  <si>
    <t>ভোটার নং: ৫৭০০৩৮৩৫৬৮৭৪</t>
  </si>
  <si>
    <t>জন্ম তারিখ: ২৭/০৮/১৯৭০</t>
  </si>
  <si>
    <t>নাম: মো: আনিসুর রহমান</t>
  </si>
  <si>
    <t>পিতা: মো: আব্দুল গনি</t>
  </si>
  <si>
    <t>মাতা: মোছা: রোজিনা খাতুন</t>
  </si>
  <si>
    <t>ভোটার নং: ৫৭০০৩৮৩৫৬৮৭৬</t>
  </si>
  <si>
    <t>জন্ম তারিখ: ২৩/০১/১৯৮০</t>
  </si>
  <si>
    <t>নাম: মো: মিজানুর রহমান</t>
  </si>
  <si>
    <t>পিতা: মো: ছানোয়ার হোসেন</t>
  </si>
  <si>
    <t>ভোটার নং: ৫৭০০৩৮৩৫৬৮৮২</t>
  </si>
  <si>
    <t>জন্ম তারিখ: ১৭/০৭/১৯৮৬</t>
  </si>
  <si>
    <t>মাতা: মোছা: সবুজান খাতুন</t>
  </si>
  <si>
    <t>ভোটার নং: ৫৭০০৩৮৩৫৬৮৮৩</t>
  </si>
  <si>
    <t>জন্ম তারিখ: ১৯/০৯/১৯৭৫</t>
  </si>
  <si>
    <t>নাম: মো: শামসুজ্জোহা</t>
  </si>
  <si>
    <t>ভোটার নং: ৫৭০০৩৮৩৫৬৮৮৪</t>
  </si>
  <si>
    <t>জন্ম তারিখ: ১৪/০৪/১৯৫৭</t>
  </si>
  <si>
    <t>নাম: মো: রাশেদুল ইসলাম</t>
  </si>
  <si>
    <t>পিতা: মো: মোহাদ্দেস হোসেন</t>
  </si>
  <si>
    <t>মাতা: মোছা: রওশনারা বেগম</t>
  </si>
  <si>
    <t>ভোটার নং: ৫৭০০৩৮৩৫৬৮৮৮</t>
  </si>
  <si>
    <t>জন্ম তারিখ: ০৫/০৪/১৯৮৪</t>
  </si>
  <si>
    <t>নাম: মো: দাউদ হোসেন</t>
  </si>
  <si>
    <t>মাতা: মোছা: রাফেয়া</t>
  </si>
  <si>
    <t>ভোটার নং: ৫৭০০৩৮৩৫৬৮৯৭</t>
  </si>
  <si>
    <t>জন্ম তারিখ: ২৫/০৪/১৯৬২</t>
  </si>
  <si>
    <t>নাম: মো: বুলবুল আহমেদ</t>
  </si>
  <si>
    <t>পিতা: মো: শহিদুল ইসলাম</t>
  </si>
  <si>
    <t>মাতা: মোছা: রেজবীনা খাতুন</t>
  </si>
  <si>
    <t>ভোটার নং: ৫৭০০৩৮৩৫৬৮৯৮</t>
  </si>
  <si>
    <t>জন্ম তারিখ: ১৯/০৭/১৯৮৬</t>
  </si>
  <si>
    <t>ভোটার নং: ৫৭০০৩৮৩৫৬৯০০</t>
  </si>
  <si>
    <t>জন্ম তারিখ: ১০/০৯/১৯৮০</t>
  </si>
  <si>
    <t>নাম: মো: আব্দুল গনি</t>
  </si>
  <si>
    <t>মাতা: মোছা: খাদিজা খাতুন</t>
  </si>
  <si>
    <t>ভোটার নং: ৫৭০০৩৮৩৫৬৯০১</t>
  </si>
  <si>
    <t>জন্ম তারিখ: ১৪/০৩/১৯৫৭</t>
  </si>
  <si>
    <t>নাম: মো: ইমদাদুল হক</t>
  </si>
  <si>
    <t>মাতা: মোছা: আমেনা খাতুন</t>
  </si>
  <si>
    <t>ভোটার নং: ৫৭০০৩৮৩৫৬৯০২</t>
  </si>
  <si>
    <t>জন্ম তারিখ: ১৫/০৭/১৯৭৭</t>
  </si>
  <si>
    <t>নাম: মো: কবীর হোসেন</t>
  </si>
  <si>
    <t>ভোটার নং: ৫৭০০৩৮৩৫৬৯০৩</t>
  </si>
  <si>
    <t>জন্ম তারিখ: ১০/০৪/১৯৭২</t>
  </si>
  <si>
    <t>নাম: মো: গোলাম মোস্তফা</t>
  </si>
  <si>
    <t>মাতা: পরিছুন বিবি</t>
  </si>
  <si>
    <t>ভোটার নং: ৫৭০০৩৮৩৫৬৯০৪</t>
  </si>
  <si>
    <t>জন্ম তারিখ: ১০/০৪/১৯৫২</t>
  </si>
  <si>
    <t>নাম: মো: হামিদুল ইসলাম</t>
  </si>
  <si>
    <t>মাতা: মোছা: ছানোয়ারা খাতুন</t>
  </si>
  <si>
    <t>ভোটার নং: ৫৭০০৩৮৩৫৬৯০৬</t>
  </si>
  <si>
    <t>জন্ম তারিখ: ১০/০৮/১৯৭০</t>
  </si>
  <si>
    <t>নাম: মো: মোহাদ্দেস হোসেন</t>
  </si>
  <si>
    <t>মাতা: মোছা: মকুমা খাতুন</t>
  </si>
  <si>
    <t>ভোটার নং: ৫৭০০৩৮৩৫৬৯০৭</t>
  </si>
  <si>
    <t>জন্ম তারিখ: ১১/০৫/১৯৬০</t>
  </si>
  <si>
    <t>নাম: মো: শরীফ হোসেন</t>
  </si>
  <si>
    <t>পিতা: সৈয়দ মন্ডল</t>
  </si>
  <si>
    <t>মাতা: মোছা: গোলে খাতুন</t>
  </si>
  <si>
    <t>ভোটার নং: ৫৭০০৩৮৩৫৬৯০৯</t>
  </si>
  <si>
    <t>জন্ম তারিখ: ১০/০৫/১৯৭৪</t>
  </si>
  <si>
    <t>নাম: মো: জহুর আলী</t>
  </si>
  <si>
    <t>পিতা: মেছের শেখ</t>
  </si>
  <si>
    <t>মাতা: নয়তুন নেছা</t>
  </si>
  <si>
    <t>ভোটার নং: ৫৭০০৩৮৩৫৬৯১৩</t>
  </si>
  <si>
    <t>জন্ম তারিখ: ১৭/০৭/১৯৩২</t>
  </si>
  <si>
    <t>নাম: মো: আবের আলী</t>
  </si>
  <si>
    <t>পিতা: দুরাত শাহ</t>
  </si>
  <si>
    <t>মাতা: আবেজান বিবি</t>
  </si>
  <si>
    <t>ভোটার নং: ৫৭০০৩৮৩৫৬৯১৪</t>
  </si>
  <si>
    <t>জন্ম তারিখ: ২২/০২/১৯৫৭</t>
  </si>
  <si>
    <t>নাম: মো: মজিরুল ইসলাম</t>
  </si>
  <si>
    <t>পিতা: মো: আবের আলী</t>
  </si>
  <si>
    <t>মাতা: মোছা: নেহারুন নেছা</t>
  </si>
  <si>
    <t>ভোটার নং: ৫৭০০৩৮৩৫৬৯১৬</t>
  </si>
  <si>
    <t>জন্ম তারিখ: ০৩/০৪/১৯৮২</t>
  </si>
  <si>
    <t>নাম: মোহা: মিনারুল ইসলাম</t>
  </si>
  <si>
    <t>পিতা: মোহা: আবের আলী</t>
  </si>
  <si>
    <t>ভোটার নং: ৫৭০০৩৮৩৫৬৯১৮</t>
  </si>
  <si>
    <t>জন্ম তারিখ: ১৬/০৬/১৯৮৮</t>
  </si>
  <si>
    <t>নাম: মো: শাহাবুল ইসলাম (সাবলু)</t>
  </si>
  <si>
    <t>মাতা: মিরজাতুন নেছা</t>
  </si>
  <si>
    <t>ভোটার নং: ৫৭০০৩৮৩৫৬৯১৯</t>
  </si>
  <si>
    <t>জন্ম তারিখ: ২২/০২/১৯৭০</t>
  </si>
  <si>
    <t>পিতা: মোহা: আফাজ উদ্দীন</t>
  </si>
  <si>
    <t>মাতা: মোহা: মিরজাতুন খাতুন</t>
  </si>
  <si>
    <t>ভোটার নং: ৫৭০০৩৮৩৫৬৯২১</t>
  </si>
  <si>
    <t>জন্ম তারিখ: ২১/১১/১৯৮২</t>
  </si>
  <si>
    <t>নাম: মোহা: নিহাজুল</t>
  </si>
  <si>
    <t>ভোটার নং: ৫৭০০৩৮৩৫৬৯২৩</t>
  </si>
  <si>
    <t>জন্ম তারিখ: ১২/০৩/১৯৭৮</t>
  </si>
  <si>
    <t>নাম: মোহা: আব্দুর রাজ্জাক</t>
  </si>
  <si>
    <t>পিতা: দুণ্ড শেখ</t>
  </si>
  <si>
    <t>মাতা: মোছা: রাবেয়া খাতুন</t>
  </si>
  <si>
    <t>ভোটার নং: ৫৭০০৩৮৩৫৬৯২৬</t>
  </si>
  <si>
    <t>জন্ম তারিখ: ২০/০৭/১৯৭৫</t>
  </si>
  <si>
    <t>নাম: মো: আব্দুল মতিন</t>
  </si>
  <si>
    <t>পিতা: মোহা: সিরাজুল ইসলাম</t>
  </si>
  <si>
    <t>মাতা: মোছা: খোদেজান বেগম</t>
  </si>
  <si>
    <t>ভোটার নং: ৫৭০০৩৮৩৫৬৯৩০</t>
  </si>
  <si>
    <t>জন্ম তারিখ: ১৫/০৩/১৯৬৯</t>
  </si>
  <si>
    <t>পিতা: নুরুল ইসলাম</t>
  </si>
  <si>
    <t>ভোটার নং: ৫৭০০৩৮৩৫৬৯৩৩</t>
  </si>
  <si>
    <t>জন্ম তারিখ: ১৫/০৭/১৯৭০</t>
  </si>
  <si>
    <t>নাম: মো: বকুল হোসেন</t>
  </si>
  <si>
    <t>পিতা: মো: নাসির উদ্দীন শেখ</t>
  </si>
  <si>
    <t>মাতা: মোছা: কাইমন নেছা</t>
  </si>
  <si>
    <t>ভোটার নং: ৫৭০০৩৮৩৫৬৯৩৪</t>
  </si>
  <si>
    <t>জন্ম তারিখ: ২২/০৪/১৯৮২</t>
  </si>
  <si>
    <t>নাম: মো: হিফাজ উদ্দীন</t>
  </si>
  <si>
    <t>পিতা: জফর আলী</t>
  </si>
  <si>
    <t>মাতা: মোছা: নেকজান</t>
  </si>
  <si>
    <t>ভোটার নং: ৫৭০০৩৮৩৫৬৯৩৮</t>
  </si>
  <si>
    <t>জন্ম তারিখ: ১১/০৩/১৯৬৪</t>
  </si>
  <si>
    <t>নাম: মোহা: শহিদুল ইসলাম</t>
  </si>
  <si>
    <t>পিতা: কাদের শেখ</t>
  </si>
  <si>
    <t>ভোটার নং: ৫৭০০৩৮৩৫৬৯৪১</t>
  </si>
  <si>
    <t>জন্ম তারিখ: ২৫/০৫/১৯৫৭</t>
  </si>
  <si>
    <t>নাম: মো: আসাদুল ইসলাম</t>
  </si>
  <si>
    <t>মাতা: মোছা: রাফিয়া</t>
  </si>
  <si>
    <t>ভোটার নং: ৫৭০০৩৮৩৫৬৯৪২</t>
  </si>
  <si>
    <t>জন্ম তারিখ: ২২/০৭/১৯৭০</t>
  </si>
  <si>
    <t>নাম: মো: ফারুক হোসেন</t>
  </si>
  <si>
    <t>পিতা: মো: আতাল আলী</t>
  </si>
  <si>
    <t>মাতা: মোছা: ফিরোজা বেগম</t>
  </si>
  <si>
    <t>ভোটার নং: ৫৭০০৩৮৩৫৬৯৫০</t>
  </si>
  <si>
    <t>জন্ম তারিখ: ২৫/০৭/১৯৮৬</t>
  </si>
  <si>
    <t>নাম: মো: ওসমান গনি</t>
  </si>
  <si>
    <t>পিতা: মসলেম উদ্দীন</t>
  </si>
  <si>
    <t>মাতা: মোছা: পিয়ারা বেগম</t>
  </si>
  <si>
    <t>ভোটার নং: ৫৭০০৩৮৩৭৫৬৭০</t>
  </si>
  <si>
    <t>জন্ম তারিখ: ১৫/০১/১৯৭২</t>
  </si>
  <si>
    <t>নাম: মো: আ: বারী</t>
  </si>
  <si>
    <t>পিতা: মো: ফরমান মন্ডল</t>
  </si>
  <si>
    <t>মাতা: মোছা: আয়েশা নেছা</t>
  </si>
  <si>
    <t>ভোটার নং: ৫৭০০৩৮৫৪৪৪৪২</t>
  </si>
  <si>
    <t>জন্ম তারিখ: ১১/০৯/১৯৫২</t>
  </si>
  <si>
    <t>পিতা: মো: রায়হান উদ্দীন</t>
  </si>
  <si>
    <t>ভোটার নং: ৫৭০০৩৮৫৪৪৭০৭</t>
  </si>
  <si>
    <t>জন্ম তারিখ: ০১/০১/১৯৭০</t>
  </si>
  <si>
    <t>পেশা: অন্যান্য</t>
  </si>
  <si>
    <t>পিতা: মো: শফিউল্লা</t>
  </si>
  <si>
    <t>মাতা: মোছা: রমেজা খাতুন</t>
  </si>
  <si>
    <t>ভোটার নং: ৫৭০০৩৮৫৪৪৭৩৯</t>
  </si>
  <si>
    <t>জন্ম তারিখ: ০১/০১/১৯৮০</t>
  </si>
  <si>
    <t>ঠিকানা: "গাড়াবোব</t>
  </si>
  <si>
    <t xml:space="preserve"> ধানখোলা</t>
  </si>
  <si>
    <t>নাম: মো: নাসির উদ্দিন</t>
  </si>
  <si>
    <t>পিতা: মো: নবিছু উদ্দীন</t>
  </si>
  <si>
    <t>মাতা: মোছা: নছিরন নেসা</t>
  </si>
  <si>
    <t>ভোটার নং: ৫৭০০৩৮৫৪৪৯৪২</t>
  </si>
  <si>
    <t>জন্ম তারিখ: ০১/০১/১৯৮১</t>
  </si>
  <si>
    <t xml:space="preserve"> জলি বিল পাড়া</t>
  </si>
  <si>
    <t>নাম: মো: বসির উদ্দীন</t>
  </si>
  <si>
    <t>পিতা: মো: নবিছুউদ্দীন</t>
  </si>
  <si>
    <t>মাতা: মোছা: নছিরন বেগম</t>
  </si>
  <si>
    <t>ভোটার নং: ৫৭০০৩৮৫৪৪৯৪৪</t>
  </si>
  <si>
    <t>জন্ম তারিখ: ০১/০৭/১৯৭৮</t>
  </si>
  <si>
    <t>নাম: মো: আতিয়ার রহমান</t>
  </si>
  <si>
    <t>পিতা: মো: ছলেমান</t>
  </si>
  <si>
    <t>মাতা: মোছা: অর্জিনা খাতুন</t>
  </si>
  <si>
    <t>ভোটার নং: ৫৭০০৩৮৫৪৪৯২২</t>
  </si>
  <si>
    <t>জন্ম তারিখ: ১৪/০৭/১৯৮৬</t>
  </si>
  <si>
    <t xml:space="preserve"> মাঠপাড়া</t>
  </si>
  <si>
    <t>নাম: মো: ইসমাইল হাসান</t>
  </si>
  <si>
    <t>পিতা: মো: সিদ্দিকুর রহমান</t>
  </si>
  <si>
    <t>মাতা: মোছা: হাফিজা খাতুন</t>
  </si>
  <si>
    <t>ভোটার নং: ৫৭০০৩৮০০০০০১</t>
  </si>
  <si>
    <t>জন্ম তারিখ: ০১/০১/১৯৬৪</t>
  </si>
  <si>
    <t>পিতা: মো: আব্দুর রহিম</t>
  </si>
  <si>
    <t>মাতা: মোছা: শাহিদুন্নাহার</t>
  </si>
  <si>
    <t>ভোটার নং: ৫৭০০৩৮০০০০০২</t>
  </si>
  <si>
    <t>জন্ম তারিখ: ০১/১২/১৯৯০</t>
  </si>
  <si>
    <t>নাম: মো: মিলন হোসেন</t>
  </si>
  <si>
    <t>পিতা: মো: আব্দুল কুদ্দুস</t>
  </si>
  <si>
    <t>মাতা: মোছা: মনোয়ারা খাতুন</t>
  </si>
  <si>
    <t>ভোটার নং: ৫৭০০৩৮০০০০০৪</t>
  </si>
  <si>
    <t>জন্ম তারিখ: ১৫/০৩/১৯৮৯</t>
  </si>
  <si>
    <t>নাম: মো: আলমগীর হোসেন</t>
  </si>
  <si>
    <t>পিতা: খেজমত</t>
  </si>
  <si>
    <t>মাতা: শামসুন্নাহার</t>
  </si>
  <si>
    <t>ভোটার নং: ৫৭০০৩৮০০০০০৫</t>
  </si>
  <si>
    <t>জন্ম তারিখ: ১৫/০৬/১৯৮০</t>
  </si>
  <si>
    <t>নাম: কে এম মাহবুবউল আলম</t>
  </si>
  <si>
    <t>পিতা: মো: আব্দুল জলিল</t>
  </si>
  <si>
    <t>ভোটার নং: ৫৭০০৩৮০০০০০১৫</t>
  </si>
  <si>
    <t>জন্ম তারিখ: ১০/০২/১৯৯১</t>
  </si>
  <si>
    <t>নাম: মো: জাহিদুল ইসলাম</t>
  </si>
  <si>
    <t>পিতা: মো: মিজানুর রহমান</t>
  </si>
  <si>
    <t>মাতা: মোছা: জালেমা খাতুন</t>
  </si>
  <si>
    <t>ভোটার নং: ৫৭০০৩৮০০০০০১৮</t>
  </si>
  <si>
    <t>জন্ম তারিখ: ০১/০১/১৯৮৯</t>
  </si>
  <si>
    <t>পিতা: জবেদ আলী মীর</t>
  </si>
  <si>
    <t>ভোটার নং: ৫৭০০৩৮০০০০২৬</t>
  </si>
  <si>
    <t>জন্ম তারিখ: ০১/০৪/১৯৭২</t>
  </si>
  <si>
    <t>নাম: মো: বাহারুল ইসলাম</t>
  </si>
  <si>
    <t>পিতা: মো: আওলাদ হোসেন</t>
  </si>
  <si>
    <t>মাতা: মোছা: খাদেজা খাতুন</t>
  </si>
  <si>
    <t>ভোটার নং: ৫৭০০৩৮০০০০২৭</t>
  </si>
  <si>
    <t>জন্ম তারিখ: ১৫/০২/১৯৯৫</t>
  </si>
  <si>
    <t>নাম: মো: জাহাঙ্গীর</t>
  </si>
  <si>
    <t>পিতা: মো: খেজমত</t>
  </si>
  <si>
    <t>মাতা: মোছা: সামসুন্নাহার</t>
  </si>
  <si>
    <t>ভোটার নং: ৫৭০০৩৮০০০০৩৪</t>
  </si>
  <si>
    <t>জন্ম তারিখ: ১৩/০২/১৯৮৬</t>
  </si>
  <si>
    <t>নাম: মো: সামিরুল ইসলাম</t>
  </si>
  <si>
    <t>পিতা: মো: সইরুদ্দীন</t>
  </si>
  <si>
    <t>মাতা: আমেনা খাতুন</t>
  </si>
  <si>
    <t>ভোটার নং: ৫৭০০৩৮০০০০৩৫</t>
  </si>
  <si>
    <t>জন্ম তারিখ: ১৫/০৭/১৯৯০</t>
  </si>
  <si>
    <t>নাম: মো: আসরাফুল ইসলাম</t>
  </si>
  <si>
    <t>পিতা: মো: রফিকুল ইসলাম</t>
  </si>
  <si>
    <t>মাতা: মোছা: মনোয়ারা বেগম</t>
  </si>
  <si>
    <t>ভোটার নং: ৫৭০০৩৮০০০০৩৭</t>
  </si>
  <si>
    <t>জন্ম তারিখ: ০১/১০/১৯৯০</t>
  </si>
  <si>
    <t>পিতা: মো: ছাদের আলী</t>
  </si>
  <si>
    <t>মাতা: মোছা: ইকাতন</t>
  </si>
  <si>
    <t>ভোটার নং: ৫৭০০৩৮০০০০৩৮</t>
  </si>
  <si>
    <t>জন্ম তারিখ: ০২/০৫/১৯৮৯</t>
  </si>
  <si>
    <t>পিতা: মো: আখের আলী</t>
  </si>
  <si>
    <t>মাতা: মোছা: জাফিরন নেছা</t>
  </si>
  <si>
    <t>ভোটার নং: ৫৭০০৩৮০০০০৩৯</t>
  </si>
  <si>
    <t>জন্ম তারিখ: ১৫/০৩/১৯৮৩</t>
  </si>
  <si>
    <t>নাম: মো: হাবিবুর রহমান</t>
  </si>
  <si>
    <t>পিতা: মো: নাজিমুদ্দিন</t>
  </si>
  <si>
    <t>ভোটার নং: ৫৭০০৩৮০০০০৪০</t>
  </si>
  <si>
    <t>নাম: মো: নাজমুল হোসেন</t>
  </si>
  <si>
    <t>পিতা: মো: আ: মোতালেব</t>
  </si>
  <si>
    <t>ভোটার নং: ৫৭০০৩৮০০০০৪১</t>
  </si>
  <si>
    <t>জন্ম তারিখ: ০২/০২/১৯৮৯</t>
  </si>
  <si>
    <t>মাতা: মোছা: জামেনা খাতুন</t>
  </si>
  <si>
    <t>ভোটার নং: ৫৭০০৩৮০০০০৪২</t>
  </si>
  <si>
    <t>জন্ম তারিখ: ৩০/০৫/১৯৯০</t>
  </si>
  <si>
    <t>পেশা: দর্জি</t>
  </si>
  <si>
    <t>নাম: মো: সেলিম রেজা</t>
  </si>
  <si>
    <t>পিতা: মো: চাঁদ মিয়া</t>
  </si>
  <si>
    <t>মাতা: মোছা: বিবিরন নেছা</t>
  </si>
  <si>
    <t>ভোটার নং: ৫৭০০৩৮০০০০৪৩</t>
  </si>
  <si>
    <t>জন্ম তারিখ: ১৫/০১/১৯৯০</t>
  </si>
  <si>
    <t>পিতা: মো: নুরুল আমীন</t>
  </si>
  <si>
    <t>মাতা: মোছা: আকলিমা খাতুন</t>
  </si>
  <si>
    <t>ভোটার নং: ৫৭০০৩৮০০০০৪৪</t>
  </si>
  <si>
    <t>জন্ম তারিখ: ০১/০১/১৯৯১</t>
  </si>
  <si>
    <t>পিতা: মো: জহির উদ্দীন</t>
  </si>
  <si>
    <t>মাতা: মোছা: ছালেহা খাতুন</t>
  </si>
  <si>
    <t>ভোটার নং: ৫৭০০৩৮০০০০৪৫</t>
  </si>
  <si>
    <t>জন্ম তারিখ: ২১/১০/১৯৬৮</t>
  </si>
  <si>
    <t>নাম: মো: তাইজুল আলী</t>
  </si>
  <si>
    <t>পিতা: আনারুল ইসলাম</t>
  </si>
  <si>
    <t>মাতা: তানজিলা</t>
  </si>
  <si>
    <t>ভোটার নং: ৫৭০০৩৮০০০০৪৭</t>
  </si>
  <si>
    <t>জন্ম তারিখ: ০৬/০৬/১৯৯০</t>
  </si>
  <si>
    <t>নাম: মো: সলিম শেখ</t>
  </si>
  <si>
    <t>পিতা: মো: শুকচাদ শেখ</t>
  </si>
  <si>
    <t>মাতা: মোছা: আসমা খাতুন</t>
  </si>
  <si>
    <t>ভোটার নং: ৫৭০০৩৮০০০০৪৯</t>
  </si>
  <si>
    <t>জন্ম তারিখ: ০৫/০৩/১৯৮৭</t>
  </si>
  <si>
    <t>নাম: মো: ফরাজুল ইসলাম</t>
  </si>
  <si>
    <t>পিতা: নুর মোহাম্মাদ</t>
  </si>
  <si>
    <t>ভোটার নং: ৫৭০০৩৮০০০০৫০</t>
  </si>
  <si>
    <t>জন্ম তারিখ: ১০/০৭/১৯৬৯</t>
  </si>
  <si>
    <t>নাম: মোহা: মন্টু মিয়া</t>
  </si>
  <si>
    <t>পিতা: মোহা: হাফেজ উদ্দিন শেখ</t>
  </si>
  <si>
    <t>ভোটার নং: ৫৭০০৩৮০০০০৫১</t>
  </si>
  <si>
    <t>জন্ম তারিখ: ২৯/১১/১৯৯১</t>
  </si>
  <si>
    <t>নাম: মো: গাফফারুল ইসলাম</t>
  </si>
  <si>
    <t>ভোটার নং: ৫৭০০৩৮০০০০৫৪</t>
  </si>
  <si>
    <t>জন্ম তারিখ: ১৬/১২/১৯৮৭</t>
  </si>
  <si>
    <t>নাম: মো: রোকনুজ্জামান</t>
  </si>
  <si>
    <t>পিতা: মো: তৈয়ব আলী</t>
  </si>
  <si>
    <t>মাতা: মোছা: আনজিরা খাতুন</t>
  </si>
  <si>
    <t>ভোটার নং: ৫৭০০৩৮০০০০৫৮</t>
  </si>
  <si>
    <t>জন্ম তারিখ: ০৪/০৩/১৯৯০</t>
  </si>
  <si>
    <t>নাম: মো: জাব্বারুল ইসলাম</t>
  </si>
  <si>
    <t>পিতা: মো: আব্দুল হান্নান</t>
  </si>
  <si>
    <t>মাতা: মোছা: বুলুয়ারা</t>
  </si>
  <si>
    <t>ভোটার নং: ৫৭০০৩৮০০০০৬১</t>
  </si>
  <si>
    <t>নাম: মো: শাহিন রেজা</t>
  </si>
  <si>
    <t>পিতা: মো: সোহরাব হোসেন</t>
  </si>
  <si>
    <t>মাতা: মোছা: সেলিনা খাতুন</t>
  </si>
  <si>
    <t>ভোটার নং: ৫৭০০৩৮০০০০৬২</t>
  </si>
  <si>
    <t>জন্ম তারিখ: ০৬/০১/১৯৯০</t>
  </si>
  <si>
    <t>নাম: মো: মখলেচুর রহমান</t>
  </si>
  <si>
    <t>পিতা: মো: মুনছুর আলী</t>
  </si>
  <si>
    <t>মাতা: মোছা: আরশিনা খাতুন</t>
  </si>
  <si>
    <t>ভোটার নং: ৫৭০০৩৮০০০০৬৩</t>
  </si>
  <si>
    <t>জন্ম তারিখ: ১০/০৫/১৯৯০</t>
  </si>
  <si>
    <t>নাম: মো: বাবু মিয়া</t>
  </si>
  <si>
    <t>পিতা: ওমর আলী</t>
  </si>
  <si>
    <t>মাতা: খুকি খাতুন</t>
  </si>
  <si>
    <t>ভোটার নং: ৫৭০০৩৮০০০০৬৪</t>
  </si>
  <si>
    <t>জন্ম তারিখ: ০৫/০৬/১৯৭০</t>
  </si>
  <si>
    <t>নাম: মো: শাহারুল ইসলাম</t>
  </si>
  <si>
    <t>ভোটার নং: ৫৭০০৩৮০০০০৬৫</t>
  </si>
  <si>
    <t>জন্ম তারিখ: ০২/০৩/১৯৯১</t>
  </si>
  <si>
    <t>নাম: মো: আবুল কাশেম</t>
  </si>
  <si>
    <t>পিতা: মো: এনায়েত আলী</t>
  </si>
  <si>
    <t>মাতা: মোছা: হাজেরা খাতুন</t>
  </si>
  <si>
    <t>ভোটার নং: ৫৭০০৩৮০০০০৬৭</t>
  </si>
  <si>
    <t>জন্ম তারিখ: ২১/০৭/১৯৮৭</t>
  </si>
  <si>
    <t>পিতা: মো: হারু মালিথা</t>
  </si>
  <si>
    <t>মাতা: মোছা: আনোয়ারা</t>
  </si>
  <si>
    <t>ভোটার নং: ৫৭০০৩৮০০০০৬৯</t>
  </si>
  <si>
    <t>জন্ম তারিখ: ১১/০৬/১৯৮২</t>
  </si>
  <si>
    <t>নাম: মো: মুকাদ্দেছ আলী</t>
  </si>
  <si>
    <t>পিতা: জালাল আলী</t>
  </si>
  <si>
    <t>মাতা: জহুরা খাতুন</t>
  </si>
  <si>
    <t>ভোটার নং: ৫৭০০৩৮০০০০৭০</t>
  </si>
  <si>
    <t>জন্ম তারিখ: ০৫/০৬/১৯৯১</t>
  </si>
  <si>
    <t>নাম: মো: আঃ হালিম</t>
  </si>
  <si>
    <t>পিতা: আঃ রাজ্জাক</t>
  </si>
  <si>
    <t>মাতা: জীবন্নারা খাতুন</t>
  </si>
  <si>
    <t>ভোটার নং: ৫৭০০৩৮০০০০৭৪</t>
  </si>
  <si>
    <t>জন্ম তারিখ: ২০/০৬/১৯৮৯</t>
  </si>
  <si>
    <t>নাম: মো: সামসুল আলম</t>
  </si>
  <si>
    <t>ভোটার নং: ৫৭০০৩৮০০০০৭৫</t>
  </si>
  <si>
    <t>জন্ম তারিখ: ২৩/১০/১৯৮৭</t>
  </si>
  <si>
    <t>নাম: মো: শাহিনুর ইসলাম</t>
  </si>
  <si>
    <t>ভোটার নং: ৫৭০০৩৮০০০০৭৬</t>
  </si>
  <si>
    <t>জন্ম তারিখ: ১০/১০/১৯৯১</t>
  </si>
  <si>
    <t>নাম: মো: আবু ইউসুফ</t>
  </si>
  <si>
    <t>মাতা: মোছা: লায়লা খাতুন</t>
  </si>
  <si>
    <t>ভোটার নং: ৫৭০০৩৮০০০০৭৭</t>
  </si>
  <si>
    <t>জন্ম তারিখ: ০২/০২/১৯৯০</t>
  </si>
  <si>
    <t>নাম: মো: তৌফিকুল ইসলাম</t>
  </si>
  <si>
    <t>পিতা: মো: তারিফ হোসেন</t>
  </si>
  <si>
    <t>মাতা: মোছা: তাসলিমা খাতুন</t>
  </si>
  <si>
    <t>ভোটার নং: ৫৭০০৩৮০০০০৭৮</t>
  </si>
  <si>
    <t>জন্ম তারিখ: ০১/০১/১৯৯২</t>
  </si>
  <si>
    <t>নাম: মো: মিন্টু মিয়া</t>
  </si>
  <si>
    <t>ভোটার নং: ৫৭০০৩৮০০০০৭৯</t>
  </si>
  <si>
    <t>জন্ম তারিখ: ০১/০৫/১৯৮৭</t>
  </si>
  <si>
    <t>নাম: মো: মাইনুল ইসলাম</t>
  </si>
  <si>
    <t>পিতা: পাঞ্জাব মন্ডল</t>
  </si>
  <si>
    <t>মাতা: আনোয়ারা খাতুন</t>
  </si>
  <si>
    <t>ভোটার নং: ৫৭০০৩৮০০০০৮০</t>
  </si>
  <si>
    <t>জন্ম তারিখ: ১০/০৫/১৯৮৫</t>
  </si>
  <si>
    <t>নাম: মো: সরুজ আলী</t>
  </si>
  <si>
    <t>পিতা: মো: আঃ ছামাদ</t>
  </si>
  <si>
    <t>মাতা: মোছা: মমতাজ খাতুন</t>
  </si>
  <si>
    <t>ভোটার নং: ৫৭০০৩৮০০০০৮১</t>
  </si>
  <si>
    <t>জন্ম তারিখ: ২৫/১০/১৯৭৬</t>
  </si>
  <si>
    <t>নাম: মো: নাছিরুল ইসলাম</t>
  </si>
  <si>
    <t>পিতা: মো: ফজের আলী</t>
  </si>
  <si>
    <t>ভোটার নং: ৫৭০০৩৮০০০০৮২</t>
  </si>
  <si>
    <t>জন্ম তারিখ: ২০/০১/১৯৯১</t>
  </si>
  <si>
    <t>নাম: মীর মো: রাশেদ রেজা</t>
  </si>
  <si>
    <t>পিতা: মীর মো: আব্দুল আলিম</t>
  </si>
  <si>
    <t>মাতা: মোছা: রাশিদা খাতুন</t>
  </si>
  <si>
    <t>ভোটার নং: ৫৭০০৩৮০০০০৮৩</t>
  </si>
  <si>
    <t>নাম: মো: একতার আলী</t>
  </si>
  <si>
    <t>পিতা: রহিম শেখ</t>
  </si>
  <si>
    <t>মাতা: মোছা: রাহিলা খাতুন</t>
  </si>
  <si>
    <t>ভোটার নং: ৫৭০০৩৮০০০০৮৪</t>
  </si>
  <si>
    <t>জন্ম তারিখ: ১৫/০২/১৯৫২</t>
  </si>
  <si>
    <t>নাম: মো: সাহারুল ইসলাম</t>
  </si>
  <si>
    <t>পিতা: মো: ছাইনাল ইসলাম</t>
  </si>
  <si>
    <t>ভোটার নং: ৫৭০০৩৮০০০০৮৫</t>
  </si>
  <si>
    <t>জন্ম তারিখ: ৩০/১২/১৯৯০</t>
  </si>
  <si>
    <t>নাম: মো: হাসান আলী</t>
  </si>
  <si>
    <t>পিতা: মো: আনারুল ইসলাম</t>
  </si>
  <si>
    <t>মাতা: মোছা: হালিমা খাতুন</t>
  </si>
  <si>
    <t>ভোটার নং: ৫৭০০৩৮০০০০৮৬</t>
  </si>
  <si>
    <t>জন্ম তারিখ: ৩০/০৬/১৯৯০</t>
  </si>
  <si>
    <t>নাম: মো: বাহাদুর হক</t>
  </si>
  <si>
    <t>পিতা: মো: নেকছার আলী</t>
  </si>
  <si>
    <t>মাতা: মোছা: রাশেদা খাতুন</t>
  </si>
  <si>
    <t>ভোটার নং: ৫৭০০৩৮০০০০৮৭</t>
  </si>
  <si>
    <t>জন্ম তারিখ: ১০/০১/১৯৮৫</t>
  </si>
  <si>
    <t>পিতা: মো: শমসের আলী</t>
  </si>
  <si>
    <t>মাতা: মোছা: মেহেরুন নেছা</t>
  </si>
  <si>
    <t>ভোটার নং: ৫৭০০৩৮০০০০৯৪</t>
  </si>
  <si>
    <t>জন্ম তারিখ: ০৬/০৯/১৯৮৭</t>
  </si>
  <si>
    <t>নাম: মো: উজ্জ্বল মিয়া</t>
  </si>
  <si>
    <t>পিতা: মো: আবুল কাশেম</t>
  </si>
  <si>
    <t>মাতা: মোছা: জোসনা খাতুন</t>
  </si>
  <si>
    <t>ভোটার নং: ৫৭০০৩৮০০০০৯৬</t>
  </si>
  <si>
    <t>জন্ম তারিখ: ০২/০১/১৯৯১</t>
  </si>
  <si>
    <t>ভোটার নং: ৫৭০০৩৮০০০০৯৭</t>
  </si>
  <si>
    <t>জন্ম তারিখ: ২২/১২/১৯৯১</t>
  </si>
  <si>
    <t>নাম: মো: শামিম রেজা</t>
  </si>
  <si>
    <t>পিতা: মো: আক্কাছ আলী</t>
  </si>
  <si>
    <t>ভোটার নং: ৫৭০০৩৮০০০১০৩</t>
  </si>
  <si>
    <t>জন্ম তারিখ: ০২/০৬/১৯৮৮</t>
  </si>
  <si>
    <t>নাম: মো: আনারুল ইসলাম</t>
  </si>
  <si>
    <t>পিতা: নজিমুদ্দীন</t>
  </si>
  <si>
    <t>মাতা: মোছা: রাজিয়া খাতুন</t>
  </si>
  <si>
    <t>ভোটার নং: ৫৭০০৩৮০০০১০৪</t>
  </si>
  <si>
    <t>জন্ম তারিখ: ২৫/০৪/১৯৭৪</t>
  </si>
  <si>
    <t>মাতা: মোছা: ফাতেমা খাতুন</t>
  </si>
  <si>
    <t>ভোটার নং: ৫৭০০৩৮০০০১০৫</t>
  </si>
  <si>
    <t>জন্ম তারিখ: ১০/০৭/১৯৯০</t>
  </si>
  <si>
    <t>নাম: মো: হায়দার আলী</t>
  </si>
  <si>
    <t>পিতা: মো: শাহাদ আলী</t>
  </si>
  <si>
    <t>মাতা: মোছা: ফুলঝুরা</t>
  </si>
  <si>
    <t>ভোটার নং: ৫৭০০৩৮০০০১০৭</t>
  </si>
  <si>
    <t>জন্ম তারিখ: ১৫/০১/১৯৯১</t>
  </si>
  <si>
    <t>নাম: মো: আবু হানিফ</t>
  </si>
  <si>
    <t>পিতা: মো: মহিবুল ইসলাম</t>
  </si>
  <si>
    <t>মাতা: মোছা: রুপিয়া খাতুন</t>
  </si>
  <si>
    <t>ভোটার নং: ৫৭০০৩৮০০০১০৮</t>
  </si>
  <si>
    <t>জন্ম তারিখ: ২০/০২/১৯৮৫</t>
  </si>
  <si>
    <t>নাম: মো: মিনারুল ইসলাম</t>
  </si>
  <si>
    <t>পিতা: মো: আজমত আলী</t>
  </si>
  <si>
    <t>মাতা: মোছা: মিনা খাতুন</t>
  </si>
  <si>
    <t>ভোটার নং: ৫৭০০৩৮০০০১০৯</t>
  </si>
  <si>
    <t>জন্ম তারিখ: ১০/১১/১৯৯০</t>
  </si>
  <si>
    <t>নাম: মো: হোসেনুজ্জামান</t>
  </si>
  <si>
    <t>পিতা: মো: আলী হোসেন</t>
  </si>
  <si>
    <t>মাতা: মোছা: ছামেনা খাতুন</t>
  </si>
  <si>
    <t>ভোটার নং: ৫৭০০৩৮০০০১১০</t>
  </si>
  <si>
    <t>জন্ম তারিখ: ০১/০৬/১৯৮৮</t>
  </si>
  <si>
    <t>মাতা: মোছা: সুফিয়া বেগম</t>
  </si>
  <si>
    <t>ভোটার নং: ৫৭০০৩৮০০০১১১</t>
  </si>
  <si>
    <t>জন্ম তারিখ: ০১/১০/১৯৮০</t>
  </si>
  <si>
    <t>নাম: মো: মিয়ারুল ইসলাম</t>
  </si>
  <si>
    <t>পিতা: মো: মোজাম্মেল হক</t>
  </si>
  <si>
    <t>মাতা: মোছা: নেছারন খাতুন</t>
  </si>
  <si>
    <t>ভোটার নং: ৫৭০০৩৮০০০১১২</t>
  </si>
  <si>
    <t>জন্ম তারিখ: ১৬/০২/১৯৯১</t>
  </si>
  <si>
    <t>নাম: মো: শাহিন আলী</t>
  </si>
  <si>
    <t>পিতা: মো: সামসুজ্জোহা</t>
  </si>
  <si>
    <t>ভোটার নং: ৫৭০০৩৮০০০১১৩</t>
  </si>
  <si>
    <t>জন্ম তারিখ: ২০/০২/১৯৮৮</t>
  </si>
  <si>
    <t>পেশা: ড্রাইভার</t>
  </si>
  <si>
    <t>নাম: মো: একরামুল হোসেন</t>
  </si>
  <si>
    <t>পিতা: নুর ইসলাম</t>
  </si>
  <si>
    <t>মাতা: রুমিয়া খাতুন</t>
  </si>
  <si>
    <t>ভোটার নং: ৫৭০০৩৮০০০১১৫</t>
  </si>
  <si>
    <t>জন্ম তারিখ: ০৩/০২/১৯৯১</t>
  </si>
  <si>
    <t>নাম: মো: সোহেল রানা</t>
  </si>
  <si>
    <t>পিতা: মো: বিনার বক্স</t>
  </si>
  <si>
    <t>মাতা: মোছা: সুফিয়া খাতুন</t>
  </si>
  <si>
    <t>ভোটার নং: ৫৭০০৩৮০০০১১৬</t>
  </si>
  <si>
    <t>জন্ম তারিখ: ০২/০৪/১৯৯০</t>
  </si>
  <si>
    <t>নাম: মো: মিঠুন</t>
  </si>
  <si>
    <t>পিতা: মো: জসিম আলী</t>
  </si>
  <si>
    <t>ভোটার নং: ৫৭০০৩৮০০০১১৭</t>
  </si>
  <si>
    <t>জন্ম তারিখ: ০৪/০৫/১৯৮৮</t>
  </si>
  <si>
    <t>নাম: মো: লাভলু আকতার</t>
  </si>
  <si>
    <t>পিতা: মো: ইউছুফ আলী</t>
  </si>
  <si>
    <t>মাতা: মোছা: মার্জিয়া খাতুন</t>
  </si>
  <si>
    <t>ভোটার নং: ৫৭০০৩৮০০০১১৮</t>
  </si>
  <si>
    <t>জন্ম তারিখ: ০১/০৩/১৯৮৯</t>
  </si>
  <si>
    <t>নাম: মো: রাশিদুল ইসলাম</t>
  </si>
  <si>
    <t>মাতা: মোছা: ফজিলা খাতুন</t>
  </si>
  <si>
    <t>ভোটার নং: ৫৭০০৩৮০০০১১৯</t>
  </si>
  <si>
    <t>জন্ম তারিখ: ১৫/০৫/১৯৮৪</t>
  </si>
  <si>
    <t>নাম: মো: রিপন আলী</t>
  </si>
  <si>
    <t>ভোটার নং: ৫৭০০৩৮০০০১২৩</t>
  </si>
  <si>
    <t>জন্ম তারিখ: ২৫/১১/১৯৯০</t>
  </si>
  <si>
    <t>নাম: মো: ইউসুফ আলী</t>
  </si>
  <si>
    <t>পিতা: মো: হাবিবুর রহমান</t>
  </si>
  <si>
    <t>ভোটার নং: ৫৭০০৩৮০০০১২৪</t>
  </si>
  <si>
    <t>নাম: মো: রকিবুল ইসলাম</t>
  </si>
  <si>
    <t>পিতা: মো: রুহুল আমীন</t>
  </si>
  <si>
    <t>মাতা: মোছা: রোকয়া খাতুন</t>
  </si>
  <si>
    <t>ভোটার নং: ৫৭০০৩৮০০০১২৫</t>
  </si>
  <si>
    <t>জন্ম তারিখ: ১৫/০২/১৯৯১</t>
  </si>
  <si>
    <t>নাম: মো: আরিফ হোসেন</t>
  </si>
  <si>
    <t>মাতা: মোছা: তামেশা খাতুন</t>
  </si>
  <si>
    <t>ভোটার নং: ৫৭০০৩৮০০০১২৭</t>
  </si>
  <si>
    <t>নাম: মো: ফিরোজ শেখ</t>
  </si>
  <si>
    <t>পিতা: মো: ছাত্তার শেখ</t>
  </si>
  <si>
    <t>মাতা: মোছা: ফেরদৌসি খাতুন</t>
  </si>
  <si>
    <t>ভোটার নং: ৫৭০০৩৮০০০১২৯</t>
  </si>
  <si>
    <t>জন্ম তারিখ: ১১/০৪/১৯৯০</t>
  </si>
  <si>
    <t>নাম: মো: জাকির হোসেন</t>
  </si>
  <si>
    <t>পিতা: মো: নিহাজ উদ্দীন</t>
  </si>
  <si>
    <t>মাতা: মোছা: জুলেখা খাতুন</t>
  </si>
  <si>
    <t>ভোটার নং: ৫৭০০৩৮০০০১৩০</t>
  </si>
  <si>
    <t>জন্ম তারিখ: ০৫/০৮/১৯৭৫</t>
  </si>
  <si>
    <t>নাম: মো: আজিজুল হক</t>
  </si>
  <si>
    <t>পিতা: মো: আবু ছাত্তার</t>
  </si>
  <si>
    <t>ভোটার নং: ৫৭০০৩৮০০০১৩১</t>
  </si>
  <si>
    <t>জন্ম তারিখ: ০১/০১/১৯৮৮</t>
  </si>
  <si>
    <t>নাম: মো: মাসুম আলী</t>
  </si>
  <si>
    <t>পিতা: মো: আলাউদ্দিন</t>
  </si>
  <si>
    <t>মাতা: মোছা: মাসুদা খাতুন</t>
  </si>
  <si>
    <t>ভোটার নং: ৫৭০০৩৮০০০১৩২</t>
  </si>
  <si>
    <t>জন্ম তারিখ: ২২/০৭/১৯৯০</t>
  </si>
  <si>
    <t>নাম: শ্রী গোপীনাথ শাহা</t>
  </si>
  <si>
    <t>পিতা: শ্রী গৌরশাহা</t>
  </si>
  <si>
    <t>মাতা: শ্রীমতি আশালতা</t>
  </si>
  <si>
    <t>ভোটার নং: ৫৭০০৩৮০০০১৩৩</t>
  </si>
  <si>
    <t>জন্ম তারিখ: ১১/১০/১৯৮০</t>
  </si>
  <si>
    <t>নাম: মো: হোসেন আলী</t>
  </si>
  <si>
    <t>ভোটার নং: ৫৭০০৩৮০০০১৩৪</t>
  </si>
  <si>
    <t>জন্ম তারিখ: ০৮/০৬/১৯৮৬</t>
  </si>
  <si>
    <t>নাম: মো: আনছার আলী</t>
  </si>
  <si>
    <t>পিতা: মো: আব্দুল মোতালেব</t>
  </si>
  <si>
    <t>মাতা: মোছা: আনজুমান আরা</t>
  </si>
  <si>
    <t>ভোটার নং: ৫৭০০৩৮০০০১৩৫</t>
  </si>
  <si>
    <t>জন্ম তারিখ: ০৫/০১/১৯৯০</t>
  </si>
  <si>
    <t>নাম: মো: আহসান হাবিব</t>
  </si>
  <si>
    <t>মাতা: মোছা: আনজুমানয়ারা</t>
  </si>
  <si>
    <t>ভোটার নং: ৫৭০০৩৮০০০১৩৬</t>
  </si>
  <si>
    <t>জন্ম তারিখ: ০১/০৩/১৯৯১</t>
  </si>
  <si>
    <t>নাম: মো: মাহাফুজুর রহমান</t>
  </si>
  <si>
    <t>পিতা: মো: আদম আলি</t>
  </si>
  <si>
    <t>মাতা: মোছা: মমতাজ বেগম</t>
  </si>
  <si>
    <t>ভোটার নং: ৫৭০০৩৮০০০১৩৭</t>
  </si>
  <si>
    <t>জন্ম তারিখ: ২৫/০৬/১৯৯১</t>
  </si>
  <si>
    <t>নাম: মো: ফরহাদ হোসেন</t>
  </si>
  <si>
    <t>পিতা: মো: নছির উদ্দীন</t>
  </si>
  <si>
    <t>মাতা: মোছা: ফেরদৌসি আক্তার</t>
  </si>
  <si>
    <t>ভোটার নং: ৫৭০০৩৮০০০১৩৮</t>
  </si>
  <si>
    <t>জন্ম তারিখ: ০৫/০৮/১৯৯০</t>
  </si>
  <si>
    <t>পিতা: মো: আক্কাচ আলী</t>
  </si>
  <si>
    <t>ভোটার নং: ৫৭০০৩৮০০০১৪১</t>
  </si>
  <si>
    <t>জন্ম তারিখ: ০১/০১/১৯৯০</t>
  </si>
  <si>
    <t>নাম: মো: ইয়াকুব আলী</t>
  </si>
  <si>
    <t>পিতা: মো: আব্দুল মান্নান</t>
  </si>
  <si>
    <t>মাতা: মোছা: মাজেদা বেগম</t>
  </si>
  <si>
    <t>ভোটার নং: ৫৭০০৩৮০০০১৪২</t>
  </si>
  <si>
    <t>নাম: মোহা: ফিরোজ আলম</t>
  </si>
  <si>
    <t>পিতা: মো: আবুল হাশেম</t>
  </si>
  <si>
    <t>মাতা: মোছা: মাহমুদা বেগম</t>
  </si>
  <si>
    <t>ভোটার নং: ৫৭০০৩৮০০০১৪৩</t>
  </si>
  <si>
    <t>জন্ম তারিখ: ১৫/০৬/১৯৭৯</t>
  </si>
  <si>
    <t>পেশা: গৃহিনী</t>
  </si>
  <si>
    <t>পিতা: মো: নায়েব আলী</t>
  </si>
  <si>
    <t>মাতা: মোছা: রেণুকা খাতুন</t>
  </si>
  <si>
    <t>ভোটার নং: ৫৭০০৩৮০০০১৪৫</t>
  </si>
  <si>
    <t>জন্ম তারিখ: ০১/০৫/১৯৯০</t>
  </si>
  <si>
    <t>মাতা: মোছা: হাসিনা বেগম</t>
  </si>
  <si>
    <t>ভোটার নং: ৫৭০০৩৮০০০১৪৭</t>
  </si>
  <si>
    <t>পিতা: মো: সাহাবুদ্দীন</t>
  </si>
  <si>
    <t>ভোটার নং: ৫৭০০৩৮০০০১৪৯</t>
  </si>
  <si>
    <t>জন্ম তারিখ: ১১/০২/১৯৯১</t>
  </si>
  <si>
    <t>নাম: মোহা: ইলিয়াস হোসেন</t>
  </si>
  <si>
    <t>পিতা: রহমতুল্লাহ</t>
  </si>
  <si>
    <t>ভোটার নং: ৫৭০০৩৮০০০১৫০</t>
  </si>
  <si>
    <t>জন্ম তারিখ: ৩০/০৩/১৯৭৫</t>
  </si>
  <si>
    <t>নাম: মো: সাইফুল ইসলাম</t>
  </si>
  <si>
    <t>ভোটার নং: ৫৭০০৩৮০০০১৫৬</t>
  </si>
  <si>
    <t>জন্ম তারিখ: ২১/১১/১৯৯১</t>
  </si>
  <si>
    <t>নাম: এস এম আশরাফুজ্জামান</t>
  </si>
  <si>
    <t>পিতা: রিয়াজ উদ্দীন</t>
  </si>
  <si>
    <t>মাতা: মোহা: শবিকোন নেছা</t>
  </si>
  <si>
    <t>ভোটার নং: ৫৭০০৩৮০০০১৬০</t>
  </si>
  <si>
    <t>জন্ম তারিখ: ২৮/১২/১৯৮২</t>
  </si>
  <si>
    <t>নাম: মো: বেল্টু আহমেদ</t>
  </si>
  <si>
    <t>পিতা: মো: কাউসার আলী</t>
  </si>
  <si>
    <t>মাতা: মোছা: ফিরোজা খাতুন</t>
  </si>
  <si>
    <t>ভোটার নং: ৫৭০০৩৮০০০১৬১</t>
  </si>
  <si>
    <t>জন্ম তারিখ: ০৪/০৭/১৯৯১</t>
  </si>
  <si>
    <t>নাম: মো: আব্দুস সালাম</t>
  </si>
  <si>
    <t>পিতা: মো: আজিমুদ্দীন শেখ</t>
  </si>
  <si>
    <t>মাতা: মোছা: হালিমা বিবি</t>
  </si>
  <si>
    <t>ভোটার নং: ৫৭০০৩৮০০০১৬৪</t>
  </si>
  <si>
    <t>জন্ম তারিখ: ১২/১০/১৯৮৯</t>
  </si>
  <si>
    <t>পিতা: মো: আবুল কাসেম</t>
  </si>
  <si>
    <t>ভোটার নং: ৫৭০০৩৮০০০১৬৫</t>
  </si>
  <si>
    <t>জন্ম তারিখ: ১১/০১/১৯৮৮</t>
  </si>
  <si>
    <t>নাম: মো: মহিদুল ইসলাম</t>
  </si>
  <si>
    <t>পিতা: মো: কুদ্দুস শেখ</t>
  </si>
  <si>
    <t>মাতা: মোছা: কহিনুর বেগম</t>
  </si>
  <si>
    <t>ভোটার নং: ৫৭০০৩৮০০০১৭৫</t>
  </si>
  <si>
    <t>জন্ম তারিখ: ২০/০৫/১৯৮৯</t>
  </si>
  <si>
    <t>নাম: মো: সুজন আলী</t>
  </si>
  <si>
    <t>পিতা: মো: হিবাজ উদ্দীন</t>
  </si>
  <si>
    <t>ভোটার নং: ৫৭০০৩৮০০০১৭৬</t>
  </si>
  <si>
    <t>জন্ম তারিখ: ১৬/১০/১৯৯০</t>
  </si>
  <si>
    <t>নাম: মো: রাজিব হোসেন</t>
  </si>
  <si>
    <t>পিতা: আইযুব আলী</t>
  </si>
  <si>
    <t>মাতা: রাবেয়া</t>
  </si>
  <si>
    <t>ভোটার নং: ৫৭০০৩৮০০০১৭৭</t>
  </si>
  <si>
    <t>জন্ম তারিখ: ০৫/০৫/১৯৯১</t>
  </si>
  <si>
    <t>পিতা: মো: হাফিজুর রহমান</t>
  </si>
  <si>
    <t>ভোটার নং: ৫৭০০৩৮০০০১৭৮</t>
  </si>
  <si>
    <t>নাম: মো: আল জিহাদ</t>
  </si>
  <si>
    <t>পিতা: মো: আতিয়ার রহমান</t>
  </si>
  <si>
    <t>মাতা: মোছা: তাছলিমা খাতুন</t>
  </si>
  <si>
    <t>ভোটার নং: ৫৭০০৩৮০০০১৭৯</t>
  </si>
  <si>
    <t>জন্ম তারিখ: ২৫/১২/১৯৯১</t>
  </si>
  <si>
    <t>ঠিকানা: "বাঁশবাড়ীয়া</t>
  </si>
  <si>
    <t>নাম: মো: শাহিদুর রহমান জসিম</t>
  </si>
  <si>
    <t>পিতা: খলিলুর রহমান</t>
  </si>
  <si>
    <t>মাতা: মোছা: জহুরা খাতুন</t>
  </si>
  <si>
    <t>ভোটার নং: ৫৭০০৩৮০০০১৮১</t>
  </si>
  <si>
    <t>জন্ম তারিখ: ১২/১০/১৯৯০</t>
  </si>
  <si>
    <t>নাম: মো: ডালিম</t>
  </si>
  <si>
    <t>পিতা: মো: ইসমাইল হক</t>
  </si>
  <si>
    <t>মাতা: মোছা: হামিদা খাতুন</t>
  </si>
  <si>
    <t>ভোটার নং: ৫৭০০৩৮০০০১৮২</t>
  </si>
  <si>
    <t>জন্ম তারিখ: ০৩/০৬/১৯৯০</t>
  </si>
  <si>
    <t>নাম: মো: ইমরান হোসেন</t>
  </si>
  <si>
    <t>পিতা: মো: ফারাজুল ইসলাম</t>
  </si>
  <si>
    <t>মাতা: মোছা: নাসিরা খাতুন</t>
  </si>
  <si>
    <t>ভোটার নং: ৫৭০০৩৮০০০১৮৩</t>
  </si>
  <si>
    <t>জন্ম তারিখ: ১০/০৯/১৯৯১</t>
  </si>
  <si>
    <t>নাম: মো: ছিপাত উদ্দীন</t>
  </si>
  <si>
    <t>পিতা: মো: মাওলাদ হোসেন</t>
  </si>
  <si>
    <t>মাতা: মোছা: বাচেনা খাতুন</t>
  </si>
  <si>
    <t>ভোটার নং: ৫৭০০৩৮০০০১৮৫</t>
  </si>
  <si>
    <t>জন্ম তারিখ: ২০/০৮/১৯৯০</t>
  </si>
  <si>
    <t>নাম: মো: মিলন</t>
  </si>
  <si>
    <t>পিতা: মো: দুলাল শেখ</t>
  </si>
  <si>
    <t>মাতা: মোছা: হানেছা খাতুন</t>
  </si>
  <si>
    <t>ভোটার নং: ৫৭০০৩৮০০০১৮৬</t>
  </si>
  <si>
    <t>নাম: মো: মাহমুদুল হাসান</t>
  </si>
  <si>
    <t>মাতা: মোছা: মাহমুদা খাতুন</t>
  </si>
  <si>
    <t>ভোটার নং: ৫৭০০৩৮০০০১৮৯</t>
  </si>
  <si>
    <t>জন্ম তারিখ: ৩০/১১/১৯৯১</t>
  </si>
  <si>
    <t>নাম: মো: তারিকুল</t>
  </si>
  <si>
    <t>পিতা: মো: আ: কুদ্দুস</t>
  </si>
  <si>
    <t>মাতা: মোছা: আরিফা খাতুন</t>
  </si>
  <si>
    <t>ভোটার নং: ৫৭০০৩৮০০০১৯৫</t>
  </si>
  <si>
    <t>নাম: মো: রকি হোসেন</t>
  </si>
  <si>
    <t>পিতা: মো: আ: মান্নান</t>
  </si>
  <si>
    <t>মাতা: মোছা: তাসলিমা বেগম</t>
  </si>
  <si>
    <t>ভোটার নং: ৫৭০০৩৮০০০১৯৭</t>
  </si>
  <si>
    <t>জন্ম তারিখ: ১০/০১/১৯৯০</t>
  </si>
  <si>
    <t>নাম: মো: মাহফুজুর রহমান</t>
  </si>
  <si>
    <t>পিতা: মো: আ: রাজ্জাক</t>
  </si>
  <si>
    <t>মাতা: মোছা: সুপিয়া খাতুন</t>
  </si>
  <si>
    <t>ভোটার নং: ৫৭০০৩৮০০০১৯৮</t>
  </si>
  <si>
    <t>জন্ম তারিখ: ১৫/১২/১৯৮৩</t>
  </si>
  <si>
    <t>নাম: মো: শামীম হোসেন</t>
  </si>
  <si>
    <t>পিতা: মো: সাফায়াত হোসেন</t>
  </si>
  <si>
    <t>ভোটার নং: ৫৭০০৩৮০০০২০৪</t>
  </si>
  <si>
    <t>নাম: মো: শাহ আলম</t>
  </si>
  <si>
    <t>পিতা: মো: শফি উল্লাহ</t>
  </si>
  <si>
    <t>মাতা: মোছা: রমেজান</t>
  </si>
  <si>
    <t>ভোটার নং: ৫৭০০৩৮০০০২০৫</t>
  </si>
  <si>
    <t>জন্ম তারিখ: ১৬/০৮/১৯৮৬</t>
  </si>
  <si>
    <t>নাম: মো: আঃ আওয়াল</t>
  </si>
  <si>
    <t>ভোটার নং: ৫৭০০৩৮০০০২০৬</t>
  </si>
  <si>
    <t>পিতা: মো: ইনতাজ আলী</t>
  </si>
  <si>
    <t>মাতা: মোছা: জামবিয়া খাতুন</t>
  </si>
  <si>
    <t>ভোটার নং: ৫৭০০৩৮০০০২০৭</t>
  </si>
  <si>
    <t>জন্ম তারিখ: ১২/১০/১৯৯১</t>
  </si>
  <si>
    <t>পিতা: কিয়াম উদ্দিন</t>
  </si>
  <si>
    <t>মাতা: মোছা: মাহিরন বিবি</t>
  </si>
  <si>
    <t>ভোটার নং: ৫৭০০৩৮০০০২০৮</t>
  </si>
  <si>
    <t>নাম: মো: সাইফুল</t>
  </si>
  <si>
    <t>পিতা: মো: গরীব</t>
  </si>
  <si>
    <t>মাতা: মোছা: বানুয়ারা</t>
  </si>
  <si>
    <t>ভোটার নং: ৫৭০০৩৮০০০২১১</t>
  </si>
  <si>
    <t>জন্ম তারিখ: ০১/০৫/১৯৭৫</t>
  </si>
  <si>
    <t>নাম: মো: ফরহাদ</t>
  </si>
  <si>
    <t>পিতা: মো: বিশারত আলী</t>
  </si>
  <si>
    <t>ভোটার নং: ৫৭০০৩৮০০০২১৩</t>
  </si>
  <si>
    <t>জন্ম তারিখ: ২৫/০১/১৯৯০</t>
  </si>
  <si>
    <t>নাম: মো: জসিম উদ্দিন</t>
  </si>
  <si>
    <t>পিতা: খলিল খাঁ</t>
  </si>
  <si>
    <t>মাতা: মোছা: জোহরা বেগম</t>
  </si>
  <si>
    <t>ভোটার নং: ৫৭০০৩৮০০০২১৬</t>
  </si>
  <si>
    <t>জন্ম তারিখ: ০৯/০৩/১৯৯০</t>
  </si>
  <si>
    <t>নাম: মোহা: ফিরোজ হোসেন সুজন</t>
  </si>
  <si>
    <t>পিতা: মো: ইদ্রিস আলী</t>
  </si>
  <si>
    <t>ভোটার নং: ৫৭০০৩৮০০০২১৭</t>
  </si>
  <si>
    <t>জন্ম তারিখ: ১২/০৬/১৯৮৭</t>
  </si>
  <si>
    <t>মোঃ জব্বারুল ইসলাম</t>
  </si>
  <si>
    <t>মোশাররফ হোসেন</t>
  </si>
  <si>
    <t>২৮/১১/১৯৯০</t>
  </si>
  <si>
    <t>গাড়াদোব, গাংনী, মেহেরপুর</t>
  </si>
  <si>
    <t>মোঃ রবি</t>
  </si>
  <si>
    <t>ওয়াহেদ</t>
  </si>
  <si>
    <t>মজিদা খাতুন</t>
  </si>
  <si>
    <t>০২/০৫/১৯৭২</t>
  </si>
  <si>
    <t>মোঃ ফিরোজ আলম</t>
  </si>
  <si>
    <t>মাহমুদা খাতুন</t>
  </si>
  <si>
    <t>১৫/০৬/১৯৭৯</t>
  </si>
  <si>
    <t>মোঃ আকবার হোসেন</t>
  </si>
  <si>
    <t>০৫/০৮/১৯৯১</t>
  </si>
  <si>
    <t>দোকানদার</t>
  </si>
  <si>
    <t>১৪/১১/১৯৯১</t>
  </si>
  <si>
    <t>মোঃ জীবন আলী</t>
  </si>
  <si>
    <t>১৮/০৭/১৯৮৮</t>
  </si>
  <si>
    <t>মোঃ মুনসুর আলী</t>
  </si>
  <si>
    <t>মোছাঃ শুকিরন</t>
  </si>
  <si>
    <t>০৩/০৩/১৯৮৭</t>
  </si>
  <si>
    <t>মোঃ হেলাল উদ্দিন</t>
  </si>
  <si>
    <t>মোছাঃ হিরতন নেছা</t>
  </si>
  <si>
    <t>০৫/০১/১৯৯০</t>
  </si>
  <si>
    <t>মোঃ তাজমহল হোসেন</t>
  </si>
  <si>
    <t>মোঃ আবুল আছার আলী</t>
  </si>
  <si>
    <t>মোছাঃ মমতাজ পারভীন</t>
  </si>
  <si>
    <t>০২/০৬/১৯৯০</t>
  </si>
  <si>
    <t>হযরত আলী সরকার</t>
  </si>
  <si>
    <t>ফারেজান নেছা</t>
  </si>
  <si>
    <t>১২/০৮/১৯৮৬</t>
  </si>
  <si>
    <t>মোঃ জুয়েল উদ্দীন</t>
  </si>
  <si>
    <t>কাবেল উদ্দীন শেখ</t>
  </si>
  <si>
    <t>মোছাঃ চায়না খাতুন</t>
  </si>
  <si>
    <t>মোঃ রবিন রাজ</t>
  </si>
  <si>
    <t>মোছাঃ শাহানাজ পারভীন</t>
  </si>
  <si>
    <t>০৫/০২/১৯৯১</t>
  </si>
  <si>
    <t>ইঞ্জিনিয়ার</t>
  </si>
  <si>
    <t>মোঃ মসলেম উদ্দীন</t>
  </si>
  <si>
    <t>১৫/১০/১৯৮৯</t>
  </si>
  <si>
    <t>মোছাঃ গোলজান</t>
  </si>
  <si>
    <t>১০/০৮/১৯৯০</t>
  </si>
  <si>
    <t>মোঃ মাহাতাব আলি</t>
  </si>
  <si>
    <t>১০/১০/১৯৮২</t>
  </si>
  <si>
    <t>০৫/০৬/১৯৯১</t>
  </si>
  <si>
    <t>মোঃ মিন্টু হোসেন</t>
  </si>
  <si>
    <t>মোছাঃ ছানুয়ারা খাতুন</t>
  </si>
  <si>
    <t>২১/০৬/১৯৯১</t>
  </si>
  <si>
    <t>মোছাঃ আছেমা বিবি</t>
  </si>
  <si>
    <t>০৫/০৬/১৯৮৯</t>
  </si>
  <si>
    <t>২০/০৬/১৯৯০</t>
  </si>
  <si>
    <t>মজিবার রহমান</t>
  </si>
  <si>
    <t>২০/১২/১৯৯০</t>
  </si>
  <si>
    <t>মোঃ আঃ কাদের</t>
  </si>
  <si>
    <t>মোছাঃ ইসরাফন নেছা</t>
  </si>
  <si>
    <t>০৩/০৩/১৯৮৮</t>
  </si>
  <si>
    <t>২০/০৫/১৯৯০</t>
  </si>
  <si>
    <t>কালু</t>
  </si>
  <si>
    <t>মোছাঃ হাদছুন নেছা</t>
  </si>
  <si>
    <t>১০/১০/১৯৮৮</t>
  </si>
  <si>
    <t>মোঃ শাহজুল ইসলাম</t>
  </si>
  <si>
    <t>মোহাঃ আফসার আলী</t>
  </si>
  <si>
    <t>মোছাঃ শাহানারা খাতুন</t>
  </si>
  <si>
    <t>১০/০৮/১৯৯১</t>
  </si>
  <si>
    <t>মোঃ আজিজুর রহমান</t>
  </si>
  <si>
    <t>০১/০৬/১৯৮৪</t>
  </si>
  <si>
    <t>দোস্ত মোহাম্মদ</t>
  </si>
  <si>
    <t>মোঃ আমির আলী</t>
  </si>
  <si>
    <t>মোছাঃ বিলকিছ আরা</t>
  </si>
  <si>
    <t>১১/০৯/১৯৯১</t>
  </si>
  <si>
    <t>মোঃ সুমন আলী</t>
  </si>
  <si>
    <t>মোছাঃ ফুলজান খাতুন</t>
  </si>
  <si>
    <t>০২/০৮/১৯৯০</t>
  </si>
  <si>
    <t>মোঃ শাহাজাহান শাহ</t>
  </si>
  <si>
    <t>মোছাঃ ফরিদা পারভীন</t>
  </si>
  <si>
    <t>২০/০২/১৯৯১</t>
  </si>
  <si>
    <t>মোঃ রাপসান জানি রিপন</t>
  </si>
  <si>
    <t>২৩/০১/১৯৯১</t>
  </si>
  <si>
    <t>তাললুল</t>
  </si>
  <si>
    <t>মাতাঃ গোহরজান</t>
  </si>
  <si>
    <t>০৬/০৩/১৯৯০</t>
  </si>
  <si>
    <t>মোঃ আজমাইন</t>
  </si>
  <si>
    <t>০৮/০১/১৯৯১</t>
  </si>
  <si>
    <t>মোঃ ছিপাত উদ্দীন</t>
  </si>
  <si>
    <t>মোছাঃ বাচেনা খাতুন</t>
  </si>
  <si>
    <t>২০/০৮/১৯৯০</t>
  </si>
  <si>
    <t>০১/০১/১৯৯১</t>
  </si>
  <si>
    <t>মোঃ রিপন হোসেন</t>
  </si>
  <si>
    <t>মোঃ আওলাদ</t>
  </si>
  <si>
    <t>মোছাঃ মফিজা</t>
  </si>
  <si>
    <t>০২/০৮/১৯৮৭</t>
  </si>
  <si>
    <t>মোঃ ফিরোজ আলী</t>
  </si>
  <si>
    <t>মোছাঃ সামসুন্নাহার খাতুন</t>
  </si>
  <si>
    <t>মোছাঃ আন্তরা খাতুন</t>
  </si>
  <si>
    <t>০৪/০৩/১৯৮৮</t>
  </si>
  <si>
    <t>মোঃ খবরুদ্দিন কারিগর</t>
  </si>
  <si>
    <t>মোছাঃ হানুফা খাতুন</t>
  </si>
  <si>
    <t>মোঃ সোহরাব হোসেন</t>
  </si>
  <si>
    <t>মোঃ আঃ রহমান</t>
  </si>
  <si>
    <t>০২/০৪/১৯৯০</t>
  </si>
  <si>
    <t>মোঃ সাহেব আলী</t>
  </si>
  <si>
    <t>০১/০১/১৯৭৮</t>
  </si>
  <si>
    <t>১০/১০/১৯৯০</t>
  </si>
  <si>
    <t>মোছাঃ আনজিলা খাতুন</t>
  </si>
  <si>
    <t>১০/০৫/১৯৮০</t>
  </si>
  <si>
    <t>এস এম সাইফ আবাবীল</t>
  </si>
  <si>
    <t>এস এম রফিকুল ইসলাম</t>
  </si>
  <si>
    <t>মোছাঃ রেবেকা ইসলাম</t>
  </si>
  <si>
    <t>২৩/০৯/১৯৯১</t>
  </si>
  <si>
    <t>ছায়াদ</t>
  </si>
  <si>
    <t>১১/০২/১৯৯০</t>
  </si>
  <si>
    <t>মোঃ বাদশা আলী</t>
  </si>
  <si>
    <t>মোছাঃ নুরুন্নাহার খাতুন</t>
  </si>
  <si>
    <t>০৩/০৫/১৯৮৪</t>
  </si>
  <si>
    <t>এস এম আব্দুল কুদ্দুস</t>
  </si>
  <si>
    <t>জমেলা খাতুন</t>
  </si>
  <si>
    <t>২৪/০৬/১৯৮৪</t>
  </si>
  <si>
    <t>মোঃ সালাউদ্দীন</t>
  </si>
  <si>
    <t>মোছাঃ সালেহার খাতুন</t>
  </si>
  <si>
    <t>৩০/০৪/১৯৮৯</t>
  </si>
  <si>
    <t>মোঃ রাসেল মিয়া</t>
  </si>
  <si>
    <t>মোছাঃ শাহাদানা খাতুন</t>
  </si>
  <si>
    <t>৩০/০৬/১৯৯১</t>
  </si>
  <si>
    <t>মোঃ সাহাদুল ইসলাম</t>
  </si>
  <si>
    <t>মোছাঃ রাফিয়া খাতুন</t>
  </si>
  <si>
    <t>০৬/০৭/১৯৭৮</t>
  </si>
  <si>
    <t>মোছাঃ আজিরন খাতুন</t>
  </si>
  <si>
    <t>০১/০৭/১৯৮৯</t>
  </si>
  <si>
    <t>মোঃ হাসিবুল কবির</t>
  </si>
  <si>
    <t>০২/০৩/১৯৮৯</t>
  </si>
  <si>
    <t>গাড়াদোব, গাড়াদোব, গাংনী, মেহেরপুর</t>
  </si>
  <si>
    <t>মোহাম্মদ রাশেদুল ইসলাম</t>
  </si>
  <si>
    <t>নূর মোঃ আশরাফ আলী</t>
  </si>
  <si>
    <t>মোসাঃ সুফিয়া খাতুন</t>
  </si>
  <si>
    <t>১৩/১১/১৯৮৬</t>
  </si>
  <si>
    <t>মোঃ আজিমুদ্দিন শেখ</t>
  </si>
  <si>
    <t>মাতাঃ আমিরুন্নেছা খাতুন</t>
  </si>
  <si>
    <t>মোঃ জাহিদ মোল্লা</t>
  </si>
  <si>
    <t>২৭/০৫/১৯৭৮</t>
  </si>
  <si>
    <t>মোঃ আব্দুল মিলন</t>
  </si>
  <si>
    <t>মোছাঃ মহিনা খাতুন</t>
  </si>
  <si>
    <t>২১/১১/১৯৯২</t>
  </si>
  <si>
    <t>মোছাঃ বেলিয়ারা বেগম</t>
  </si>
  <si>
    <t>১৭/১০/১৯৯২</t>
  </si>
  <si>
    <t>মোঃ আবু জুবায়ের</t>
  </si>
  <si>
    <t>মোঃ ওয়াহেদ আলী</t>
  </si>
  <si>
    <t>১৮/১০/১৯৯২</t>
  </si>
  <si>
    <t>০১/০১/১৯৯৩</t>
  </si>
  <si>
    <t>মোঃ রুস্তম আলী</t>
  </si>
  <si>
    <t>মোঃ অলিয়ার রহমান</t>
  </si>
  <si>
    <t>০৬/১০/১৯৯২</t>
  </si>
  <si>
    <t>মোঃ আয়ব আলী</t>
  </si>
  <si>
    <t>১৫/০৩/১৯৯২</t>
  </si>
  <si>
    <t>০৩/০৩/১৯৯২</t>
  </si>
  <si>
    <t>মোছাঃ সোনা ভানু</t>
  </si>
  <si>
    <t>১২/১০/১৯৯২</t>
  </si>
  <si>
    <t>মোঃ জাহিদুজ্জামান</t>
  </si>
  <si>
    <t>১০/০৮/১৯৯২</t>
  </si>
  <si>
    <t>মোঃ শাকিবুল ইসলাম</t>
  </si>
  <si>
    <t>০৪/০৫/১৯৯২</t>
  </si>
  <si>
    <t>মোঃ সাহাবুল হক</t>
  </si>
  <si>
    <t>০৭/০৭/১৯৯২</t>
  </si>
  <si>
    <t>ভাসান আলী</t>
  </si>
  <si>
    <t>মোছাঃ শুকজান খাতুন</t>
  </si>
  <si>
    <t>১২/১২/১৯৯২</t>
  </si>
  <si>
    <t>মোঃ সোহাগ আলী</t>
  </si>
  <si>
    <t>মোঃ খোদাবকস</t>
  </si>
  <si>
    <t>১৫/০৭/১৯৯২</t>
  </si>
  <si>
    <t>০৯/০৫/১৯৯২</t>
  </si>
  <si>
    <t>ইমাদুল হক</t>
  </si>
  <si>
    <t>আকবার আলী</t>
  </si>
  <si>
    <t>ইমামন নেছা</t>
  </si>
  <si>
    <t>০৪/০১/১৯৯২</t>
  </si>
  <si>
    <t>মোঃ জুয়েল রানা</t>
  </si>
  <si>
    <t>০৫/০৫/১৯৯২</t>
  </si>
  <si>
    <t>কিয়ামত আলী</t>
  </si>
  <si>
    <t>মোছাঃ মাহিরন বিবি</t>
  </si>
  <si>
    <t>০১/০৫/১৯৯২</t>
  </si>
  <si>
    <t>মোছাঃ রমুজা খাতুন</t>
  </si>
  <si>
    <t>০১/০৩/১৯৯২</t>
  </si>
  <si>
    <t>মোছাঃ জীবননারা</t>
  </si>
  <si>
    <t>১৫/০৪/১৯৯২</t>
  </si>
  <si>
    <t>এস</t>
  </si>
  <si>
    <t>এম রাব্বি হাসান</t>
  </si>
  <si>
    <t>এম</t>
  </si>
  <si>
    <t>মফিদুল ইসলাম</t>
  </si>
  <si>
    <t>মিসেস সালেহা খাতুন</t>
  </si>
  <si>
    <t>১৪/১১/১৯৯২</t>
  </si>
  <si>
    <t>মোঃ মানিক বিশ্বাস</t>
  </si>
  <si>
    <t>মোঃ মান্নান বিশ্বাস</t>
  </si>
  <si>
    <t>সুফিয়া বেগম</t>
  </si>
  <si>
    <t>০২/০৯/১৯৯২</t>
  </si>
  <si>
    <t>৮১২, গাড়াদোব, গাংনী, মেহেরপুর</t>
  </si>
  <si>
    <t>১৫/০১/১৯৯৩</t>
  </si>
  <si>
    <t>মোঃ সাজ্জাউল ইসলাম</t>
  </si>
  <si>
    <t>২৫/০৬/১৯৯৩</t>
  </si>
  <si>
    <t>০৩/০২/১৯৯৩</t>
  </si>
  <si>
    <t>মোঃ সাহাজামাল ইসলাম রিপন</t>
  </si>
  <si>
    <t>মোছাঃ শাহনাজ পারভীন</t>
  </si>
  <si>
    <t>১৭/০২/১৯৯৩</t>
  </si>
  <si>
    <t>মোঃ ছাফিরুল ইসলাম</t>
  </si>
  <si>
    <t>মোঃ রুপচাঁদ মন্ডল</t>
  </si>
  <si>
    <t>মোছাঃ শেলিনা খাতুন</t>
  </si>
  <si>
    <t>১১/১১/১৯৯৩</t>
  </si>
  <si>
    <t>২৬/০৭/১৯৯৩</t>
  </si>
  <si>
    <t>হযরত আলী মুন্না</t>
  </si>
  <si>
    <t>মোঃ কাপ্তান আলী</t>
  </si>
  <si>
    <t>মোছাঃ আরশিদা বেগম</t>
  </si>
  <si>
    <t>১৫/০৩/১৯৯৩</t>
  </si>
  <si>
    <t>মোহাম্মদ আলী আজম</t>
  </si>
  <si>
    <t>মোছাঃ রেজবীনা খাতুন</t>
  </si>
  <si>
    <t>০৫/১১/১৯৯৩</t>
  </si>
  <si>
    <t>মোছাঃ তানজিরা খাতুন</t>
  </si>
  <si>
    <t>১৮/০৩/১৯৯৩</t>
  </si>
  <si>
    <t>২০/১১/১৯৯৩</t>
  </si>
  <si>
    <t>মোঃ মিঠুন আলী</t>
  </si>
  <si>
    <t>মোঃ নবিছদ্দিন</t>
  </si>
  <si>
    <t>মোছাঃ তফছিয়া খাতুন</t>
  </si>
  <si>
    <t>২৫/০৭/১৯৯৩</t>
  </si>
  <si>
    <t>মোঃ নবীর উদ্দিন</t>
  </si>
  <si>
    <t>মোছাঃ শিরিনা খাতুন</t>
  </si>
  <si>
    <t>১০/১০/১৯৯৩</t>
  </si>
  <si>
    <t>১৫/১০/১৯৯৩</t>
  </si>
  <si>
    <t>মোঃ বাবুল মিয়া</t>
  </si>
  <si>
    <t>৩০/০৫/১৯৯৩</t>
  </si>
  <si>
    <t>০১/০১/১৯৯৪</t>
  </si>
  <si>
    <t>১৫/০৬/১৯৯৩</t>
  </si>
  <si>
    <t>মোঃ আবু বকর শেখ</t>
  </si>
  <si>
    <t>০৯/১১/১৯৯৩</t>
  </si>
  <si>
    <t>আবু বিন ইমতিয়াজ</t>
  </si>
  <si>
    <t>১৬/০৮/১৯৯৩</t>
  </si>
  <si>
    <t>মোঃ বিশার উদ্দিন</t>
  </si>
  <si>
    <t>মোছাঃ মানিয়ারা</t>
  </si>
  <si>
    <t>০৭/১১/১৯৯৩</t>
  </si>
  <si>
    <t>মোঃ আক্কাস আলী শেখ</t>
  </si>
  <si>
    <t>মোছাঃ তরিকা খাতুন</t>
  </si>
  <si>
    <t>০৬/০৪/১৯৯৩</t>
  </si>
  <si>
    <t>মোঃ আলফাজ উদ্দিন</t>
  </si>
  <si>
    <t>মোছাঃ আসুরা খাতুন</t>
  </si>
  <si>
    <t>১৩/০৯/১৯৯৩</t>
  </si>
  <si>
    <t>মোছাঃ বালাজান খাতুন</t>
  </si>
  <si>
    <t>১৫/০৭/১৯৯৩</t>
  </si>
  <si>
    <t>০১/১১/১৯৯৩</t>
  </si>
  <si>
    <t>মোঃ ছমিনুল ইসলাম</t>
  </si>
  <si>
    <t>০৩/০১/১৯৯৩</t>
  </si>
  <si>
    <t>মোছাঃ মালা খাতুন</t>
  </si>
  <si>
    <t>মোছাঃ ছাবিনা খাতুন</t>
  </si>
  <si>
    <t>১৪/০৯/১৯৯৩</t>
  </si>
  <si>
    <t>মোঃ আবু ওবায়েদ</t>
  </si>
  <si>
    <t>মোঃ আজগার আলী</t>
  </si>
  <si>
    <t>১০/১২/১৯৯৩</t>
  </si>
  <si>
    <t>মোছাঃ জাহিদা খাতুন</t>
  </si>
  <si>
    <t>০৮/০৭/১৯৯৩</t>
  </si>
  <si>
    <t>১৪/০৫/১৯৯৩</t>
  </si>
  <si>
    <t>মোঃ লিখন মিয়া</t>
  </si>
  <si>
    <t>মোঃ আলাল হক</t>
  </si>
  <si>
    <t>মোছাঃ বেলিয়ারা</t>
  </si>
  <si>
    <t>০১/১০/১৯৯৩</t>
  </si>
  <si>
    <t>মোঃ ইব্রাহিম খলিল</t>
  </si>
  <si>
    <t>মোছাঃ মুর্নিজা খাতুন</t>
  </si>
  <si>
    <t>১৩/০৫/১৯৯৩</t>
  </si>
  <si>
    <t>মোঃ জাহিদ মুস্তবা মানিক</t>
  </si>
  <si>
    <t>মোছাঃ পাপিয়া খাতুন</t>
  </si>
  <si>
    <t>৩৫০, গাড়াদোব, গাংনী, মেহেরপুর</t>
  </si>
  <si>
    <t>মোঃ টুটুল ইসলাম</t>
  </si>
  <si>
    <t>০১/০১/১৯৯৫</t>
  </si>
  <si>
    <t>মোঃ সাব্বির আহমেদ</t>
  </si>
  <si>
    <t>মোছাঃ বিলকিচ বেগম</t>
  </si>
  <si>
    <t>০২/০৫/১৯৯৪</t>
  </si>
  <si>
    <t>মোঃ কালু মিয়া</t>
  </si>
  <si>
    <t>মোছাঃ মানুয়ারা</t>
  </si>
  <si>
    <t>০৫/০৪/১৯৯৪</t>
  </si>
  <si>
    <t>ছাদাত</t>
  </si>
  <si>
    <t>০১/০৩/১৯৯৪</t>
  </si>
  <si>
    <t>বশির আহমেদ</t>
  </si>
  <si>
    <t>মোছাঃ বছিরন নেছা</t>
  </si>
  <si>
    <t>০৩/০৫/১৯৯৪</t>
  </si>
  <si>
    <t>মোছাঃ ববি খাতুন</t>
  </si>
  <si>
    <t>২০/০৩/১৯৯৪</t>
  </si>
  <si>
    <t>মোছাঃ মুনজিরা বেগম</t>
  </si>
  <si>
    <t>০১/০৬/১৯৯৪</t>
  </si>
  <si>
    <t>মোঃ রাজু আলী</t>
  </si>
  <si>
    <t>১৫/০৭/১৯৯৪</t>
  </si>
  <si>
    <t>মোঃ আব্দুল্লাহ আল শাফি</t>
  </si>
  <si>
    <t>শাহজান সিরাজ</t>
  </si>
  <si>
    <t>০৫/০২/১৯৯৪</t>
  </si>
  <si>
    <t>মোছাঃ মাহিরন খাতুন</t>
  </si>
  <si>
    <t>০৯/০৫/১৯৯৪</t>
  </si>
  <si>
    <t>১২/০৮/১৯৯৪</t>
  </si>
  <si>
    <t>মোছাঃ মমতাজ খাতুন</t>
  </si>
  <si>
    <t>মোছাঃ রুমিয়া খাতুন</t>
  </si>
  <si>
    <t>০৫/০৫/১৯৯৪</t>
  </si>
  <si>
    <t>মোঃ ইজার আলী</t>
  </si>
  <si>
    <t>মোছাঃ তরিফন নেছা</t>
  </si>
  <si>
    <t>২১/০৭/১৯৯৪</t>
  </si>
  <si>
    <t>১৫/০৪/১৯৯৪</t>
  </si>
  <si>
    <t>২৩/০৮/১৯৯৪</t>
  </si>
  <si>
    <t>মোঃ মিন্টু আলী</t>
  </si>
  <si>
    <t>মোঃ কাওসার আলী</t>
  </si>
  <si>
    <t>০৫/০৯/১৯৯৪</t>
  </si>
  <si>
    <t>০৪/০৩/১৯৯৪</t>
  </si>
  <si>
    <t>মোঃ আরোজ আলী</t>
  </si>
  <si>
    <t>মোঃ বদরুজ্জামান</t>
  </si>
  <si>
    <t>মোছাঃ ফিরোজা</t>
  </si>
  <si>
    <t>১১/০৭/১৯৯৪</t>
  </si>
  <si>
    <t>মোঃ রাশেদ মিলন</t>
  </si>
  <si>
    <t>মোঃ সানোয়ার হোসেন</t>
  </si>
  <si>
    <t>মোছাঃ দেলোয়ারা খাতুন</t>
  </si>
  <si>
    <t>১০/০৯/১৯৯৪</t>
  </si>
  <si>
    <t>পিতাঃ অলি হোসেন</t>
  </si>
  <si>
    <t>মোছাঃ রেজিয়া খাতুন</t>
  </si>
  <si>
    <t>০২/০৪/১৯৯৪</t>
  </si>
  <si>
    <t>মোঃ রকিবুল হক</t>
  </si>
  <si>
    <t>মোঃ পারভেজ আলী</t>
  </si>
  <si>
    <t>মোছাঃ ফাহিমা খাতুন</t>
  </si>
  <si>
    <t>১৫/০৬/১৯৯৪</t>
  </si>
  <si>
    <t>১৫/০৫/১৯৯৪</t>
  </si>
  <si>
    <t>মোঃ মিঠুন খাঁন</t>
  </si>
  <si>
    <t>মোছাঃ শিরিনা বেগম</t>
  </si>
  <si>
    <t>মোঃ মঈনুল হক</t>
  </si>
  <si>
    <t>মোছাঃ কনক চাঁপা মুক্তা</t>
  </si>
  <si>
    <t>২৭/১০/১৯৯৪</t>
  </si>
  <si>
    <t>১০/১০/১৯৯৪</t>
  </si>
  <si>
    <t>মোঃ বাদশা</t>
  </si>
  <si>
    <t>১২/১১/১৯৯৪</t>
  </si>
  <si>
    <t>মোহাম্মদ রবিউল ইসলাম</t>
  </si>
  <si>
    <t>জানেছ আলী</t>
  </si>
  <si>
    <t>০১/১০/১৯৯৪</t>
  </si>
  <si>
    <t>এস এম সাব্বির হাসান</t>
  </si>
  <si>
    <t>মোছাঃ সেলিনা পারভীন</t>
  </si>
  <si>
    <t>২৯/১১/১৯৯৪</t>
  </si>
  <si>
    <t>মোঃ কদর আলী</t>
  </si>
  <si>
    <t>মোঃ ইব্রাহীম আলী</t>
  </si>
  <si>
    <t>মোছাঃ শাকিলা খাতুন</t>
  </si>
  <si>
    <t>২৩/১১/১৯৯৪</t>
  </si>
  <si>
    <t>মোছাঃ রাজিয়া খাতুন</t>
  </si>
  <si>
    <t>০২/১২/১৯৯৪</t>
  </si>
  <si>
    <t>মোঃ রাকিবুল হাসান</t>
  </si>
  <si>
    <t>০৫/১০/১৯৯৪</t>
  </si>
  <si>
    <t>মোঃ রাজ্জাক আলী</t>
  </si>
  <si>
    <t>মোছাঃ ছপুরা খাতুন</t>
  </si>
  <si>
    <t>মোঃ মাহাবুর রহমান</t>
  </si>
  <si>
    <t>মোছাঃ নিলুফা ইয়াসমিন</t>
  </si>
  <si>
    <t>০৩/১১/১৯৯৬</t>
  </si>
  <si>
    <t>মোঃ শরিফ আহমেদ বাদল</t>
  </si>
  <si>
    <t>মোছাঃ মারিয়া খাতুন</t>
  </si>
  <si>
    <t>২৫/০৪/১৯৮৪</t>
  </si>
  <si>
    <t>এস এম তরিকুল আশরাফ</t>
  </si>
  <si>
    <t>এস. এম. শফিউল ইসলাম</t>
  </si>
  <si>
    <t>সৈয়দা তহমিনা আশরাফ</t>
  </si>
  <si>
    <t>১২/১২/১৯৯৫</t>
  </si>
  <si>
    <t>মোঃ মোহেল রানা</t>
  </si>
  <si>
    <t>০৬/১১/১৯৯৫</t>
  </si>
  <si>
    <t>মোছাঃ জান্নাতারা</t>
  </si>
  <si>
    <t>১০/১১/১৯৯৫</t>
  </si>
  <si>
    <t>মোঃ অহেদ আলী</t>
  </si>
  <si>
    <t>বাঁশবাড়ীয়া, গাড়াদোব, গাংনী, মেহেরপুর</t>
  </si>
  <si>
    <t>নুর মোহাম্মদ শেখ</t>
  </si>
  <si>
    <t>মোঃ রিকন আলী</t>
  </si>
  <si>
    <t>মোঃ তাহাজউদ্দিন</t>
  </si>
  <si>
    <t>০৭/০৭/১৯৯৫</t>
  </si>
  <si>
    <t>শ্রী মিঠু চন্দ্র দাস</t>
  </si>
  <si>
    <t>শ্রী জতিস চন্দ্র দাস</t>
  </si>
  <si>
    <t>শ্রী কল্যানী বালা দাসী</t>
  </si>
  <si>
    <t>০১/০৯/১৯৯২</t>
  </si>
  <si>
    <t>নাপিত</t>
  </si>
  <si>
    <t>শ্রী সঞ্জয় দাস</t>
  </si>
  <si>
    <t>শ্রী বাবু দাস</t>
  </si>
  <si>
    <t>শ্রী দেবা বালা দাসী</t>
  </si>
  <si>
    <t>০৫/০৮/১৯৯৫</t>
  </si>
  <si>
    <t>মোঃ মজনু আলী</t>
  </si>
  <si>
    <t>মোঃ শিপন আলী</t>
  </si>
  <si>
    <t>২৭/০৭/১৯৯৪</t>
  </si>
  <si>
    <t>মোছাঃ বেনুয়ারা খাতুন</t>
  </si>
  <si>
    <t>০৫/০৮/১৯৯৯</t>
  </si>
  <si>
    <t>০৭/০১/১৯৯৫</t>
  </si>
  <si>
    <t>মোঃ হাসিবুল হাসান শান্ত</t>
  </si>
  <si>
    <t>মোছাঃ শাহানী বেগম</t>
  </si>
  <si>
    <t>২৫/১১/১৯৯৫</t>
  </si>
  <si>
    <t>মোঃ নাহিদ হাসান</t>
  </si>
  <si>
    <t>মোছাঃ নরীমন খাতুন</t>
  </si>
  <si>
    <t>২৩/০৫/১৯৯৫</t>
  </si>
  <si>
    <t>০২/০১/১৯৯৬</t>
  </si>
  <si>
    <t>মোঃ জসিরউদ্দিন শেখ</t>
  </si>
  <si>
    <t>মোছাঃ জামেলা খাতুন</t>
  </si>
  <si>
    <t>১৩/০৫/১৯৯৫</t>
  </si>
  <si>
    <t>মোঃ নুরুজজামান</t>
  </si>
  <si>
    <t>মোছাঃ গহরজান</t>
  </si>
  <si>
    <t>০৬/০৭/১৯৯৪</t>
  </si>
  <si>
    <t>মোছাঃ মুরশিদা খাতুন</t>
  </si>
  <si>
    <t>মোছাঃ কলিমন নেছা</t>
  </si>
  <si>
    <t>০৬/০৬/১৯৯৫</t>
  </si>
  <si>
    <t>মোঃ আবদুল আজিম</t>
  </si>
  <si>
    <t>মোছাঃ মিনা খাতুন</t>
  </si>
  <si>
    <t>০১/০১/১৯৯২</t>
  </si>
  <si>
    <t>মোঃ আবুল কালাম কালু</t>
  </si>
  <si>
    <t>মোছাঃ হাদ এছা খাতুন</t>
  </si>
  <si>
    <t>০৪/০৫/১৯৯৪</t>
  </si>
  <si>
    <t>মোহাঃ আনিসুল ইসলাম পিন্টু</t>
  </si>
  <si>
    <t>২৩/০৫/১৯৯৪</t>
  </si>
  <si>
    <t>মোঃ মহন আলী</t>
  </si>
  <si>
    <t>২১/০৬/১৯৯২</t>
  </si>
  <si>
    <t>মোহাঃ জাকেরুল ইসলাম</t>
  </si>
  <si>
    <t>১৫/১০/১৯৯৫</t>
  </si>
  <si>
    <t>মোহাঃ মোবারক হোসেন</t>
  </si>
  <si>
    <t>মোছাঃ হাচিনা খাতুন</t>
  </si>
  <si>
    <t>২৮/০৬/১৯৮৯</t>
  </si>
  <si>
    <t>মোঃ সোহাগ পারভেজ</t>
  </si>
  <si>
    <t>মোছাঃ পারভিনা খাতুন</t>
  </si>
  <si>
    <t>২২/০২/১৯৯৫</t>
  </si>
  <si>
    <t>বাঁশবাড়ী, গাড়াদোব, গাংনী, মেহেরপুর</t>
  </si>
  <si>
    <t>১০/০৮/১৯৮৪</t>
  </si>
  <si>
    <t>মোছাঃ রাহিমা খাতুন</t>
  </si>
  <si>
    <t>রাজু আহাম্মেদ</t>
  </si>
  <si>
    <t>২০/০১/১৯৯৪</t>
  </si>
  <si>
    <t>মোঃ সালাউদ্দিন</t>
  </si>
  <si>
    <t>মোছাঃ মুসলিম খাতুন</t>
  </si>
  <si>
    <t>১৭/১২/১৯৯৫</t>
  </si>
  <si>
    <t>মোঃ সাব্বির হোসেন</t>
  </si>
  <si>
    <t>মোছাঃ ফেরদৌসী খাতুন</t>
  </si>
  <si>
    <t>মামুন</t>
  </si>
  <si>
    <t>মোছাঃ মুহলিমা খাতুন</t>
  </si>
  <si>
    <t>২১/০৪/১৯৯২</t>
  </si>
  <si>
    <t>মোঃ সামসুজ্জামান</t>
  </si>
  <si>
    <t>৩০/১১/১৯৯৫</t>
  </si>
  <si>
    <t>মোঃ ইমদাদুল হক</t>
  </si>
  <si>
    <t>মোছাঃ মিনিয়ারা খাতুন</t>
  </si>
  <si>
    <t>৩১/১২/১৯৯৫</t>
  </si>
  <si>
    <t>মোঃ রিয়াজতুল্লা</t>
  </si>
  <si>
    <t>২০/০৮/১৯৯৫</t>
  </si>
  <si>
    <t>মোছাঃ রিমা খাতুন</t>
  </si>
  <si>
    <t>১৩/০৭/১৯৯৫</t>
  </si>
  <si>
    <t>মোছাঃ ছাবিরন নেছা</t>
  </si>
  <si>
    <t>১৫/১২/১৯৯৫</t>
  </si>
  <si>
    <t>মোঃ শাহিনুল ইসলাম</t>
  </si>
  <si>
    <t>মোঃ ছুমছের আলী</t>
  </si>
  <si>
    <t>৩০/০৬/১৯৮৯</t>
  </si>
  <si>
    <t>মোঃ মধু শেখ</t>
  </si>
  <si>
    <t>০৭/০৩/১৯৯৩</t>
  </si>
  <si>
    <t>মোঃ মাসিদুল ইসলাম</t>
  </si>
  <si>
    <t>মোঃ খেলের আলী</t>
  </si>
  <si>
    <t>মোছাঃ রিকাতোন নেছা</t>
  </si>
  <si>
    <t>০৫/০৬/১৯৯২</t>
  </si>
  <si>
    <t>কুমার</t>
  </si>
  <si>
    <t>মোঃ আনোয়ার হুছাইন</t>
  </si>
  <si>
    <t>মোঃ বিয়াজ কারিগর</t>
  </si>
  <si>
    <t>মোছাঃ আয়তন নেছা</t>
  </si>
  <si>
    <t>০৪/০৯/১৯৯৩</t>
  </si>
  <si>
    <t>০১/০১/১৯৯৭</t>
  </si>
  <si>
    <t>পলাশ আহমেদ</t>
  </si>
  <si>
    <t>মোছাঃ দিলরুবা</t>
  </si>
  <si>
    <t>১৫/০১/১৯৯৬</t>
  </si>
  <si>
    <t>মোঃ রাসেল আলী</t>
  </si>
  <si>
    <t>মোছাঃ অছিয়া খাতুন</t>
  </si>
  <si>
    <t>০৩/০৫/১৯৯৬</t>
  </si>
  <si>
    <t>মোঃ আবু সাইম</t>
  </si>
  <si>
    <t>মোছাঃ শারমিন সুলতানা</t>
  </si>
  <si>
    <t>০৩/০৩/১৯৯৬</t>
  </si>
  <si>
    <t>-, গাড়াদোব, গাংনী, মেহেরপুর</t>
  </si>
  <si>
    <t>মোঃ সামাদ আলী</t>
  </si>
  <si>
    <t>মোছাঃ আকলিয়া খাতুন</t>
  </si>
  <si>
    <t>২৯/০৬/১৯৯৬</t>
  </si>
  <si>
    <t>মোঃ তৌহিদুল ইলামাম</t>
  </si>
  <si>
    <t>মোছাঃ রহিদা খাতুন</t>
  </si>
  <si>
    <t>০১/০৫/১৯৯৬</t>
  </si>
  <si>
    <t>মোছাঃ হাবিবা খাতুন</t>
  </si>
  <si>
    <t>১০/১০/১৯৯৬</t>
  </si>
  <si>
    <t>মোঃ মাজিদুল ইসলাম</t>
  </si>
  <si>
    <t>মোছাঃ মাহিরন নেছা</t>
  </si>
  <si>
    <t>২৭/০২/১৯৯৬</t>
  </si>
  <si>
    <t>মোহাঃ মেজবাহ খান</t>
  </si>
  <si>
    <t>মোঃ ফারুক খান</t>
  </si>
  <si>
    <t>মোঃ মানিক</t>
  </si>
  <si>
    <t>১০/১২/১৯৯৬</t>
  </si>
  <si>
    <t>মোঃ নুর নবী</t>
  </si>
  <si>
    <t>মোছাঃ এর্পিয়া খাতুন</t>
  </si>
  <si>
    <t>০৮/০৯/১৯৯৬</t>
  </si>
  <si>
    <t>মোঃ রিকো হোসেন</t>
  </si>
  <si>
    <t>পিতাঃ তোজাম্মেল হক</t>
  </si>
  <si>
    <t>মোছাঃ রিনিকা</t>
  </si>
  <si>
    <t>২০/০৪/১৯৯৬</t>
  </si>
  <si>
    <t>পিতাঃ বুলবুল আহমেদ</t>
  </si>
  <si>
    <t>১৫/০২/১৯৯৬</t>
  </si>
  <si>
    <t>২৮/১১/১৯৯৬</t>
  </si>
  <si>
    <t>মোঃ হারুন আর রশিদ</t>
  </si>
  <si>
    <t>মোছাঃ পারুলা খাতুন</t>
  </si>
  <si>
    <t>২৩/১১/১৯৯৬</t>
  </si>
  <si>
    <t>মোঃ ইউচুপ আলী</t>
  </si>
  <si>
    <t>১২/১২/১৯৯৬</t>
  </si>
  <si>
    <t>২৪/১১/১৯৯৬</t>
  </si>
  <si>
    <t>মোঃ সুমন রেজা</t>
  </si>
  <si>
    <t>মোঃ সোনা মিয়া</t>
  </si>
  <si>
    <t>০৫/০৬/১৯৯৬</t>
  </si>
  <si>
    <t>২৫/০৫/১৯৯৬</t>
  </si>
  <si>
    <t>মোঃ ইব্রাহীম শেখ</t>
  </si>
  <si>
    <t>১২/০৪/১৯৯৬</t>
  </si>
  <si>
    <t>মোঃ আক্তার আলী</t>
  </si>
  <si>
    <t>মোছাঃ বিলকিস বানু</t>
  </si>
  <si>
    <t>২৭/১০/১৯৯৬</t>
  </si>
  <si>
    <t>মোঃ আব্দুল মোমিন</t>
  </si>
  <si>
    <t>১১/০১/১৯৯৬</t>
  </si>
  <si>
    <t>১৪/০৮/১৯৯৬</t>
  </si>
  <si>
    <t>গুনসেরা</t>
  </si>
  <si>
    <t>১০/০১/১৯৯৪</t>
  </si>
  <si>
    <t>মোঃ হকারজেল</t>
  </si>
  <si>
    <t>নশ্বর শেখ</t>
  </si>
  <si>
    <t>মৃতা ফাঁকি জান</t>
  </si>
  <si>
    <t>০৫/০৩/১৯৪২</t>
  </si>
  <si>
    <t>আবু সাঈদ</t>
  </si>
  <si>
    <t>রাফিয়া খাতুন</t>
  </si>
  <si>
    <t>১১/০৯/১৯৫৩</t>
  </si>
  <si>
    <t>মোঃ সফিক মিয়া</t>
  </si>
  <si>
    <t>মোঃ ছিদ্দিকুর রহমান</t>
  </si>
  <si>
    <t>মোসাঃ হাফিজা খাতুন</t>
  </si>
  <si>
    <t>১৬/১০/১৯৭১</t>
  </si>
  <si>
    <t>মোঃ সোলাইমান</t>
  </si>
  <si>
    <t>মোঃ আশরাফ</t>
  </si>
  <si>
    <t>২৫/০৫/১৯৭৫</t>
  </si>
  <si>
    <t>মোহাঃ আলমগীর কবীর</t>
  </si>
  <si>
    <t>মাতাঃ মোছাঃ জাহানারা</t>
  </si>
  <si>
    <t>০৮/০৮/১৯৭৮</t>
  </si>
  <si>
    <t>মোঃ হেকমত আলী</t>
  </si>
  <si>
    <t>মোসাঃ নজেরা বেগম</t>
  </si>
  <si>
    <t>০১/০৭/১৯৮৩</t>
  </si>
  <si>
    <t>১৬/০৫/১৯৮২</t>
  </si>
  <si>
    <t>মোঃ সামছের আলী</t>
  </si>
  <si>
    <t>মোসাঃ মোমেনা খাতুন</t>
  </si>
  <si>
    <t>০৪/০৮/১৯৮৯</t>
  </si>
  <si>
    <t>মোঃ সমশের হোসেন</t>
  </si>
  <si>
    <t>মোছাঃ আছেমা খাতুন</t>
  </si>
  <si>
    <t>১৮/০৫/১৯৮১</t>
  </si>
  <si>
    <t>মোঃ বাবুর আলী</t>
  </si>
  <si>
    <t>২৫/১১/১৯৭১</t>
  </si>
  <si>
    <t>মোঃ জসিম আলী</t>
  </si>
  <si>
    <t>২৭/০১/১৯৯১</t>
  </si>
  <si>
    <t>মোঃ রাসেল হোসেন</t>
  </si>
  <si>
    <t>মোছাঃ সাপিয়া</t>
  </si>
  <si>
    <t>০৭/০৮/১৯৯২</t>
  </si>
  <si>
    <t>মোঃ সাইদুল রহমান</t>
  </si>
  <si>
    <t>২০/০৫/১৯৯৭</t>
  </si>
  <si>
    <t>১৪/০৭/১৯৯৭</t>
  </si>
  <si>
    <t>মোঃ শাহিন হোসেন</t>
  </si>
  <si>
    <t>মোছাঃ রোকিয়া বেগম</t>
  </si>
  <si>
    <t>১০/০৫/১৯৯২</t>
  </si>
  <si>
    <t>৩০/০৬/১৯৯৭</t>
  </si>
  <si>
    <t>৩০/০৬/১৯৯৬</t>
  </si>
  <si>
    <t>মোঃ পলাশ আলী</t>
  </si>
  <si>
    <t>মোছাঃ শাহানাজ পারভিন</t>
  </si>
  <si>
    <t>০৬/১২/১৯৯৩</t>
  </si>
  <si>
    <t>গাড়াবোব, গাংনী, মেহেরপুর</t>
  </si>
  <si>
    <t>মোঃ রাজু আহমেদ</t>
  </si>
  <si>
    <t>০১/০২/১৯৯৬</t>
  </si>
  <si>
    <t>আব্দুর কাদের</t>
  </si>
  <si>
    <t>০৫/১২/১৯৭৭</t>
  </si>
  <si>
    <t>মোঃ সুমন ইসলাম</t>
  </si>
  <si>
    <t>মোছাঃ শিরিনা আক্তার</t>
  </si>
  <si>
    <t>০৪/১২/১৯৯৩</t>
  </si>
  <si>
    <t>মোঃ তারিকুল ইসলাম</t>
  </si>
  <si>
    <t>আকরাম হোসেন</t>
  </si>
  <si>
    <t>১৫/১০/১৯৯৪</t>
  </si>
  <si>
    <t>মোঃ রাজন হোসেন রিংকু</t>
  </si>
  <si>
    <t>১৯/১২/১৯৯৫</t>
  </si>
  <si>
    <t>মোঃ ফারুক হোসাইন</t>
  </si>
  <si>
    <t>মোঃ আবুল হোসাইন</t>
  </si>
  <si>
    <t>মোছাঃ কল্পনা খাতুন</t>
  </si>
  <si>
    <t>০১/১২/১৯৯৫</t>
  </si>
  <si>
    <t>মোঃ সাহেদ আলী</t>
  </si>
  <si>
    <t>২৪/০৬/১৯৯৬</t>
  </si>
  <si>
    <t>২৫/১০/১৯৯৭</t>
  </si>
  <si>
    <t>মোঃ আশিক ইকবাল</t>
  </si>
  <si>
    <t>মোঃ আলমগীর খন্দকার</t>
  </si>
  <si>
    <t>১৫/০৪/১৯৯৭</t>
  </si>
  <si>
    <t>মোঃ মুন্না আলী</t>
  </si>
  <si>
    <t>০৫/০৫/১৯৯৭</t>
  </si>
  <si>
    <t>মোঃ আবু রাসেল</t>
  </si>
  <si>
    <t>১০/০৮/১৯৯৭</t>
  </si>
  <si>
    <t>মোছাঃ মানজিরা বেগম</t>
  </si>
  <si>
    <t>২৩/১০/১৯৯৭</t>
  </si>
  <si>
    <t>মোঃ মাহফুজুর রহমান</t>
  </si>
  <si>
    <t>মোছাঃ মাহফুজা খাতুন</t>
  </si>
  <si>
    <t>১৫/০১/১৯৯৭</t>
  </si>
  <si>
    <t>মোঃ আম হাদি মাহবুব</t>
  </si>
  <si>
    <t>মোছাঃ শাহার বানু</t>
  </si>
  <si>
    <t>মোঃ হাদীসুর রহমান</t>
  </si>
  <si>
    <t>তিলাবত শেখ</t>
  </si>
  <si>
    <t>১১/১২/১৯৯৪</t>
  </si>
  <si>
    <t>মোঃ তুষার ইমরান</t>
  </si>
  <si>
    <t>২১/০৪/১৯৯৭</t>
  </si>
  <si>
    <t>মোঃ তামিম আহম্মেদ</t>
  </si>
  <si>
    <t>২১/০২/১৯৯১</t>
  </si>
  <si>
    <t>মোঃ মানিক ইসলাম</t>
  </si>
  <si>
    <t>মোছাঃ বেবি খাতুন</t>
  </si>
  <si>
    <t>০৮/০৫/১৯৯৭</t>
  </si>
  <si>
    <t>মোঃ রেজুওয়ান আহমেদ</t>
  </si>
  <si>
    <t>খঃ আবুল হাসেম</t>
  </si>
  <si>
    <t>০৫/০৭/১৯৯৭</t>
  </si>
  <si>
    <t>মোঃ জাকির হোসেন মিলন</t>
  </si>
  <si>
    <t>মোঃ আব্দুল কুদ্দুস খাঁ</t>
  </si>
  <si>
    <t>১৫/০১/১৯৯৫</t>
  </si>
  <si>
    <t>মোঃ হাসান ইমাম</t>
  </si>
  <si>
    <t>১৩/১০/১৯৯৬</t>
  </si>
  <si>
    <t>রকিবুল</t>
  </si>
  <si>
    <t>মুনজুর</t>
  </si>
  <si>
    <t>রোকিয়া</t>
  </si>
  <si>
    <t>০১/০২/১৯৮৯</t>
  </si>
  <si>
    <t>তারিকুল ইসলাম</t>
  </si>
  <si>
    <t>আঃ রহিম</t>
  </si>
  <si>
    <t>শাহিনুন্নাহার</t>
  </si>
  <si>
    <t>০১/১২/১৯৯০</t>
  </si>
  <si>
    <t>মোঃ আনোয়ার হোসাইন</t>
  </si>
  <si>
    <t>মোঃ কিয়ামদ্দিন</t>
  </si>
  <si>
    <t>মোছাঃ মাহিরন</t>
  </si>
  <si>
    <t>১৭/০৯/১৯৯৭</t>
  </si>
  <si>
    <t>তরিকুল</t>
  </si>
  <si>
    <t>আনারুল</t>
  </si>
  <si>
    <t>মুর্শিদা</t>
  </si>
  <si>
    <t>১৫/০২/১৯৯৩</t>
  </si>
  <si>
    <t>মোঃ শিলন হোসেন</t>
  </si>
  <si>
    <t>বুলু শেখ</t>
  </si>
  <si>
    <t>০৭/০৮/১৯৯০</t>
  </si>
  <si>
    <t>মোছাঃ লাভলী খাতুন</t>
  </si>
  <si>
    <t>০৩/১১/১৯৯৭</t>
  </si>
  <si>
    <t>মোছাঃ গোলেনুর খাতুন</t>
  </si>
  <si>
    <t>২০/১১/১৯৯৭</t>
  </si>
  <si>
    <t>মোঃ শুকলাল</t>
  </si>
  <si>
    <t>০৮/০৭/১৯৯৭</t>
  </si>
  <si>
    <t>১০/০৭/১৯৯৭</t>
  </si>
  <si>
    <t>মোছাঃ ফেরদৌস আরা খাতুন</t>
  </si>
  <si>
    <t>১৮/০৮/১৯৯৭</t>
  </si>
  <si>
    <t>মোঃ সাজ্জাদ হোসেন</t>
  </si>
  <si>
    <t>মোঃ লিখন আলী</t>
  </si>
  <si>
    <t>মোঃ নেকবার আলী</t>
  </si>
  <si>
    <t>মোছাঃ মুসলিমা খাতুন</t>
  </si>
  <si>
    <t>মোঃ বাবলু মিয়া</t>
  </si>
  <si>
    <t>১৫/১২/১৯৯৭</t>
  </si>
  <si>
    <t>মোঃ আল ইমরান</t>
  </si>
  <si>
    <t>মোঃ কাজিমুল</t>
  </si>
  <si>
    <t>০৫/০৩/১৯৯৭</t>
  </si>
  <si>
    <t>মোঃ উসমান গনি</t>
  </si>
  <si>
    <t>০২/০২/১৯৯৭</t>
  </si>
  <si>
    <t>০৯/০৫/১৯৯৭</t>
  </si>
  <si>
    <t>মোছাঃ শামীমা আক্তার</t>
  </si>
  <si>
    <t>১০/০১/১৯৯৭</t>
  </si>
  <si>
    <t>পিন্টু</t>
  </si>
  <si>
    <t>ইসরাইল</t>
  </si>
  <si>
    <t>পিনজিরা</t>
  </si>
  <si>
    <t>২০/০৭/১৯৯০</t>
  </si>
  <si>
    <t>মোঃ জাহিদ হাসান</t>
  </si>
  <si>
    <t>মোঃ জালাল উদ্দিন</t>
  </si>
  <si>
    <t>মোছাঃ দিলরুবা খাতুন</t>
  </si>
  <si>
    <t>মোঃ দুলাল ইসলাম</t>
  </si>
  <si>
    <t>মোঃ সাত্তার আলী</t>
  </si>
  <si>
    <t>মোছাঃ রেখা খাতুন</t>
  </si>
  <si>
    <t>২৩/০৬/১৯৯০</t>
  </si>
  <si>
    <t>মোঃ শিমুল হোসেন</t>
  </si>
  <si>
    <t>মোঃ সাফিরুল ইসলাম</t>
  </si>
  <si>
    <t>০৬/০১/১৯৯৫</t>
  </si>
  <si>
    <t>মোঃ আক্তারুজ্জামান রিপন</t>
  </si>
  <si>
    <t>মোঃ আব্দুল হোসেন</t>
  </si>
  <si>
    <t>মোছাঃ ছিপারন নেছা</t>
  </si>
  <si>
    <t>মোঃ ইমরান আলী</t>
  </si>
  <si>
    <t>মোঃ ইস্মাত আলী</t>
  </si>
  <si>
    <t>মোছাঃ রাশিদা খাতুন</t>
  </si>
  <si>
    <t>রেবেকা খাতুন</t>
  </si>
  <si>
    <t>০১/০৬/১৯৯৭</t>
  </si>
  <si>
    <t>মোঃ হারুন আর রশীদ</t>
  </si>
  <si>
    <t>০১/০৭/১৯৯২</t>
  </si>
  <si>
    <t>মোহাঃ মন্টু আলী</t>
  </si>
  <si>
    <t>০৪/০৫/১৯৮৫</t>
  </si>
  <si>
    <t>১৮/১১/১৯৯৬</t>
  </si>
  <si>
    <t>মোঃ হাসনাত রুমি</t>
  </si>
  <si>
    <t>মোছাঃ হাসিনা খাতুন</t>
  </si>
  <si>
    <t>০৬/০১/১৯৯৭</t>
  </si>
  <si>
    <t>মোঃ মারুফ হাসান</t>
  </si>
  <si>
    <t>মোঃ সাইফুজ্জামান</t>
  </si>
  <si>
    <t>০৫/০৭/১৯৯৫</t>
  </si>
  <si>
    <t>০৯/০২/১৯৯৭</t>
  </si>
  <si>
    <t>আলী আহম্মদ</t>
  </si>
  <si>
    <t>মোছাঃ ছুলেমা খাতুন</t>
  </si>
  <si>
    <t>১৩/০৫/১৯৭৬</t>
  </si>
  <si>
    <t>মোঃ রাজন ইসলাম</t>
  </si>
  <si>
    <t>মোছাঃ ফরিদা খাতুন</t>
  </si>
  <si>
    <t>১৪/০৯/১৯৯৭</t>
  </si>
  <si>
    <t>মোঃ অফাজ উদ্দীন</t>
  </si>
  <si>
    <t>২৫/০৯/১৯৯২</t>
  </si>
  <si>
    <t>মোঃ তোফাজ্জেল হক</t>
  </si>
  <si>
    <t>মোঃ লালন মন্ডল</t>
  </si>
  <si>
    <t>০৯/০৮/১৯৮০</t>
  </si>
  <si>
    <t>মোহাঃ ইস্রাফিল আলী</t>
  </si>
  <si>
    <t>০৬/০৫/১৯৯৩</t>
  </si>
  <si>
    <t>মোঃ ইখলাছ আলী</t>
  </si>
  <si>
    <t>২৫/০৭/১৯৯৭</t>
  </si>
  <si>
    <t>নামঃ সৃজন আলী</t>
  </si>
  <si>
    <t>রফিকুল</t>
  </si>
  <si>
    <t>মোছাঃ জিনজিরা খাতুন</t>
  </si>
  <si>
    <t>২১/০৫/১৯৯৫</t>
  </si>
  <si>
    <t>মোঃ হৃদয় আলী</t>
  </si>
  <si>
    <t>২৫/১০/১৯৯৬</t>
  </si>
  <si>
    <t>মোঃ বাবুল হুসাইন</t>
  </si>
  <si>
    <t>মোছাঃ জেসমিন য়ারা</t>
  </si>
  <si>
    <t>মোঃ হারুন অর রশিদ</t>
  </si>
  <si>
    <t>মোছাঃ সুমিতা খাতুন</t>
  </si>
  <si>
    <t>২৭/১০/১৯৯৭</t>
  </si>
  <si>
    <t>সাহারুল ইসলাম</t>
  </si>
  <si>
    <t>মুছাব আলী</t>
  </si>
  <si>
    <t>খোদেজা খাতুন</t>
  </si>
  <si>
    <t>১৪/০৩/১৯৮০</t>
  </si>
  <si>
    <t>মোঃ আজিবার রহমান</t>
  </si>
  <si>
    <t>মোছাঃ লাল ভানু</t>
  </si>
  <si>
    <t>২০/১২/১৯৯১</t>
  </si>
  <si>
    <t>শাম্বুল মন্ডল</t>
  </si>
  <si>
    <t>২৪/০৮/১৯৯৪</t>
  </si>
  <si>
    <t>মোঃ আজাদ কালাম</t>
  </si>
  <si>
    <t>আনারুল ইসলাম</t>
  </si>
  <si>
    <t>তানজিলা খাতুন</t>
  </si>
  <si>
    <t>০৪/০৬/১৯৯৫</t>
  </si>
  <si>
    <t>মোঃ রনি আহমেদ</t>
  </si>
  <si>
    <t>২১/১২/১৯৯৭</t>
  </si>
  <si>
    <t>মোঃ রাকিব হাসান</t>
  </si>
  <si>
    <t>১৩/১০/১৯৯৭</t>
  </si>
  <si>
    <t>মোঃ খবির উদ্দীন</t>
  </si>
  <si>
    <t>মোছাঃ হাসনা খাতুন</t>
  </si>
  <si>
    <t>০৫/০৬/১৯৯৭</t>
  </si>
  <si>
    <t>মোঃ ইসরাফিল হোসেন</t>
  </si>
  <si>
    <t>মোঃ আঃ সামাদুল হক</t>
  </si>
  <si>
    <t>১০/০১/১৯৯৬</t>
  </si>
  <si>
    <t>মোঃ হীরোক উজ্জামান</t>
  </si>
  <si>
    <t>০৮/০৭/১৯৮৫</t>
  </si>
  <si>
    <t>২৯/১২/১৯৭৬</t>
  </si>
  <si>
    <t>মোঃ কামাল</t>
  </si>
  <si>
    <t>মোঃ সেকেন্দার</t>
  </si>
  <si>
    <t>মোছাঃ কুলছুম</t>
  </si>
  <si>
    <t>মোঃ তুলিপ হোসাইন</t>
  </si>
  <si>
    <t>মোঃ ময়নাল হোসাইন</t>
  </si>
  <si>
    <t>১৫/১২/১৯৯৬</t>
  </si>
  <si>
    <t>মিন্টু মিয়া</t>
  </si>
  <si>
    <t>ওলিউল্লাহ</t>
  </si>
  <si>
    <t>খালপাড়া, গাড়াবোব, গাংনী, মেহেরপুর</t>
  </si>
  <si>
    <t>মোঃ শেহের আলী</t>
  </si>
  <si>
    <t>মোঃ রুহুল আমীন</t>
  </si>
  <si>
    <t>মোছাঃ মেহেরুন খাতুন</t>
  </si>
  <si>
    <t>১৩/০৫/১৯৯৬</t>
  </si>
  <si>
    <t>মোঃ রেজাউল হক মল্লিক</t>
  </si>
  <si>
    <t>মোঃ বদর উদ্দিন মল্লিক</t>
  </si>
  <si>
    <t>মোছাঃ জাকিমোন নেছা</t>
  </si>
  <si>
    <t>১৯/০৬/১৯৫২</t>
  </si>
  <si>
    <t>এস সি-৫২৯, গাড়াবোব, গাংনী, মেহেরপুর</t>
  </si>
  <si>
    <t>মোছাঃ আঙ্গারজান বেগম</t>
  </si>
  <si>
    <t>৩০/০৭/১৯৭৭</t>
  </si>
  <si>
    <t>মোঃ মোল্লা বকস</t>
  </si>
  <si>
    <t>খোদেজা নেসা</t>
  </si>
  <si>
    <t>০১/১০/১৯৬৯</t>
  </si>
  <si>
    <t>০১/০৫/১৯৮৮</t>
  </si>
  <si>
    <t>নামঃ মোঃ আঃ হান্নান</t>
  </si>
  <si>
    <t>মৃত তাজেম আলী শেখ</t>
  </si>
  <si>
    <t>মৃত মেহেরনীগার</t>
  </si>
  <si>
    <t>প্রবাসী</t>
  </si>
  <si>
    <t>মোঃ শাকিল</t>
  </si>
  <si>
    <t>মোছাঃ সাগরিকা খাতুন</t>
  </si>
  <si>
    <t>২৫/০৮/১৯৯৮</t>
  </si>
  <si>
    <t>মোঃ সৃজন মিয়া</t>
  </si>
  <si>
    <t>মহন আলী</t>
  </si>
  <si>
    <t>১৬/০৮/১৯৯৮</t>
  </si>
  <si>
    <t>মোছাঃ রকিব হাসান</t>
  </si>
  <si>
    <t>০৯/০৭/১৯৯৮</t>
  </si>
  <si>
    <t>মোঃ রাকিব</t>
  </si>
  <si>
    <t>মোঃ মরেজম আলী</t>
  </si>
  <si>
    <t>পিনজিরা খাতুন</t>
  </si>
  <si>
    <t>১০/১০/১৯৯৭</t>
  </si>
  <si>
    <t>মোঃ শিপন হোসেন</t>
  </si>
  <si>
    <t>মোছাঃ রেণুকা খাতুন</t>
  </si>
  <si>
    <t>১১/০৯/১৯৯৮</t>
  </si>
  <si>
    <t>মোঃ শাওন আলী</t>
  </si>
  <si>
    <t>ফাইমা খাতুন</t>
  </si>
  <si>
    <t>মোছাঃ উজালা খাতুন</t>
  </si>
  <si>
    <t>মোঃ বাদশা জাফর</t>
  </si>
  <si>
    <t>মোঃ শরিফ হোসেন</t>
  </si>
  <si>
    <t>মোছাঃ নিহারন</t>
  </si>
  <si>
    <t>১০/১১/১৯৯৮</t>
  </si>
  <si>
    <t>মীর আরাফাত মুস্তাফিজ</t>
  </si>
  <si>
    <t>মোছাঃ আঞ্জুমনোয়ারা</t>
  </si>
  <si>
    <t>০৬/০৫/১৯৯৮</t>
  </si>
  <si>
    <t>মোঃ নাঈম হাসান</t>
  </si>
  <si>
    <t>মোঃ ইসমাইল হাসান</t>
  </si>
  <si>
    <t>২৬/০৮/১৯৯৮</t>
  </si>
  <si>
    <t>মোঃ হাসিবুর রহমান রিংকু</t>
  </si>
  <si>
    <t>মোছাঃ জোছনা খাতুন</t>
  </si>
  <si>
    <t>১০/১২/১৯৯৮</t>
  </si>
  <si>
    <t>মোঃ উজ্জল আলী</t>
  </si>
  <si>
    <t>মোঃ সজিবুল ইসলাম</t>
  </si>
  <si>
    <t>২৯/১১/১৯৯৮</t>
  </si>
  <si>
    <t>ইমরান হোসেন</t>
  </si>
  <si>
    <t>৩১/১২/১৯৯৮</t>
  </si>
  <si>
    <t>মোহাঃ সুমন রেজা</t>
  </si>
  <si>
    <t>০৩/০৪/১৯৯৮</t>
  </si>
  <si>
    <t>মোঃ তমেরজ আলী</t>
  </si>
  <si>
    <t>মোছাঃ কোহিনুর খাতুন</t>
  </si>
  <si>
    <t>১২/০৩/১৯৯৮</t>
  </si>
  <si>
    <t>মোঃ মনসুর আলী</t>
  </si>
  <si>
    <t>মোঃ আরিফ হাসান</t>
  </si>
  <si>
    <t>০৪/০৩/১৯৯৮</t>
  </si>
  <si>
    <t>১০/১০/১৯৯৮</t>
  </si>
  <si>
    <t>মোঃ তাহারুল ইসলাম</t>
  </si>
  <si>
    <t>মোছাঃ তাহেরা খাতুন</t>
  </si>
  <si>
    <t>০৪/১০/১৯৯৮</t>
  </si>
  <si>
    <t>মোঃ নাছিরুল ইসলাম</t>
  </si>
  <si>
    <t>মোঃ বাবুল ইসলাম</t>
  </si>
  <si>
    <t>১১/০১/১৯৯৮</t>
  </si>
  <si>
    <t>মোঃ আব্দুল্লাহ আল রনি</t>
  </si>
  <si>
    <t>শাহাজাহান আলী</t>
  </si>
  <si>
    <t>মোঃ জনি আক্তার</t>
  </si>
  <si>
    <t>মোছাঃ সাদিনা খাতুন</t>
  </si>
  <si>
    <t>০১/১২/১৯৯৮</t>
  </si>
  <si>
    <t>মোঃ আব্দুল মমিন</t>
  </si>
  <si>
    <t>মোছাঃ আফরোজা বেগম</t>
  </si>
  <si>
    <t>২১/০৪/১৯৯৮</t>
  </si>
  <si>
    <t>মোঃ ফয়সাল আহমেদ</t>
  </si>
  <si>
    <t>শহিদুল ইসলাম</t>
  </si>
  <si>
    <t>১৭/১০/১৯৯৮</t>
  </si>
  <si>
    <t>দুলাল</t>
  </si>
  <si>
    <t>ইসমাইল</t>
  </si>
  <si>
    <t>০৩/১২/১৯৮২</t>
  </si>
  <si>
    <t>মোঃ রাজিবুল ইসলাম</t>
  </si>
  <si>
    <t>মোছাঃ আসেনা খাতুন</t>
  </si>
  <si>
    <t>৩০/১১/১৯৯৩</t>
  </si>
  <si>
    <t>মোঃ রফিক আলী</t>
  </si>
  <si>
    <t>মোছাঃ সুকজান খাতুন</t>
  </si>
  <si>
    <t>০৯/০৮/১৯৯৪</t>
  </si>
  <si>
    <t>মোঃ বনি আমিন</t>
  </si>
  <si>
    <t>মোছাঃ রেহানা পারভীন</t>
  </si>
  <si>
    <t>২০/১০/১৯৯৫</t>
  </si>
  <si>
    <t>দৌলত হোসেন</t>
  </si>
  <si>
    <t>হাওয়া জান খাতুন</t>
  </si>
  <si>
    <t>০১/১০/১৯৯৭</t>
  </si>
  <si>
    <t>মোঃ ফিরোজ হোসেন</t>
  </si>
  <si>
    <t>মোছাঃ পুনকা খাতুন</t>
  </si>
  <si>
    <t>০১/০১/২০০০</t>
  </si>
  <si>
    <t>মোহাঃ রোকনুজ্জামান খান</t>
  </si>
  <si>
    <t>১০/১২/১৯৯৯</t>
  </si>
  <si>
    <t>০২/০৯/১৯৯৯</t>
  </si>
  <si>
    <t>মোঃ নাহিদ হাসান রনি</t>
  </si>
  <si>
    <t>মোঃ শামসের আলী</t>
  </si>
  <si>
    <t>০২/০৩/১৯৯৯</t>
  </si>
  <si>
    <t>মোছাঃ আঙ্গুরা খাতুন</t>
  </si>
  <si>
    <t>০৩/১২/১৯৯৯</t>
  </si>
  <si>
    <t>মোছাঃ বানেছা খাতুন</t>
  </si>
  <si>
    <t>০২/০৪/১৯৯৯</t>
  </si>
  <si>
    <t>০৮/০৬/১৯৯৯</t>
  </si>
  <si>
    <t>মোছাঃ হাসেনা খাতুন</t>
  </si>
  <si>
    <t>০৭/০৯/১৯৯৯</t>
  </si>
  <si>
    <t>মোঃ রাকিবুজ্জামান</t>
  </si>
  <si>
    <t>০৫/০৬/১৯৯৯</t>
  </si>
  <si>
    <t>২৩/১২/১৯৯৯</t>
  </si>
  <si>
    <t>মোঃ ফরহাদ হোসেন সবুজ</t>
  </si>
  <si>
    <t>১৫/০৯/১৯৯৯</t>
  </si>
  <si>
    <t>মোছাঃ রাফেজা খাতুন</t>
  </si>
  <si>
    <t>৩০/১২/১৯৯৯</t>
  </si>
  <si>
    <t>মোঃ সুইট আলী</t>
  </si>
  <si>
    <t>মোছাঃ বিলকিছ খাতুন</t>
  </si>
  <si>
    <t>১৪/০১/১৯৯৯</t>
  </si>
  <si>
    <t>০৫/০৪/১৯৯৯</t>
  </si>
  <si>
    <t>মোঃ শিলনুরজ্জামান</t>
  </si>
  <si>
    <t>কবির হোসেন</t>
  </si>
  <si>
    <t>শেফালী খাতুন</t>
  </si>
  <si>
    <t>০৫/০২/১৯৯৯</t>
  </si>
  <si>
    <t>এস এম তোফায়েল আশরাফ</t>
  </si>
  <si>
    <t>এস.এম.শফিউল ইসলাম</t>
  </si>
  <si>
    <t>সৈয়দা তাহমিনা আশরাফ</t>
  </si>
  <si>
    <t>২৮/১০/১৯৯৯</t>
  </si>
  <si>
    <t>মোঃ রাজু ইসলাম</t>
  </si>
  <si>
    <t>১০/০৯/১৯৯৯</t>
  </si>
  <si>
    <t>১০/১১/১৯৯৯</t>
  </si>
  <si>
    <t>মোঃ আখিরুল ইসলাম</t>
  </si>
  <si>
    <t>২২/০৯/১৯৯৯</t>
  </si>
  <si>
    <t>১১/০৯/১৯৯৯</t>
  </si>
  <si>
    <t>তারজিনা খাতুন</t>
  </si>
  <si>
    <t>১৭/০৩/১৯৯৯</t>
  </si>
  <si>
    <t>মোঃ রাশিদুজ্জামান</t>
  </si>
  <si>
    <t>০৬/০৬/১৯৯৯</t>
  </si>
  <si>
    <t>১৩/০৮/১৯৯৯</t>
  </si>
  <si>
    <t>মোঃ সাইদুর রহমান</t>
  </si>
  <si>
    <t>মোছাঃ তাহমিনা খাতুন</t>
  </si>
  <si>
    <t>০৫/১০/১৯৯৯</t>
  </si>
  <si>
    <t>তরিকুল ইসলাম</t>
  </si>
  <si>
    <t>হোসনেয়ারা খাতুন</t>
  </si>
  <si>
    <t>০৩/০৫/১৯৯৯</t>
  </si>
  <si>
    <t>মোঃ রাশা রাজ</t>
  </si>
  <si>
    <t>২৫/০৮/১৯৯৯</t>
  </si>
  <si>
    <t>মোছাঃ বিলকিচ আরা</t>
  </si>
  <si>
    <t>০৫/০৩/১৯৯৯</t>
  </si>
  <si>
    <t>মোঃ নূর ইসলাম</t>
  </si>
  <si>
    <t>১৪/০৬/১৯৯৯</t>
  </si>
  <si>
    <t>মোছাঃ কারিমা খাতুন</t>
  </si>
  <si>
    <t>০৯/০৬/১৯৯৯</t>
  </si>
  <si>
    <t>মোছাঃ সাহেদা খাতুন</t>
  </si>
  <si>
    <t>২৯/১১/১৯৯৯</t>
  </si>
  <si>
    <t>লিয়াকত আলী</t>
  </si>
  <si>
    <t>মোছাঃ হোসনিয়ারা খাতুন</t>
  </si>
  <si>
    <t>২১/১১/১৯৯৯</t>
  </si>
  <si>
    <t>২০/০৮/১৯৯৯</t>
  </si>
  <si>
    <t>মোঃ সজিব আলী</t>
  </si>
  <si>
    <t>মোঃ কুলচাঁদ</t>
  </si>
  <si>
    <t>১৫/১০/১৯৯৯</t>
  </si>
  <si>
    <t>লাল মোহাম্মদ</t>
  </si>
  <si>
    <t>মোসাঃ কুলসুম বেগম</t>
  </si>
  <si>
    <t>১২/০৮/১৯৮৩</t>
  </si>
  <si>
    <t>মোছাঃ কদবানু খাতুন</t>
  </si>
  <si>
    <t>০৬/০৪/১৯৭৬</t>
  </si>
  <si>
    <t>মোঃ আবু কুহাফা</t>
  </si>
  <si>
    <t>কেরামত আলী</t>
  </si>
  <si>
    <t>মোছাঃ লিখন নেছা বিবি</t>
  </si>
  <si>
    <t>১৮/০৬/১৯৬৯</t>
  </si>
  <si>
    <t>মোঃ আব্দুল হাই</t>
  </si>
  <si>
    <t>মোঃ আবু বকর সিদ্দীক</t>
  </si>
  <si>
    <t>রোজেদা খাতুন</t>
  </si>
  <si>
    <t>০৬/০৭/১৯৮৪</t>
  </si>
  <si>
    <t>মোঃ আসিফ খান</t>
  </si>
  <si>
    <t>আঞ্জুমান আরা</t>
  </si>
  <si>
    <t>২০/১০/১৯৯৮</t>
  </si>
  <si>
    <t>মোঃ হাসানুজ্জামান হাসান</t>
  </si>
  <si>
    <t>মোঃ নওশাদ</t>
  </si>
  <si>
    <t>মোছাঃ পারভীনা খাতুন</t>
  </si>
  <si>
    <t>বাঁশবাড়িয়া, গাড়াবোব, গাংনী, মেহেরপুর</t>
  </si>
  <si>
    <t>মোঃ আবু মোজাহিদ</t>
  </si>
  <si>
    <t>মুক্তা খাতুন</t>
  </si>
  <si>
    <t>০৭/১১/১৯৯৬</t>
  </si>
  <si>
    <t>পুকুরপাড়া, গাড়াবোব, গাংনী, মেহেরপুর</t>
  </si>
  <si>
    <t>মোঃ রোকনুজ্জামান</t>
  </si>
  <si>
    <t>০১/০১/১৯৯৯</t>
  </si>
  <si>
    <t>পুকুর পাড়া, গাড়াবোব, গাংনী, মেহেরপুর</t>
  </si>
  <si>
    <t>নামঃ সৈয়দ আলী</t>
  </si>
  <si>
    <t>ইজারুল হক</t>
  </si>
  <si>
    <t>তরিমর নেছা</t>
  </si>
  <si>
    <t>মৃত মোঃ আকবার আলী</t>
  </si>
  <si>
    <t>মোছাঃ ভানুয়ারা খাতুন</t>
  </si>
  <si>
    <t>২১/১০/১৯৯৮</t>
  </si>
  <si>
    <t>মোঃ মাসুম আলী</t>
  </si>
  <si>
    <t>মোছাঃ মাছুরা আরা</t>
  </si>
  <si>
    <t>০৮/০৫/১৯৯৮</t>
  </si>
  <si>
    <t>মোঃ নাহিদুল রেজা রনি</t>
  </si>
  <si>
    <t>মোছাঃ আলিমা খাতুন</t>
  </si>
  <si>
    <t>০৩/০৫/১৯৯২</t>
  </si>
  <si>
    <t>মোছাঃ রাশেদা খাতুন</t>
  </si>
  <si>
    <t>কুঠিপাড়া, গাড়াবোব, গাংনী, মেহেরপুর</t>
  </si>
  <si>
    <t>মনোয়ারা</t>
  </si>
  <si>
    <t>১৫/০৭/১৯৯১</t>
  </si>
  <si>
    <t>জলিবিলপাড়া, গাড়াবোব, গাংনী, মেহেরপুর</t>
  </si>
  <si>
    <t>মোঃ নুর হোসেন</t>
  </si>
  <si>
    <t>মৃত শুকুর আলী</t>
  </si>
  <si>
    <t>মোঃ হোসেন আলী</t>
  </si>
  <si>
    <t>মোঃ বক্কার আলী</t>
  </si>
  <si>
    <t>মোছাঃ হোসনেয়ারা খাতুন</t>
  </si>
  <si>
    <t>০৮/০২/১৯৯৭</t>
  </si>
  <si>
    <t>মোঃ ইয়াছিন আলি</t>
  </si>
  <si>
    <t>২৫/১১/১৯৯৬</t>
  </si>
  <si>
    <t>আবির হাসান পাপ্পু</t>
  </si>
  <si>
    <t>মোঃ জাওয়াদ নিশাত</t>
  </si>
  <si>
    <t>আব্দুস সামাদ</t>
  </si>
  <si>
    <t>মানুয়ারা</t>
  </si>
  <si>
    <t>মোছাঃ জরিনা বেগম</t>
  </si>
  <si>
    <t>০১/০১/১৯৯৬</t>
  </si>
  <si>
    <t>আঃ সালাম</t>
  </si>
  <si>
    <t>০৬/০৫/১৯৯৬</t>
  </si>
  <si>
    <t>মোঃ সুরোজ সেখ</t>
  </si>
  <si>
    <t>মোঃ ছাত্তার শেষ</t>
  </si>
  <si>
    <t>মোছাঃ ফেরদৌসী</t>
  </si>
  <si>
    <t>২৩/০২/১৯৯৬</t>
  </si>
  <si>
    <t>আঃ বারি</t>
  </si>
  <si>
    <t>সাদিকুন</t>
  </si>
  <si>
    <t>১৫/০৯/১৯৮৮</t>
  </si>
  <si>
    <t>ইসলামপুর পাড়া, গাড়াবোব, গাংনী, মেহেরপুর</t>
  </si>
  <si>
    <t>মোঃ সৃজন আলী</t>
  </si>
  <si>
    <t>আওলাদ</t>
  </si>
  <si>
    <t>মফিজা</t>
  </si>
  <si>
    <t>মোঃ হাসিবুল ইসলাম নয়ন</t>
  </si>
  <si>
    <t>মোছাঃ কাজল রেখা</t>
  </si>
  <si>
    <t>২০/০২/১৯৯৭</t>
  </si>
  <si>
    <t>বিল্লাল</t>
  </si>
  <si>
    <t>হানোয়ারা</t>
  </si>
  <si>
    <t>০৮/১২/১৯৯২</t>
  </si>
  <si>
    <t>মোঃ আব্দুল্লাহ</t>
  </si>
  <si>
    <t>মৃত গোলাম পঞ্জাতন</t>
  </si>
  <si>
    <t>মৃত আরেদা খাতুন</t>
  </si>
  <si>
    <t>০৩/০৯/১৯৯৯</t>
  </si>
  <si>
    <t>মোঃ মাহাফুজ হাসান</t>
  </si>
  <si>
    <t>১৯/১০/১৯৯৯</t>
  </si>
  <si>
    <t>আদুরা খাতুন</t>
  </si>
  <si>
    <t>মোঃ মেহেদুল ইসলাম</t>
  </si>
  <si>
    <t>মোঃ মোকতার</t>
  </si>
  <si>
    <t>মাতাঃ নার্গিস খাতুন</t>
  </si>
  <si>
    <t>০১/০৪/১৯৯৯</t>
  </si>
  <si>
    <t>মোঃ কবির আলী</t>
  </si>
  <si>
    <t>২০/০১/১৯৯৯</t>
  </si>
  <si>
    <t>মোঃ ছাদেক আলী</t>
  </si>
  <si>
    <t>০৬/০৭/১৯৭৯</t>
  </si>
  <si>
    <t>বাঁশবাড়ীয়া (পশ্চিম পাড়া), গাংনী, মেহেরপুর</t>
  </si>
  <si>
    <t>আব্দুল আলীম</t>
  </si>
  <si>
    <t>মোঃ এমদাদুল বিশ্বাস</t>
  </si>
  <si>
    <t>মর্জিনা বেগম</t>
  </si>
  <si>
    <t>১৪/০৫/১৯৭৯</t>
  </si>
  <si>
    <t>মোছাঃ মাচকুরা খাতুন</t>
  </si>
  <si>
    <t>২৬/১০/১৯৯৭</t>
  </si>
  <si>
    <t>মোতালেব হোসেন</t>
  </si>
  <si>
    <t>মোঃ আজমাইল হোসেন</t>
  </si>
  <si>
    <t>আতিয়ার রহমান</t>
  </si>
  <si>
    <t>বানেরা খাতুন</t>
  </si>
  <si>
    <t>মোঃ মর্জেস আলী</t>
  </si>
  <si>
    <t>হযরত আলী</t>
  </si>
  <si>
    <t>মোঃ মোয়াজ্জেম শেখ</t>
  </si>
  <si>
    <t>মোঃ আকতার শেখ</t>
  </si>
  <si>
    <t>মর্জিনা</t>
  </si>
  <si>
    <t>১৫/০৪/১৯৭৮</t>
  </si>
  <si>
    <t>মোঃ মোহাদ্দেস</t>
  </si>
  <si>
    <t>মজিরন নেছা</t>
  </si>
  <si>
    <t>১৭/০৪/১৯৮২</t>
  </si>
  <si>
    <t>মোঃ তাহের আলী</t>
  </si>
  <si>
    <t>মোছাঃ খুদুজান</t>
  </si>
  <si>
    <t>১৫/০২/১৯৬৯</t>
  </si>
  <si>
    <t>মোঃ সিরাজুল হক</t>
  </si>
  <si>
    <t>মোছাঃ দুলাজান</t>
  </si>
  <si>
    <t>১০/০৬/১৯৬৩</t>
  </si>
  <si>
    <t>মোঃ সাক্কার আলী</t>
  </si>
  <si>
    <t>রহিম মন্ডল</t>
  </si>
  <si>
    <t>রুয়াজান</t>
  </si>
  <si>
    <t>২৪/১০/১৯৭৯</t>
  </si>
  <si>
    <t>৩০/০৭/১৯৯০</t>
  </si>
  <si>
    <t>মোঃ হুমায়ন কবির</t>
  </si>
  <si>
    <t>মোঃ কবির উদ্দীন</t>
  </si>
  <si>
    <t>২০/০৬/১৯৯৩</t>
  </si>
  <si>
    <t>মোঃ আব্দুল আওয়াল</t>
  </si>
  <si>
    <t>আনজুমানআরা</t>
  </si>
  <si>
    <t>০২/১১/২০০০</t>
  </si>
  <si>
    <t>মোঃ আবু আল সাব্বির জয়</t>
  </si>
  <si>
    <t>০১/০৬/২০০৩</t>
  </si>
  <si>
    <t>মোঃ রাসেল আহমেদ</t>
  </si>
  <si>
    <t>মোছাঃ রেক্সনা খাতুন</t>
  </si>
  <si>
    <t>০৬/০১/২০০৩</t>
  </si>
  <si>
    <t>মোঃ হেলালুজ্জামান</t>
  </si>
  <si>
    <t>মোছাঃ মানিয়ারা খাতুন</t>
  </si>
  <si>
    <t>১৮/০৭/২০০২</t>
  </si>
  <si>
    <t>মোঃ সাহাবুদ্দীন হোসেন</t>
  </si>
  <si>
    <t>মোঃ পানু আলী</t>
  </si>
  <si>
    <t>২০/১২/১৯৯৭</t>
  </si>
  <si>
    <t>মোঃ আবু বক্কর সেখ</t>
  </si>
  <si>
    <t>১৪/১০/১৯৯২</t>
  </si>
  <si>
    <t>মোঃ শাওন</t>
  </si>
  <si>
    <t>মোছাঃ গোলাপী</t>
  </si>
  <si>
    <t>২৭/০৩/১৯৯৬</t>
  </si>
  <si>
    <t>মোঃ শাকিব আলী</t>
  </si>
  <si>
    <t>০৫/০৬/২০০২</t>
  </si>
  <si>
    <t>মোছাঃ নাজমীনারা</t>
  </si>
  <si>
    <t>১২/০৬/২০০১</t>
  </si>
  <si>
    <t>১৫/০৫/২০০৩</t>
  </si>
  <si>
    <t>মোঃ আরিফুল ইসলাম নয়ন</t>
  </si>
  <si>
    <t>মোঃ দুললুফ হোসেন</t>
  </si>
  <si>
    <t>আরজিনা খাতুন</t>
  </si>
  <si>
    <t>০৩/১০/২০০০</t>
  </si>
  <si>
    <t>মোঃ সুরোজ আলী</t>
  </si>
  <si>
    <t>মোছাঃ কোহিনুর বেগম</t>
  </si>
  <si>
    <t>১১/০৯/২০০০</t>
  </si>
  <si>
    <t>মোঃ আলা উদ্দীন</t>
  </si>
  <si>
    <t>আলী রহমান</t>
  </si>
  <si>
    <t>০৮/০১/২০০০</t>
  </si>
  <si>
    <t>মোছাঃ জোৎস্না খাতুন</t>
  </si>
  <si>
    <t>২১/০২/২০০৩</t>
  </si>
  <si>
    <t>০১/০৩/২০০০</t>
  </si>
  <si>
    <t>মোঃ মাছুম বিল্লাহ</t>
  </si>
  <si>
    <t>তাজুল ইসলাম</t>
  </si>
  <si>
    <t>মাহমুদা</t>
  </si>
  <si>
    <t>১২/০৬/১৯৯৭</t>
  </si>
  <si>
    <t>মোঃ সফিক মিয়া</t>
  </si>
  <si>
    <t>১০/০৬/১৯৯৯</t>
  </si>
  <si>
    <t>মোঃ হাসনাত আল সাঈদ</t>
  </si>
  <si>
    <t>২৯/১০/২০০৩</t>
  </si>
  <si>
    <t>মোঃ আঃ মান্নান</t>
  </si>
  <si>
    <t>২৫/০৭/১৯৯৬</t>
  </si>
  <si>
    <t>মোঃ আশিক মিয়া</t>
  </si>
  <si>
    <t>মোঃ আসমত আলী</t>
  </si>
  <si>
    <t>০৪/০৫/২০০০</t>
  </si>
  <si>
    <t>মোঃ সাঈদ আলী</t>
  </si>
  <si>
    <t>মোছাঃ ওলে খাতুন</t>
  </si>
  <si>
    <t>০৩/০৪/২০০২</t>
  </si>
  <si>
    <t>মোঃ মোস্তাক আলী</t>
  </si>
  <si>
    <t>মোঃ তকের আলী</t>
  </si>
  <si>
    <t>মোছাঃ সাহানা খাতুন</t>
  </si>
  <si>
    <t>০৯/০৯/২০০১</t>
  </si>
  <si>
    <t>২৭/০৫/২০০৩</t>
  </si>
  <si>
    <t>মোঃ রহিদ আলী</t>
  </si>
  <si>
    <t>০৩/০৪/১৯৮৮</t>
  </si>
  <si>
    <t>মোছাঃ মোমেনা বেগম</t>
  </si>
  <si>
    <t>মোঃ আলফাফ হোসেন</t>
  </si>
  <si>
    <t>মোঃ বিরাজ আলী</t>
  </si>
  <si>
    <t>মোছাঃ আইতন নেছা</t>
  </si>
  <si>
    <t>০২/০৩/২০০২</t>
  </si>
  <si>
    <t>মোঃ রনি আহামেদ</t>
  </si>
  <si>
    <t>০৯/১২/১৯৯৭</t>
  </si>
  <si>
    <t>মোছাঃ নারগিস খাতুন</t>
  </si>
  <si>
    <t>১৭/০৫/২০০২</t>
  </si>
  <si>
    <t>মোঃ জিয়াউর রহমান</t>
  </si>
  <si>
    <t>লালচাঁদ আলী</t>
  </si>
  <si>
    <t>১৫/০৪/১৯৮২</t>
  </si>
  <si>
    <t>মোঃ আশিক</t>
  </si>
  <si>
    <t>মোঃ রহিম</t>
  </si>
  <si>
    <t>১৩/০৪/১৯৯৭</t>
  </si>
  <si>
    <t>মোঃ মহায় মিলন</t>
  </si>
  <si>
    <t>মোঃ নূর আলম</t>
  </si>
  <si>
    <t>মোছাঃ মোমিনা খাতুন</t>
  </si>
  <si>
    <t>নাসিম আহমেদ</t>
  </si>
  <si>
    <t>মোঃ হারান বক্স</t>
  </si>
  <si>
    <t>০২/০৬/২০০৩</t>
  </si>
  <si>
    <t>মোঃ মিঠুন হোসেন</t>
  </si>
  <si>
    <t>০১/০৩/১৯৯৯</t>
  </si>
  <si>
    <t>মোঃ বানী ইসরাঈল তুষার</t>
  </si>
  <si>
    <t>১৫/১০/২০০১</t>
  </si>
  <si>
    <t>মোঃ আসিফ রেজা</t>
  </si>
  <si>
    <t>১০/০৬/২০০৩</t>
  </si>
  <si>
    <t>মোহাঃ শফিকুল ইসলাম</t>
  </si>
  <si>
    <t>মোছাঃ মহিরন নেছা</t>
  </si>
  <si>
    <t>০৩/০৪/১৯৬৮</t>
  </si>
  <si>
    <t>বাঁশবাড়ীয়া, গাড়াডোব, গাংনী, মেহেরপুর</t>
  </si>
  <si>
    <t>এস এম ফাইজুর আশরাফ</t>
  </si>
  <si>
    <t>এস এম মুস্তাফিজুর আশরাফ</t>
  </si>
  <si>
    <t>ফরিদা আশরাফ</t>
  </si>
  <si>
    <t>৩০/১২/২০০১</t>
  </si>
  <si>
    <t>মোঃ তাওহিদ</t>
  </si>
  <si>
    <t>মোঃ কামরুজ্জামান বারীক</t>
  </si>
  <si>
    <t>২১/০১/১৯৯৭</t>
  </si>
  <si>
    <t>মোঃ তুহিন হোসেন</t>
  </si>
  <si>
    <t>০৫/১২/২০০৩</t>
  </si>
  <si>
    <t>মোঃ সাকিবুল হাসান রানা</t>
  </si>
  <si>
    <t>২৪/০৯/২০০২</t>
  </si>
  <si>
    <t>মোঃ লিমন হোসেন</t>
  </si>
  <si>
    <t>মাসুদ রানা</t>
  </si>
  <si>
    <t>১৬/০৬/২০০১</t>
  </si>
  <si>
    <t>২৫/১০/২০০১</t>
  </si>
  <si>
    <t>মোঃ শহিদুল</t>
  </si>
  <si>
    <t>০১/০৭/২০০৩</t>
  </si>
  <si>
    <t>মোঃ ফরহাদ হোসেন</t>
  </si>
  <si>
    <t>মোঃ সরোয়ার হোসেন</t>
  </si>
  <si>
    <t>শাকিল আহমেদ</t>
  </si>
  <si>
    <t>শহরুল ইসলাম</t>
  </si>
  <si>
    <t>মোছাঃ শেফালি খাতুন</t>
  </si>
  <si>
    <t>২৯/০৬/২০০৩</t>
  </si>
  <si>
    <t>নাঈম</t>
  </si>
  <si>
    <t>সিরাজুল</t>
  </si>
  <si>
    <t>মৃত তহমিনা</t>
  </si>
  <si>
    <t>মোঃ গোলাম রাসুল</t>
  </si>
  <si>
    <t>নিহাজ উদ্দীন</t>
  </si>
  <si>
    <t>০১/০৭/১৯৯৬</t>
  </si>
  <si>
    <t>মোঃ মাহাফিজুর রহমান জনি</t>
  </si>
  <si>
    <t>১৬/০৯/২০০০</t>
  </si>
  <si>
    <t>মোঃ মকছেদুল মোমেনিন</t>
  </si>
  <si>
    <t>মোঃ আমজাদ</t>
  </si>
  <si>
    <t>মোছাঃ ময়না খাতুন</t>
  </si>
  <si>
    <t>১০/০২/২০০০</t>
  </si>
  <si>
    <t>মোঃ আল শাহরিয়ার হাসান সাগর</t>
  </si>
  <si>
    <t>কাজল রেখা</t>
  </si>
  <si>
    <t>২২/১১/২০০১</t>
  </si>
  <si>
    <t>মোঃ চঞ্চল হোসেন</t>
  </si>
  <si>
    <t>০২/০৮/১৯৯৮</t>
  </si>
  <si>
    <t>মোঃ নাজমুল হাসান</t>
  </si>
  <si>
    <t>২৫/০৩/২০০২</t>
  </si>
  <si>
    <t>১৫/০৪/২০০৩</t>
  </si>
  <si>
    <t>মোঃ হামিদ আলী</t>
  </si>
  <si>
    <t>১৬/০৬/১৯৯৮</t>
  </si>
  <si>
    <t>১০/১০/২০০২</t>
  </si>
  <si>
    <t>মোঃ সাভন আলী</t>
  </si>
  <si>
    <t>২৫/০৬/২০০৩</t>
  </si>
  <si>
    <t>মোছাঃ আরবি খাতুন</t>
  </si>
  <si>
    <t>মোঃ রায়হান উদ্দীন</t>
  </si>
  <si>
    <t>১৫/০১/২০০৩</t>
  </si>
  <si>
    <t>মোঃ আবু হুজাইফা</t>
  </si>
  <si>
    <t>১৮/০১/২০০০</t>
  </si>
  <si>
    <t>মোঃ ইউনুচ মিয়া</t>
  </si>
  <si>
    <t>০৯/০১/২০০২</t>
  </si>
  <si>
    <t>০৭/১১/২০০১</t>
  </si>
  <si>
    <t>মোছাঃ ফরিদা বেগম</t>
  </si>
  <si>
    <t>১৪/০২/২০০২</t>
  </si>
  <si>
    <t>৩০/০৬/২০০৩</t>
  </si>
  <si>
    <t>মোঃ আশিকুর রহমান আশিক</t>
  </si>
  <si>
    <t>মোছাঃ আরশিমা খাতুন</t>
  </si>
  <si>
    <t>০৩/০৫/২০০২</t>
  </si>
  <si>
    <t>মোঃ আছছানুল হক</t>
  </si>
  <si>
    <t>মৃত কামাল হোসেন</t>
  </si>
  <si>
    <t>০৩/০৪/২০০০</t>
  </si>
  <si>
    <t>মোঃ হাসিবুজ্জামান হাসিব</t>
  </si>
  <si>
    <t>মৃত সেলিনা আক্তার</t>
  </si>
  <si>
    <t>১৭/০৪/২০০০</t>
  </si>
  <si>
    <t>মোঃ ইমন আলী</t>
  </si>
  <si>
    <t>তাহাজ উদ্দীন</t>
  </si>
  <si>
    <t>রেহেনা খাতুন</t>
  </si>
  <si>
    <t>১০/০৩/২০০১</t>
  </si>
  <si>
    <t>শ্রী আশিক চন্দ্র দাস</t>
  </si>
  <si>
    <t>শ্রীমতী সুশিলা বালা দাসী</t>
  </si>
  <si>
    <t>১১/০৫/২০০২</t>
  </si>
  <si>
    <t>রাকিবুজ্জামান</t>
  </si>
  <si>
    <t>জমিরুল মল্লিক</t>
  </si>
  <si>
    <t>বেগম রোকেয়া</t>
  </si>
  <si>
    <t>২৩/০৩/২০০০</t>
  </si>
  <si>
    <t>মোঃ মুস্তাকিম আহমেদ</t>
  </si>
  <si>
    <t>১২/০৩/২০০১</t>
  </si>
  <si>
    <t>মোঃ জুবায়ের কবীর</t>
  </si>
  <si>
    <t>এ এস এম শাহজাহান কবীর</t>
  </si>
  <si>
    <t>মোছাঃ হাসমত আরা</t>
  </si>
  <si>
    <t>২০/০১/২০০৩</t>
  </si>
  <si>
    <t>মোঃ বশির</t>
  </si>
  <si>
    <t>০৪/০২/২০০১</t>
  </si>
  <si>
    <t>তাসিরুল হক</t>
  </si>
  <si>
    <t>বাবলুর রহমান</t>
  </si>
  <si>
    <t>নাসিমা খাতুন</t>
  </si>
  <si>
    <t>১৮/০১/২০০১</t>
  </si>
  <si>
    <t>মোঃ আবু সফিয়ান</t>
  </si>
  <si>
    <t>মোঃ মরজেম আলী</t>
  </si>
  <si>
    <t>শরিফুল</t>
  </si>
  <si>
    <t>জুলেখা</t>
  </si>
  <si>
    <t>মোঃ ইমন মিয়া</t>
  </si>
  <si>
    <t>০১/১২/২০০২</t>
  </si>
  <si>
    <t>মোঃ নয়ন আলী</t>
  </si>
  <si>
    <t>মোঃ সোরাব হোসেন</t>
  </si>
  <si>
    <t>০৯/১১/১৯৯৯</t>
  </si>
  <si>
    <t>মোঃ আশাদুল</t>
  </si>
  <si>
    <t>০১/০২/১৯৯৮</t>
  </si>
  <si>
    <t>মোঃ সামছুল ইসলাম</t>
  </si>
  <si>
    <t>০৬/০১/২০০১</t>
  </si>
  <si>
    <t>বাঁশবাড়িয়া, গাড়াডোব, গাংনী, মেহেরপুর</t>
  </si>
  <si>
    <t>সোহানুর রহমান সিজান</t>
  </si>
  <si>
    <t>মোছাঃ শিউলি</t>
  </si>
  <si>
    <t>১১/১১/২০০১</t>
  </si>
  <si>
    <t>মোঃ আনছার</t>
  </si>
  <si>
    <t>০১/০২/২০০১</t>
  </si>
  <si>
    <t>মোঃ নাজমুজ সাকিব নিবীড়</t>
  </si>
  <si>
    <t>মোঃ আশরাফুজ্জামান</t>
  </si>
  <si>
    <t>নাসিমা পারভীন</t>
  </si>
  <si>
    <t>০৩/০৭/২০০০</t>
  </si>
  <si>
    <t>মোছাঃ জানিয়ারা খাতুন</t>
  </si>
  <si>
    <t>০৫/০৭/২০০২</t>
  </si>
  <si>
    <t>০৪/০৫/২০০৩</t>
  </si>
  <si>
    <t>মোঃ শাকিব হোসেন</t>
  </si>
  <si>
    <t>০১/০৪/২০০৩</t>
  </si>
  <si>
    <t>মোঃ জনি ইসলাম</t>
  </si>
  <si>
    <t>মোঃ লালু হক</t>
  </si>
  <si>
    <t>০৫/০১/২০০০</t>
  </si>
  <si>
    <t>মোঃ তাহাজউদ্দীন</t>
  </si>
  <si>
    <t>মোছাঃ আঞ্জুমানারা খাতুন</t>
  </si>
  <si>
    <t>০১/০৭/১৯৯৭</t>
  </si>
  <si>
    <t>মোঃ তামিম ইকবাল</t>
  </si>
  <si>
    <t>মোছাঃ টগর বেগম</t>
  </si>
  <si>
    <t>০৫/০৩/২০০২</t>
  </si>
  <si>
    <t>সফু শেখ</t>
  </si>
  <si>
    <t>০১/০২/২০০০</t>
  </si>
  <si>
    <t>মোছাঃ বেশজান</t>
  </si>
  <si>
    <t>০২/০১/১৯৯০</t>
  </si>
  <si>
    <t>মোছাঃ আলেয়া বেগম</t>
  </si>
  <si>
    <t>মোঃ জাহান আলী</t>
  </si>
  <si>
    <t>মোছাঃ আকিমন নেছা</t>
  </si>
  <si>
    <t>০৪/০৫/২০০২</t>
  </si>
  <si>
    <t>মোঃ মুকাদ্দেস আলী</t>
  </si>
  <si>
    <t>১৫/০৭/২০০১</t>
  </si>
  <si>
    <t>মোঃ আসানুল হক</t>
  </si>
  <si>
    <t>২০/১২/২০০২</t>
  </si>
  <si>
    <t>মোঃ ইয়াসিন আলী লিটন</t>
  </si>
  <si>
    <t>মোছাঃ ছিপারিন নেছা</t>
  </si>
  <si>
    <t>০১/০১/২০০১</t>
  </si>
  <si>
    <t>আবু হাসান তারিক অয়ন</t>
  </si>
  <si>
    <t>মোঃ মনিরুজ্জামান খান মন্টু</t>
  </si>
  <si>
    <t>২৩/১০/২০০০</t>
  </si>
  <si>
    <t>মোঃ রুবেল হোসেন</t>
  </si>
  <si>
    <t>২০/০৪/২০০০</t>
  </si>
  <si>
    <t>মোছাঃ মিলিয়ারা খাতুন</t>
  </si>
  <si>
    <t>০৫/১০/২০০০</t>
  </si>
  <si>
    <t>মোঃ তারিক রহমান</t>
  </si>
  <si>
    <t>মোছাঃ জাহারা খাতুন</t>
  </si>
  <si>
    <t>১৭/০৯/২০০১</t>
  </si>
  <si>
    <t>মোঃ মিছাহক</t>
  </si>
  <si>
    <t>২০/০৬/২০০১</t>
  </si>
  <si>
    <t>মোঃ কামরান আলী</t>
  </si>
  <si>
    <t>মোঃ কাশেম আলী</t>
  </si>
  <si>
    <t>০১/০১/২০০৩</t>
  </si>
  <si>
    <t>মোঃ আমান হোসেন</t>
  </si>
  <si>
    <t>মোছাঃ লতিফা</t>
  </si>
  <si>
    <t>০৭/০৮/১৯৯৮</t>
  </si>
  <si>
    <t>মোঃ সাদিমান ইসলাম</t>
  </si>
  <si>
    <t>মোছাঃ কুরছিয়া খাতুন</t>
  </si>
  <si>
    <t>১০/০৭/১৯৯৯</t>
  </si>
  <si>
    <t>মোঃ সাকিল খান</t>
  </si>
  <si>
    <t>মৃত নুর ইসলাম</t>
  </si>
  <si>
    <t>০২/০১/২০০২</t>
  </si>
  <si>
    <t>মোঃ ওয়াসিম রানা</t>
  </si>
  <si>
    <t>মোঃ হিবাজ উদ্দীন</t>
  </si>
  <si>
    <t>জাহারা খাতুন</t>
  </si>
  <si>
    <t>১৬/১২/২০০০</t>
  </si>
  <si>
    <t>মোঃ মাবুদ আলী</t>
  </si>
  <si>
    <t>০১/০৮/২০০৩</t>
  </si>
  <si>
    <t>মোঃ নাহিদ আলী</t>
  </si>
  <si>
    <t>মোঃ আল জুবায়ের মোস্তাক</t>
  </si>
  <si>
    <t>০৯/১২/২০০৩</t>
  </si>
  <si>
    <t>মোঃ জাহান হোসেন</t>
  </si>
  <si>
    <t>মোঃ আইয়ূব আলী</t>
  </si>
  <si>
    <t>০৯/০২/১৯৯৯</t>
  </si>
  <si>
    <t>মোছাঃ দুলজান খাতুন</t>
  </si>
  <si>
    <t>৩০/১২/২০০২</t>
  </si>
  <si>
    <t>মোঃ জোবায়ের হোসেন</t>
  </si>
  <si>
    <t>মোছাঃ জাকিয়া সুলতানা</t>
  </si>
  <si>
    <t>২৬/১০/২০০৩</t>
  </si>
  <si>
    <t>মোঃ তৌফিক হাসান</t>
  </si>
  <si>
    <t>০১/০১/২০০২</t>
  </si>
  <si>
    <t>০১/১২/২০০৩</t>
  </si>
  <si>
    <t>মোঃ চনচল আলী</t>
  </si>
  <si>
    <t>মধু শেখ</t>
  </si>
  <si>
    <t>০৩/০৫/১৯৯৮</t>
  </si>
  <si>
    <t>মোঃ সামজাদ আলী</t>
  </si>
  <si>
    <t>০৪/০৬/২০০০</t>
  </si>
  <si>
    <t>মোঃ হুসাইন মল্লিক</t>
  </si>
  <si>
    <t>০৩/০১/২০০০</t>
  </si>
  <si>
    <t>মোঃ মামুন হাসান শুভ</t>
  </si>
  <si>
    <t>১৩/০৬/২০০০</t>
  </si>
  <si>
    <t>০৭/০৭/২০০০</t>
  </si>
  <si>
    <t>মোঃ আসিফ</t>
  </si>
  <si>
    <t>মোছাঃ আফরোজা</t>
  </si>
  <si>
    <t>০৯/০১/২০০৩</t>
  </si>
  <si>
    <t>মোঃ মাহাবুল হক</t>
  </si>
  <si>
    <t>১০/১২/২০০১</t>
  </si>
  <si>
    <t>মোঃ সজল আলী</t>
  </si>
  <si>
    <t>০৫/০৯/১৯৯৯</t>
  </si>
  <si>
    <t>০৭/০৭/২০০২</t>
  </si>
  <si>
    <t>মোঃ রাজা হোসেন</t>
  </si>
  <si>
    <t>মোছাঃ উনজিলা খাতুন</t>
  </si>
  <si>
    <t>২৪/০৮/১৯৯৯</t>
  </si>
  <si>
    <t>মৃত নাজাত শেখ</t>
  </si>
  <si>
    <t>০৩/০৭/২০০৩</t>
  </si>
  <si>
    <t>ইকবাল হোসাইন</t>
  </si>
  <si>
    <t>১৮/০৬/১৯৯০</t>
  </si>
  <si>
    <t>মোঃ তৌকির আহমেদ</t>
  </si>
  <si>
    <t>০৬/০১/২০০০</t>
  </si>
  <si>
    <t>মোঃ আঃ কুদ্দুছ</t>
  </si>
  <si>
    <t>মোছাঃ বুলুয়ারা</t>
  </si>
  <si>
    <t>০৪/০৪/২০০২</t>
  </si>
  <si>
    <t>মোঃ ওয়াসিম</t>
  </si>
  <si>
    <t>মোছাঃ রূপালী খাতুন</t>
  </si>
  <si>
    <t>১৫/১২/২০০১</t>
  </si>
  <si>
    <t>মোছাঃ বিলকিচ বানু</t>
  </si>
  <si>
    <t>মৃত নায়েব আলী</t>
  </si>
  <si>
    <t>মোছাঃ হাচেনা বেগম</t>
  </si>
  <si>
    <t>২৫/০৭/১৯৯৯</t>
  </si>
  <si>
    <t>মোঃ সিহাব রাজা</t>
  </si>
  <si>
    <t>মোছাঃ সাগরী খাতুন</t>
  </si>
  <si>
    <t>১০/১১/২০০৩</t>
  </si>
  <si>
    <t>মোঃ শিপন ইসলাম</t>
  </si>
  <si>
    <t>০৭/১২/১৯৯৭</t>
  </si>
  <si>
    <t>মোঃ রানা</t>
  </si>
  <si>
    <t>মোঃ জাহাঙ্গীর</t>
  </si>
  <si>
    <t>১৫/০৬/১৯৯২</t>
  </si>
  <si>
    <t>মোছাঃ বানেরা খাতুন</t>
  </si>
  <si>
    <t>০৫/০৬/২০০৩</t>
  </si>
  <si>
    <t>মোঃ নজেস আলী</t>
  </si>
  <si>
    <t>মোছাঃ মজিফা খাতুন</t>
  </si>
  <si>
    <t>০১/০৭/২০০০</t>
  </si>
  <si>
    <t>মোঃ মামুন হোসেন আমিন</t>
  </si>
  <si>
    <t>০২/০১/২০০৩</t>
  </si>
  <si>
    <t>মোঃ আহসান হাবিব</t>
  </si>
  <si>
    <t>০২/০৫/২০০৩</t>
  </si>
  <si>
    <t>মৃত আব্দুল আজিজ</t>
  </si>
  <si>
    <t>১৬/১০/২০০০</t>
  </si>
  <si>
    <t>মোঃ শাহজাহান</t>
  </si>
  <si>
    <t>মোছাঃ শাহিনা খাতুন</t>
  </si>
  <si>
    <t>১৬/১২/২০০৩</t>
  </si>
  <si>
    <t>মোঃ রহিম আলী</t>
  </si>
  <si>
    <t>মোঃ হাসিবুল ইসলাম আসিফ</t>
  </si>
  <si>
    <t>মোঃ হাসান</t>
  </si>
  <si>
    <t>মোছাঃ ফুলসুরা খাতুন</t>
  </si>
  <si>
    <t>০২/১০/২০০২</t>
  </si>
  <si>
    <t>মোঃ ছোটু আলী</t>
  </si>
  <si>
    <t>০৪/০৫/১৯৯৭</t>
  </si>
  <si>
    <t>০৪/০৮/২০০৩</t>
  </si>
  <si>
    <t>মোঃ লিখন হোসেন</t>
  </si>
  <si>
    <t>মোঃ শাবদুল হক</t>
  </si>
  <si>
    <t>২৫/০৯/১৯৯৮</t>
  </si>
  <si>
    <t>আ স ম মোস্তাফিজুর রহমান</t>
  </si>
  <si>
    <t>মোছাঃ শিরিন সুলতানা</t>
  </si>
  <si>
    <t>মোঃ আশিকুজ্জামান</t>
  </si>
  <si>
    <t>১৭/০৩/২০০১</t>
  </si>
  <si>
    <t>মোঃ রাসেল রানা</t>
  </si>
  <si>
    <t>১৭/০৫/২০০০</t>
  </si>
  <si>
    <t>মৃত গোলাম মোস্তফা</t>
  </si>
  <si>
    <t>১৫/০১/২০০০</t>
  </si>
  <si>
    <t>ইবতিদা তাছনিম রাদ</t>
  </si>
  <si>
    <t>মোছাঃ তানিয়া খাতুন</t>
  </si>
  <si>
    <t>২৫/১০/২০০২</t>
  </si>
  <si>
    <t>মীর সাকিব বিন জামান</t>
  </si>
  <si>
    <t>শামীম আরা</t>
  </si>
  <si>
    <t>০২/০২/২০০১</t>
  </si>
  <si>
    <t>মোছাঃ আছিয়া খাতুন</t>
  </si>
  <si>
    <t>১৮/০৮/২০০১</t>
  </si>
  <si>
    <t>মোঃ ছাইনাল</t>
  </si>
  <si>
    <t>০৩/০৬/১৯৯৪</t>
  </si>
  <si>
    <t>মোঃ লিটু মিয়া</t>
  </si>
  <si>
    <t>মোছাঃ বুলু খাতুন</t>
  </si>
  <si>
    <t>০৫/০৯/২০০১</t>
  </si>
  <si>
    <t>মোঃ সুইট হোসেন</t>
  </si>
  <si>
    <t>মোছাঃ সকেজান</t>
  </si>
  <si>
    <t>মোছাঃ কনা খাতুন</t>
  </si>
  <si>
    <t>০৭/০২/২০০২</t>
  </si>
  <si>
    <t>২৪/০৮/১৯৯৮</t>
  </si>
  <si>
    <t>মোঃ শাকিব রাজা</t>
  </si>
  <si>
    <t>মোছাঃ সাগরীকা</t>
  </si>
  <si>
    <t>মোঃ স্বাধিন আলী</t>
  </si>
  <si>
    <t>মোহেদুল ইসলাম</t>
  </si>
  <si>
    <t>১৭/০৩/২০০৩</t>
  </si>
  <si>
    <t>২৪/০৪/২০০১</t>
  </si>
  <si>
    <t>মোছাঃ নাজমিন আরা</t>
  </si>
  <si>
    <t>১১/০৫/২০০০</t>
  </si>
  <si>
    <t>মোঃ মানিক হোসেন</t>
  </si>
  <si>
    <t>০৭/০৩/২০০০</t>
  </si>
  <si>
    <t>মোঃ মামুন হোসেন</t>
  </si>
  <si>
    <t>মোঃ বাবলু মিয়া</t>
  </si>
  <si>
    <t>মোছাঃ মুর্শিদা খাতুন</t>
  </si>
  <si>
    <t>১৭/০৯/১৯৯৯</t>
  </si>
  <si>
    <t>মোঃ মাকছেদুল ইসলাম</t>
  </si>
  <si>
    <t>২৭/০৯/২০০২</t>
  </si>
  <si>
    <t>০১/১০/১৯৯২</t>
  </si>
  <si>
    <t>মোঃ সাজু মিয়া</t>
  </si>
  <si>
    <t>০১/০৬/২০০১</t>
  </si>
  <si>
    <t>মোঃ আমির সোহেল</t>
  </si>
  <si>
    <t>মরিয়ম সুলতানা</t>
  </si>
  <si>
    <t>৩০/১১/২০০১</t>
  </si>
  <si>
    <t>১০/০৩/১৯৯৪</t>
  </si>
  <si>
    <t>মোঃ আল আমিন</t>
  </si>
  <si>
    <t>১৭/০৫/২০০৩</t>
  </si>
  <si>
    <t>মোছাঃ দিলারা খাতুন</t>
  </si>
  <si>
    <t>০৪/০২/১৯৯৭</t>
  </si>
  <si>
    <t>২৭/০৮/২০০২</t>
  </si>
  <si>
    <t>মোঃ সবুজ মিয়া</t>
  </si>
  <si>
    <t>মোছাঃ সামসুন নাহার</t>
  </si>
  <si>
    <t>১৪/০৭/২০০১</t>
  </si>
  <si>
    <t>মোঃ রিমন আলী</t>
  </si>
  <si>
    <t>২৬/০৬/২০০১</t>
  </si>
  <si>
    <t>মোঃ সজিব হাসান</t>
  </si>
  <si>
    <t>মোঃ সুজীব হোসেন</t>
  </si>
  <si>
    <t>মোছাঃ রোজিফা খাতুন</t>
  </si>
  <si>
    <t>মোছাঃ শাহানারা বেগম</t>
  </si>
  <si>
    <t>১৮/০৭/২০০১</t>
  </si>
  <si>
    <t>মোঃ রায়হান খন্দকার</t>
  </si>
  <si>
    <t>মিষ্টারঃ জাহাঙ্গীর খন্দকার</t>
  </si>
  <si>
    <t>মিসঃ রসিলা খাতুন</t>
  </si>
  <si>
    <t>০৭/০১/২০০৩</t>
  </si>
  <si>
    <t>শ্রী দেবাশীষ দাস</t>
  </si>
  <si>
    <t>শ্রী জিতিন দাস</t>
  </si>
  <si>
    <t>শ্রী রেখা বালা দাসী</t>
  </si>
  <si>
    <t>৩০/০৩/২০০৩</t>
  </si>
  <si>
    <t>মোঃ খায়রুল ইসলাম</t>
  </si>
  <si>
    <t>২৫/০৪/১৯৯৮</t>
  </si>
  <si>
    <t>মোঃ নয়ন মনি</t>
  </si>
  <si>
    <t>মৃত আছিয়া খাতুন</t>
  </si>
  <si>
    <t>১৮/০৮/১৯৯৯</t>
  </si>
  <si>
    <t>মোঃ আহসানী</t>
  </si>
  <si>
    <t>মোছাঃ মামুলী খাতুন</t>
  </si>
  <si>
    <t>১৫/১২/২০০২</t>
  </si>
  <si>
    <t>মোছাঃ শেফালী বেগম</t>
  </si>
  <si>
    <t>২৩/০৪/২০০০</t>
  </si>
  <si>
    <t>মোঃ কাবিরুল ইসলাম</t>
  </si>
  <si>
    <t>মোছাঃ সবেদা খাতুন</t>
  </si>
  <si>
    <t>২০/০৭/২০০২</t>
  </si>
  <si>
    <t>আলমগীর হোসেন</t>
  </si>
  <si>
    <t>২৩/০৭/১৯৮৫</t>
  </si>
  <si>
    <t>১৫/০৫/২০০০</t>
  </si>
  <si>
    <t>মোছাঃ মাকছুদা</t>
  </si>
  <si>
    <t>মোঃ হাসিবুল</t>
  </si>
  <si>
    <t>১৯/০৮/২০০৩</t>
  </si>
  <si>
    <t>মোঃ রাজিদুল ইসলাম</t>
  </si>
  <si>
    <t>এস এম শারাফাত হোসেন প্রিন্স</t>
  </si>
  <si>
    <t>মোছাঃ শামীমা আকতার</t>
  </si>
  <si>
    <t>২৫/১২/২০০০</t>
  </si>
  <si>
    <t>১২/১২/২০০৩</t>
  </si>
  <si>
    <t>মোঃ মমিনুল</t>
  </si>
  <si>
    <t>১০/০৮/২০০৩</t>
  </si>
  <si>
    <t>মোঃ নাজমুল হোসেন</t>
  </si>
  <si>
    <t>মোঃ নায়েব আলী</t>
  </si>
  <si>
    <t>মোছাঃ জাহরুন নেছা</t>
  </si>
  <si>
    <t>২৭/০৯/১৯৯৭</t>
  </si>
  <si>
    <t>মোছাঃ দিলারা বেগম</t>
  </si>
  <si>
    <t>১৫/০৮/১৯৯৮</t>
  </si>
  <si>
    <t>মোঃ রিয়াজুল আলী</t>
  </si>
  <si>
    <t>মোছাঃ রেনুয়ারা খাতুন</t>
  </si>
  <si>
    <t>১৬/০৪/২০০২</t>
  </si>
  <si>
    <t>দাউদ</t>
  </si>
  <si>
    <t>মোঃ শফি উদ্দীন</t>
  </si>
  <si>
    <t>মৃত টুলু বিবি</t>
  </si>
  <si>
    <t>০২/০৫/১৯৭৯</t>
  </si>
  <si>
    <t>মোছাঃ ছবেদা খাতুন</t>
  </si>
  <si>
    <t>০৫/১১/২০০১</t>
  </si>
  <si>
    <t>মোঃ আব্দুল্লাহ বিন শিশির</t>
  </si>
  <si>
    <t>মোছাঃ মর্জিনা বেগম</t>
  </si>
  <si>
    <t>২৪/০২/২০০২</t>
  </si>
  <si>
    <t>মোছাঃ লতিফা খাতুন</t>
  </si>
  <si>
    <t>০৭/০৮/২০০১</t>
  </si>
  <si>
    <t>মোঃ সালাম মিয়া</t>
  </si>
  <si>
    <t>মোছাঃ ছবিরন নেছা</t>
  </si>
  <si>
    <t>মোঃ শোরাফ হোসেন</t>
  </si>
  <si>
    <t>১১/০৭/২০০২</t>
  </si>
  <si>
    <t>মোঃ শাকিল আহাম্মেদ</t>
  </si>
  <si>
    <t>মোছাঃ মোহারা খাতুন</t>
  </si>
  <si>
    <t>১০/০১/২০০২</t>
  </si>
  <si>
    <t>০২/০৪/২০০৩</t>
  </si>
  <si>
    <t>মোঃ হামিদুল</t>
  </si>
  <si>
    <t>মোছাঃ কদভানু খাতুন</t>
  </si>
  <si>
    <t>০৫/০২/২০০২</t>
  </si>
  <si>
    <t>১৭/০৭/২০০০</t>
  </si>
  <si>
    <t>মোঃ লালন হোসেন</t>
  </si>
  <si>
    <t>মোঃ বুলু শেখ</t>
  </si>
  <si>
    <t>২৯/১২/২০০৩</t>
  </si>
  <si>
    <t>১৫/০৭/১৯৯৮</t>
  </si>
  <si>
    <t>১৭/০৮/২০০২</t>
  </si>
  <si>
    <t>মোঃ তৌফিকুল ইসলাম</t>
  </si>
  <si>
    <t>মোছাঃ অজিফা খাতুন</t>
  </si>
  <si>
    <t>০৬/০২/২০০১</t>
  </si>
  <si>
    <t>মোছাঃ শান্তনা খাতুন</t>
  </si>
  <si>
    <t>১০/০৭/২০০০</t>
  </si>
  <si>
    <t>মোঃ হুসাইন</t>
  </si>
  <si>
    <t>মোছাঃ হিরা খাতুন</t>
  </si>
  <si>
    <t>১০/০৬/২০০১</t>
  </si>
  <si>
    <t>নাঈম আহমেদ</t>
  </si>
  <si>
    <t>মোছাঃ নাছরিন আক্তার</t>
  </si>
  <si>
    <t>০৪/০২/২০০০</t>
  </si>
  <si>
    <t>মোঃ হামিম রেজা</t>
  </si>
  <si>
    <t>মোঃ শিশির পারভেজ</t>
  </si>
  <si>
    <t>মাতাঃ স্নিগ্ধা মন্ডল</t>
  </si>
  <si>
    <t>মোঃ আশিক হোসেন</t>
  </si>
  <si>
    <t>মোছাঃ আছমিনা খাতুন</t>
  </si>
  <si>
    <t>০৭/০৬/২০০২</t>
  </si>
  <si>
    <t>মোঃ কাবারুল ইসলাম পিন্টু</t>
  </si>
  <si>
    <t>মোছাঃ শান্তি খাতুন</t>
  </si>
  <si>
    <t>২১/০৮/২০০১</t>
  </si>
  <si>
    <t>১০/১২/২০০০</t>
  </si>
  <si>
    <t>মোঃ হাশেম</t>
  </si>
  <si>
    <t>০৩/০৪/২০০৩</t>
  </si>
  <si>
    <t>বাঁশবাড়িয়া, গাড়াদোব, গাংনী, মেহেরপুর</t>
  </si>
  <si>
    <t>মোঃ মাসুদুর রহমান</t>
  </si>
  <si>
    <t>মোঃ তাজুল ইসলাম</t>
  </si>
  <si>
    <t>মাতাঃ মাহমুদা</t>
  </si>
  <si>
    <t>১৫/০৩/২০০১</t>
  </si>
  <si>
    <t>মোঃ রাশেদুজ্জামান আকাশ</t>
  </si>
  <si>
    <t>মোঃ আব্দুর রশীদ</t>
  </si>
  <si>
    <t>মোছাঃ জেসমিন আরা</t>
  </si>
  <si>
    <t>০৪/১১/২০০০</t>
  </si>
  <si>
    <t>মোঃ মাজেদুল ইসলাম শহিদ</t>
  </si>
  <si>
    <t>২১/০৭/২০০২</t>
  </si>
  <si>
    <t>০৩/০৬/২০০০</t>
  </si>
  <si>
    <t>মোছাঃ হিরাতন নেছা</t>
  </si>
  <si>
    <t>০৫/০১/২০০৩</t>
  </si>
  <si>
    <t>মোঃ রাফিজুল</t>
  </si>
  <si>
    <t>০৩/০৭/২০০২</t>
  </si>
  <si>
    <t>অনিক আহমেদ</t>
  </si>
  <si>
    <t>ফিরোজ আহমেদ</t>
  </si>
  <si>
    <t>মোঃ রঞ্জু আলী</t>
  </si>
  <si>
    <t>মোঃ রাজা মিয়া</t>
  </si>
  <si>
    <t>০২/০৪/২০০০</t>
  </si>
  <si>
    <t>মোঃ সাগর আহমেদ</t>
  </si>
  <si>
    <t>মোঃ আনিসুজ্জামান</t>
  </si>
  <si>
    <t>মাতাঃ রাফেজা খাতুন</t>
  </si>
  <si>
    <t>মোছাঃ শাহানাজ খাতুন</t>
  </si>
  <si>
    <t>১৫/০৯/২০০০</t>
  </si>
  <si>
    <t>মোঃ নাসিম আহমেদ</t>
  </si>
  <si>
    <t>মোছাঃ প্রেমলা খাতুন</t>
  </si>
  <si>
    <t>০৩/১১/২০০২</t>
  </si>
  <si>
    <t>মোঃ মুন্নাফ হোসেন মুন্না</t>
  </si>
  <si>
    <t>মাতাঃ কনক চাঁপা মুক্তা</t>
  </si>
  <si>
    <t>১১/১০/২০০১</t>
  </si>
  <si>
    <t>মাতাঃ সুফিয়া খাতুন</t>
  </si>
  <si>
    <t>মোঃ আকাশ আলী</t>
  </si>
  <si>
    <t>২৩/০৯/১৯৯৯</t>
  </si>
  <si>
    <t>০৬/০১/২০০২</t>
  </si>
  <si>
    <t>মোছাঃ ছালেমা খাতুন</t>
  </si>
  <si>
    <t>১৪/০৮/১৯৯৮</t>
  </si>
  <si>
    <t>মোঃ মুস্তাক শাহারীয়া শান্ত</t>
  </si>
  <si>
    <t>মোছাঃ শামছুন্নাহার</t>
  </si>
  <si>
    <t>১১/১১/২০০২</t>
  </si>
  <si>
    <t>মোঃ শাহিন খাঁ</t>
  </si>
  <si>
    <t>মৃত জাহনারা</t>
  </si>
  <si>
    <t>মোঃ মুনজুরুল ইসলাম</t>
  </si>
  <si>
    <t>মোঃ আমিন উদ্দিন</t>
  </si>
  <si>
    <t>০২/০৩/২০০১</t>
  </si>
  <si>
    <t>মোছাঃ উলফা খাতুন</t>
  </si>
  <si>
    <t>জাহাঙ্গীর</t>
  </si>
  <si>
    <t>০৮/০২/১৯৮২</t>
  </si>
  <si>
    <t>মোছাঃ সাদোনা খাতুন</t>
  </si>
  <si>
    <t>০৮/১২/২০০৩</t>
  </si>
  <si>
    <t>মোছাঃ জোসনা বেগম</t>
  </si>
  <si>
    <t>১০/০৯/২০০২</t>
  </si>
  <si>
    <t>মোঃ হারেজ উদ্দীন</t>
  </si>
  <si>
    <t>মোঃ মেহেদী ইমাম</t>
  </si>
  <si>
    <t>মোছাঃ বেলিয়ারা খাতুন</t>
  </si>
  <si>
    <t>০৪/০৪/১৯৯৮</t>
  </si>
  <si>
    <t>০২/১১/২০০১</t>
  </si>
  <si>
    <t>মোঃ আলা উদ্দিন</t>
  </si>
  <si>
    <t>মোছাঃ নিলুফা খাতুন</t>
  </si>
  <si>
    <t>০৯/০৬/২০০০</t>
  </si>
  <si>
    <t>০৫/১২/২০০২</t>
  </si>
  <si>
    <t>মৃত আতাব আলী</t>
  </si>
  <si>
    <t>মোছাঃ নছিমা খাতুন</t>
  </si>
  <si>
    <t>০৭/০৪/২০০০</t>
  </si>
  <si>
    <t>মোঃ তালাশ মোস্তফা</t>
  </si>
  <si>
    <t>মোছাঃ আকতার বানু</t>
  </si>
  <si>
    <t>০১/০৮/২০০০</t>
  </si>
  <si>
    <t>০২/০১/২০০০</t>
  </si>
  <si>
    <t>মোঃ মোমিন আলী</t>
  </si>
  <si>
    <t>মোঃ মিন্টু খান</t>
  </si>
  <si>
    <t>মোছাঃ তারজিনা খাতুন</t>
  </si>
  <si>
    <t>মোঃ মেহেদি হাসান রনি</t>
  </si>
  <si>
    <t>মোঃ কাজল খান</t>
  </si>
  <si>
    <t>২৫/১০/২০০০</t>
  </si>
  <si>
    <t>০২/০৮/১৯৯৭</t>
  </si>
  <si>
    <t>মোঃ আব্দুল হক</t>
  </si>
  <si>
    <t>মোছাঃ হাসেনা বেগম</t>
  </si>
  <si>
    <t>২১/০৬/১৯৮৪</t>
  </si>
  <si>
    <t>সাদের সেখ</t>
  </si>
  <si>
    <t>জানু খাতুন</t>
  </si>
  <si>
    <t>০৮/০৭/১৯৭৪</t>
  </si>
  <si>
    <t>মোঃ মারফত আলী</t>
  </si>
  <si>
    <t>ইমাজ উদ্দীন</t>
  </si>
  <si>
    <t>মোছাঃ মইতন বেগম</t>
  </si>
  <si>
    <t>১২৩২/২, গাড়াদোব মাঠ পাড়া, গাড়াদোব, গাংনী, মেহেরপুর</t>
  </si>
  <si>
    <t>রাজু</t>
  </si>
  <si>
    <t>মোঃ শিশির মিয়া</t>
  </si>
  <si>
    <t>শামিম রেজা</t>
  </si>
  <si>
    <t>১২/০১/১৯৯৭</t>
  </si>
  <si>
    <t>ইব্রাহিম খলিল</t>
  </si>
  <si>
    <t>মোছাঃ রিঞ্জা খাতুন</t>
  </si>
  <si>
    <t>০৩/০৫/১৯৯৭</t>
  </si>
  <si>
    <t>মাতাঃ আছমা খাতুন</t>
  </si>
  <si>
    <t>৩০/১২/১৯৯০</t>
  </si>
  <si>
    <t>হিরোক হাসান</t>
  </si>
  <si>
    <t>মোছাঃ জান্নাতুন</t>
  </si>
  <si>
    <t>জহিরুল ইসলাম</t>
  </si>
  <si>
    <t>১৮/০৫/১৯৮৩</t>
  </si>
  <si>
    <t>মোঃ মেহেদী হাসান মল্লিক</t>
  </si>
  <si>
    <t>মোঃ মেহেদী হাসান</t>
  </si>
  <si>
    <t>মোঃ কাজল খাঁ</t>
  </si>
  <si>
    <t>মোঃ আঃ মজিদ খাঁ</t>
  </si>
  <si>
    <t>ছহুরুন নেছা</t>
  </si>
  <si>
    <t>১৬/১০/১৯৭৯</t>
  </si>
  <si>
    <t>মোঃ আবদুস ছাত্তার</t>
  </si>
  <si>
    <t>মেহেরুন নেসা</t>
  </si>
  <si>
    <t>২০/১১/১৯৬৭</t>
  </si>
  <si>
    <t>মোছাঃ কবিতা খাতুন</t>
  </si>
  <si>
    <t>০৫/০১/২০০২</t>
  </si>
  <si>
    <t>মোঃ বাবলু আলী</t>
  </si>
  <si>
    <t>মোঃ জাকিরুল আলী</t>
  </si>
  <si>
    <t>মোছাঃ সুখজান বেগম</t>
  </si>
  <si>
    <t>আঃ হক</t>
  </si>
  <si>
    <t>জরিনা</t>
  </si>
  <si>
    <t>১৯/০৫/১৯৫৮</t>
  </si>
  <si>
    <t>সুফিয়া আল মামুন</t>
  </si>
  <si>
    <t>০৩/০৫/১৯৬৯</t>
  </si>
  <si>
    <t>মোঃ রফিক মিয়া</t>
  </si>
  <si>
    <t>আহম্মদ আলী শেখ</t>
  </si>
  <si>
    <t>মোছাঃ মোলা জান</t>
  </si>
  <si>
    <t>১৬২৩, গাড়াদোব, গাংনী, মেহেরপুর</t>
  </si>
  <si>
    <t>মোঃ রঞ্জু আহমেদ</t>
  </si>
  <si>
    <t>আবু বকর সিদ্দিক</t>
  </si>
  <si>
    <t>মোসাঃ রোজেদা খাতুন</t>
  </si>
  <si>
    <t>২৫/০৬/১৯৮৫</t>
  </si>
  <si>
    <t>৬২৯, গাড়াদোব, গাংনী, মেহেরপুর</t>
  </si>
  <si>
    <t>০১/০১/২০০৬</t>
  </si>
  <si>
    <t>মোছাঃ রিনা আক্তার</t>
  </si>
  <si>
    <t>১০/১০/২০০৪</t>
  </si>
  <si>
    <t>মোঃ এনায়েত আলী রাজু</t>
  </si>
  <si>
    <t>মোছাঃ রেহানা খাতুন</t>
  </si>
  <si>
    <t>০৪/০৫/২০০৪</t>
  </si>
  <si>
    <t>মোঃ আতিকুর রহমান</t>
  </si>
  <si>
    <t>০৮/০৭/২০০৪</t>
  </si>
  <si>
    <t>২৩/০৩/২০০৪</t>
  </si>
  <si>
    <t>৬০৩, গাড়াদোব, গাংনী, মেহেরপুর</t>
  </si>
  <si>
    <t>মোঃ নাহিদ</t>
  </si>
  <si>
    <t>০৩/০৯/২০০৪</t>
  </si>
  <si>
    <t>শিহাব আল আসিব</t>
  </si>
  <si>
    <t>মোছাঃ মনোয়ারা পারভীন</t>
  </si>
  <si>
    <t>০৭/০২/২০০৬</t>
  </si>
  <si>
    <t>মোঃ ইয়াছিন আরাফাত</t>
  </si>
  <si>
    <t>মোঃ ফয়জুল ইসলাম</t>
  </si>
  <si>
    <t>মোছাঃ নিলা ইয়াসমিন</t>
  </si>
  <si>
    <t>মোঃ আবির হোসেন</t>
  </si>
  <si>
    <t>মোছাঃ জান্নাতুল ফেরদোস</t>
  </si>
  <si>
    <t>০৬/০৫/২০০৬</t>
  </si>
  <si>
    <t>৫৬০, গাড়াদোব, গাংনী, মেহেরপুর</t>
  </si>
  <si>
    <t>মোঃ পলাশ মাহমুদ</t>
  </si>
  <si>
    <t>মাতাঃ মমতাজ খাতুন</t>
  </si>
  <si>
    <t>১২/১২/২০০৫</t>
  </si>
  <si>
    <t>মোঃ শিহাবুর রহমান</t>
  </si>
  <si>
    <t>মাতাঃ নুরজাহান</t>
  </si>
  <si>
    <t>২৬/১০/২০০৪</t>
  </si>
  <si>
    <t>কে এম রওনক</t>
  </si>
  <si>
    <t>মোছাঃ জোসনা আক্তার শিখা</t>
  </si>
  <si>
    <t>১৬/০৯/২০০৪</t>
  </si>
  <si>
    <t>মোঃ শ্যামল হাসান</t>
  </si>
  <si>
    <t>মাতাঃ রাশিদা বেগম</t>
  </si>
  <si>
    <t>২০/০২/২০০৪</t>
  </si>
  <si>
    <t>মোঃ মাসুম বিল্লাল শাকিল</t>
  </si>
  <si>
    <t>১৭/০১/২০০৪</t>
  </si>
  <si>
    <t>মোছাঃ ইসমোতারা</t>
  </si>
  <si>
    <t>০২/০৫/২০০৪</t>
  </si>
  <si>
    <t>মোঃ আবু উমাইয়া বিন লাবিব</t>
  </si>
  <si>
    <t>মাতাঃ আমেনা খাতুন</t>
  </si>
  <si>
    <t>০১/০৪/২০০৪</t>
  </si>
  <si>
    <t>মোঃ সুমন সাঈদী</t>
  </si>
  <si>
    <t>মাতাঃ ঝর্না খাতুন</t>
  </si>
  <si>
    <t>০৭/১১/২০০৪</t>
  </si>
  <si>
    <t>মোঃ ফিরোজ আহামদ</t>
  </si>
  <si>
    <t>মোঃ ফনিরুল ইসলাম</t>
  </si>
  <si>
    <t>১৫/০৯/২০০৪</t>
  </si>
  <si>
    <t>মোঃ জুবায়ের হোসেন</t>
  </si>
  <si>
    <t>২৯/০৪/২০০৪</t>
  </si>
  <si>
    <t>মোঃ মমতাজ আলী</t>
  </si>
  <si>
    <t>২৩/০৭/২০০৪</t>
  </si>
  <si>
    <t>১৫/০৪/২০০৪</t>
  </si>
  <si>
    <t>মোঃ সোহান আলী</t>
  </si>
  <si>
    <t>০১/০৭/২০০৪</t>
  </si>
  <si>
    <t>মোঃ আশিকুর রহমান</t>
  </si>
  <si>
    <t>মোছাঃ আঞ্জুমান আরা</t>
  </si>
  <si>
    <t>৩১/১২/২০০৪</t>
  </si>
  <si>
    <t>১০/০৩/২০০৪</t>
  </si>
  <si>
    <t>মোঃ নাসিমুজ্জামান</t>
  </si>
  <si>
    <t>মাতাঃ সেলিনা আক্তার বানু</t>
  </si>
  <si>
    <t>১০/০৮/২০০৪</t>
  </si>
  <si>
    <t>১০/০১/২০০৪</t>
  </si>
  <si>
    <t>১৪২৮, গাড়াদোব, গাংনী, মেহেরপুর</t>
  </si>
  <si>
    <t>মোঃ মন্টু আলী</t>
  </si>
  <si>
    <t>মোছাঃ নাজেরা বেগম</t>
  </si>
  <si>
    <t>২৪/০৫/২০০৪</t>
  </si>
  <si>
    <t>মোঃ স্বাধীন আলী</t>
  </si>
  <si>
    <t>মাতাঃ রেহেনা খাতুন</t>
  </si>
  <si>
    <t>১৫/০৩/২০০৪</t>
  </si>
  <si>
    <t>মোঃ সিয়াম বাদশা</t>
  </si>
  <si>
    <t>মাতাঃ রেক্সনা খাতুন</t>
  </si>
  <si>
    <t>১৫/০৫/২০০৪</t>
  </si>
  <si>
    <t>আল সাহাব</t>
  </si>
  <si>
    <t>মোছাঃ মরিয়ম সুলতানা</t>
  </si>
  <si>
    <t>০৯/০৪/২০০৪</t>
  </si>
  <si>
    <t>মোঃ মুরছালিন হোসেন</t>
  </si>
  <si>
    <t>মোঃ মামনুর রশিদ</t>
  </si>
  <si>
    <t>মাতাঃ মাজেদা খাতুন</t>
  </si>
  <si>
    <t>০১/০৬/২০০৪</t>
  </si>
  <si>
    <t>হাসান আলী</t>
  </si>
  <si>
    <t>মোছাঃ জোৎসনা খাতুন</t>
  </si>
  <si>
    <t>০২/০১/২০০৪</t>
  </si>
  <si>
    <t>মোঃ সোহানুর রহমান</t>
  </si>
  <si>
    <t>মোছাঃ সেলিনা আক্তার</t>
  </si>
  <si>
    <t>০১/০১/২০০৫</t>
  </si>
  <si>
    <t>মোঃ লিমন মির</t>
  </si>
  <si>
    <t>মাতাঃ মৃত মোছাঃ নিলুফা ইয়াসমিন</t>
  </si>
  <si>
    <t>২৫/০৪/২০০৪</t>
  </si>
  <si>
    <t>মোছাঃ শ্যমলী খাতুন</t>
  </si>
  <si>
    <t>৩০/০১/২০০৫</t>
  </si>
  <si>
    <t>তানভীর আহমেদ</t>
  </si>
  <si>
    <t>মোছাঃ লাবনী ইয়াসমিন</t>
  </si>
  <si>
    <t>৫৪৩, গাড়াদোব, গাংনী, মেহেরপুর</t>
  </si>
  <si>
    <t>মোঃ ছাক্কির হোছাইন</t>
  </si>
  <si>
    <t>১৯/১১/২০০৫</t>
  </si>
  <si>
    <t>তপু</t>
  </si>
  <si>
    <t>আক্তারুজ্জামান</t>
  </si>
  <si>
    <t>০৩/০৫/২০০৫</t>
  </si>
  <si>
    <t>মোঃ তুহিন আলী</t>
  </si>
  <si>
    <t>০১/০১/২০০৪</t>
  </si>
  <si>
    <t>০৮, গাড়াদোব, গাংনী, মেহেরপুর</t>
  </si>
  <si>
    <t>১৫/০৫/২০০৫</t>
  </si>
  <si>
    <t>জোনায়েদ সাকী</t>
  </si>
  <si>
    <t>মোছাঃ গোলাম ফারুক</t>
  </si>
  <si>
    <t>মোছাঃ জোনাকী</t>
  </si>
  <si>
    <t>৩০/০৯/২০০৫</t>
  </si>
  <si>
    <t>মোঃ সাদমান সাকিব</t>
  </si>
  <si>
    <t>মোছাঃ সরলা খাতুন</t>
  </si>
  <si>
    <t>১০/০৮/২০০৫</t>
  </si>
  <si>
    <t>মোঃ সিয়াম বাবু</t>
  </si>
  <si>
    <t>০৩/০৬/২০০৫</t>
  </si>
  <si>
    <t>মোঃ শেহজাদ নুরানী</t>
  </si>
  <si>
    <t>মোঃ শামসুজ্জামান</t>
  </si>
  <si>
    <t>০৫/০৮/২০০৫</t>
  </si>
  <si>
    <t>মোছাঃ সুরজিয়া খানম</t>
  </si>
  <si>
    <t>০১/০৮/২০০৫</t>
  </si>
  <si>
    <t>মোঃ ফাহিম হাসান নোমান</t>
  </si>
  <si>
    <t>৩০/১২/২০০৫</t>
  </si>
  <si>
    <t>মোঃ সবুজ</t>
  </si>
  <si>
    <t>০৭/০৫/২০০৫</t>
  </si>
  <si>
    <t>১৯/০৪/২০০৫</t>
  </si>
  <si>
    <t>মোঃ গফুর আলী</t>
  </si>
  <si>
    <t>১০/০৭/২০০৫</t>
  </si>
  <si>
    <t>মোঃ মেহেদি হাসান ইমরান</t>
  </si>
  <si>
    <t>১২/০৪/২০০৫</t>
  </si>
  <si>
    <t>মোঃ রাহুল</t>
  </si>
  <si>
    <t>১০/০৫/২০০৫</t>
  </si>
  <si>
    <t>মোঃ হাসান বসরি</t>
  </si>
  <si>
    <t>০২/১২/২০০৫</t>
  </si>
  <si>
    <t>মোছাঃ কুরসিয়া খাতুন</t>
  </si>
  <si>
    <t>১০/১০/২০০৫</t>
  </si>
  <si>
    <t>মোঃ নাইচ ইসলাম</t>
  </si>
  <si>
    <t>০২/০৩/২০০৫</t>
  </si>
  <si>
    <t>মোঃ মুনিম আহমেদ</t>
  </si>
  <si>
    <t>১৩/০৭/২০০৫</t>
  </si>
  <si>
    <t>মোঃ সাজ্জাদুল ইসলাম</t>
  </si>
  <si>
    <t>মোছাঃ বিলকিছ বানু</t>
  </si>
  <si>
    <t>০৪/০৫/২০০৫</t>
  </si>
  <si>
    <t>মোঃ মাহিম মাশরাফি রুমি</t>
  </si>
  <si>
    <t>২১/০৫/২০০৬</t>
  </si>
  <si>
    <t>মোঃ রিয়ন আলী</t>
  </si>
  <si>
    <t>১০/০৫/২০০৬</t>
  </si>
  <si>
    <t>মোঃ শুভ</t>
  </si>
  <si>
    <t>মাতাঃ মোছাঃ বানেছা খাতুন</t>
  </si>
  <si>
    <t>১২/০৮/২০০৬</t>
  </si>
  <si>
    <t>০৩/০৫/২০০৬</t>
  </si>
  <si>
    <t>মোঃ রাহুল হোসেন</t>
  </si>
  <si>
    <t>মোছাঃ রোজিনা খাতুন</t>
  </si>
  <si>
    <t>১০/০৫/২০০৪</t>
  </si>
  <si>
    <t>মোঃ আমিনুর</t>
  </si>
  <si>
    <t>মাতাঃ মোছাঃ আয়েশা বেগম</t>
  </si>
  <si>
    <t>০১/০৬/২০০৬</t>
  </si>
  <si>
    <t>ফাইমিন হাসান রিমন</t>
  </si>
  <si>
    <t>আমিদুল ইসলাম</t>
  </si>
  <si>
    <t>০৭/০৪/২০০৬</t>
  </si>
  <si>
    <t>মোঃ আসিব আলী</t>
  </si>
  <si>
    <t>মোছাঃ হোসনেয়ারা</t>
  </si>
  <si>
    <t>০২/০১/২০০৬</t>
  </si>
  <si>
    <t>নাহুল আনাম খান</t>
  </si>
  <si>
    <t>মোছাঃ শামী হাসান তুলি</t>
  </si>
  <si>
    <t>১৫/০৫/২০০৬</t>
  </si>
  <si>
    <t>মোঃ সুজন</t>
  </si>
  <si>
    <t>মোঃ মজিৰুল ইসলাম</t>
  </si>
  <si>
    <t>০১/১০/২০০৬</t>
  </si>
  <si>
    <t>মোঃ মারুফ শেখ</t>
  </si>
  <si>
    <t>২৮/০৩/২০০৬</t>
  </si>
  <si>
    <t>অপু</t>
  </si>
  <si>
    <t>মোঃ মুস্তাহিদ হাসান</t>
  </si>
  <si>
    <t>মোছাঃ মুক্তা খাতুন</t>
  </si>
  <si>
    <t>১৪/০১/২০০৬</t>
  </si>
  <si>
    <t>মোঃ আশিক মীর</t>
  </si>
  <si>
    <t>২৯/১২/২০০৬</t>
  </si>
  <si>
    <t>মোঃ রাকিব হোসেন</t>
  </si>
  <si>
    <t>০১/০৩/২০০৬</t>
  </si>
  <si>
    <t>মোঃ আঃ মোমিন</t>
  </si>
  <si>
    <t>মোছাঃ খুকু মনি</t>
  </si>
  <si>
    <t>২৫/১০/২০০৬</t>
  </si>
  <si>
    <t>মোঃ ওয়ালিদ হাসান</t>
  </si>
  <si>
    <t>মোছাঃ জুলেখা খাতুন</t>
  </si>
  <si>
    <t>০২/০২/২০০৬</t>
  </si>
  <si>
    <t>মোঃ তানজিম রহমান খান</t>
  </si>
  <si>
    <t>মাতাঃ তাঞ্জিনা পারভীন</t>
  </si>
  <si>
    <t>২৪/০১/২০০৬</t>
  </si>
  <si>
    <t>মোছাঃ নাসরিন খাতুন</t>
  </si>
  <si>
    <t>১৫/০১/২০০৬</t>
  </si>
  <si>
    <t>মোঃ তামিম হক</t>
  </si>
  <si>
    <t>মোছাঃ তাজমিনা খাতুন</t>
  </si>
  <si>
    <t>২৬/১১/২০০৬</t>
  </si>
  <si>
    <t>মোঃ মুস্তাফিজুর রহমান</t>
  </si>
  <si>
    <t>মাতাঃ ইসমোতারা</t>
  </si>
  <si>
    <t>১০/০৮/২০০৬</t>
  </si>
  <si>
    <t>মোঃ শিহাব আলী</t>
  </si>
  <si>
    <t>মোঃ সোহানুর ইসলাম সাইফ</t>
  </si>
  <si>
    <t>মোছাঃ শিউলী খাতুন</t>
  </si>
  <si>
    <t>০৫/০৬/২০০৬</t>
  </si>
  <si>
    <t>মোঃ আলিফ হোসেন</t>
  </si>
  <si>
    <t>০২/০৬/২০০৬</t>
  </si>
  <si>
    <t>এস এম সুলতানুল কবির</t>
  </si>
  <si>
    <t>মাতাঃ রাজিয়া সুলতানা</t>
  </si>
  <si>
    <t>০৬/০২/২০০৬</t>
  </si>
  <si>
    <t>মোঃ তানজিম হাসান</t>
  </si>
  <si>
    <t>১২/০৪/২০০৬</t>
  </si>
  <si>
    <t>০৩/১২/২০০৩</t>
  </si>
  <si>
    <t>মৃত দৌলত হোসেন</t>
  </si>
  <si>
    <t>মৃত মাকরিম খাতুন</t>
  </si>
  <si>
    <t>১৩/০৭/১৯৭৬</t>
  </si>
  <si>
    <t>১৩২১, গাড়াদোব, গাংনী, মেহেরপুর</t>
  </si>
  <si>
    <t>মোঃ নাইম হাসান</t>
  </si>
  <si>
    <t>মাতাঃ বিলকিস আরা</t>
  </si>
  <si>
    <t>৩১/১২/১৯৯৭</t>
  </si>
  <si>
    <t>১১৯১, গাড়াদোব, গাংনী, মেহেরপুর</t>
  </si>
  <si>
    <t>আসিফ আহমেদ</t>
  </si>
  <si>
    <t>মাতাঃ রেক্সোনা খাতুন</t>
  </si>
  <si>
    <t>বাঁশবাড়ীয়া পশ্চিমপাড়া, গাড়াদোব, গাংনী, মেহেরপুর</t>
  </si>
  <si>
    <t>আল শাহরিয়ার আসিফ</t>
  </si>
  <si>
    <t>১৫/০৭/২০০৩</t>
  </si>
  <si>
    <t>মোঃ মুরশালিন</t>
  </si>
  <si>
    <t>মোঃ আলাউদ্দিন মিয়া</t>
  </si>
  <si>
    <t>মোছাঃ মুরশীদা বেগম</t>
  </si>
  <si>
    <t>১২/১২/২০০০</t>
  </si>
  <si>
    <t>৭৪২, গাড়াদোব, গাংনী, মেহেরপুর</t>
  </si>
  <si>
    <t>শহিদুল</t>
  </si>
  <si>
    <t>মৃত দাউদ শেখ</t>
  </si>
  <si>
    <t>মৃত মরিয়ম নেছা</t>
  </si>
  <si>
    <t>০৭/০৫/১৯৮৩</t>
  </si>
  <si>
    <t>৮৯০, গাড়াদোব, গাংনী, মেহেরপুর</t>
  </si>
  <si>
    <t>০৫/০৫/২০০০</t>
  </si>
  <si>
    <t>৬২, গাড়াদোব, গাংনী, মেহেরপুর</t>
  </si>
  <si>
    <t>মোঃ মামুন আলী</t>
  </si>
  <si>
    <t>০৮/০২/২০০২</t>
  </si>
  <si>
    <t>মোঃ অনিক হোসেন</t>
  </si>
  <si>
    <t>৪৮, গাড়াদোব, গাংনী, মেহেরপুর</t>
  </si>
  <si>
    <t>মোঃ শাহীন আলী</t>
  </si>
  <si>
    <t>মৃত মোছাঃ শাহনাজ খাতুন</t>
  </si>
  <si>
    <t>মাতাঃ শিউলি খাতুন</t>
  </si>
  <si>
    <t>মোঃ জাকিরুল ইসলাম</t>
  </si>
  <si>
    <t>মোঃ বানাত আলী</t>
  </si>
  <si>
    <t>মোছাঃ শুকিলা খাতুন</t>
  </si>
  <si>
    <t>০৫/০৮/২০০০</t>
  </si>
  <si>
    <t>মোঃ রাসেল মিয়া</t>
  </si>
  <si>
    <t>০৩/০১/১৯৯৯</t>
  </si>
  <si>
    <t>মোঃ জাবেদ আলী</t>
  </si>
  <si>
    <t>মাতাঃ রাবেয়া খাতুন</t>
  </si>
  <si>
    <t>মোঃ খাকছার আলী</t>
  </si>
  <si>
    <t>১৫/০২/১৯৯৫</t>
  </si>
  <si>
    <t>২৯৩, গাড়াদোব, গাংনী, মেহেরপুর</t>
  </si>
  <si>
    <t>মোছাঃ সতু বেগম</t>
  </si>
  <si>
    <t>মোঃ আব্দুল্লাহ আল আশিক</t>
  </si>
  <si>
    <t>২৫/০৮/২০০৪</t>
  </si>
  <si>
    <t>মোঃ হুমায়ন ইসলাম</t>
  </si>
  <si>
    <t>১৮/০৩/১৯৯৫</t>
  </si>
  <si>
    <t>মোঃ হৃদয় হোসেন</t>
  </si>
  <si>
    <t>১৫/০৮/২০০১</t>
  </si>
  <si>
    <t>মোঃ ছামাম আলী</t>
  </si>
  <si>
    <t>মোঃ শাহজাহান খন্দকার</t>
  </si>
  <si>
    <t>মাতাঃ শান্তি খাতুন</t>
  </si>
  <si>
    <t>মোঃ সোহাগ হোসেন</t>
  </si>
  <si>
    <t>মোঃ শাহজান কবীর</t>
  </si>
  <si>
    <t>মাতাঃ মাকছুরা খাতুন</t>
  </si>
  <si>
    <t>২৩/১২/২০০০</t>
  </si>
  <si>
    <t>মোঃ রুবেল আলী</t>
  </si>
  <si>
    <t>১৫/০৬/২০০৩</t>
  </si>
  <si>
    <t>মোঃ বজলুল হুদা</t>
  </si>
  <si>
    <t>মোছাঃ সেলিনা আক্তার বানু</t>
  </si>
  <si>
    <t>৩১/১২/২০০২</t>
  </si>
  <si>
    <t>০৬/০৩/২০০১</t>
  </si>
  <si>
    <t>মোঃ হাবিবুর রহমান মহাদেস</t>
  </si>
  <si>
    <t>১০/০২/২০০২</t>
  </si>
  <si>
    <t>মাতাঃ জোসনা খাতুন</t>
  </si>
  <si>
    <t>৭২৫, গাড়াদোব, গাংনী, মেহেরপুর</t>
  </si>
  <si>
    <t>০৪/০৩/২০০৩</t>
  </si>
  <si>
    <t>মোঃ আলহাজ্ব</t>
  </si>
  <si>
    <t>২২/০১/২০০৩</t>
  </si>
  <si>
    <t>মোঃ ফিরোজ</t>
  </si>
  <si>
    <t>মোঃ মশিউর</t>
  </si>
  <si>
    <t>২০/০৩/২০০০</t>
  </si>
  <si>
    <t>খোকন</t>
  </si>
  <si>
    <t>মাতাঃ মাবিয়া খাতুন</t>
  </si>
  <si>
    <t>১৫/০২/১৯৮৯</t>
  </si>
  <si>
    <t>মোঃ শামিমুল হাবিব শামিম</t>
  </si>
  <si>
    <t>মাতাঃ সামসুন নাহার</t>
  </si>
  <si>
    <t>২৭/০৯/২০০৬</t>
  </si>
  <si>
    <t>মোঃ রনি আলী</t>
  </si>
  <si>
    <t>মোছাঃ খায়রুন নেছা</t>
  </si>
  <si>
    <t>২০/০১/২০০৪</t>
  </si>
  <si>
    <t>মাতাঃ লাইলী খাতুন</t>
  </si>
  <si>
    <t>১৫/০৭/২০০৪</t>
  </si>
  <si>
    <t>মাতাঃ সুমিতা খাতুন</t>
  </si>
  <si>
    <t>মোঃ সাঈদ</t>
  </si>
  <si>
    <t>মোঃ ছাদিকুল ইসলাম</t>
  </si>
  <si>
    <t>মাতাঃ ফিরোজা খাতুন</t>
  </si>
  <si>
    <t>২০/০৪/২০০৪</t>
  </si>
  <si>
    <t>মাতাঃ আছিয়া খাতুন</t>
  </si>
  <si>
    <t>২৮/০১/২০০৪</t>
  </si>
  <si>
    <t>১২/০৭/২০০৪</t>
  </si>
  <si>
    <t>মোঃ আবির খাঁ</t>
  </si>
  <si>
    <t>০১/০৪/২০০৫</t>
  </si>
  <si>
    <t>ফরহাদ আলম</t>
  </si>
  <si>
    <t>মোছাঃ তিব্বত আরা খাতুন</t>
  </si>
  <si>
    <t>২৫/০৮/২০০৫</t>
  </si>
  <si>
    <t>মোঃ অনিক মিয়া</t>
  </si>
  <si>
    <t>২৩/০৯/২০০৫</t>
  </si>
  <si>
    <t>০৭/১০/২০০৫</t>
  </si>
  <si>
    <t>০৮/০১/২০০৬</t>
  </si>
  <si>
    <t>মোঃ আসিব মাহমুদ</t>
  </si>
  <si>
    <t>মাতাঃ ইসরাফন খাতুন</t>
  </si>
  <si>
    <t>১১/০৭/২০০৬</t>
  </si>
  <si>
    <t>রাশিদুল রহিদুল</t>
  </si>
  <si>
    <t>রহিদুল</t>
  </si>
  <si>
    <t>মাতাঃ আনার কলি</t>
  </si>
  <si>
    <t>মাতাঃ মছলিমা খাতুন</t>
  </si>
  <si>
    <t>১০/০২/২০০৩</t>
  </si>
  <si>
    <t>মোঃ তুহিন রেজা</t>
  </si>
  <si>
    <t>২৪/০৬/২০০০</t>
  </si>
  <si>
    <t>মোঃ আবু মুসা অভি</t>
  </si>
  <si>
    <t>০৪/০১/২০০৩</t>
  </si>
  <si>
    <t>গাড়াডোব</t>
  </si>
  <si>
    <t>পারভীনা খাতুন</t>
  </si>
  <si>
    <t>০৫/০৭/২০০০</t>
  </si>
  <si>
    <t>মোঃ রাজা</t>
  </si>
  <si>
    <t>মোছাঃ ঝরনা খাতুন</t>
  </si>
  <si>
    <t>২০/১০/১৯৯৯</t>
  </si>
  <si>
    <t>মোঃ আজিজুল ছালাম</t>
  </si>
  <si>
    <t>১৯/০৯/১৯৯৮</t>
  </si>
  <si>
    <t>মোঃ সোলাইমান হোসেন</t>
  </si>
  <si>
    <t>মোঃ আজিজুল মন্ডল</t>
  </si>
  <si>
    <t>০২/০২/২০০০</t>
  </si>
  <si>
    <t>১৫/০৯/২০০৩</t>
  </si>
  <si>
    <t>মোঃ হুসাইন আলী</t>
  </si>
  <si>
    <t>৩১/১২/২০০৩</t>
  </si>
  <si>
    <t>মোছাঃ লিলুফা খাতুন</t>
  </si>
  <si>
    <t>১৪/০১/২০০৩</t>
  </si>
  <si>
    <t>মোঃ তারেক রহমান</t>
  </si>
  <si>
    <t>মোঃ মুন্টু আলী</t>
  </si>
  <si>
    <t>১১/০৪/২০০০</t>
  </si>
  <si>
    <t>০১/০৩/২০০২</t>
  </si>
  <si>
    <t>মোঃ মনছুর আলী</t>
  </si>
  <si>
    <t>২৬/১০/১৯৭৭</t>
  </si>
  <si>
    <t>মোঃ সোহাগ হাসান</t>
  </si>
  <si>
    <t>পিতা: মনোয়ার</t>
  </si>
  <si>
    <t>০৫/০৫/২০০১</t>
  </si>
  <si>
    <t>মনোয়ার</t>
  </si>
  <si>
    <t>ইউসুফ আলী মালিথা</t>
  </si>
  <si>
    <t>হানফা খাতুন</t>
  </si>
  <si>
    <t>মোহাঃ সিদ্দিকুর রহমান</t>
  </si>
  <si>
    <t>মৃত মোছাঃ তহমিনা খাতুন</t>
  </si>
  <si>
    <t>০৫/০৫/২০০৩</t>
  </si>
  <si>
    <t>মোঃ সেলিম আলী</t>
  </si>
  <si>
    <t>১০/০৬/২০০৪</t>
  </si>
  <si>
    <t>মোঃ লাবিব হুসাইন</t>
  </si>
  <si>
    <t>মোছাঃ খাদিজা খাতুন</t>
  </si>
  <si>
    <t>০৫/০৬/২০০৪</t>
  </si>
  <si>
    <t>বাঁশবাড়িয়া</t>
  </si>
  <si>
    <t>আনোয়ারুল ইসলাম</t>
  </si>
  <si>
    <t>লোকমান হোসেন</t>
  </si>
  <si>
    <t>মোঃ আনিচুল ইসলাম প্রতীক</t>
  </si>
  <si>
    <t>মোছাঃ সুফিয়া আল মামুন</t>
  </si>
  <si>
    <t>১২/০৫/২০০২</t>
  </si>
  <si>
    <t>মোছাঃ ঝর্ণা খাতুন</t>
  </si>
  <si>
    <t>মোঃ মাহফুজ হোসেন</t>
  </si>
  <si>
    <t>০৫/০৭/২০০৪</t>
  </si>
  <si>
    <t>মোসাঃ মোর্শেদা খাতুন</t>
  </si>
  <si>
    <t>২০/১২/১৯৮৯</t>
  </si>
  <si>
    <t>সাখাওয়াত হোসেন</t>
  </si>
  <si>
    <t>মীর আসাদুজ্জামান</t>
  </si>
  <si>
    <t>নাসিমা জামান</t>
  </si>
  <si>
    <t>১৫/১২/১৯৯২</t>
  </si>
  <si>
    <t>আবু বক্কর সিদ্দীক</t>
  </si>
  <si>
    <t>মোছাঃ রোজেদা বেগম</t>
  </si>
  <si>
    <t>২৮/১২/১৯৯২</t>
  </si>
  <si>
    <t>মোঃ শাহিন ইউসুফ</t>
  </si>
  <si>
    <t>০৩/০৭/১৯৯২</t>
  </si>
  <si>
    <t>মোছাঃ রোয়াজান খাতুন</t>
  </si>
  <si>
    <t>০৮/০৬/১৯৬৮</t>
  </si>
  <si>
    <t>মোঃ শামীম হোসেন</t>
  </si>
  <si>
    <t>০১/০২/২০০৬</t>
  </si>
  <si>
    <t>মোছাঃ সাজেদা বেগম</t>
  </si>
  <si>
    <t>মোঃ অনিক আহমোদ</t>
  </si>
  <si>
    <t>০৪/০৩/২০০৪</t>
  </si>
  <si>
    <t>২২/০১/২০০২</t>
  </si>
  <si>
    <t>মোঃ ফাহিম ফয়সাল</t>
  </si>
  <si>
    <t>মোঃ সেন্টু মিয়া</t>
  </si>
  <si>
    <t>১০/০৯/২০০৫</t>
  </si>
  <si>
    <t>মোঃ আহাম্মাদ আলী</t>
  </si>
  <si>
    <t>মোছাঃ ভানু খাতুন</t>
  </si>
  <si>
    <t>০৩/০৩/২০০৪</t>
  </si>
  <si>
    <t>ইয়ারুল ইসলাম</t>
  </si>
  <si>
    <t>০১/০৫/১৯৮৩</t>
  </si>
  <si>
    <t>মোহাঃ মাহফিজুর রহমান</t>
  </si>
  <si>
    <t>মোহাঃ আঃ হান্নান</t>
  </si>
  <si>
    <t>০৬/০৮/১৯৮২</t>
  </si>
  <si>
    <t>মোছাঃ বিউটি খাতুন</t>
  </si>
  <si>
    <t>২৭/০৩/২০০৪</t>
  </si>
  <si>
    <t>০৪/০২/২০০৪</t>
  </si>
  <si>
    <t>মোঃ বাধন</t>
  </si>
  <si>
    <t>মোছাঃ আল্পনা খাতুন</t>
  </si>
  <si>
    <t>১৫/১২/২০০৫</t>
  </si>
  <si>
    <t>মোঃ আসাদুজ্জামান ফারুক</t>
  </si>
  <si>
    <t>মৃত দিরাজ উদ্দীন</t>
  </si>
  <si>
    <t>০৩/১০/১৯৯৪</t>
  </si>
  <si>
    <t>মোঃ আকতারুল</t>
  </si>
  <si>
    <t>২৬/০২/২০০৪</t>
  </si>
  <si>
    <t>মোঃ বারশেদ শেখ</t>
  </si>
  <si>
    <t>১০/০৪/২০০৪</t>
  </si>
  <si>
    <t>মোঃ আবু জাহিদ</t>
  </si>
  <si>
    <t>মারুফ হোসেন</t>
  </si>
  <si>
    <t>ফিরোজ কবির</t>
  </si>
  <si>
    <t>আয়েশা সিদ্দিকা</t>
  </si>
  <si>
    <t>২০/১১/২০০৫</t>
  </si>
  <si>
    <t>মোঃ মাজারুল ইসলাম</t>
  </si>
  <si>
    <t>মোঃ হিফজ উদ্দীন</t>
  </si>
  <si>
    <t>বাঁশবাড়ীয়া পশ্চিমপাড়া</t>
  </si>
  <si>
    <t>মোছাঃ ববি</t>
  </si>
  <si>
    <t>১২/০৩/২০০৩</t>
  </si>
  <si>
    <t>মোঃ আকাশ মিয়া</t>
  </si>
  <si>
    <t>মোছাঃ মেরিণা খাতুন</t>
  </si>
  <si>
    <t>০৫/০৫/২০০৫</t>
  </si>
  <si>
    <t>মোছাঃ শরিদা খাতুন</t>
  </si>
  <si>
    <t>মোঃ তুহিন মিয়া</t>
  </si>
  <si>
    <t>০৪/১১/২০০৫</t>
  </si>
  <si>
    <t>মোঃ শাহরিয়ার হোসেন স্বাধীন</t>
  </si>
  <si>
    <t>মোঃ তুহিন</t>
  </si>
  <si>
    <t>মোছাঃ নবিরন নেছা</t>
  </si>
  <si>
    <t>০৩/০৩/২০০০</t>
  </si>
  <si>
    <t>গাড়াডোব পুকুরপাড়া (৫৯৮)</t>
  </si>
  <si>
    <t>মোঃ মুঈজ আহমেদ</t>
  </si>
  <si>
    <t>০৬/১১/২০০৪</t>
  </si>
  <si>
    <t>গাঁড়াডোব</t>
  </si>
  <si>
    <t>মোঃ আমিন মন্ডল</t>
  </si>
  <si>
    <t>সাফিয়া খাতুন</t>
  </si>
  <si>
    <t>২৮/১০/১৯৮৭</t>
  </si>
  <si>
    <t>মোহাঃ মাসুদ হাসান রুমি</t>
  </si>
  <si>
    <t>মোঃ মিনাজ উদ্দীন</t>
  </si>
  <si>
    <t>১২/১২/১৯৯৯</t>
  </si>
  <si>
    <t>মোঃ মহিন আলী</t>
  </si>
  <si>
    <t>১৫/০২/২০০৫</t>
  </si>
  <si>
    <t>১০/০২/২০০৪</t>
  </si>
  <si>
    <t>মোঃ ইমন হাসান</t>
  </si>
  <si>
    <t>মোছাঃ গুলশানারা খাতুন</t>
  </si>
  <si>
    <t>১০/০৭/২০০৬</t>
  </si>
  <si>
    <t>মোঃ আকাশ হোসেন</t>
  </si>
  <si>
    <t>১২/১২/২০০৬</t>
  </si>
  <si>
    <t>মোঃ রাফিদ হাসান</t>
  </si>
  <si>
    <t>মোঃ শাহাবুল ইসলাম সাবলু</t>
  </si>
  <si>
    <t>০৫/০৫/২০০৬</t>
  </si>
  <si>
    <t>মোঃ আল শাহারিয়া</t>
  </si>
  <si>
    <t>০৫/০৪/২০০১</t>
  </si>
  <si>
    <t>মোঃ আলিক মিঠুন</t>
  </si>
  <si>
    <t>মোঃ তহিরুল ইসলাম</t>
  </si>
  <si>
    <t>২৫/০৩/২০০০</t>
  </si>
  <si>
    <t>মোঃ আলতাফ হোসেন</t>
  </si>
  <si>
    <t>০৩/০৬/১৯৮৭</t>
  </si>
  <si>
    <t>মোঃ জিহাদ আলী</t>
  </si>
  <si>
    <t>মোঃ মানিক মিয়া</t>
  </si>
  <si>
    <t>০৪/০৭/২০০৬</t>
  </si>
  <si>
    <t>মোছাঃ ফাতিমা খাতুন</t>
  </si>
  <si>
    <t>০৪/০৩/২০০৫</t>
  </si>
  <si>
    <t>মোঃ বিজন আলী</t>
  </si>
  <si>
    <t>০৮/০৪/২০০৬</t>
  </si>
  <si>
    <t>মোছাঃ চম্পা খাতুন</t>
  </si>
  <si>
    <t>২০/০৮/২০০৬</t>
  </si>
  <si>
    <t>মোঃ মোস্তাফিজুর রহমান</t>
  </si>
  <si>
    <t>মোছাঃ মিরা খাতুন</t>
  </si>
  <si>
    <t>০৩/১১/২০০৬</t>
  </si>
  <si>
    <t>মোঃ লিজন হোসেন</t>
  </si>
  <si>
    <t>মোছাঃ লাবনী খাতুন</t>
  </si>
  <si>
    <t>মোছাঃ হিরা মুক্তা</t>
  </si>
  <si>
    <t>০৩/০৯/২০০৫</t>
  </si>
  <si>
    <t>মোছাঃ নাছরিন খাতুন</t>
  </si>
  <si>
    <t>মোছাঃ দেলোয়ারা</t>
  </si>
  <si>
    <t>০১/১১/২০০৫</t>
  </si>
  <si>
    <t>মোঃ মিল্টন হোসেন</t>
  </si>
  <si>
    <t>০১/০৭/২০০৬</t>
  </si>
  <si>
    <t>মোছাঃ আর্পিনা খাতুন</t>
  </si>
  <si>
    <t>১৫/০৯/২০০৬</t>
  </si>
  <si>
    <t>মোছাঃ সিরিনা খাতুন</t>
  </si>
  <si>
    <t>২২/১২/২০০৫</t>
  </si>
  <si>
    <t>মোছাঃ জালিমুন নেছা</t>
  </si>
  <si>
    <t>০৮/০৭/২০০৬</t>
  </si>
  <si>
    <t>মোঃ বেলাল হোসেন</t>
  </si>
  <si>
    <t>১০/১০/২০০৬</t>
  </si>
  <si>
    <t>মোঃ জুম্মা হোসেন নুর</t>
  </si>
  <si>
    <t>মোঃ আলমাহু হোসেন</t>
  </si>
  <si>
    <t>মোছাঃ রুনা খাতুন</t>
  </si>
  <si>
    <t>২৫/০২/২০০৪</t>
  </si>
  <si>
    <t>মোঃ রাব্বি হাসান</t>
  </si>
  <si>
    <t>মোছাঃ চিন্তা খাতুন</t>
  </si>
  <si>
    <t>০৫/০৮/২০০২</t>
  </si>
  <si>
    <t>১০/১১/২০০৬</t>
  </si>
  <si>
    <t>মোঃ শাহারুল</t>
  </si>
  <si>
    <t>০১/০৩/২০০৫</t>
  </si>
  <si>
    <t>আহসান হাবীব তুষার</t>
  </si>
  <si>
    <t>মোছাঃ সাবরিন সুলতানা</t>
  </si>
  <si>
    <t>১৯/০৮/২০০৬</t>
  </si>
  <si>
    <t>মোঃ আতিক হাসান</t>
  </si>
  <si>
    <t>মোঃ সাকিবুল হোসেন</t>
  </si>
  <si>
    <t>মোছাঃ ছালমা খাতুন</t>
  </si>
  <si>
    <t>১৫/০২/২০০৩</t>
  </si>
  <si>
    <t>০১/০৯/২০০৫</t>
  </si>
  <si>
    <t>মোঃ আমিরুল</t>
  </si>
  <si>
    <t>০৩/০৬/২০০১</t>
  </si>
  <si>
    <t>মোঃ পাপ্পু আলী</t>
  </si>
  <si>
    <t>০১/১২/২০০১</t>
  </si>
  <si>
    <t>মোঃ রাজন মিয়া</t>
  </si>
  <si>
    <t>মোছাঃ সীমা খাতুন</t>
  </si>
  <si>
    <t>মোঃ টুটুল</t>
  </si>
  <si>
    <t>২৮/১২/২০০৪</t>
  </si>
  <si>
    <t>মোঃ সম্রাট আলী</t>
  </si>
  <si>
    <t>মোঃ জাকের আলী</t>
  </si>
  <si>
    <t>০৩/০৪/২০০৬</t>
  </si>
  <si>
    <t>মোঃ ইমন সাঈদী</t>
  </si>
  <si>
    <t>০৯/০৪/২০০২</t>
  </si>
  <si>
    <t>মোছাঃ বেলি খাতুন</t>
  </si>
  <si>
    <t>১২/০৯/১৯৯৭</t>
  </si>
  <si>
    <t>১৫/০৬/১৯৭০</t>
  </si>
  <si>
    <t>মোঃ ইয়াছিন</t>
  </si>
  <si>
    <t>১৫/১২/২০০৬</t>
  </si>
  <si>
    <t>মোঃ শিমুল আলী</t>
  </si>
  <si>
    <t>০৬/০৮/২০০৬</t>
  </si>
  <si>
    <t>মোঃ রকি আহাম্মেদ</t>
  </si>
  <si>
    <t>০-</t>
  </si>
  <si>
    <t>মোহাঃ ইউসুফ আলী</t>
  </si>
  <si>
    <t>১৫/০৯/১৯৯৮</t>
  </si>
  <si>
    <t>এস এম সাব্বির উল হক</t>
  </si>
  <si>
    <t>২৩/০৫/২০০৫</t>
  </si>
  <si>
    <t>০৩/০৪/১৯৮১</t>
  </si>
  <si>
    <t>সাদ্দাম হোসেন</t>
  </si>
  <si>
    <t>আসুরা খাতুন</t>
  </si>
  <si>
    <t>১৯/০৭/১৯৮৯</t>
  </si>
  <si>
    <t>মোঃ সুরমান আলী</t>
  </si>
  <si>
    <t>মোছাঃ আশুরা বেগম</t>
  </si>
  <si>
    <t>১০/০৬/১৯৮৫</t>
  </si>
  <si>
    <t>আছদুল মন্ডল</t>
  </si>
  <si>
    <t>মোছাঃ ছাইরা খাতুন</t>
  </si>
  <si>
    <t>০৬/১০/১৯৫৯</t>
  </si>
  <si>
    <t>মোঃ রহমত আলী</t>
  </si>
  <si>
    <t>১০/০৯/১৯৮৫</t>
  </si>
  <si>
    <t>মোঃ মিঠোন আলী</t>
  </si>
  <si>
    <t>অকিমদ্দিন শাহ</t>
  </si>
  <si>
    <t>মোঃ মেহেদী আল মামুন</t>
  </si>
  <si>
    <t>মোছাঃ মেহেরুন নেছা</t>
  </si>
  <si>
    <t>১৫/০৫/১৯৮৮</t>
  </si>
  <si>
    <t>মোঃ লাল মিয়া</t>
  </si>
  <si>
    <t>মোছাঃ পরিছন নেছা</t>
  </si>
  <si>
    <t>১৫/০১/২০০৭</t>
  </si>
  <si>
    <t>মোঃ সিয়ামুর রহমান</t>
  </si>
  <si>
    <t>মুঃ আব্দুল্লাহ আল মামুন</t>
  </si>
  <si>
    <t>মোছাঃ সুমি খাতুন</t>
  </si>
  <si>
    <t>৩০/০৯/২০০৭</t>
  </si>
  <si>
    <t>মোছাঃ আঙ্গুরা বেগম</t>
  </si>
  <si>
    <t>০২/১০/২০০৭</t>
  </si>
  <si>
    <t>মোঃ ইয়াকিম হোসেন</t>
  </si>
  <si>
    <t>মোছাঃ সাবানা খাতুন</t>
  </si>
  <si>
    <t>০৯/০৪/২০০৭</t>
  </si>
  <si>
    <t>মোঃ আবু মুয়াজ</t>
  </si>
  <si>
    <t>৩১/০৭/২০০৭</t>
  </si>
  <si>
    <t>মোঃ মুরছাল্লিন</t>
  </si>
  <si>
    <t>০৯/০৯/২০০৭</t>
  </si>
  <si>
    <t>মোঃ মোস্তাফিজুর রহমান মেজবাহ</t>
  </si>
  <si>
    <t>মোছাঃ মিতা খাতুন</t>
  </si>
  <si>
    <t>১৩/০৫/২০০৭</t>
  </si>
  <si>
    <t>মোঃ রাজন আলী</t>
  </si>
  <si>
    <t>মোঃ রেজাউল</t>
  </si>
  <si>
    <t>মোছাঃ রেকছোনা</t>
  </si>
  <si>
    <t>০৫/০৬/২০০৭</t>
  </si>
  <si>
    <t>মোঃ মোস্তাকিন আহমেদ</t>
  </si>
  <si>
    <t>মোঃ মোবারক</t>
  </si>
  <si>
    <t>মোছাঃ হাদিসন খাতুন</t>
  </si>
  <si>
    <t>০১/০৯/২০০৭</t>
  </si>
  <si>
    <t>মোঃ সুলাইমান আলী</t>
  </si>
  <si>
    <t>১৫/০৮/২০০৭</t>
  </si>
  <si>
    <t>মোছাঃ সুর্জিনা খাতুন</t>
  </si>
  <si>
    <t>১৫/০৪/২০০৭</t>
  </si>
  <si>
    <t>মোঃ আবুল হাসনাথ</t>
  </si>
  <si>
    <t>মোঃ এলান মজনু</t>
  </si>
  <si>
    <t>০১/০২/২০০৭</t>
  </si>
  <si>
    <t>মোছাঃ জনিয়ারা</t>
  </si>
  <si>
    <t>১৭/১০/২০০৭</t>
  </si>
  <si>
    <t>মোঃ হাবিবুর রহমান তাছিব</t>
  </si>
  <si>
    <t>মোছাঃ তাহেরা বেগম</t>
  </si>
  <si>
    <t>১১/০৫/২০০৭</t>
  </si>
  <si>
    <t>মোঃ সাদিম শাহরিয়ার</t>
  </si>
  <si>
    <t>মোছাঃ শাহানা বেগম</t>
  </si>
  <si>
    <t>৩১/১০/২০০৭</t>
  </si>
  <si>
    <t>মোছাঃ মার্জিয়া খাতুন</t>
  </si>
  <si>
    <t>০১/১০/২০০৭</t>
  </si>
  <si>
    <t>মোঃ শিশির আলী</t>
  </si>
  <si>
    <t>২০/০৮/২০০৭</t>
  </si>
  <si>
    <t>মোঃ নাঈম হোসেন</t>
  </si>
  <si>
    <t>মোঃ আজিম উদ্দিন</t>
  </si>
  <si>
    <t>মোছাঃ নজেরা খাতুন</t>
  </si>
  <si>
    <t>০৫/০৭/২০০৭</t>
  </si>
  <si>
    <t>মোঃ সাকিব হোসেন</t>
  </si>
  <si>
    <t>০৪/০১/২০০৭</t>
  </si>
  <si>
    <t>মোঃ মুস্তাক আহম্মেদ শাওন</t>
  </si>
  <si>
    <t>মোঃ সুকুর আলী</t>
  </si>
  <si>
    <t>০৩/০১/২০০৭</t>
  </si>
  <si>
    <t>মোঃ নাসিরুল ইসলাম</t>
  </si>
  <si>
    <t>মোছাঃ নাসরিন সুলতানা</t>
  </si>
  <si>
    <t>০৩/০৪/২০০৭</t>
  </si>
  <si>
    <t>মোঃ শাকিল হোসেন</t>
  </si>
  <si>
    <t>২০/০৩/২০০৭</t>
  </si>
  <si>
    <t>০৩/০৮/২০০৭</t>
  </si>
  <si>
    <t>মোঃ ছায়িফ রেজা</t>
  </si>
  <si>
    <t>মোছাঃ আদুরী খাতুন</t>
  </si>
  <si>
    <t>২৯/০৪/২০০৭</t>
  </si>
  <si>
    <t>মোঃ মাহীন আলী</t>
  </si>
  <si>
    <t>মোছাঃ মেঘনা খাতুন</t>
  </si>
  <si>
    <t>২৩/০৮/২০০৭</t>
  </si>
  <si>
    <t>০৭/০৮/২০০৭</t>
  </si>
  <si>
    <t>মোঃ ছাবিদিন ইসলাম</t>
  </si>
  <si>
    <t>মোছাঃ ফুলছুরা খাতুন</t>
  </si>
  <si>
    <t>মোঃ সাকিবুল হাসান</t>
  </si>
  <si>
    <t>মোছাঃ সাবিনা খাতুন</t>
  </si>
  <si>
    <t>১৮/০৭/২০০৭</t>
  </si>
  <si>
    <t>আবির ইসলাম</t>
  </si>
  <si>
    <t>০৩/০৩/২০০৩</t>
  </si>
  <si>
    <t>রকিব</t>
  </si>
  <si>
    <t>আবুল কালাম</t>
  </si>
  <si>
    <t>রোকেয়া</t>
  </si>
  <si>
    <t>০৫/০২/১৯৮২</t>
  </si>
  <si>
    <t>রাফিদ আল হাসান</t>
  </si>
  <si>
    <t>মোছাঃ শারমিন আক্তার রিমা</t>
  </si>
  <si>
    <t>১৫/০৬/২০০৫</t>
  </si>
  <si>
    <t>ক্রমিক নং,নাম,ভোটার নং,পিতা,মাতা,জন্ম তারিখ,পেশা,ঠিকানা</t>
  </si>
  <si>
    <t>০৭৭২,মোঃ আব্দুস সামাদ,৫৭০০৩৮৩৫৪৯৫০,আব্দুল গফুর,মোছাঃ খোসজান,২০/০৯/১৯৫০,দিনমজুর,"গাড়াডোব, গাংনী, মেহেরপুর"</t>
  </si>
  <si>
    <t>০৭৭৩,মোঃ শরিফুল ইসলাম,৫৭০০৩৮৩৫৪৯৫২,মোঃ আঃ সামাদ,মোছাঃ মানুয়ারা খাতুন,০১/০৭/১৯৮০,দিনমজুর,"গাড়াডোব, গাংনী, মেহেরপুর"</t>
  </si>
  <si>
    <t>০৭৭৪,মোঃ আবুল কালাম আজাদ,৫৭০০৩৮৩৫৪৯৫৪,আব্দুল গফুর,মোছাঃ খোসজান নেছা,১৩/১২/১৯৬০,কৃষক,"গাড়াডোব, গাংনী, মেহেরপুর"</t>
  </si>
  <si>
    <t>০৭৭৫,মোঃ ওয়ারেছ আলী,৫৭০০৩৮৩৫৪৯৫৬,আব্দুল গফুর,মোছাঃ খোসজান,১০/০৫/১৯৬৭,কৃষক,"গাড়াডোব, গাংনী, মেহেরপুর"</t>
  </si>
  <si>
    <t>০৭৭৬,মোঃ নবীর আলী,৫৭০০৩৮৩৫৪৯৫৮,গরীব আলী,মোছাঃ খুকি নেছা,১২/১০/১৯৬৫,দিনমজুর,"গাড়াডোব, গাংনী, মেহেরপুর"</t>
  </si>
  <si>
    <t>০৭৭৭,মোঃ সামসুল ইসলাম,৫৭০০৩৮৩৫৪৯৬৫,ছাবের আলী,মোছাঃ আজিমণ নেছা,০৫/১১/১৯৬৭,দিনমজুর,"গাড়াডোব, গাংনী, মেহেরপুর"</t>
  </si>
  <si>
    <t>০৭৭৮,মোঃ আব্দুল মতিন,৫৭০০৩৮৩৫৪৯৬৭,ইব্রাহিম মোল্লা,মোছাঃ গেদু নেছা,২১/১০/১৯৬৪,শ্রমিক,"গাড়াডোব, গাংনী, মেহেরপুর"</t>
  </si>
  <si>
    <t>০৭৭৯,মোঃ ইব্রাহিম হোসেন,৫৭০০৩৮৩৫৪৯৭০,জুলমাত মন্ডল,মোছাঃ পেয়রা নেছা,১২/১০/১৯৪৮,কৃষক,"গাড়াডোব, গাংনী, মেহেরপুর"</t>
  </si>
  <si>
    <t>০৭৮০,মোঃ সোহেল রানা,৫৭০০৩৮৩৫৪৯৭১,মোঃ মজির আলী,মোছাঃ আমেনা খাতুন,০৪/০৬/১৯৮৮,দিনমজুর,"গাড়াডোব, গাংনী, মেহেরপুর"</t>
  </si>
  <si>
    <t>০৭৮১,মোঃ আঃ হান্নান,৫৭০০৩৮৩৫৫০১২,আতর আলী,মোছাঃ জামেনা খাতুন,২৪/০৮/১৯৮৮,কৃষক,"গাড়াডোব, গাংনী, মেহেরপুর"</t>
  </si>
  <si>
    <t>০৭৮২,মোঃ শহিদুল ইসলাম,৫৭০০৩৮৩৫৫০১৫,মোঃ আশরাফ আলী,মোছাঃ সুফিয়া বেগম,১০/০৬/১৯৮২,বেসরকারী চাকুরী,"গাড়াডোব, গাংনী, মেহেরপুর"</t>
  </si>
  <si>
    <t>০৭৮৩,মোঃ সাইফুল ইসলাম,৫৭০০৩৮৩৫৫০১৭,নুরউদ্দীন মোঃ আশরাফ আলী,মোছাঃ সুফিয়া খাতুন,৩০/১১/১৯৭৭,ব্যবসা,"গাড়াডোব, গাংনী, মেহেরপুর"</t>
  </si>
  <si>
    <t>০৭৮৪,মোঃ আঃ কুদ্দুস,৫৭০০৩৮৩৫৫০২৫,আব্দুল আলীমুদ্দীন,মোছাঃ হালিমা খাতুন,১৯/০৯/১৯৫৭,ব্যবসা,"গাড়াডোব, গাংনী, মেহেরপুর"</t>
  </si>
  <si>
    <t>০৭৮৫,মোছাঃ ফনিরুল ইসলাম,৫৭০০৩৮৩৫৫০২৮,আব্দুল আলীমুদ্দীন,মোছাঃ হালিমা খাতুন,১৭/০৬/১৯৭২,কৃষক,"গাড়াডোব, গাংনী, মেহেরপুর"</t>
  </si>
  <si>
    <t>০৭৮৬,মোঃ ময়নুদ্দীন আহমেদ,৫৭০০৩৮৩৫৫০৩০,মোঃ আঃ কুদ্দুস,মোছাঃ মনোয়ারা খাতুন,২৫/০১/১৯৮৮,ব্যবসা,"গাড়াডোব, গাংনী, মেহেরপুর"</t>
  </si>
  <si>
    <t>০৭৮৭,মোঃ তহিদুল ইসলাম,৫৭০০৩৮৩৫৫০৩৫,লুৎফর রহমান,মোছাঃ মলেজান,২২/১২/১৯৫৯,কৃষক,"গাড়াডোব, গাংনী, মেহেরপুর"</t>
  </si>
  <si>
    <t>০৭৮৮,মোঃ আশরাফুল ইসলাম,৫৭০০৩৮৩৫৫০৪০,দিদার বকস,মোছাঃ জুলেখা,২১/১১/১৯৭১,ব্যবসা,"গাড়াডোব, গাংনী, মেহেরপুর"</t>
  </si>
  <si>
    <t>০৭৮৯,মোঃ মনিরুল ইসলাম,৫৭০০৩৮৩৫৫০৪১,আলীমুদ্দীন,মোছাঃ হালিমা খাতুন,১২/১২/১৯৭০,ব্যবসা,"গাড়াডোব, গাংনী, মেহেরপুর"</t>
  </si>
  <si>
    <t>০৭৯০,মোঃ আনারুল ইসলাম,৫৭০০৩৮৩৫৫০৪২,আলীমুদ্দীন,মোছাঃ হালিমা খাতুন,০৫/১১/১৯৭২,ব্যবসা,"গাড়াডোব, গাংনী, মেহেরপুর"</t>
  </si>
  <si>
    <t>০৭৯১,মোঃ জালাল উদ্দীন,৫৭০০৩৮৩৫৫০৪৩,আঃ জলিল,মোছাঃ জহিরন,১৫/০২/১৯৬৫,কৃষক,"গাড়াডোব, গাংনী, মেহেরপুর"</t>
  </si>
  <si>
    <t>০৭৯২,মোঃ শহিদুল ইসলাম,৫৭০০৩৮৩৫৫০৪৪,লুৎফর রহমান,মোছাঃ মলেজান,০৭/০৩/১৯৬৫,শ্রমিক,"গাড়াডোব, গাংনী, মেহেরপুর"</t>
  </si>
  <si>
    <t>০৭৯৩,মোঃ আব্দুর রহিম,৫৭০০৩৮৩৫৫০৪৬,কান্ডারী শেখ,মোছাঃ ফলেজান,০৫/০৯/১৯৫৯,কৃষক,"গাড়াডোব, গাংনী, মেহেরপুর"</t>
  </si>
  <si>
    <t>০৭৯৪,মোঃ জহুরুল ইসলাম,৫৭০০৩৮৩৫৫০৫৪,মোঃ আখের আলী,মোছাঃ জফিরন,০১/০১/১৯৮৮,ব্যবসা,"গাড়াডোব, গাংনী, মেহেরপুর"</t>
  </si>
  <si>
    <t>০৭৯৫,মোহাঃ হাফিজুর রহমান,৫৭০০৩৮৩৫৫০৫৫,মোহাঃ আব্দুল জব্বার,মোছাঃ রাবেয়া খাতুন,০৯/০৭/১৯৭২,শিক্ষক,"গাড়াডোব, গাংনী, মেহেরপুর"</t>
  </si>
  <si>
    <t>০৭৯৬,মোহাঃ তফিজুর রহমান,৫৭০০৩৮৩৫৫০৬০,মোহাঃ আব্দুল জব্বার,মোছাঃ রাবেয়া খাতুন,১০/১১/১৯৮১,কৃষক,"গাড়াডোব, গাংনী, মেহেরপুর"</t>
  </si>
  <si>
    <t>০৭৯৭,মোহাঃ মোস্তাফিজুর রহমান,৫৭০০৩৮৩৫৫০৬২,মোঃ আদম আলী,মোছাঃ মমতাজ বেগম,২৬/০৪/১৯৮৬,ছাত্র/ছাত্রী,"গাড়াডোব, গাংনী, মেহেরপুর"</t>
  </si>
  <si>
    <t>০৭৯৮,মোঃ আলী হোসেন,৫৭০০৩৮৩৫৫০৬৩,আব্দুল জলিল,মোছাঃ জহিরন খাতুন,০৩/০১/১৯৬৭,কৃষক,"গাড়াডোব, গাংনী, মেহেরপুর"</t>
  </si>
  <si>
    <t>০৭৯৯,মোঃ আরজ আলী,৫৭০০৩৮৩৫৫০৬৬,আব্দুল আলীমুদ্দীন,মোছাঃ রাশিয়া খাতুন,১৩/০৭/১৯৭৭,শ্রমিক,"গাড়াডোব, গাংনী, মেহেরপুর"</t>
  </si>
  <si>
    <t>০৮০০,মোঃ সামসুল ইসলাম,৫৭০০৩৮৩৫৫০৬৯,মোঃ আব্দুল গণি,মোছাঃ সামসুন্নাহার,০১/০৪/১৯৭৭,ব্যবসা,"গাড়াডোব, গাংনী, মেহেরপুর"</t>
  </si>
  <si>
    <t>০৮০১,মোঃ কিরামত আলী,৫৭০০৩৮৩৫৫০৭৪,জয়নাল শেখ,মোছাঃ রফেজা,০১/০৩/১৯৬২,কৃষক,"গাড়াডোব, গাংনী, মেহেরপুর"</t>
  </si>
  <si>
    <t>০৮০২,মোঃ সাইফুল ইসলাম,৫৭০০৩৮৩৫৫০৭৬,মোঃ কিরামত আলী,মোছাঃ নার্গিস,২৮/১২/১৯৮৭,কৃষক,"গাড়াডোব, গাংনী, মেহেরপুর"</t>
  </si>
  <si>
    <t>০৮০৩,মোঃ সাজিদুল ইসলাম,৫৭০০৩৮৩৫৫০৮০,মোঃ ইমাজুদ্দীন শেখ,মোছাঃ ছামেনা খাতুন,০৮/১২/১৯৭৫,কৃষক,"গাড়াডোব, গাংনী, মেহেরপুর"</t>
  </si>
  <si>
    <t>০৮০৪,মোঃ রাশিদুল ইসলাম,৫৭০০৩৮৩৫৫০৮১,মোঃ ইমাজুদ্দীন শেখ,মোছাঃ ছামেনা খাতুন,১২/০৯/১৯৭৭,কৃষক,"গাড়াডোব, গাংনী, মেহেরপুর"</t>
  </si>
  <si>
    <t>০৮০৫,মোঃ রবগুল হোসেন,৫৭০০৩৮৩৫৫০৮৫,কাদের বকস,মোছাঃ খাতুন,১৩/১২/১৯৬২,ব্যবসা,"গাড়াডোব, গাংনী, মেহেরপুর"</t>
  </si>
  <si>
    <t>০৮০৬,মোঃ আবুল কালাম আজাদ,৫৭০০৩৮৩৫৫০৮৭,দিদার বকস,মোছাঃ জুলেখা,২২/১১/১৯৫২,শ্রমিক,"গাড়াডোব, গাংনী, মেহেরপুর"</t>
  </si>
  <si>
    <t>০৮০৭,মোঃ জাহাঙ্গীর আলম,৫৭০০৩৮৩৫৫০৮৮,নুরুল হুদা,মোছাঃ জাহানারা বেগম,২১/০৭/১৯৮৯,ছাত্র/ছাত্রী,"গাড়াডোব, গাংনী, মেহেরপুর"</t>
  </si>
  <si>
    <t>০৮০৮,মোঃ মাসুদ রানা,৫৭০০৩৮৩৫৫০৮৯,মোঃ আজিজুল হক,মোছাঃ মাসুরা খাতুন,২০/১১/১৯৮৮,ছাত্র/ছাত্রী,"গাড়াডোব, গাংনী, মেহেরপুর"</t>
  </si>
  <si>
    <t>০৮০৯,মোঃ নজিমুদ্দীন,৫৭০০৩৮৩৫৫০৯০,জসিমুদ্দীন,মোছাঃ হাজেরা খাতুন,০৫/০৩/১৯৫৭,কৃষক,"গাড়াডোব, গাংনী, মেহেরপুর"</t>
  </si>
  <si>
    <t>০৮১০,মোহাঃ ছানোয়ার আলী,৫৭০০৩৮৩৫৫০৯২,মোঃ সোনাতন,মোছাঃ জঙ্গলী খাতুন,০৩/০২/১৯৬২,শ্রমিক,"গাড়াডোব, গাংনী, মেহেরপুর"</t>
  </si>
  <si>
    <t>০৮১১,মোঃ মোফাজ্জেল হক,৫৭০০৩৮৩৫৫০৯৩,মোঃ মোবারক হোসেন,মোছাঃ বানুয়ারা,০১/০৯/১৯৮২,শ্রমিক,"গাড়াডোব, গাংনী, মেহেরপুর"</t>
  </si>
  <si>
    <t>০৮১২,মোঃ আক্তারুল ইসলাম,৫৭০০৩৮৩৫৫০৯৪,আতর আলী,মোছাঃ জামিরন,২২/১২/১৯৬৯,কৃষক,"গাড়াডোব, গাংনী, মেহেরপুর"</t>
  </si>
  <si>
    <t>০৮১৩,খবির,৫৭০০৩৮৩৫৫০৯৭,মোঃ শহিদুল ইসলাম,মোছাঃ খোদেজান,০১/০২/১৯৮৮,কৃষক,"গাড়াডোব, গাংনী, মেহেরপুর"</t>
  </si>
  <si>
    <t>০৮১৪,মোঃ রফিকুল,৫৭০০৩৮৩৫৫১০১,হায়াত আলী,মোছাঃ ছাহারন নেছা,০৫/০৪/১৯৬৯,ব্যবসা,"গাড়াডোব, গাংনী, মেহেরপুর"</t>
  </si>
  <si>
    <t>০৮১৫,মোঃ কাবা,৫৭০০৩৮৩৫৫১০২,নুর বকস,মোছাঃ আমিরন নেছা,০৫/০৭/১৯৮৪,ব্যবসা,"গাড়াডোব, গাংনী, মেহেরপুর"</t>
  </si>
  <si>
    <t>০৮১৬,মোঃ আহাদ,৫৭০০৩৮৩৫৫১০৩,সামসুদ্দীন,মোছাঃ খুকিজান,২৮/০৫/১৯৬২,শ্রমিক,"গাড়াডোব, গাংনী, মেহেরপুর"</t>
  </si>
  <si>
    <t>০৮১৭,মোঃ ছানোয়ার হোসেন,৫৭০০৩৮৩৫৫১০৪,মোঃ আজিমুদ্দীন,মোছাঃ সালেহার বেগম,১২/১২/১৯৮৩,ব্যবসা,"গাড়াডোব, গাংনী, মেহেরপুর"</t>
  </si>
  <si>
    <t>০৮১৮,মোঃ বকুল হোসেন,৫৭০০৩৮৩৫৫১০৬,ফজলু,মোছাঃ সুফিয়া খাতুন,২৩/১০/১৯৮৫,ব্যবসা,"গাড়াডোব, গাংনী, মেহেরপুর"</t>
  </si>
  <si>
    <t>০৮১৯,মোঃ মকলেছুর রহমান,৫৭০০৩৮৩৫৫১০৮,মোঃ জমির উদ্দীন,মোছাঃ হাজেরা খাতুন,১৩/১১/১৯৮৫,কৃষক,"গাড়াডোব, গাংনী, মেহেরপুর"</t>
  </si>
  <si>
    <t>০৮২০,মোঃ আব্দুল গনি,৫৭০০৩৮৩৫৫১১০,খেদের আলী,মোছাঃ আবেদা খাতুন,২৭/০৩/১৯৫৭,ব্যবসা,"গাড়াডোব, গাংনী, মেহেরপুর"</t>
  </si>
  <si>
    <t>০৮২১,মোঃ আদম আলী,৫৭০০৩৮৩৫৫১১১,রহিম বকস,মোছাঃ ছইমন নেছা,০৪/০৪/১৯৬২,কৃষক,"গাড়াডোব, গাংনী, মেহেরপুর"</t>
  </si>
  <si>
    <t>০৮২২,মোঃ জশের আলী (নাহিদ),৫৭০০৩৮৩৫৫১১২,মোঃ আব্দুল গনি,মোছাঃ শামসুন্নাহার,২০/১০/১৯৮১,বেসরকারী চাকুরী,"গাড়াডোব, গাংনী, মেহেরপুর"</t>
  </si>
  <si>
    <t>০৮২৩,মোঃ আজিমুদ্দীন,৫৭০০৩৮৩৫৫১১৪,খোদা বকস,মোছাঃ সায়েস্তা খাতুন,২৪/০৩/১৯৪৭,ইমাম/পুরোহিত/পাদ্রী,"গাড়াডোব, গাংনী, মেহেরপুর"</t>
  </si>
  <si>
    <t>০৮২৪,মোঃ মহিবুল ইসলাম,৫৭০০৩৮৩৫৫১১৭,মোঃ আব্দুর রহিম,মোছাঃ মাবিয়া খাতুন,১৪/১১/১৯৭৭,শ্রমিক,"গাড়াডোব, গাংনী, মেহেরপুর"</t>
  </si>
  <si>
    <t>০৮২৫,মোঃ শহিবুল ইসলাম,৫৭০০৩৮৩৫৫১২০,মোঃ আব্দুর রহিম,মোছাঃ মাবিয়া,০৫/০৮/১৯৮৪,শ্রমিক,"গাড়াডোব, গাংনী, মেহেরপুর"</t>
  </si>
  <si>
    <t>০৮২৬,মোঃ আনারুল ইসলাম,৫৭০০৩৮৩৫৫১২১,মোঃ গোলাম মোস্তফা,মোছাঃ রইজন খাতুন,১২/১১/১৯৮০,শ্রমিক,"গাড়াডোব, গাংনী, মেহেরপুর"</t>
  </si>
  <si>
    <t>০৮২৭,মোঃ সিরাজুল ইসলাম,৫৭০০৩৮৩৫৫১২৩,ফজলু,মোছাঃ সুফিয়া খাতুন,২৮/০৭/১৯৮৪,শ্রমিক,"গাড়াডোব, গাংনী, মেহেরপুর"</t>
  </si>
  <si>
    <t>০৮২৮,মোঃ তমরোজ খাঁ,৫৭০০৩৮৩৫৫১২৭,মোঃ সবুর খাঁ,মোছাঃ তহুরা খাতুন,২৫/১০/১৯৬২,শ্রমিক,"গাড়াডোব, গাংনী, মেহেরপুর"</t>
  </si>
  <si>
    <t>০৮২৯,মোঃ গোলাম মোস্তফা,৫৭০০৩৮৩৫৫১২৮,আব্দুল জলিল,মোছাঃ জহিরন নেছা,২১/০২/১৯৬৩,সরকারী চাকুরী,"গাড়াডোব, গাংনী, মেহেরপুর"</t>
  </si>
  <si>
    <t>০৮৩০,মোঃ আলাল উদ্দীন,৫৭০০৩৮৩৫৫১২৯,নুর ইসলাম,মোছাঃ নছিয়া,০৫/০৮/১৯৭০,রিক্সা/ভ্যান চালক,"গাড়াডোব, গাংনী, মেহেরপুর"</t>
  </si>
  <si>
    <t>০৮৩১,মোঃ শহীদুল ইসলাম,৫৭০০৩৮৩৫৫১৩১,দিদার বকস,মোছাঃ জুলেখা বিবি,০২/০৪/১৯৫২,ব্যবসা,"গাড়াডোব, গাংনী, মেহেরপুর"</t>
  </si>
  <si>
    <t>০৮৩২,মোঃ আখের আলী,৫৭০০৩৮৩৫৫১৩৩,হায়াত আলী,মোছাঃ সাহারন বেগম,০৫/০৮/১৯৬৩,কৃষক,"গাড়াডোব, গাংনী, মেহেরপুর"</t>
  </si>
  <si>
    <t>০৮৩৩,মোঃ রাহিদুল ইসলাম,৫৭০০৩৮৩৫৫১৩৪,হায়াত আলী,মোছাঃ আয়েশা বেগম,০৩/০৪/১৯৮২,শ্রমিক,"গাড়াডোব, গাংনী, মেহেরপুর"</t>
  </si>
  <si>
    <t>০৮৩৪,মোঃ শওকত আলী,৫৭০০৩৮৩৫৫১৩৫,হায়াত আলী,মোছাঃ আয়েশা খাতুন,১১/০৮/১৯৭২,শ্রমিক,"গাড়াডোব, গাংনী, মেহেরপুর"</t>
  </si>
  <si>
    <t>০৮৩৫,মোঃ রমজান আলী,৫৭০০৩৮৩৫৫১৩৬,মোঃ আজিল হক,মোছাঃ আয়েশা বেগম,২০/০৮/১৯৮৪,শ্রমিক,"গাড়াডোব, গাংনী, মেহেরপুর"</t>
  </si>
  <si>
    <t>০৮৩৬,মোঃ আব্দুস সাত্তার,৫৭০০৩৮৩৫৫১৩৭,আতর আলী,মোছাঃ জামেনা খাতুন,২৮/১২/১৯৮৫,কৃষক,"গাড়াডোব, গাংনী, মেহেরপুর"</t>
  </si>
  <si>
    <t>০৮৩৭,মোঃ মজিদুল ইসলাম,৫৭০০৩৮৩৫৫১৩৮,মোঃ মোবারক আলী,মোছাঃ বানুয়ারা,২৯/১১/১৯৭০,কৃষক,"গাড়াডোব, গাংনী, মেহেরপুর"</t>
  </si>
  <si>
    <t>০৮৩৮,মোঃ আবিদুল হক,৫৭০০৩৮৩৫৫১৩৯,জসিমউদ্দিন সেখ,মোছাঃ শারভানু,০৩/০৮/১৯৭৭,ব্যবসা,"গাড়াডোব, গাংনী, মেহেরপুর"</t>
  </si>
  <si>
    <t>০৮৩৯,মোহাঃ হাসানুজ্জামান,৫৭০০৩৮৩৫৫১৪০,মোহাঃ আলী হোসেন,মোছাঃ ছামেনা খাতুন,০৭/০৪/১৯৮৬,ব্যবসা,"গাড়াডোব, গাংনী, মেহেরপুর"</t>
  </si>
  <si>
    <t>০৮৪০,মোঃ হামিদুল ইসলাম,৫৭০০৩৮৩৫৫১৪৮,মোঃ জসিম,মাতা: রহিমা,০৫/০৮/১৯৭৯,কৃষক,"গাড়াডোব, গাংনী, মেহেরপুর"</t>
  </si>
  <si>
    <t>০৮৪১,মোঃ সহিদুল,৫৭০০৩৮৩৫৫১৫৩,হাদেক আলী,মোছাঃ পনকা বিবি,১৪/১১/১৯৫৯,মিস্ত্রী,"গাড়াডোব, গাংনী, মেহেরপুর"</t>
  </si>
  <si>
    <t>০৮৪২,মোঃ শামীম রেজা,৫৭০০৩৮৩৫৫১৫৭,হাবিবুর রহমান,মোছাঃ সুফিয়া খাতুন,০৮/০৪/১৯৭৭,কৃষক,"গাড়াডোব, গাংনী, মেহেরপুর"</t>
  </si>
  <si>
    <t>০৮৪৩,মোঃ ওমর আলী,৫৭০০৩৮৩৫৫১৬২,আলীজান মালিথা,মোছাঃ আমেনা খাতুন,০৫/০৮/১৯৫৭,কৃষক,"গাড়াডোব, গাংনী, মেহেরপুর"</t>
  </si>
  <si>
    <t>০৮৪৪,মোঃ রফিকুল ইসলাম,৫৭০০৩৮৩৫৫১৬৫,আলীজান মালিথা,মোছাঃ আমেনা খাতুন,২৫/০৫/১৯৫২,কৃষক,"গাড়াডোব, গাংনী, মেহেরপুর"</t>
  </si>
  <si>
    <t>০৮৪৫,মোঃ সুন্নত আলী,৫৭০০৩৮৩৫৫১৬৭,আলীজান,মোছাঃ আমেনা খাতুন,০৭/০৮/১৯৪২,কৃষক,"গাড়াডোব, গাংনী, মেহেরপুর"</t>
  </si>
  <si>
    <t>০৮৪৬,মোঃ তোজাম্মেল হক,৫৭০০৩৮৩৫৫১৬৮,মোঃ সুন্নত আলী,মোছাঃ মুনজিরা খাতুন,০২/০৯/১৯৭৫,ব্যবসা,"গাড়াডোব, গাংনী, মেহেরপুর"</t>
  </si>
  <si>
    <t>০৮৪৭,মোঃ মোজাম্মেল হক,৫৭০০৩৮৩৫৫১৭১,মোঃ সুন্নত আলী,মোছাঃ মুনজিরা খাতুন,০৫/০৯/১৯৭৯,কৃষক,"গাড়াডোব, গাংনী, মেহেরপুর"</t>
  </si>
  <si>
    <t>০৮৪৮,মোঃ ছাদিমান,৫৭০০৩৮৩৫৫১৭২,মোঃ সুন্নত আলী,মোছাঃ সুনজিরা খাতুন,০৫/০২/১৯৮১,কৃষক,"গাড়াডোব, গাংনী, মেহেরপুর"</t>
  </si>
  <si>
    <t>০৮৪৯,মোঃ মাসুদ রানা,৫৭০০৩৮৩৫৫১৭৩,মোঃ সুন্নত আলী,মোছাঃ মুনজিরা খাতুন,১২/০৭/১৯৮৫,কৃষক,"গাড়াডোব, গাংনী, মেহেরপুর"</t>
  </si>
  <si>
    <t>০৮৫০,মোঃ খলিলুর রহমান,৫৭০০৩৮৩৫৫১৭৮,আব্দুল জলিল,মোছাঃ আজিমন খাতুন,০৭/০৮/১৯৬২,কৃষক,"গাড়াডোব, গাংনী, মেহেরপুর"</t>
  </si>
  <si>
    <t>০৮৫১,মোঃ কুবাদ আলী,৫৭০০৩৮৩৫৫১৭৯,হায়াত আলী,মোছাঃ আয়েশা খাতুন,০৫/০৮/১৯৭৭,কৃষক,"গাড়াডোব, গাংনী, মেহেরপুর"</t>
  </si>
  <si>
    <t>০৮৫২,মোঃ নবীছদ্দীণ,৫৭০০৩৮৩৫৫১৮০,লুৎফর শেখ,মোছাঃ মলেজান বেগম,০৮/১২/১৯৫৭,শ্রমিক,"গাড়াডোব, গাংনী, মেহেরপুর"</t>
  </si>
  <si>
    <t>০৮৫৩,মোঃ আনিচুর রহমান,৫৭০০৩৮৩৫৫১৮১,মোঃ জমির আলী,মোছাঃ হাজেরা খাতুন,২৪/১১/১৯৮১,শ্রমিক,"গাড়াডোব, গাংনী, মেহেরপুর"</t>
  </si>
  <si>
    <t>০৮৫৪,মোহাঃ আব্দুর রশিদ,৫৭০০৩৮৩৫৫১৮২,হিমমত সেখ,মোছাঃ আতেজান নেছা,২৫/১১/১৯৬৫,সরকারী চাকুরী,"গাড়াডোব, গাংনী, মেহেরপুর"</t>
  </si>
  <si>
    <t>০৮৫৫,মোঃ বাবলু,৫৭০০৩৮৩৫৫১৮৪,দিদার বকস,মাতা: জেলেখা,০৫/০৫/১৯৬৭,ব্যবসা,"গাড়াডোব, গাংনী, মেহেরপুর"</t>
  </si>
  <si>
    <t>০৮৫৬,মোঃ নিহাজদ্দীন,৫৭০০৩৮৩৫৫১৯১,হাফিজুদ্দীন,মোছাঃ ছকিনা খাতুন,১৮/১২/১৯৬৩,রিক্সা/ভ্যান চালক,"গাড়াডোব, গাংনী, মেহেরপুর"</t>
  </si>
  <si>
    <t>০৮৫৭,মোহাঃ আবুল হাশেম,৫৭০০৩৮৩৫৫১৯২,মোহাঃ ফজের আলী খান,মোহাঃ রহিমা খাতুন,১২/১০/১৯৭৭,কৃষক,"গাড়াডোব, গাংনী, মেহেরপুর"</t>
  </si>
  <si>
    <t>০৮৫৮,মোঃ আবুল কাশেম,৫৭০০৩৮৩৫৫১৯৬,মোঃ ফজের আলী খান,মোছাঃ রহিমা খাতুন,০৩/০২/১৯৬৯,কৃষক,"গাড়াডোব, গাংনী, মেহেরপুর"</t>
  </si>
  <si>
    <t>০৮৫৯,মোঃ ইসমাইল হোসেন,৫৭০০৩৮৩৫৫১৯৯,মোঃ ফজের আলী খান,মোছাঃ রহিমা খাতুন,১৭/০৩/১৯৫৯,কৃষক,"গাড়াডোব, গাংনী, মেহেরপুর"</t>
  </si>
  <si>
    <t>০৮৬০,মোঃ আকুব্বার আলী,৫৭০০৩৮৩৫৫২০৭,হায়াত আলী,মোছাঃ শাহরন,০৩/১০/১৯৫৯,কৃষক,"গাড়াডোব, গাংনী, মেহেরপুর"</t>
  </si>
  <si>
    <t>০৮৬১,মোহাঃ ছামাদুল হক,৫৭০০৩৮৩৫৫২০৮,শেখ মোহাঃ মুছা,মোছাঃ ছামেদা খাতুন,০৮/০৮/১৯৬২,ব্যবসা,"গাড়াডোব, গাংনী, মেহেরপুর"</t>
  </si>
  <si>
    <t>০৮৬২,মোঃ সাইদুল হক,৫৭০০৩৮৩৫৫২০৯,শেখ মোঃ মুছা,মোছাঃ ছামেদা খাতুন,১৩/০১/১৯৭৬,কৃষক,"গাড়াডোব, গাংনী, মেহেরপুর"</t>
  </si>
  <si>
    <t>০৮৬৩,মোঃ হামিদুল হক,৫৭০০৩৮৩৫৫২১০,শেখ মোহাঃ মুছা,মোছাঃ ছামেদা খাতুন,১৫/০৯/১৯৭০,কৃষক,"গাড়াডোব, গাংনী, মেহেরপুর"</t>
  </si>
  <si>
    <t>০৮৬৪,মোঃ রাশিদুল ইসলাম,৫৭০০৩৮৩৫৫২১৩,মোঃ আবুল কাশেম,মোছাঃ মলেজান,০৬/০৯/১৯৮২,ব্যবসা,"গাড়াডোব, গাংনী, মেহেরপুর"</t>
  </si>
  <si>
    <t>০৮৬৫,মুহাঃ আনোয়ার হোসেন খান,৫৭০০৩৮৩৫৫২১৬,মুহাঃ ইয়াদ আলী খান,মোছাঃ আমেনা খাতুন,২৮/০২/১৯৬০,সরকারী চাকুরী,"গাড়াডোব, গাংনী, মেহেরপুর"</t>
  </si>
  <si>
    <t>০৮৬৬,মোঃ মাজেদুল হক,৫৭০০৩৮৩৫৫২১৭,মোঃ আব্দুস সালাম,মোছাঃ মজিরন নেছা,২৫/১০/১৯৮৬,কৃষক,"গাড়াডোব, গাংনী, মেহেরপুর"</t>
  </si>
  <si>
    <t>০৮৬৭,মোঃ সাইফুল ইসলাম,৫৭০০৩৮৩৫৫২১৯,মোঃ আবুল কালাম,মোছাঃ সাফিয়া খাতুন,১৫/০৫/১৯৮৭,ব্যবসা,"গাড়াডোব, গাংনী, মেহেরপুর"</t>
  </si>
  <si>
    <t>০৮৬৮,মোঃ জনাপ আলী,৫৭০০৩৮৩৫৫২২০,মোঃ রোবকুল ইসলাম,মোছাঃ ছাহেরা খাতুন,১৬/০৬/১৯৮২,ব্যবসা,"গাড়াডোব, গাংনী, মেহেরপুর"</t>
  </si>
  <si>
    <t>০৮৬৯,মোঃ ফারুক হাসান,৫৭০০৩৮৩৫৫২২২,মোঃ ইসমাইল হোসেন,মোছাঃ সামসুন্নাহার,২১/০২/১৯৮৭,ব্যবসা,"গাড়াডোব, গাংনী, মেহেরপুর"</t>
  </si>
  <si>
    <t>০৮৭০,মোঃ বুলবুল আহমেদ,৫৭০০৩৮৩৫৫২২৭,মোঃ আমির হোসেন,মোছাঃ বিলকিচ,১২/০৫/১৯৮৭,বেসরকারী চাকুরী,"গাড়াডোব, গাংনী, মেহেরপুর"</t>
  </si>
  <si>
    <t>০৮৭১,মোঃ আমিনুর ইসলাম,৫৭০০৩৮৩৫৫২২৯,মোঃ শমসের আলী,মোছাঃ মোমেনা খাতুন,১৫/০৬/১৯৮৩,ছাত্র/ছাত্রী,"গাড়াডোব, গাংনী, মেহেরপুর"</t>
  </si>
  <si>
    <t>০৮৭২,মোঃ মোতালেব হোসেন,৫৭০০৩৮৩৫৫২৩০,মোঃ ওয়াজ আলী মোল্লা,মোছাঃ আহাতন নেছা,২০/১০/১৯৭৫,কৃষক,"গাড়াডোব, গাংনী, মেহেরপুর"</t>
  </si>
  <si>
    <t>০৮৭৩,মোঃ আজিজুল হক,৫৭০০৩৮৩৫৫২৩১,মোঃ ওয়াজ আলী মোল্লা,মোছাঃ আহাতন নেছা,০৭/০৫/১৯৬২,কৃষক,"গাড়াডোব, গাংনী, মেহেরপুর"</t>
  </si>
  <si>
    <t>০৮৭৪,মোঃ কাশেম খাঁন,৫৭০০৩৮৩৫৫২৩২,মোঃ নাসির খাঁন,মোছাঃ উম্মাতোন নেছা,০৮/০৬/১৯৭৮,কৃষক,"গাড়াডোব, গাংনী, মেহেরপুর"</t>
  </si>
  <si>
    <t>০৮৭৫,মোহাঃ বজলুল হুদা,৫৭০০৩৮৩৫৫২৩৩,আব্দুর রহিম,বালাজান খাতুন,১১/০৩/১৯৮২,কৃষক,"গাড়াডোব, গাংনী, মেহেরপুর"</t>
  </si>
  <si>
    <t>০৮৭৬,মোঃ শরিফুল ইসলাম,৫৭০০৩৮৩৫৫২৩৪,মোঃ আব্দুল ওহাব,মোছাঃ মুনজুরা খাতুন,০৪/০৭/১৯৮৯,ছাত্র/ছাত্রী,"গাড়াডোব, গাংনী, মেহেরপুর"</t>
  </si>
  <si>
    <t>০৮৭৭,মোঃ মকছেদ আলি,৫৭০০৩৮৩৫৫২৩৫,মোঃ রমজান আলি,মোছাঃ আজিরুল,০৯/০৬/১৯৬০,দিনমজুর,"গাড়াডোব, গাংনী, মেহেরপুর"</t>
  </si>
  <si>
    <t>০৮৭৮,মোঃ জাকেরুল ইসলাম,৫৭০০৩৮৩৫৫২৩৭,মোঃ ফজল মালিথা,মোছাঃ ফজিলা খাতুন,০৮/০৬/১৯৮৫,কৃষক,"গাড়াডোব, গাংনী, মেহেরপুর"</t>
  </si>
  <si>
    <t>০৮৭৯,মোঃ ইব্রাহীম,৫৭০০৩৮৩৫৫২৩৮,মোঃ রুহুল আমিন,মোছাঃ তোজবিরা খাতুন,১৩/১০/১৯৮৮,কৃষক,"গাড়াডোব, গাংনী, মেহেরপুর"</t>
  </si>
  <si>
    <t>০৮৮০,মোঃ শাহিন আলী,৫৭০০৩৮৩৫৫২৪০,মোঃ নেজমত আলী,মোছাঃ জাহানারা,২৫/০৫/১৯৮৮,ব্যবসা,"গাড়াডোব, গাংনী, মেহেরপুর"</t>
  </si>
  <si>
    <t>০৮৮১,মোহাত্ব আব্দুল হান্নান,৫৭০০৩৮৩৫৫২৪১,মোঃ কলিম উদ্দীন,মোছাঃ আছিয়া খাতুন,০১/০১/১৯৮৮,সরকারী চাকুরী,"গাড়াডোব, গাংনী, মেহেরপুর"</t>
  </si>
  <si>
    <t>০৮৮২,মোঃ মিরাজুল ইসলাম,৫৭০০৩৮৩৫৫২৪২,মোঃ সমর আলী,মোছাঃ জাহানারা খাতুন,১৩/০৬/১৯৮৭,দিনমজুর,"গাড়াডোব, গাংনী, মেহেরপুর"</t>
  </si>
  <si>
    <t>০৮৮৩,মোঃ ছাইনাল হোসেন,৫৭০০৩৮৩৫৫২৫২,ভিকু শেখ,মাতা: নেকজান,১৫/০৪/১৯৬৭,শ্রমিক,"গাড়াডোব, গাংনী, মেহেরপুর"</t>
  </si>
  <si>
    <t>০৮৮৪,মোঃ মানারুল ইসলাম,৫৭০০৩৮৩৫৫২৫৪,মোঃ ছাদের আলী,মোছাঃ লাল বানু,১৭/০৪/১৯৮১,দিনমজুর,"গাড়াডোব, গাংনী, মেহেরপুর"</t>
  </si>
  <si>
    <t>০৮৮৫,মোঃ মিজানুর রহমান,৫৭০০৩৮৩৫৫২৫৫,মোঃ ছাদের আলী,মোছাঃ লাল বানু,১০/০৮/১৯৮৬,শ্রমিক,"গাড়াডোব, গাংনী, মেহেরপুর"</t>
  </si>
  <si>
    <t>০৮৮৬,মোঃ মুসফার আলী,৫৭০০৩৮৩৫৫২৫৬,মোঃ মসলেম শেখ,মোছাঃ মাজেদা বেগম,০৯/০৮/১৯৭২,শ্রমিক,"গাড়াডোব, গাংনী, মেহেরপুর"</t>
  </si>
  <si>
    <t>০৮৮৭,মোঃ আনারুল ইসলাম,৫৭০০৩৮৩৫৫২৫৭,আব্দুল জব্বার,মোছাঃ খাদেজান,১১/০৫/১৯৬৯,কৃষক,"গাড়াডোব, গাংনী, মেহেরপুর"</t>
  </si>
  <si>
    <t>০৮৮৮,মোঃ হেদায়েত আলী,৫৭০০৩৮৩৫৫২৫৯,শামসুদ্দীন,খুকি জান,১৫/০৫/১৯৬০,শ্রমিক,"গাড়াডোব, গাংনী, মেহেরপুর"</t>
  </si>
  <si>
    <t>০৮৮৯,মোহাঃ মনিরুল ইসলাম,৫৭০০৩৮৩৫৫২৬১,আব্দুল জব্বার,মোছাঃ খাদে জান,১৩/১০/১৯৬৫,কৃষক,"গাড়াডোব, গাংনী, মেহেরপুর"</t>
  </si>
  <si>
    <t>০৮৯০,মোঃ শামসুল ইসলাম,৫৭০০৩৮৩৫৫২৬৩,মোঃ আবুল হোসেন,মোছাঃ ছকিনা খাতুন,১৮/০৪/১৯৫৮,শ্রমিক,"গাড়াডোব, গাংনী, মেহেরপুর"</t>
  </si>
  <si>
    <t>০৮৯১,মোঃ আয়ুব নবী,৫৭০০৩৮৩৫৫২৬৬,দীন মোহাম্মদ শেখ,মাতা: কয়েদা খাতুন,১৩/০৯/১৯৫৫,কৃষক,"গাড়াডোব, গাংনী, মেহেরপুর"</t>
  </si>
  <si>
    <t>০৮৯২,মোঃ শাহাবুদ্দিন,৫৭০০৩৮৩৫৫২৬৭,মোঃ আয়ুব নবী,মোছাঃ সাবিরন নেছা,১৪/০৮/১৯৮২,কৃষক,"গাড়াডোব, গাংনী, মেহেরপুর"</t>
  </si>
  <si>
    <t>০৮৯৩,মোঃ হামিজদ্দিন,৫৭০০৩৮৩৫৫২৭০,মোঃ আয়ুব নবী,মোছাঃ সাবিরন নেছা,১৬/০৮/১৯৮৮,কৃষক,"গাড়াডোব, গাংনী, মেহেরপুর"</t>
  </si>
  <si>
    <t>০৮৯৪,মোঃ শফিকুল ইসলাম,৫৭০০৩৮৩৫৫২৭২,আব্দুল করিম,মাতা: পরিসকার বেগম,১৪/০৫/১৯৭১,দিনমজুর,"গাড়াডোব, গাংনী, মেহেরপুর"</t>
  </si>
  <si>
    <t>০৮৯৫,মোঃ শহিদুল ইসলাম,৫৭০০৩৮৩৫৫২৭৪,আব্দুল করিম,মাতা: পরিসকার বেগম,১৮/০৫/১৯৬২,শ্রমিক,"গাড়াডোব, গাংনী, মেহেরপুর"</t>
  </si>
  <si>
    <t>০৮৯৬,মোঃ সাহাবুদ্দীন,৫৭০০৩৮৩৫৫২৮৪,মোঃ কাউছার আলী,মোছাঃ আরজিয়া খাতুন,১৮/১০/১৯৮৭,শ্রমিক,"গাড়াডোব, গাংনী, মেহেরপুর"</t>
  </si>
  <si>
    <t>০৮৯৭,মোঃ মহিরুল ইসলাম,৫৭০০৩৮৩৫৫২৮৬,আলম শেখ,মাতা: জমিরন নেছা,২৫/০৪/১৯৭১,দিনমজুর,"গাড়াডোব, গাংনী, মেহেরপুর"</t>
  </si>
  <si>
    <t>০৮৯৮,মোঃ গোলাম হোসেন,৫৭০০৩৮৩৫৫২৯০,কাঙ্গাল শেখ,মোছাঃ ছুপুরা খাতুন,১০/১০/১৯৬২,দিনমজুর,"গাড়াডোব, গাংনী, মেহেরপুর"</t>
  </si>
  <si>
    <t>০৮৯৯,মোঃ আব্বাস,৫৭০০৩৮৩৫৫২৯২,মোঃ রিয়াজতুল্লাহ,মোছাঃ আনোয়ারা খাতুন,১৮/১০/১৯৮৫,দিনমজুর,"গাড়াডোব, গাংনী, মেহেরপুর"</t>
  </si>
  <si>
    <t>০৯০০,মোঃ ছমিরুল ইসলাম,৫৭০০৩৮৩৫৫২৯৮,মজিবর রহমান,মোছাঃ জমিনা খাতুন,১৭/০৬/১৯৮৬,ব্যবসা,"গাড়াডোব, গাংনী, মেহেরপুর"</t>
  </si>
  <si>
    <t>০৯০১,মোঃ নকিমিদ্দিন,৫৭০০৩৮৩৫৫৩০০,আমীরুদ্দীন,মোছাঃ ছকিনা বেগম,১৩/০৭/১৯৬২,শ্রমিক,"গাড়াডোব, গাংনী, মেহেরপুর"</t>
  </si>
  <si>
    <t>০৯০২,মোঃ মিলন হক,৫৭০০৩৮৩৫৫৩০৪,মোঃ নকিমিদ্দিন,মোছাঃ ফুলজান বেগম,২১/১০/১৯৮৫,শ্রমিক,"গাড়াডোব, গাংনী, মেহেরপুর"</t>
  </si>
  <si>
    <t>০৯০৩,মোঃ বাছাদ আলী,৫৭০০৩৮৩৫৫৩০৬,মোঃ ইক্তার আলী,মোছাঃ রমেছা খাতুন,১৭/০৬/১৯৭৯,শ্রমিক,"গাড়াডোব, গাংনী, মেহেরপুর"</t>
  </si>
  <si>
    <t>০৯০৪,মোঃ জমিরুল ইসলাম,৫৭০০৩৮৩৫৫৩০৮,মজিবর রহমান,মোছাঃ জমিনা খাতুন,১৪/০৪/১৯৮২,দিনমজুর,"গাড়াডোব, গাংনী, মেহেরপুর"</t>
  </si>
  <si>
    <t>০৯০৫,মোঃ কাউছার আলী,৫৭০০৩৮৩৫৫৩১০,ভিকু শেখ,মাতা: নেকজান,১৮/১০/১৯৬৭,শ্রমিক,"গাড়াডোব, গাংনী, মেহেরপুর"</t>
  </si>
  <si>
    <t>০৯০৬,মোঃ তাহেরুদ্দীন,৫৭০০৩৮৩৫৫৩১১,ভিকু শেখ,মাতা: নেকজান,১৩/১০/১৯৪২,দিনমজুর,"গাড়াডোব, গাংনী, মেহেরপুর"</t>
  </si>
  <si>
    <t>০৯০৭,মোঃ শাহরুল ইসলাম,৫৭০০৩৮৩৫৫৩১২,মোঃ সিরাজুল ইসলাম,মোছাঃ সাহেরান বেগম,২১/০৮/১৯৭৭,বেকার,"গাড়াডোব, গাংনী, মেহেরপুর"</t>
  </si>
  <si>
    <t>০৯০৮,মোঃ শরিফ উদ্দিন,৫৭০০৩৮৩৫৫৩১৩,মোঃ জমিরুদ্দিন,মোছাঃ ছাইরেজান বেগম,১১/০৯/১৯৬৬,কৃষক,"গাড়াডোব, গাংনী, মেহেরপুর"</t>
  </si>
  <si>
    <t>০৯০৯,মোঃ সাজিদুল ইসলাম,৫৭০০৩৮৩৫৫৩১৪,মোঃ আব্দুর রাজ্জাক,মোছাঃ সুফিয়া খাতুন,১৩/০৮/১৯৮৫,কৃষক,"গাড়াডোব, গাংনী, মেহেরপুর"</t>
  </si>
  <si>
    <t>০৯১০,মোঃ আব্দুস সামাদ,৫৭০০৩৮৩৫৫৩১৫,ভিকু শেখ,মাতা: নেকজান,১৮/০৬/১৯৫৯,দিনমজুর,"গাড়াডোব, গাংনী, মেহেরপুর"</t>
  </si>
  <si>
    <t>০৯১১,মোঃ আমিরুল ইসলাম,৫৭০০৩৮৩৫৫৩১৬,রাখাল শেখ,মাতা: হাওয়া খাতুন,১৫/০৮/১৯৬২,দিনমজুর,"গাড়াডোব, গাংনী, মেহেরপুর"</t>
  </si>
  <si>
    <t>০৯১২,মোঃ ইসরাইল হোসেন,৫৭০০৩৮৩৫৫৩১৭,মুল্লক শেখ,মাতা: জহুরা বেগম,১৩/১০/১৯৭২,ব্যবসা,"গাড়াডোব, গাংনী, মেহেরপুর"</t>
  </si>
  <si>
    <t>০৯১৩,মোঃ সেন্টু হোসেন,৫৭০০৩৮৩৫৫৩১৮,মোঃ রেজাইল ইসলাম,মোছাঃ নকিজান,১৩/০৮/১৯৮৩,দিনমজুর,"গাড়াডোব, গাংনী, মেহেরপুর"</t>
  </si>
  <si>
    <t>০৯১৪,মোঃ বানারুল ইসলাম,৫৭০০৩৮৩৫৫৩১৯,মোঃ ছাইনাল হোসেন,মোছাঃ বানুয়ারা খাতুন,১৩/০৯/১৯৮৭,দিনমজুর,"গাড়াডোব, গাংনী, মেহেরপুর"</t>
  </si>
  <si>
    <t>০৯১৫,মোঃ শাহাবুদ্দিন,৫৭০০৩৮৩৫৫৩২০,মোঃ নজরুল ইসলাম,মাতা: ছানোয়ারা খাতুন,১৫/০৭/১৯৮৮,শ্রমিক,"গাড়াডোব, গাংনী, মেহেরপুর"</t>
  </si>
  <si>
    <t>০৯১৬,মোঃ মিলন,৫৭০০৩৮৩৫৫৩২১,মোঃ আব্দুল লতিফ,মোছাঃ হালেজান,১৬/০৭/১৯৮৩,দিনমজুর,"গাড়াডোব, গাংনী, মেহেরপুর"</t>
  </si>
  <si>
    <t>০৯১৭,মোঃ জাহাঙ্গীর আলম,৫৭০০৩৮৩৫৫৩২২,মোঃ সেকেন্দার আলী,মোছাঃ জাহানারা খাতুন,১৪/১০/১৯৭৭,বেসরকারী চাকুরী,"গাড়াডোব, গাংনী, মেহেরপুর"</t>
  </si>
  <si>
    <t>০৯১৮,মোঃ হুমায়ুন কবীর,৫৭০০৩৮৩৫৫৩২৪,মোঃ সেকেন্দার আলী,মোছাঃ জান্নাতন নেছা,০২/১২/১৯৮৭,ব্যবসা,"গাড়াডোব, গাংনী, মেহেরপুর"</t>
  </si>
  <si>
    <t>০৯১৯,মোঃ মজির উদ্দীন,৫৭০০৩৮৩৫৫৩২৭,রইছউদ্দীন,মোছাঃ নাছিমা খাতুন,১৬/০৭/১৯৬০,ব্যবসা,"গাড়াডোব, গাংনী, মেহেরপুর"</t>
  </si>
  <si>
    <t>০৯২০,মোঃ মুনছুর আলী,৫৭০০৩৮৩৫৫৩২৯,সুলতান আলী,মোছাঃ খাইরন নেছা,১০/০৫/১৯৭৫,শ্রমিক,"গাড়াডোব, গাংনী, মেহেরপুর"</t>
  </si>
  <si>
    <t>০৯২১,মোঃ মিজানুর রহমান,৫৭০০৩৮৩৫৫৩৩৫,মোঃ জামাত আলী,মোছাঃ রিকাতন নেছা,১৬/০৬/১৯৮০,ব্যবসা,"গাড়াডোব, গাংনী, মেহেরপুর"</t>
  </si>
  <si>
    <t>০৯২২,মোঃ ইয়ারুল ইসলাম,৫৭০০৩৮৩৫৫৩৪২,মোঃ খোদা বকস,মোছাঃ ছকিনা বেগম,১৫/০৫/১৯৬৭,কৃষক,"গাড়াডোব, গাংনী, মেহেরপুর"</t>
  </si>
  <si>
    <t>০৯২৩,মোঃ রিপন আলী,৫৭০০৩৮৩৫৫৩৪৬,মোঃ আককাচ আলী,মোছাঃ জোলেখা খাতুন,১৫/০৬/১৯৮৬,বেসরকারী চাকুরী,"গাড়াডোব, গাংনী, মেহেরপুর"</t>
  </si>
  <si>
    <t>০৯২৪,মোঃ মুনছুর আলী,৫৭০০৩৮৩৫৫৩৫৬,আমোদ আলী,মাতা: দৌলব বেওয়া,১১/০৮/১৯৬৭,দিনমজুর,"গাড়াডোব, গাংনী, মেহেরপুর"</t>
  </si>
  <si>
    <t>০৯২৫,মোঃ আব্দুস সামাদ,৫৭০০৩৮৩৫৫৩৫৮,আমোদ আলী,মাতা: জৌলব বেওয়া নেছা,১৭/০৭/১৯৫৭,দিনমজুর,"গাড়াডোব, গাংনী, মেহেরপুর"</t>
  </si>
  <si>
    <t>০৯২৬,মোঃ হামিদুল ইসলাম,৫৭০০৩৮৩৫৫৩৬২,ফজু আলী,মোছাঃ সোনাভানু,১৬/০৯/১৯৮২,কৃষক,"গাড়াডোব, গাংনী, মেহেরপুর"</t>
  </si>
  <si>
    <t>০৯২৭,মোঃ আব্দুস ছালাম,৫৭০০৩৮৩৫৫৩৬৪,আব্দুর ওহাব,মাতা: বেগুজান নেছা,১১/০৮/১৯৫৭,শ্রমিক,"গাড়াডোব, গাংনী, মেহেরপুর"</t>
  </si>
  <si>
    <t>০৯২৮,মোঃ কামাল আহমেদ,৫৭০০৩৮৩৫৫৩৬৯,মোঃ চমৎকার আলী,মোছাঃ হামিদা খাতুন,১০/১০/১৯৮৫,বেসরকারী চাকুরী,"গাড়াডোব, গাংনী, মেহেরপুর"</t>
  </si>
  <si>
    <t>০৯২৯,মোঃ দেলোয়ার হোসেন,৫৭০০৩৮৩৫৫৩৭০,কাঙ্গালী শেখ,মাতা: ছপুরা বেগম,১৩/১০/১৯৬২,দিনমজুর,"গাড়াডোব, গাংনী, মেহেরপুর"</t>
  </si>
  <si>
    <t>০৯৩০,মোঃ আতিয়ার রহমান,৫৭০০৩৮৩৫৫৩৭১,মোঃ আছেরুদ্দীন,মোছাঃ ছফেলা বেগম,১৫/০৮/১৯৬৭,কৃষক,"গাড়াডোব, গাংনী, মেহেরপুর"</t>
  </si>
  <si>
    <t>০৯৩১,মোঃ আবু জাহিদ হিরো,৫৭০০৩৮৩৫৫৩৭২,মফিজ উদ্দীন আহমেদ,মাতা: জায়েদা খাতুন,১৩/০৭/১৯৬৭,ব্যবসা,"গাড়াডোব, গাংনী, মেহেরপুর"</t>
  </si>
  <si>
    <t>০৯৩২,মোঃ আবু তালেব,৫৭০০৩৮৩৫৫৩৭৩,মোঃ মতলেব হোসেন,মোছাঃ সোহাগী বেগম,১৭/০৮/১৯৮৬,দিনমজুর,"গাড়াডোব, গাংনী, মেহেরপুর"</t>
  </si>
  <si>
    <t>০৯৩৩,মোঃ মনিরুল ইসলাম,৫৭০০৩৮৩৫৫৩৭৪,কাঙ্গাল শেখ,মাতা: ছপুরা বেগম,১৪/১০/১৯৬৭,দিনমজুর,"গাড়াডোব, গাংনী, মেহেরপুর"</t>
  </si>
  <si>
    <t>০৯৩৪,মোঃ মতলেব আলী,৫৭০০৩৮৩৫৫৩৭৫,ফজরুদ্দিন,মোছাঃ মুকেলছা বানু,১৪/০৭/১৯৫৭,কৃষক,"গাড়াডোব, গাংনী, মেহেরপুর"</t>
  </si>
  <si>
    <t>০৯৩৫,মোঃ মুলাম হোসেন,৫৭০০৩৮৩৫৫৩৮১,আব্দুল করিম,মোছাঃ অমেলা বেগম,১০/০৯/১৯৭৭,দিনমজুর,"গাড়াডোব, গাংনী, মেহেরপুর"</t>
  </si>
  <si>
    <t>০৯৩৬,মোঃ নেকবার হোসেন,৫৭০০৩৮৩৫৫৩৮২,আব্দুল করিম,মোছাঃ অমেলা বেগম,১১/০৮/১৯৬৯,দিনমজুর,"গাড়াডোব, গাংনী, মেহেরপুর"</t>
  </si>
  <si>
    <t>০৯৩৭,মোঃ আককাচ আলী,৫৭০০৩৮৩৫৫৩৮৪,ছিপারুদ্দিন শেখ,মাতা: রাফিজান,১৭/০৯/১৯৫২,দিনমজুর,"গাড়াডোব, গাংনী, মেহেরপুর"</t>
  </si>
  <si>
    <t>০৯৩৮,মোঃ রবিউল ইসলাম,৫৭০০৩৮৩৫৫৩৮৫,কামাল হোসেন,মাতা: খাতেজান,১৪/০৮/১৯৬৭,ব্যবসা,"গাড়াডোব, গাংনী, মেহেরপুর"</t>
  </si>
  <si>
    <t>০৯৩৯,মোঃ আব্দুস সালাম,৫৭০০৩৮৩৫৫৩৮৭,আবুল কালাম আজাদ,মোছাঃ তাসলিমা খাতুন,১৪/০৯/১৯৮৮,দিনমজুর,"গাড়াডোব, গাংনী, মেহেরপুর"</t>
  </si>
  <si>
    <t>০৯৪০,মোঃ সোহেল রানা,৫৭০০৩৮৩৫৫৩৮৮,মোঃ কাউছার আলী,মোছাঃ আরজিয়া খাতুন,১১/০৬/১৯৮৭,দিনমজুর,"গাড়াডোব, গাংনী, মেহেরপুর"</t>
  </si>
  <si>
    <t>০৯৪১,মোঃ আবুল বাশার,৫৭০০৩৮৩৫৫৩৮৯,মোঃ আবুল কাশেম,মোছাঃ ফাতেমা খাতুন,১০/০৫/১৯৮৫,ব্যবসা,"গাড়াডোব, গাংনী, মেহেরপুর"</t>
  </si>
  <si>
    <t>০৯৪২,মোঃ ফারুক হোসেন,৫৭০০৩৮৩৫৫৩৯০,মোঃ আবুল কাশেম,মোছাঃ ফাতেমা খাতুন,১৮/০৮/১৯৮৮,ব্যবসা,"গাড়াডোব, গাংনী, মেহেরপুর"</t>
  </si>
  <si>
    <t>০৯৪৩,মোঃ আবুল কাশেম,৫৭০০৩৮৩৫৫৩৯১,আজাহার আলী,মাতা: ফাতেমা বেগম,২১/০৮/১৯৬২,কৃষক,"গাড়াডোব, গাংনী, মেহেরপুর"</t>
  </si>
  <si>
    <t>০৯৪৪,মোঃ তোজাম্মেল হক,৫৭০০৩৮৩৫৫৩৯২,মোঃ জামাত আলী,মোছাঃ রিকাতন নেছা,২১/০৪/১৯৭৯,শ্রমিক,"গাড়াডোব, গাংনী, মেহেরপুর"</t>
  </si>
  <si>
    <t>০৯৪৫,মোঃ জাকারুল ইসলাম,৫৭০০৩৮৩৫৫৩৯৩,মোঃ আছের উদ্দীন,মোছাঃ ছফেলা খাতুন,০১/০৫/১৯৮৬,কৃষক,"গাড়াডোব, গাংনী, মেহেরপুর"</t>
  </si>
  <si>
    <t>০৯৪৬,মোঃ আফজাল হোসেন,৫৭০০৩৮৩৫৫৩৯৫,হায়াত আলী জোয়ার্দার,মোছাঃ জেলেহার,১৬/০৫/১৯৭৮,শ্রমিক,"গাড়াডোব, গাংনী, মেহেরপুর"</t>
  </si>
  <si>
    <t>০৯৪৭,মোঃ সেকেন্দার আলী,৫৭০০৩৮৩৫৫৩৯৭,আলীজান মালিথা,মাতা: রমেলা খাতুন,০২/০২/১৯৪৮,অবসরপ্রাপ্ত বেসরকারী চাকুরী,"গাড়াডোব, গাংনী, মেহেরপুর"</t>
  </si>
  <si>
    <t>০৯৪৮,মোঃ নজরুল ইসলাম,৫৭০০৩৮৩৫৫৩৯৯,মোঃ শামসুল ইসলাম,মাতা: তাজ বানু,১৭/০৯/১৯৭৭,ব্যবসা,"গাড়াডোব, গাংনী, মেহেরপুর"</t>
  </si>
  <si>
    <t>০৯৪৯,মোঃ কামাল হোসেন,৫৭০০৩৮৩৫৫৪০০,মোঃ সিদ্দিকুর রহমান,মোছাঃ হাফিজা খাতুন,২০/০৫/১৯৭৮,ব্যবসা,"গাড়াডোব, গাংনী, মেহেরপুর"</t>
  </si>
  <si>
    <t>০৯৫০,মোঃ আবুল হোসেন,৫৭০০৩৮৩৫৫৪০২,মোঃ আব্দুল মোতালেব,মোছাঃ ফাতেমা বেগম,০১/০৩/১৯৬৮,ব্যবসা,"গাড়াডোব, গাংনী, মেহেরপুর"</t>
  </si>
  <si>
    <t>০৯৫১,মোঃ আবু হানিফ,৫৭০০৩৮৩৫৫৪০৪,মোঃ আব্দুল মোতালেব,মোছাঃ ফাতেমা বেগম,০১/০৭/১৯৭৯,ব্যবসা,"গাড়াডোব, গাংনী, মেহেরপুর"</t>
  </si>
  <si>
    <t>০৯৫২,মোঃ হামিদুল ইসলাম,৫৭০০৩৮৩৫৫৪০৫,নিয়ামত আলী,মোছাঃ ভাদিরন নেছা,১৮/০৮/১৯৭৯,ব্যবসা,"গাড়াডোব, গাংনী, মেহেরপুর"</t>
  </si>
  <si>
    <t>০৯৫৩,মোঃ বশির আহমেদ,৫৭০০৩৮৩৫৫৪০৬,মোঃ সিদ্দিকুর রহমান,মোছাঃ হাফিজা খাতুন,০১/০২/১৯৮১,ব্যবসা,"গাড়াডোব, গাংনী, মেহেরপুর"</t>
  </si>
  <si>
    <t>০৯৫৪,মোঃ অলিউল্লাহ,৫৭০০৩৮৩৫৫৪০৭,মোঃ সিদ্দিকুর রহমান,মোছাঃ হাফিজা খাতুন,২১/০৮/১৯৬৯,ব্যবসা,"গাড়াডোব, গাংনী, মেহেরপুর"</t>
  </si>
  <si>
    <t>০৯৫৯,মোঃ শাহাতাব আলী,৫৭০০৩৮৩৫৫৪০৮,মোঃ হেমাত আলী,মোছাঃ মনোয়ারা খাতুন,১৩/০৭/১৯৮৮,শ্রমিক,"গাড়াডোব, গাংনী, মেহেরপুর"</t>
  </si>
  <si>
    <t>০৯৫৬,মোঃ আকরাম আলী,৫৭০০৩৮৩৫৫৪০৯,মোঃ আছের উদ্দীন,মোছাঃ ছফেলা বেগম,১০/১০/১৯৭০,শ্রমিক,"গাড়াডোব, গাংনী, মেহেরপুর"</t>
  </si>
  <si>
    <t>০৯৫৭,মোঃ রুহুল আমিন,৫৭০০৩৮৩৫৫৪১৫,মোঃ শামসুল ইসলাম,মাতা: তাজবানু,১৩/০৭/১৯৬১,কৃষক,"গাড়াডোব, গাংনী, মেহেরপুর"</t>
  </si>
  <si>
    <t>০৯৫৮,মোঃ শফিউল্লাহ,৫৭০০৩৮৩৫৫৪১৯,আহমত আলী,মাতা: জয়ফুরা খাতুন,১৩/০৮/১৯৫২,দিনমজুর,"গাড়াডোব, গাংনী, মেহেরপুর"</t>
  </si>
  <si>
    <t>০৯৫৯,মোঃ আব্দুর রাজ্জাক,৫৭০০৩৮৩৫৫৪২৭,মোঃ তাইজুল ইসলাম,মাতা: খুসু বেগম,১৬/০৮/১৯৮২,ব্যবসা,"গাড়াডোব, গাংনী, মেহেরপুর"</t>
  </si>
  <si>
    <t>০৯৬০,মোঃ আবু ইউসুফ,৫৭০০৩৮৩৫৫৪৩,হাফিজ উদ্দীন,মোছাঃ জরফুন নেছা,১০/০৮/১৯৬৭,কৃষক,"গাড়াডোব, গাংনী, মেহেরপুর"</t>
  </si>
  <si>
    <t>০৯৬১,মোঃ ছবদেল হোসেন,৫৭০০৩৮৩৫৫৪৪২,মোঃ ফজের আলী,মোছাঃ সাহার বানু,২০/০৯/১৯৮৫,দিনমজুর,"গাড়াডোব, গাংনী, মেহেরপুর"</t>
  </si>
  <si>
    <t>০৯৬২,মোঃ বিশারত আলী,৫৭০০৩৮৩৫৫৪৪৪,মোঃ দেলোয়ার হোসেন,মোছাঃ আনোয়ারা খাতুন,১৩/০৮/১৯৮৬,শ্রমিক,"গাড়াডোব, গাংনী, মেহেরপুর"</t>
  </si>
  <si>
    <t>০৯৬৩,মোঃ মতিয়ার রহমান,৫৭০০৩৮৩৫৫৪৪৬,জানালী শেখ,মাতা: চিনা বিবি,১০/০৮/১৯৬৭,শ্রমিক,"গাড়াডোব, গাংনী, মেহেরপুর"</t>
  </si>
  <si>
    <t>০৯৬৪,মোঃ মহাবুল হক,৫৭০০৩৮৩৫৫৪৪৮,ইয়ার আলী,মাতা: সবুর,১১/০৯/১৯৬২,ব্যবসা,"গাড়াডোব, গাংনী, মেহেরপুর"</t>
  </si>
  <si>
    <t>০৯৬৫,মোঃ আব্দুল হান্নান,৫৭০০৩৮৩৫৫৪৪৯,ফজল,মাতা: মহিলা বেগম,২০/০৮/১৯৭১,শ্রমিক,"গাড়াডোব, গাংনী, মেহেরপুর"</t>
  </si>
  <si>
    <t>০৯৬৬,মোঃ ইউছুব আলী,৫৭০০৩৮৩৫৫৪৫০,ফজল শেখ,মাতা: মহিলা খাতুন,১৯/০৭/১৯৭২,শ্রমিক,"গাড়াডোব, গাংনী, মেহেরপুর"</t>
  </si>
  <si>
    <t>০৯৬৭,মোঃ আমজাদ আলী,৫৭০০৩৮৩৫৫৪৫২,পাতান,মোছাঃ হাচিনা বানু,১১/০৯/১৯৮১,শ্রমিক,"গাড়াডোব, গাংনী, মেহেরপুর"</t>
  </si>
  <si>
    <t>০৯৬৮,মোঃ আব্দুর রহমান,৫৭০০৩৮৩৫৫৪৫৩,মোঃ আব্দুর রাজ্জাক,মোছাঃ সুফিয়া বেগম,২০/০৭/১৯৭৭,শ্রমিক,"গাড়াডোব, গাংনী, মেহেরপুর"</t>
  </si>
  <si>
    <t>০৯৬৯,মোঃ শামসুল ইসলাম,৫৭০০৩৮৩৫৫৪৫৪,মোঃ আব্দুর ছাত্তার,মোছাঃ ছপুরা বেগম,২০/০৭/১৯৭৫,শ্রমিক,"গাড়াডোব, গাংনী, মেহেরপুর"</t>
  </si>
  <si>
    <t>১৪৭৪,নাম: আশরাফ আলী,ভোটার নং: ৫৭০০৩৮৩৫৬৮২৮,পিতা: মো: গোলাম পাঞ্জাতন শেখ,মাতা: আবেদা খাতুন,জন্ম তারিখ: ২৫/০৫/১৯৬৩,পেশা: মিস্ত্রী,ঠিকানা: গাড়াবোব, গাংনী, মেহেরপুর</t>
  </si>
  <si>
    <t>১৪৭৫,নাম: মো: আব্দুস সাত্তার,ভোটার নং: ৫৭০০৩৮৩৫৬৬২৯,পিতা: মো: এলমান শেখ,মাতা: জমেলা খাতুন,জন্ম তারিখ: ১২/০৮/১৯৫৭,পেশা: ব্যবসা,ঠিকানা: গাড়াবোব, গাংনী, মেহেরপুর</t>
  </si>
  <si>
    <t>১৪৭৬,নাম: এস এম আব্দুল কুদ্দুস,ভোটার নং: ৫৭০০৩৮৩৫৬৬৩২,পিতা: এস এম আনোয়ার হোসেন,মাতা: জমেলা খাতুন,জন্ম তারিখ: ২৪/০৬/১৯৭৪,পেশা: বেসরকারী চাকুরী,ঠিকানা: গাড়াবোব, গাংনী, মেহেরপুর</t>
  </si>
  <si>
    <t>১৪৭৭,নাম: মোহা: হামিজ উদ্দীন,ভোটার নং: ৫৭০০৩৮৩৫৬৬৩৬,পিতা: আতের আলী শেখ,মাতা: পরিছন,জন্ম তারিখ: ০১/০১/১৯৬৮,পেশা: শিক্ষক,ঠিকানা: গাড়াবোব, গাংনী, মেহেরপুর</t>
  </si>
  <si>
    <t>১৪৭৮,নাম: মো: আব্দুর রাজ্জাক,ভোটার নং: ৫৭০০৩৮৩৫৬৬৪০,পিতা: মো: আনোয়ার হোসেন,মাতা: জমেলা খাতুন,জন্ম তারিখ: ০২/০৪/১৯৬৭,পেশা: কৃষক,ঠিকানা: গাড়াবোব, গাংনী, মেহেরপুর</t>
  </si>
  <si>
    <t>১৪৭৯,নাম: মো: গোলাম রসুল,ভোটার নং: ৫৭০০৩৮৩৫৬৬৪১,পিতা: কিয়ামদ্দিন,মাতা: নেকজান,জন্ম তারিখ: ১৪/০৭/১৯৬০,পেশা: কৃষক,ঠিকানা: গাড়াবোব, গাংনী, মেহেরপুর</t>
  </si>
  <si>
    <t>১৪৮০,নাম: মো: ইউনুছ আলী,ভোটার নং: ৫৭০০৩৮৩৫৬৬৪২,পিতা: কিয়ামদ্দিন,মাতা: নেকজান,জন্ম তারিখ: ১৮/০৯/১৯৬৬,পেশা: দিনমজুর,ঠিকানা: গাড়াবোব, গাংনী, মেহেরপুর</t>
  </si>
  <si>
    <t>১৪৮১,নাম: মো: আরিফুল ইসলাম,ভোটার নং: ৫৭০০৩৮৩৫৬৬৪৪,পিতা: মো: ইউনুছ আলী,মাতা: মোছা: আনোয়ারা খাতুন,জন্ম তারিখ: ১২/০৮/১৯৮৭,পেশা: দিনমজুর,ঠিকানা: গাড়াবোব, গাংনী, মেহেরপুর</t>
  </si>
  <si>
    <t>১৪৮২,নাম: মো: আনেচ আলী,ভোটার নং: ৫৭০০৩৮৩৫৬৬৪৫,পিতা: কিয়ামদ্দিন,মাতা: নেকজান,জন্ম তারিখ: ২১/১০/১৯৭০,পেশা: দিনমজুর,ঠিকানা: গাড়াবোব, গাংনী, মেহেরপুর</t>
  </si>
  <si>
    <t>১৪৮৩,নাম: মো: নিয়াত আলী,ভোটার নং: ৫৭০০৩৮৩৫৬৬৪৭,পিতা: কিয়ামদ্দিন,মাতা: নেকজান,জন্ম তারিখ: ১৭/০৯/১৯৬২,পেশা: ব্যবসা,ঠিকানা: গাড়াবোব, গাংনী, মেহেরপুর</t>
  </si>
  <si>
    <t>১৪৮৪,নাম: মো: আব্দুল মালেক,ভোটার নং: ৫৭০০৩৮৩৫৬৬৫৬,পিতা: মো: বরকত আলী,মাতা: মোছা: নাছিমা খাতুন,জন্ম তারিখ: ০৯/০৮/১৯৮২,পেশা: কৃষক,ঠিকানা: গাড়াবোব, গাংনী, মেহেরপুর</t>
  </si>
  <si>
    <t>১৪৮৫,নাম: মো: বরকত আলী,ভোটার নং: ৫৭০০৩৮৩৫৬৬৫৮,পিতা: মো: বাবর আলী শেখ,মাতা: মোছা: শরিফা খাতুন,জন্ম তারিখ: ০৭/০৯/১৯৫৭,পেশা: কৃষক,ঠিকানা: গাড়াবোব, গাংনী, মেহেরপুর</t>
  </si>
  <si>
    <t>১৪৮৬,নাম: মো: ইউছুফ আলী মালিথা,ভোটার নং: ৫৭০০৩৮৩৫৬৬৬০,পিতা: ফকির মালিথা,মাতা: নেকজান খাতুন,জন্ম তারিখ: ১৬/০৯/১৯৫৭,পেশা: কৃষক,ঠিকানা: গাড়াবোব, গাংনী, মেহেরপুর</t>
  </si>
  <si>
    <t>১৪৮৭,নাম: মো: আজিম উদ্দীন,ভোটার নং: ৫৭০০৩৮৩৫৬৬৬৩,পিতা: মো: ছামছুদ্দিন শেখ,মাতা: মোছা: খোদেজা,জন্ম তারিখ: ১২/০২/১৯৭৬,পেশা: কৃষক,ঠিকানা: গাড়াবোব, গাংনী, মেহেরপুর</t>
  </si>
  <si>
    <t>১৪৮৮,নাম: মো: শফিকুল ইসলাম,ভোটার নং: ৫৭০০৩৮৩৫৬৬৬৫,পিতা: মো: ছামছুদ্দিন শেখ,মাতা: মোছা: খোদেজা,জন্ম তারিখ: ১৬/০৫/১৯৮৫,পেশা: শ্রমিক,ঠিকানা: গাড়াবোব, গাংনী, মেহেরপুর</t>
  </si>
  <si>
    <t>১৪৮৯,নাম: মো: রুস্তম আলী,ভোটার নং: ৫৭০০৩৮৩৫৬৬৬৬,পিতা: মো: ছামহুদ্দিন শেখ,মাতা: মোছা: খোদেজা খাতুন,জন্ম তারিখ: ২১/০৩/১৯৬৫,পেশা: কৃষক,ঠিকানা: গাড়াবোব, গাংনী, মেহেরপুর</t>
  </si>
  <si>
    <t>১৪৯০,নাম: মো: ছানোয়ার হোসেন,ভোটার নং: ৫৭০০৩৮৩৫৬৬৬৯,পিতা: মো: ইউছুফ মালিথা,মাতা: হানিফা খাতুন,জন্ম তারিখ: ০৬/০৪/১৯৭৯,পেশা: কৃষক,ঠিকানা: গাড়াবোব, গাংনী, মেহেরপুর</t>
  </si>
  <si>
    <t>১৪৯১,নাম: মোহা: তানভীর আহমেদ,ভোটার নং: ৫৭০০৩৮৩৫৬৬৭০,পিতা: মো: আবু বক্কর,মাতা: মোছা: রেহেনা পারভিন,জন্ম তারিখ: ১০/১২/১৯৮৬,পেশা: ছাত্র/ছাত্রী,ঠিকানা: গাড়াবোব, গাংনী, মেহেরপুর</t>
  </si>
  <si>
    <t>১৪৯২,নাম: মো: রফিকুল ইসলাম,ভোটার নং: ৫৭০০৩৮৩৫৬৬৭২,পিতা: মো: মসলেম শেখ,মাতা: মোছা: রোকেয়া খাতুন,জন্ম তারিখ: ১৬/০৮/১৯৬৯,পেশা: দিনমজুর,ঠিকানা: গাড়াবোব, গাংনী, মেহেরপুর</t>
  </si>
  <si>
    <t>১৪৯৩,নাম: মো: বানাত আলী,ভোটার নং: ৫৭০০৩৮৩৫৬৬৭৩,পিতা: মো: মসলেম শেখ,মাতা: মোছা: রোকেয়া খাতুন,জন্ম তারিখ: ০৭/১২/১৯৮২,পেশা: দিনমজুর,ঠিকানা: গাড়াবোব, গাংনী, মেহেরপুর</t>
  </si>
  <si>
    <t>১৪৯৪,নাম: মো: জামিরুল ইসলাম,ভোটার নং: ৫৭০০৩৮৩৫৬৬৭৫,পিতা: মো: মোরজেত আলী,মাতা: মোছা: ছামিরন নেছা,জন্ম তারিখ: ২৫/১০/১৯৬৭,পেশা: ব্যবসা,ঠিকানা: গাড়াবোব, গাংনী, মেহেরপুর</t>
  </si>
  <si>
    <t>১৪৯৫,নাম: মো: রফিকুল ইসলাম,ভোটার নং: ৫৭০০৩৮৩৫৬৬৭৬,পিতা: মো: সামসুদ্দিন শেখ,মাতা: মোছা: খোদেজা বেগম,জন্ম তারিখ: ২৭/০৮/১৯৮২,পেশা: কৃষক,ঠিকানা: গাড়াবোব, গাংনী, মেহেরপুর</t>
  </si>
  <si>
    <t>১৪৯৬,নাম: মো: মনিরুল ইসলাম,ভোটার নং: ৫৭০০৩৮৩৫৬৬৭৭,পিতা: মো: আনোয়ার হোসেন,মাতা: জামেনা খাতুন,জন্ম তারিখ: ০৮/১০/১৯৮২,পেশা: কৃষক,ঠিকানা: গাড়াবোব, গাংনী, মেহেরপুর</t>
  </si>
  <si>
    <t>১৪৯৭,নাম: মো: বাবর আলী শেখ,ভোটার নং: ৫৭০০৩৮৩৫৬৬৭৮,পিতা: জহিরুদ্দিন শেখ,মাতা: জবেদা খাতুন,জন্ম তারিখ: ১৪/১২/১৯৫০,পেশা: ব্যবসা,ঠিকানা: গাড়াবোব, গাংনী, মেহেরপুর</t>
  </si>
  <si>
    <t>১৪৯৮,নাম: মো: আজগর আলী,ভোটার নং: ৫৭০০৩৮৩৫৬৬৭৯,পিতা: মো: বাবর আলী শেখ,মাতা: মোছা: মর্জিনা খাতুন,জন্ম তারিখ: ২১/১০/১৯৮১,পেশা: কৃষক,ঠিকানা: গাড়াবোব, গাংনী, মেহেরপুর</t>
  </si>
  <si>
    <t>১৪৯৯,নাম: মো: ইদ্রিস আলী,ভোটার নং: ৫৭০০৩৮৩৫৬৬৮০,পিতা: মো: তাহাজ উদ্দীন,মাতা: মোছা: আছিয়া খাতুন,জন্ম তারিখ: ০৬/০৩/১৯৮২,পেশা: কৃষক,ঠিকানা: গাড়াবোব, গাংনী, মেহেরপুর</t>
  </si>
  <si>
    <t>১৫০০,নাম: মো: শাহ আলম বাদশা,ভোটার নং: ৫৭০০৩৮৩৫৬৬৮১,পিতা: মো: আব্দুর রশিদ,মাতা: মোছা: মাবিয়া খাতুন,জন্ম তারিখ: ১৪/০৯/১৯৮২,পেশা: কৃষক,ঠিকানা: গাড়াবোব, গাংনী, মেহেরপুর</t>
  </si>
  <si>
    <t>১৫০১,নাম: মো: গোলাম মালিথা,ভোটার নং: ৫৭০০৩৮৩৫৬৬৮২,পিতা: ফকির মালিথা,মাতা: নেকজান,জন্ম তারিখ: ২২/০৪/১৯৫৭,পেশা: কৃষক,ঠিকানা: গাড়াবোব, গাংনী, মেহেরপুর</t>
  </si>
  <si>
    <t>১৫০২,নাম: মো: আবু বক্কর,ভোটার নং: ৫৭০০৩৮৩৫৬৬৮৬,পিতা: মো: কলিম উদ্দীন,মাতা: মোছা: আছিয়া খাতুন,জন্ম তারিখ: ০২/০৩/১৯৬১,পেশা: সরকারী চাকুরী,ঠিকানা: গাড়াবোব, গাংনী, মেহেরপুর</t>
  </si>
  <si>
    <t>১৫০৩,নাম: মো: সাফায়াত হোসেন,ভোটার নং: ৫৭০০৩৮৩৫৬৬৮৮,পিতা: মো: নাসির উদ্দীন,মাতা: আলেক জান,জন্ম তারিখ: ১৫/১০/১৯৫৯,পেশা: ব্যবসা,ঠিকানা: গাড়াবোব, গাংনী, মেহেরপুর</t>
  </si>
  <si>
    <t>১৫০৪,নাম: মো: আশরাফুল ইসলাম,ভোটার নং: ৫৭০০৩৮৩৫৬৬৮৯,পিতা: মো: তাহাজ উদ্দীন,মাতা: মোছা: আছিয়া খাতুন,জন্ম তারিখ: ১০/০৬/১৯৭১,পেশা: কৃষক,ঠিকানা: গাড়াবোব, গাংনী, মেহেরপুর</t>
  </si>
  <si>
    <t>১৫০৫,নাম: মো: চাঁদ আলী,ভোটার নং: ৫৭০০৩৮৩৫৬৬৯০,পিতা: সাবিতুল্লাহ শেখ,মাতা: ফজিলা খাতুন,জন্ম তারিখ: ০২/০৪/১৯৮১,পেশা: মিস্ত্রী,ঠিকানা: গাড়াবোব, গাংনী, মেহেরপুর</t>
  </si>
  <si>
    <t>১৫০৬,নাম: মোহা: রাজিকুল ইসলাম,ভোটার নং: ৫৭০০৩৮৩৫৬৬৯৪,পিতা: মোহা: নুরুল ইসলাম,মাতা: মোহা: রাজিয়া খাতুন,জন্ম তারিখ: ১৫/১২/১৯৮৭,পেশা: ছাত্র/ছাত্রী,ঠিকানা: গাড়াবোব, গাংনী, মেহেরপুর</t>
  </si>
  <si>
    <t>১৫০৭,নাম: মো: সালাউদ্দীন,ভোটার নং: ৫৭০০৩৮৩৫৬৬৯৫,পিতা: মো: মহিউদ্দীন,মাতা: মোছা: মর্জিনা খাতুন,জন্ম তারিখ: ০২/০১/১৯৮৭,পেশা: বেসরকারী চাকুরী,ঠিকানা: গাড়াবোব, গাংনী, মেহেরপুর</t>
  </si>
  <si>
    <t>১৫০৮,নাম: মো: আব্দুল হান্নান,ভোটার নং: ৫৭০০৩৮৩৫৬৭০২,পিতা: মো: আবুল কালাম,মাতা: মোছা: বেদেনা খাতুন,জন্ম তারিখ: ২৭/০৬/১৯৬২,পেশা: ব্যবসা,ঠিকানা: গাড়াবোব, গাংনী, মেহেরপুর</t>
  </si>
  <si>
    <t>১৫০৯,নাম: মো: আবুল কালাম,ভোটার নং: ৫৭০০৩৮৩৫৬৭০৩,পিতা: ফাকের আলী,মাতা: জাসিমন নেছা,জন্ম তারিখ: ০৪/০৫/১৯২৫,পেশা: বেকার,ঠিকানা: গাড়াবোব, গাংনী, মেহেরপুর</t>
  </si>
  <si>
    <t>১৫১০,নাম: মো: আব্দুর রহিম,ভোটার নং: ৫৭০০৩৮৩৫৬৭০৫,পিতা: মো: আবুল কালাম,মাতা: মোছা: বেদেনা খাতুন,জন্ম তারিখ: ১৫/০৯/১৯৭১,পেশা: ব্যবসা,ঠিকানা: গাড়াবোব, গাংনী, মেহেরপুর</t>
  </si>
  <si>
    <t>১৫১১,নাম: মো: জমিরুল ইসলাম,ভোটার নং: ৫৭০০৩৮৩৫৬৭১২,পিতা: মো: আবুল হোসেন,মাতা: মোছা: নেকজান খাতুন,জন্ম তারিখ: ০৬/০৬/১৯৮০,পেশা: কৃষক,ঠিকানা: গাড়াবোব, গাংনী, মেহেরপুর</t>
  </si>
  <si>
    <t>১৫১২,নাম: মো: শরিফুল ইসলাম,ভোটার নং: ৫৭০০৩৮৩৫৬৭১৬,পিতা: মো: আব্দুল খালেক,মাতা: মোছা: সাহিদা খাতুন,জন্ম তারিখ: ১২/০৩/১৯৬৫,পেশা: কৃষক,ঠিকানা: গাড়াবোব, গাংনী, মেহেরপুর</t>
  </si>
  <si>
    <t>১৫১৩,নাম: মো: আক্কাচ আলী,ভোটার নং: ৫৭০০৩৮৩৫৬৭২১,পিতা: আজগার আলী,মাতা: মোছা: আছিয়া খাতুন,জন্ম তারিখ: ২৩/০৯/১৯৬০,পেশা: শ্রমিক,ঠিকানা: গাড়াবোব, গাংনী, মেহেরপুর</t>
  </si>
  <si>
    <t>১৫১৪,নাম: মো: আনিছুর রহমান,ভোটার নং: ৫৭০০৩৮৩৫৬৭২৪,পিতা: হেকমত শেখ,মাতা: মোছা: জহেরা বেগম,জন্ম তারিখ: ২৯/১০/১৯৬৩,পেশা: কৃষক,ঠিকানা: গাড়াবোব, গাংনী, মেহেরপুর</t>
  </si>
  <si>
    <t>১৫১৫,নাম: মো: ছবেদ আলী,ভোটার নং: ৫৭০০৩৮৩৫৬৭২৮,পিতা: ছাদের আলী,মাতা: হায়রুন নেছা,জন্ম তারিখ: ১৭/০৭/১৯৪৮,পেশা: কৃষক,ঠিকানা: গাড়াবোব, গাংনী, মেহেরপুর</t>
  </si>
  <si>
    <t>১৫১৬,নাম: মো: আওলাদ হোসেন,ভোটার নং: ৫৭০০৩৮৩৫৬৭৩০,পিতা: শুকুর আলী,মাতা: মোছা: জবেদা খাতুন,জন্ম তারিখ: ১৯/০২/১৯৬৮,পেশা: কৃষক,ঠিকানা: গাড়াবোব, গাংনী, মেহেরপুর</t>
  </si>
  <si>
    <t>১৫১৭,নাম: মোহা: মহসীন আলী,ভোটার নং: ৫৭০০৩৮৩৫৬৭৩৪,পিতা: শুকুর আলী,মাতা: মোছা: জবেদা খাতুন,জন্ম তারিখ: ২৬/০২/১৯৭৭,পেশা: কৃষক,ঠিকানা: গাড়াবোব, গাংনী, মেহেরপুর</t>
  </si>
  <si>
    <t>১৫১৮,নাম: মো: জাফর আলী,ভোটার নং: ৫৭০০৩৮৩৫৬৭৩৯,পিতা: মো: আব্দুল শাফী,মাতা: মোছা: বুলু নেছা,জন্ম তারিখ: ১৭/০৯/১৯৮৮,পেশা: কৃষক,ঠিকানা: গাড়াবোব, গাংনী, মেহেরপুর</t>
  </si>
  <si>
    <t>১৫১৯,নাম: মো: আব্দুল গণি,ভোটার নং: ৫৭০০৩৮৩৫৬৭৪০,পিতা: মো: আব্দুল শাফী,মাতা: মোছা: বুলু নেছা,জন্ম তারিখ: ০২/০১/১৯৭৯,পেশা: ব্যবসা,ঠিকানা: গাড়াবোব, গাংনী, মেহেরপুর</t>
  </si>
  <si>
    <t>১৫২০,নাম: মো: তৌহিদুল ইসলাম,ভোটার নং: ৫৭০০৩৮৩৫৬৭৬০,পিতা: মো: আবুল হোসেন,মাতা: মোছা: তহুরা খাতুন,জন্ম তারিখ: ১৯/০৩/১৯৮৫,পেশা: কৃষক,ঠিকানা: গাড়াবোব, গাংনী, মেহেরপুর</t>
  </si>
  <si>
    <t>১৫২১,নাম: মো: ফিরোজ আলী,ভোটার নং: ৫৭০০৩৮৩৫৬৭৬১,পিতা: আজগার আলী,মাতা: মোছা: আছিয়া বেগম,জন্ম তারিখ: ২৫/০৫/১৯৭০,পেশা: শ্রমিক,ঠিকানা: গাড়াবোব, গাংনী, মেহেরপুর</t>
  </si>
  <si>
    <t>১৫২২,নাম: মো: আলী হোসেন,ভোটার নং: ৫৭০০৩৮৩৫৬৭৬৫,পিতা: শুকুর আলী,মাতা: মোছা: জবেদা খাতুন,জন্ম তারিখ: ০৫/০৩/১৯৬৯,পেশা: কৃষক,ঠিকানা: গাড়াবোব, গাংনী, মেহেরপুর</t>
  </si>
  <si>
    <t>১৫২৩,নাম: মো: কুদ্দুস আলী,ভোটার নং: ৫৭০০৩৮৩৫৬৭৬৬,পিতা: ফকির মোহাম্মাদ,মাতা: মোছা: নবিছন নেছা,জন্ম তারিখ: ০৭/০৪/১৯৭০,পেশা: কৃষক,ঠিকানা: গাড়াবোব, গাংনী, মেহেরপুর</t>
  </si>
  <si>
    <t>১৫২৪,নাম: মো: কামাল হোসেন,ভোটার নং: ৫৭০০৩৮৩৫৬৭৬৭,পিতা: মোহা: হাশেম আলী,মাতা: মোছা: জাহানারা খাতুন,জন্ম তারিখ: ০৬/০৫/১৯৮০,পেশা: কৃষক,ঠিকানা: গাড়াবোব, গাংনী, মেহেরপুর</t>
  </si>
  <si>
    <t>১৫২৫,নাম: মোহা: কেসমত আলী,ভোটার নং: ৫৭০০৩৮৩৫৬৭৬৮,পিতা: ফকির মোহাম্মাদ,মাতা: মোছা: নবিছন নেছা,জন্ম তারিখ: ১২/০৪/১৯৮০,পেশা: শ্রমিক,ঠিকানা: গাড়াবোব, গাংনী, মেহেরপুর</t>
  </si>
  <si>
    <t>১৫২৬,নাম: মো: আবুল হোসেন,ভোটার নং: ৫৭০০৩৮৩৫৬৭৬৯,পিতা: মোহা: নুর মোহাম্মাদ,মাতা: মোছা: জাকিমন খাতুন,জন্ম তারিখ: ২২/০৭/১৯৪৬,পেশা: কৃষক,ঠিকানা: গাড়াবোব, গাংনী, মেহেরপুর</t>
  </si>
  <si>
    <t>১৫২৭,নাম: মো: হাশেম আলী,ভোটার নং: ৫৭০০৩৮৩৫৬৭৭০,পিতা: মোহা: নুর মোহাম্মাদ,মাতা: মোছা: জকিমন নেছা,জন্ম তারিখ: ১৮/০৯/১৯৬০,পেশা: কৃষক,ঠিকানা: গাড়াবোব, গাংনী, মেহেরপুর</t>
  </si>
  <si>
    <t>১৫২৮,নাম: মো: আবুল হোসেন,ভোটার নং: ৫৭০০৩৮৩৫৬৭৭৩,পিতা: মো: জহুর আলী,মাতা: মোছা: গণ বিবি,জন্ম তারিখ: ১৬/০২/১৯৬০,পেশা: কৃষক,ঠিকানা: গাড়াবোব, গাংনী, মেহেরপুর</t>
  </si>
  <si>
    <t>১৫২৯,নাম: মো: আবুল হোসেন,ভোটার নং: ৫৭০০৩৮৩৫৬৭৮১,পিতা: সৈয়দ আলী শেখ,মাতা: মোছা: জোহরা খাতুন,জন্ম তারিখ: ১১/০৩/১৯৫৭,পেশা: কৃষক,ঠিকানা: গাড়াবোব, গাংনী, মেহেরপুর</t>
  </si>
  <si>
    <t>১৫৩০,নাম: মো: কাওছার আলী,ভোটার নং: ৫৭০০৩৮৩৫৬৭৮২,পিতা: সৈয়দ আলী,মাতা: মোছা: জোহরা খাতুন,জন্ম তারিখ: ১২/০৬/১৯৭২,পেশা: শ্রমিক,ঠিকানা: গাড়াবোব, গাংনী, মেহেরপুর</t>
  </si>
  <si>
    <t>১৫৩১,নাম: মো: হযরত আলী,ভোটার নং: ৫৭০০৩৮৩৫৬৭৮৬,পিতা: সৈয়দ আলী,মাতা: মোছা: মহিমা খাতুন,জন্ম তারিখ: ০২/১০/১৯৭৮,পেশা: ব্যবসা,ঠিকানা: গাড়াবোব, গাংনী, মেহেরপুর</t>
  </si>
  <si>
    <t>১৫৩২,নাম: মোহা: বাবলু মিয়া,ভোটার নং: ৫৭০০৩৮৩৫৬৭৯৫,পিতা: মো: আফাজ উদ্দীন,মাতা: মিজাতন নেছা,জন্ম তারিখ: ২৭/০৯/১৯৬৭,পেশা: শ্রমিক,ঠিকানা: গাড়াবোব, গাংনী, মেহেরপুর</t>
  </si>
  <si>
    <t>১৫৩৩,নাম: মো: মফিজুল ইসলাম,ভোটার নং: ৫৭০০৩৮৩৫৬৭৯৬,পিতা: মো: আফাজ উদ্দীন,মাতা: মোছা: ফুলু বেগম,জন্ম তারিখ: ১১/০৮/১৯৭৭,পেশা: কৃষক,ঠিকানা: গাড়াবোব, গাংনী, মেহেরপুর</t>
  </si>
  <si>
    <t>১৫৩৪,নাম: মো: শওকত আলী,ভোটার নং: ৫৭০০৩৮৩৫৬৭৯৭,পিতা: মো: জহুর শেখ,মাতা: মোছা: গোলেজান বিবি,জন্ম তারিখ: ১৪/০৮/১৯৭৭,পেশা: কৃষক,ঠিকানা: গাড়াবোব, গাংনী, মেহেরপুর</t>
  </si>
  <si>
    <t>১৫৩৫,নাম: মো: আব্দুর রহমান,ভোটার নং: ৫৭০০৩৮৩৫৬৭৯৮,পিতা: আব্দুল ওয়াহেদ,মাতা: জমেলা খাতুন,জন্ম তারিখ: ২৮/০৩/১৯৪৯,পেশা: কৃষক,ঠিকানা: গাড়াবোব, গাংনী, মেহেরপুর</t>
  </si>
  <si>
    <t>১৫৩৬,নাম: মো: ইয়ার আলী,ভোটার নং: ৫৭০০৩৮৩৫৬৭৯৯,পিতা: মো: আব্দুর রহমান,মাতা: মোছা: রাফিয়া খাতুন,জন্ম তারিখ: ০২/০৫/১৯৭২,পেশা: কৃষক,ঠিকানা: গাড়াবোব, গাংনী, মেহেরপুর</t>
  </si>
  <si>
    <t>১৫৩৭,নাম: মো: মল্লিক হোসেন,ভোটার নং: ৫৭০০৩৮৩৫৬৮০০,পিতা: ইমাজ উদ্দীন,মাতা: জমেলা খাতুন,জন্ম তারিখ: ২৮/০৯/১৯৫৭,পেশা: কৃষক,ঠিকানা: গাড়াবোব, গাংনী, মেহেরপুর</t>
  </si>
  <si>
    <t>১৫৩৮,নাম: মো: আকবর আলী,ভোটার নং: ৫৭০০৩৮৩৫৬৮০১,পিতা: শাফেজ উদ্দীন,মাতা: মোছা: আয়েশা খাতুন,জন্ম তারিখ: ১১/০৭/১৯৬২,পেশা: কৃষক,ঠিকানা: গাড়াবোব, গাংনী, মেহেরপুর</t>
  </si>
  <si>
    <t>১৫৩৯,নাম: মো: মনি মোল্লা,ভোটার নং: ৫৭০০৩৮৩৫৬৮০২,পিতা: মো: শাফী,মাতা: মোছা: বুলু খাতুন,জন্ম তারিখ: ১২/০৩/১৯৮২,পেশা: কৃষক,ঠিকানা: গাড়াবোব, গাংনী, মেহেরপুর</t>
  </si>
  <si>
    <t>১৫৪০,নাম: মো: আইয়ুব আলী,ভোটার নং: ৫৭০০৩৮৩৫৬৮০৩,পিতা: ফকির মোহাম্মাদ,মাতা: মোছা: নবিছন নেছা,জন্ম তারিখ: ১২/০৮/১৯৮৭,পেশা: কৃষক,ঠিকানা: গাড়াবোব, গাংনী, মেহেরপুর</t>
  </si>
  <si>
    <t>১৫৪১,নাম: মো: মেহেদুল ইসলাম,ভোটার নং: ৫৭০০৩৮৩৫৬৮০৪,পিতা: আব্দুল আজিজ,মাতা: মোছা: মেহেরন নেছা,জন্ম তারিখ: ০৫/০৭/১৯৭২,পেশা: কৃষক,ঠিকানা: গাড়াবোব, গাংনী, মেহেরপুর</t>
  </si>
  <si>
    <t>১৫৪২,নাম: মো: শাহজাহান আলী,ভোটার নং: ৫৭০০৩৮৩৫৬৮০৫,পিতা: মো: আকবর আলী,মাতা: মোছা: রহিমা খাতুন,জন্ম তারিখ: ১২/০৭/১৯৮৮,পেশা: কৃষক,ঠিকানা: গাড়াবোব, গাংনী, মেহেরপুর</t>
  </si>
  <si>
    <t>১৫৪৩,নাম: মো: জুয়েল রানা,ভোটার নং: ৫৭০০৩৮৩৫৬৮০৬,পিতা: মো: হাশেম আলী,মাতা: মোছা: মর্জিনা খাতুন,জন্ম তারিখ: ১৫/০৪/১৯৮৭,পেশা: কৃষক,ঠিকানা: গাড়াবোব, গাংনী, মেহেরপুর</t>
  </si>
  <si>
    <t>১৫৪৪,নাম: মো: জব্বারুল ইসলাম,ভোটার নং: ৫৭০০৩৮৩৫৬৮০৭,পিতা: মো: আহাদ আলী,মাতা: মোছা: সাজেদা খাতুন,জন্ম তারিখ: ১৫/০৫/১৯৮০,পেশা: কৃষক,ঠিকানা: গাড়াবোব, গাংনী, মেহেরপুর</t>
  </si>
  <si>
    <t>১৫৪৫,নাম: মো: সিদ্দীক হোসেন,ভোটার নং: ৫৭০০৩৮৩৫৬৮০৮,পিতা: মো: আবুল হোসেন,মাতা: মোছা: সকিলা খাতুন,জন্ম তারিখ: ১৫/০৭/১৯৮৫,পেশা: কৃষক,ঠিকানা: গাড়াবোব, গাংনী, মেহেরপুর</t>
  </si>
  <si>
    <t>১৫৪৬,নাম: মো: আসেম আলী,ভোটার নং: ৫৭০০৩৮৩৫৬৮০৯,পিতা: মোজাম্মেল হক,মাতা: মোছা: তাহেরা খাতুন,জন্ম তারিখ: ১২/০৪/১৯৫৯,পেশা: কৃষক,ঠিকানা: গাড়াবোব, গাংনী, মেহেরপুর</t>
  </si>
  <si>
    <t>১৫৪৭,নাম: মো: রবিউল ইসলাম,ভোটার নং: ৫৭০০৩৮৩৫৬৮১০,পিতা: মো: আতাহার আলী,মাতা: মোছা: মিলু খাতুন,জন্ম তারিখ: ১০/০৩/১৯৭৭,পেশা: কৃষক,ঠিকানা: গাড়াবোব, গাংনী, মেহেরপুর</t>
  </si>
  <si>
    <t>১৫৪৮,নাম: মো: রফিকুল ইসলাম,ভোটার নং: ৫৭০০৩৮৩৫৬৮১১,পিতা: মো: খেজমত আলী,মাতা: মোছা: রাফিয়া খাতুন,জন্ম তারিখ: ১১/০৫/১৯৭০,পেশা: ব্যবসা,ঠিকানা: গাড়াবোব, গাংনী, মেহেরপুর</t>
  </si>
  <si>
    <t>১৫৪৯,নাম: মো: মহিবুল ইসলাম,ভোটার নং: ৫৭০০৩৮৩৫৬৮১২,পিতা: আব্দুল আজিজ,মাতা: মোছা: নিহারন নেছা,জন্ম তারিখ: ১০/০৫/১৯৮১,পেশা: কৃষক,ঠিকানা: গাড়াবোব, গাংনী, মেহেরপুর</t>
  </si>
  <si>
    <t>১৫৫০,নাম: মো: কবির আলী,ভোটার নং: ৫৭০০৩৮৩৫৬৮১৩,পিতা: মো: আবুল হোসেন,মাতা: মোছা: ছয়েলা খাতুন,জন্ম তারিখ: ১৫/০৩/১৯৭৪,পেশা: ব্যবসা,ঠিকানা: গাড়াবোব, গাংনী, মেহেরপুর</t>
  </si>
  <si>
    <t>১৫৫১,নাম: মো: বাবর আলী,ভোটার নং: ৫৭০০৩৮৩৫৬৮১৪,পিতা: মো: আবুল হোসেন,মাতা: মোছা: ছয়েলা খাতুন,জন্ম তারিখ: ২৯/০১/১৯৭৩,পেশা: ব্যবসা,ঠিকানা: গাড়াবোব, গাংনী, মেহেরপুর</t>
  </si>
  <si>
    <t>১৫৫২,নাম: মো: রহিদুল ইসলাম,ভোটার নং: ৫৭০০৩৮৩৫৬৮১৫,পিতা: মো: আবুল হোসেন,মাতা: মোছা: ছয়েলা খাতুন,জন্ম তারিখ: ১১/০৫/১৯৬২,পেশা: কৃষক,ঠিকানা: গাড়াবোব, গাংনী, মেহেরপুর</t>
  </si>
  <si>
    <t>১৫৫৩,নাম: মো: আবু তাহের,ভোটার নং: ৫৭০০৩৮৩৫৬৮১৬,পিতা: সৈয়দ আলী,মাতা: মোছা: জোহরা খাতুন,জন্ম তারিখ: ১০/০৭/১৯৬৭,পেশা: কৃষক,ঠিকানা: গাড়াবোব, গাংনী, মেহেরপুর</t>
  </si>
  <si>
    <t>১৫৫৪,নাম: এ, এস, এম শাহজাহান কবীর,ভোটার নং: ৫৭০০৩৮৩৫৬৮১৭,পিতা: মো: আ: খালেক,মাতা: মোছা: সাহিদা খাতুন,জন্ম তারিখ: ২৪/০৫/১৯৭৪,পেশা: বেসরকারী চাকুরী,ঠিকানা: গাড়াবোব, গাংনী, মেহেরপুর</t>
  </si>
  <si>
    <t>১৫৫৫,নাম: মোহা: আবুবক্কার,ভোটার নং: ৫৭০০৩৮৩৫৬৮২২,পিতা: কুদরত আলী,মাতা: মোছা: ফতেজান,জন্ম তারিখ: ১৮/০৮/১৯৫৭,পেশা: কৃষক,ঠিকানা: গাড়াবোব, গাংনী, মেহেরপুর</t>
  </si>
  <si>
    <t>১৫৫৬,নাম: মো: আব্দুর রশিদ,ভোটার নং: ৫৭০০৩৮৩৫৬৮২৪,পিতা: আব্দুল কাদের,মাতা: মোছা: খাদিজা বেগম,জন্ম তারিখ: ০৫/১১/১৯৫৫,পেশা: কৃষক,ঠিকানা: গাড়াবোব, গাংনী, মেহেরপুর</t>
  </si>
  <si>
    <t>১৫৫৭,নাম: মো: মোবারক হোসেন,ভোটার নং: ৫৭০০৩৮৩৫৬৮২৬,পিতা: মো: আব্দুর রশিদ,মাতা: মোছা: মাবিয়া খাতুন,জন্ম তারিখ: ০৮/০৭/১৯৮০,পেশা: বেসরকারী চাকুরী,ঠিকানা: গাড়াবোব, গাংনী, মেহেরপুর</t>
  </si>
  <si>
    <t>১৫৫৮,নাম: মোহা: মোমিন মিয়া,ভোটার নং: ৫৭০০৩৮৩৫৬৮৩৩,পিতা: মো: আনোয়ার হোসেন,মাতা: মোছা: জমেলা খাতুন,জন্ম তারিখ: ০৮/০৪/১৯৭৭,পেশা: কৃষক,ঠিকানা: গাড়াবোব, গাংনী, মেহেরপুর</t>
  </si>
  <si>
    <t>১৫৫৯,নাম: মো: আবু সাইদ,ভোটার নং: ৫৭০০৩৮৩৫৬৮৩৬,পিতা: মো: আবু বক্কর,মাতা: মোছা: পানোয়ারা বেগম,জন্ম তারিখ: ২৮/০৭/১৯৮৩,পেশা: কৃষক,ঠিকানা: গাড়াবোব, গাংনী, মেহেরপুর</t>
  </si>
  <si>
    <t>১৫৬০,নাম: মো: আরিফুল ইসলাম,ভোটার নং: ৫৭০০৩৮৩৫৬৮৪০,পিতা: দৌলত হোসেন,মাতা: মোছা: তাহেরা খাতুন,জন্ম তারিখ: ২৫/০৫/১৯৮৩,পেশা: কৃষক,ঠিকানা: গাড়াবোব, গাংনী, মেহেরপুর</t>
  </si>
  <si>
    <t>১৫৬১,নাম: মো: মহিবুল ইসলাম,ভোটার নং: ৫৭০০৩৮৩৫৬৮৪৩,পিতা: মো: আনোয়ার হোসেন,মাতা: জমেলা খাতুন,জন্ম তারিখ: ১৭/০৭/১৯৮০,পেশা: ব্যবসা,ঠিকানা: গাড়াবোব, গাংনী, মেহেরপুর</t>
  </si>
  <si>
    <t>১৫৬২,নাম: মো: জামাল হোসেন,ভোটার নং: ৫৭০০৩৮৩৫৬৮৪৮,পিতা: মো: আব্দুল বারেক,মাতা: মোছা: বানুয়ারা খাতুন,জন্ম তারিখ: ১৩/০৩/১৯৮৫,পেশা: ব্যবসা,ঠিকানা: গাড়াবোব, গাংনী, মেহেরপুর</t>
  </si>
  <si>
    <t>১৫৬৩,নাম: মো: কামাল হোসেন,ভোটার নং: ৫৭০০৩৮৩৫৬৮৫১,পিতা: মো: আব্দুল বারেক,মাতা: মোছা: বানুয়ারা খাতুন,জন্ম তারিখ: ১২/০৩/১৯৮০,পেশা: কৃষক,ঠিকানা: গাড়াবোব, গাংনী, মেহেরপুর</t>
  </si>
  <si>
    <t>১৫৬৪,নাম: মো: নিহাজ উদ্দীন,ভোটার নং: ৫৭০০৩৮৩৫৬৮৫২,পিতা: আতর আলী,মাতা: পরিছুন নেছা,জন্ম তারিখ: ১৩/০৭/১৯৬০,পেশা: কৃষক,ঠিকানা: গাড়াবোব, গাংনী, মেহেরপুর</t>
  </si>
  <si>
    <t>১৫৬৫,নাম: মো: আবুল কালাম আজাদ,ভোটার নং: ৫৭০০৩৮৩৫৬৮৫৫,পিতা: মো: গোলাম মোস্তফা,মাতা: মোছা: বদিরন নেছা,জন্ম তারিখ: ৩১/১০/১৯৮২,পেশা: ব্যবসা,ঠিকানা: গাড়াবোব, গাংনী, মেহেরপুর</t>
  </si>
  <si>
    <t>১৫৬৬,নাম: মো: কিশোর মহাম্মদ,ভোটার নং: ৫৭০০৩৮৩৫৬৮৫৬,পিতা: মো: মরজেম হোসেন,মাতা: মোছা: শাহিদা খাতুন,জন্ম তারিখ: ১২/০৫/১৯৮৩,পেশা: ব্যবসা,ঠিকানা: গাড়াবোব, গাংনী, মেহেরপুর</t>
  </si>
  <si>
    <t>১৫৬৭,নাম: মো: আব্দুস সামাদ,ভোটার নং: ৫৭০০৩৮৩৫৬৮৫৯,পিতা: মো: বদর উদ্দীন,মাতা: মোছা: ছানোয়ারা,জন্ম তারিখ: ০৯/০২/১৯৬৭,পেশা: কৃষক,ঠিকানা: গাড়াবোব, গাংনী, মেহেরপুর</t>
  </si>
  <si>
    <t>১৫৬৮,নাম: মো: বদর উদ্দীন,ভোটার নং: ৫৭০০৩৮৩৫৬৮৬১,পিতা: আব্দুল জলিল,মাতা: খোসজান বেগম,জন্ম তারিখ: ১৫/০৭/১৯৩৭,পেশা: কৃষক,ঠিকানা: গাড়াবোব, গাংনী, মেহেরপুর</t>
  </si>
  <si>
    <t>১৫৬৯,নাম: মো: ছলেমান শেখ,ভোটার নং: ৫৭০০৩৮৩৫৬৮৬২,পিতা: আব্দুল জলিল,মাতা: খোশ জান,জন্ম তারিখ: ১১/০৭/১৯৬২,পেশা: শ্রমিক,ঠিকানা: গাড়াবোব, গাংনী, মেহেরপুর</t>
  </si>
  <si>
    <t>১৫৭০,নাম: মো: আনোয়ার হোসেন,ভোটার নং: ৫৭০০৩৮৩৫৬৮৬৬,পিতা: মো: ইউসুফ মিয়া,মাতা: হনুফা খাতুন,জন্ম তারিখ: ১৭/০৭/১৯৭২,পেশা: ব্যবসা,ঠিকানা: গাড়াবোব, গাংনী, মেহেরপুর</t>
  </si>
  <si>
    <t>১৫৭১,নাম: মো: ছানোয়ার হোসেন,ভোটার নং: ৫৭০০৩৮৩৫৬৮৬৮,পিতা: কাদের মল্লিক,মাতা: মোছা: সবুজান,জন্ম তারিখ: ১৬/০৮/১৯৬৫,পেশা: ব্যবসা,ঠিকানা: গাড়াবোব, গাংনী, মেহেরপুর</t>
  </si>
  <si>
    <t>১৫৭২,নাম: মো: আমজাদ হোসেন,ভোটার নং: ৫৭০০৩৮৩৫৬৮৭১,পিতা: কাদের মল্লিক,মাতা: মোছা: সবু জান,জন্ম তারিখ: ১১/০৪/১৯৭১,পেশা: কৃষক,ঠিকানা: গাড়াবোব, গাংনী, মেহেরপুর</t>
  </si>
  <si>
    <t>১৫৭৩,নাম: মো: আব্দুল মান্নান,ভোটার নং: ৫৭০০৩৮৩৫৬৮৭২,পিতা: আব্দুল কাদের,মাতা: মোছা: সবুজান,জন্ম তারিখ: ১৩/০৭/১৯৬৬,পেশা: কৃষক,ঠিকানা: গাড়াবোব, গাংনী, মেহেরপুর</t>
  </si>
  <si>
    <t>১৫৭৪,নাম: মো: শহিদুল ইসলাম,ভোটার নং: ৫৭০০৩৮৩৫৬৮৭৪,পিতা: আজগার আলী,মাতা: মোছা: রাশিয়া খাতুন,জন্ম তারিখ: ২৭/০৮/১৯৭০,পেশা: শ্রমিক,ঠিকানা: গাড়াবোব, গাংনী, মেহেরপুর</t>
  </si>
  <si>
    <t>১৫৭৫,নাম: মো: আনিসুর রহমান,ভোটার নং: ৫৭০০৩৮৩৫৬৮৭৬,পিতা: মো: আব্দুল গনি,মাতা: মোছা: রোজিনা খাতুন,জন্ম তারিখ: ২৩/০১/১৯৮০,পেশা: কৃষক,ঠিকানা: গাড়াবোব, গাংনী, মেহেরপুর</t>
  </si>
  <si>
    <t>১৫৭৬,নাম: মো: মিজানুর রহমান,ভোটার নং: ৫৭০০৩৮৩৫৬৮৮২,পিতা: মো: ছানোয়ার হোসেন,মাতা: মোছা: মর্জিনা খাতুন,জন্ম তারিখ: ১৭/০৭/১৯৮৬,পেশা: কৃষক,ঠিকানা: গাড়াবোব, গাংনী, মেহেরপুর</t>
  </si>
  <si>
    <t>১৫৭৭,নাম: মো: আব্দুল হান্নান,ভোটার নং: ৫৭০০৩৮৩৫৬৮৮৩,পিতা: আব্দুল কাদের,মাতা: মোছা: সবুজান খাতুন,জন্ম তারিখ: ১৯/০৯/১৯৭৫,পেশা: কৃষক,ঠিকানা: গাড়াবোব, গাংনী, মেহেরপুর</t>
  </si>
  <si>
    <t>১৫৭৮,নাম: মো: শামসুজ্জোহা,ভোটার নং: ৫৭০০৩৮৩৫৬৮৮৪,পিতা: আব্দুল কাদের,মাতা: মোছা: সবুজান খাতুন,জন্ম তারিখ: ১৪/০৪/১৯৫৭,পেশা: কৃষক,ঠিকানা: গাড়াবোব, গাংনী, মেহেরপুর</t>
  </si>
  <si>
    <t>১৫৭৯,নাম: মো: রাশেদুল ইসলাম,ভোটার নং: ৫৭০০৩৮৩৫৬৮৮৮,পিতা: মো: মোহাদ্দেস হোসেন,মাতা: মোছা: রওশনারা বেগম,জন্ম তারিখ: ০৫/০৪/১৯৮৪,পেশা: ছাত্র/ছাত্রী,ঠিকানা: গাড়াবোব, গাংনী, মেহেরপুর</t>
  </si>
  <si>
    <t>১৫৮০,নাম: মো: দাউদ হোসেন,ভোটার নং: ৫৭০০৩৮৩৫৬৮৯৭,পিতা: মো: আব্দুর রহমান,মাতা: মোছা: রাফেয়া,জন্ম তারিখ: ২৫/০৪/১৯৬২,পেশা: শ্রমিক,ঠিকানা: গাড়াবোব, গাংনী, মেহেরপুর</t>
  </si>
  <si>
    <t>১৫৮১,নাম: মো: বুলবুল আহমেদ,ভোটার নং: ৫৭০০৩৮৩৫৬৮৯৮,পিতা: মো: শহিদুল ইসলাম,মাতা: মোছা: রেজবীনা খাতুন,জন্ম তারিখ: ১৯/০৭/১৯৮৬,পেশা: কৃষক,ঠিকানা: গাড়াবোব, গাংনী, মেহেরপুর</t>
  </si>
  <si>
    <t>১৫৮২,নাম: মো: আব্দুর রাজ্জাক,ভোটার নং: ৫৭০০৩৮৩৫৬৯০০,পিতা: মো: আব্দুল গনি,মাতা: মোছা: রোজিনা খাতুন,জন্ম তারিখ: ১০/০৯/১৯৮০,পেশা: কৃষক,ঠিকানা: গাড়াবোব, গাংনী, মেহেরপুর</t>
  </si>
  <si>
    <t>১৫৮৩,নাম: মো: আব্দুল গনি,ভোটার নং: ৫৭০০৩৮৩৫৬৯০১,পিতা: আব্দুল কাদের,মাতা: মোছা: খাদিজা খাতুন,জন্ম তারিখ: ১৪/০৩/১৯৫৭,পেশা: কৃষক,ঠিকানা: গাড়াবোব, গাংনী, মেহেরপুর</t>
  </si>
  <si>
    <t>১৫৮৪,নাম: মো: ইমদাদুল হক,ভোটার নং: ৫৭০০৩৮৩৫৬৯০২,পিতা: দৌলত হোসেন,মাতা: মোছা: আমেনা খাতুন,জন্ম তারিখ: ১৫/০৭/১৯৭৭,পেশা: কৃষক,ঠিকানা: গাড়াবোব, গাংনী, মেহেরপুর</t>
  </si>
  <si>
    <t>১৫৮৫,নাম: মো: কবীর হোসেন,ভোটার নং: ৫৭০০৩৮৩৫৬৯০৩,পিতা: মো: গোলাম মোস্তফা,মাতা: মোছা: বদিরন নেছা,জন্ম তারিখ: ১০/০৪/১৯৭২,পেশা: কৃষক,ঠিকানা: গাড়াবোব, গাংনী, মেহেরপুর</t>
  </si>
  <si>
    <t>১৫৮৬,নাম: মো: গোলাম মোস্তফা,ভোটার নং: ৫৭০০৩৮৩৫৬৯০৪,পিতা: আতর আলী,মাতা: পরিছুন বিবি,জন্ম তারিখ: ১০/০৪/১৯৫২,পেশা: কৃষক,ঠিকানা: গাড়াবোব, গাংনী, মেহেরপুর</t>
  </si>
  <si>
    <t>১৫৮৭,নাম: মো: হামিদুল ইসলাম,ভোটার নং: ৫৭০০৩৮৩৫৬৯০৬,পিতা: মো: বদর উদ্দীন,মাতা: মোছা: ছানোয়ারা খাতুন,জন্ম তারিখ: ১০/০৮/১৯৭০,পেশা: কৃষক,ঠিকানা: গাড়াবোব, গাংনী, মেহেরপুর</t>
  </si>
  <si>
    <t>১৫৮৮,নাম: মো: মোহাদ্দেস হোসেন,ভোটার নং: ৫৭০০৩৮৩৫৬৯০৭,পিতা: দৌলত হোসেন,মাতা: মোছা: মকুমা খাতুন,জন্ম তারিখ: ১১/০৫/১৯৬০,পেশা: ব্যবসা,ঠিকানা: গাড়াবোব, গাংনী, মেহেরপুর</t>
  </si>
  <si>
    <t>১৫৮৯,নাম: মো: শরীফ হোসেন,ভোটার নং: ৫৭০০৩৮৩৫৬৯০৯,পিতা: সৈয়দ মন্ডল,মাতা: মোছা: গোলে খাতুন,জন্ম তারিখ: ১০/০৫/১৯৭৪,পেশা: কৃষক,ঠিকানা: গাড়াবোব, গাংনী, মেহেরপুর</t>
  </si>
  <si>
    <t>১৫৯০,নাম: মো: জহুর আলী,ভোটার নং: ৫৭০০৩৮৩৫৬৯১৩,পিতা: মেছের শেখ,মাতা: নয়তুন নেছা,জন্ম তারিখ: ১৭/০৭/১৯৩২,পেশা: কৃষক,ঠিকানা: গাড়াবোব, গাংনী, মেহেরপুর</t>
  </si>
  <si>
    <t>১৫৯১,নাম: মো: আবের আলী,ভোটার নং: ৫৭০০৩৮৩৫৬৯১৪,পিতা: দুরাত শাহ,মাতা: আবেজান বিবি,জন্ম তারিখ: ২২/০২/১৯৫৭,পেশা: কৃষক,ঠিকানা: গাড়াবোব, গাংনী, মেহেরপুর</t>
  </si>
  <si>
    <t>১৫৯২,নাম: মো: মজিরুল ইসলাম,ভোটার নং: ৫৭০০৩৮৩৫৬৯১৬,পিতা: মো: আবের আলী,মাতা: মোছা: নেহারুন নেছা,জন্ম তারিখ: ০৩/০৪/১৯৮২,পেশা: কৃষক,ঠিকানা: গাড়াবোব, গাংনী, মেহেরপুর</t>
  </si>
  <si>
    <t>১৫৯৩,নাম: মোহা: মিনারুল ইসলাম,ভোটার নং: ৫৭০০৩৮৩৫৬৯১৮,পিতা: মোহা: আবের আলী,মাতা: মোছা: নেহারুন নেছা,জন্ম তারিখ: ১৬/০৬/১৯৮৮,পেশা: কৃষক,ঠিকানা: গাড়াবোব, গাংনী, মেহেরপুর</t>
  </si>
  <si>
    <t>১৫৯৪,নাম: মো: শাহাবুল ইসলাম (সাবলু),ভোটার নং: ৫৭০০৩৮৩৫৬৯১৯,পিতা: মো: আফাজ উদ্দীন,মাতা: মিরজাতুন নেছা,জন্ম তারিখ: ২২/০২/১৯৭০,পেশা: ব্যবসা,ঠিকানা: গাড়াবোব, গাংনী, মেহেরপুর</t>
  </si>
  <si>
    <t>১৫৯৫,নাম: মো: হামিদুল ইসলাম,ভোটার নং: ৫৭০০৩৮৩৫৬৯২১,পিতা: মোহা: আফাজ উদ্দীন,মাতা: মোহা: মিরজাতুন খাতুন,জন্ম তারিখ: ২১/১১/১৯৮২,পেশা: কৃষক,ঠিকানা: গাড়াবোব, গাংনী, মেহেরপুর</t>
  </si>
  <si>
    <t>১৫৯৬,নাম: মোহা: নিহাজুল,ভোটার নং: ৫৭০০৩৮৩৫৬৯২৩,পিতা: মোহা: আবের আলী,মাতা: মোছা: নেহারুন নেছা,জন্ম তারিখ: ১২/০৩/১৯৭৮,পেশা: কৃষক,ঠিকানা: গাড়াবোব, গাংনী, মেহেরপুর</t>
  </si>
  <si>
    <t>১৫৯৭,নাম: মোহা: আব্দুর রাজ্জাক,ভোটার নং: ৫৭০০৩৮৩৫৬৯২৬,পিতা: দুণ্ড শেখ,মাতা: মোছা: রাবেয়া খাতুন,জন্ম তারিখ: ২০/০৭/১৯৭৫,পেশা: কৃষক,ঠিকানা: গাড়াবোব, গাংনী, মেহেরপুর</t>
  </si>
  <si>
    <t>১৫৯৮,নাম: মো: আব্দুল মতিন,ভোটার নং: ৫৭০০৩৮৩৫৬৯৩০,পিতা: মোহা: সিরাজুল ইসলাম,মাতা: মোছা: খোদেজান বেগম,জন্ম তারিখ: ১৫/০৩/১৯৬৯,পেশা: শ্রমিক,ঠিকানা: গাড়াবোব, গাংনী, মেহেরপুর</t>
  </si>
  <si>
    <t>১৫৯৯,নাম: মো: আশরাফুল ইসলাম,ভোটার নং: ৫৭০০৩৮৩৫৬৯৩৩,পিতা: নুরুল ইসলাম,মাতা: মোছা: রাবেয়া খাতুন,জন্ম তারিখ: ১৫/০৭/১৯৭০,পেশা: কৃষক,ঠিকানা: গাড়াবোব, গাংনী, মেহেরপুর</t>
  </si>
  <si>
    <t>১৬০০,নাম: মো: বকুল হোসেন,ভোটার নং: ৫৭০০৩৮৩৫৬৯৩৪,পিতা: মো: নাসির উদ্দীন শেখ,মাতা: মোছা: কাইমন নেছা,জন্ম তারিখ: ২২/০৪/১৯৮২,পেশা: ব্যবসা,ঠিকানা: গাড়াবোব, গাংনী, মেহেরপুর</t>
  </si>
  <si>
    <t>১৬০১,নাম: মো: হিফাজ উদ্দীন,ভোটার নং: ৫৭০০৩৮৩৫৬৯৩৮,পিতা: জফর আলী,মাতা: মোছা: নেকজান,জন্ম তারিখ: ১১/০৩/১৯৬৪,পেশা: কৃষক,ঠিকানা: গাড়াবোব, গাংনী, মেহেরপুর</t>
  </si>
  <si>
    <t>১৬০২,নাম: মোহা: শহিদুল ইসলাম,ভোটার নং: ৫৭০০৩৮৩৫৬৯৪১,পিতা: কাদের শেখ,মাতা: মোছা: খাদিজা খাতুন,জন্ম তারিখ: ২৫/০৫/১৯৫৭,পেশা: কৃষক,ঠিকানা: গাড়াবোব, গাংনী, মেহেরপুর</t>
  </si>
  <si>
    <t>১৬০৩,নাম: মো: আসাদুল ইসলাম,ভোটার নং: ৫৭০০৩৮৩৫৬৯৪২,পিতা: মো: খেজমত আলী,মাতা: মোছা: রাফিয়া,জন্ম তারিখ: ২২/০৭/১৯৭০,পেশা: কৃষক,ঠিকানা: গাড়াবোব, গাংনী, মেহেরপুর</t>
  </si>
  <si>
    <t>১৬০৪,নাম: মো: ফারুক হোসেন,ভোটার নং: ৫৭০০৩৮৩৫৬৯৫০,পিতা: মো: আতাল আলী,মাতা: মোছা: ফিরোজা বেগম,জন্ম তারিখ: ২৫/০৭/১৯৮৬,পেশা: কৃষক,ঠিকানা: গাড়াবোব, গাংনী, মেহেরপুর</t>
  </si>
  <si>
    <t>১৬০৫,নাম: মো: ওসমান গনি,ভোটার নং: ৫৭০০৩৮৩৭৫৬৭০,পিতা: মসলেম উদ্দীন,মাতা: মোছা: পিয়ারা বেগম,জন্ম তারিখ: ১৫/০১/১৯৭২,পেশা: ব্যবসা,ঠিকানা: গাড়াবোব, গাংনী, মেহেরপুর</t>
  </si>
  <si>
    <t>১৬০৬,নাম: মো: আ: বারী,ভোটার নং: ৫৭০০৩৮৫৪৪৪৪২,পিতা: মো: ফরমান মন্ডল,মাতা: মোছা: আয়েশা নেছা,জন্ম তারিখ: ১১/০৯/১৯৫২,পেশা: কৃষক,ঠিকানা: গাড়াবোব, গাংনী, মেহেরপুর</t>
  </si>
  <si>
    <t>১৬০৭,নাম: মো: আবুল কালাম আজাদ,ভোটার নং: ৫৭০০৩৮৫৪৪৭০৭,পিতা: মো: রায়হান উদ্দীন,মাতা: মোছা: আয়েশা খাতুন,জন্ম তারিখ: ০১/০১/১৯৭০,পেশা: অন্যান্য,ঠিকানা: গাড়াবোব, গাংনী, মেহেরপুর</t>
  </si>
  <si>
    <t>১৬০৮,নাম: মো: শরিফুল ইসলাম,ভোটার নং: ৫৭০০৩৮৫৪৪৭৩৯,পিতা: মো: শফিউল্লা,মাতা: মোছা: রমেজা খাতুন,জন্ম তারিখ: ০১/০১/১৯৮০,পেশা: শ্রমিক,ঠিকানা: "গাড়াবোব, ধানখোলা, গাংনী, মেহেরপুর"</t>
  </si>
  <si>
    <t>১৬০৯,নাম: মো: নাসির উদ্দিন,ভোটার নং: ৫৭০০৩৮৫৪৪৯৪২,পিতা: মো: নবিছু উদ্দীন,মাতা: মোছা: নছিরন নেসা,জন্ম তারিখ: ০১/০১/১৯৮১,পেশা: শ্রমিক,ঠিকানা: "গাড়াবোব, জলি বিল পাড়া, গাংনী, মেহেরপুর"</t>
  </si>
  <si>
    <t>১৬১০,নাম: মো: বসির উদ্দীন,ভোটার নং: ৫৭০০৩৮৫৪৪৯৪৪,পিতা: মো: নবিছুউদ্দীন,মাতা: মোছা: নছিরন বেগম,জন্ম তারিখ: ০১/০৭/১৯৭৮,পেশা: ব্যবসা,ঠিকানা: গাড়াবোব, গাংনী, মেহেরপুর</t>
  </si>
  <si>
    <t>১৬১১,নাম: মো: আতিয়ার রহমান,ভোটার নং: ৫৭০০৩৮৫৪৪৯২২,পিতা: মো: ছলেমান,মাতা: মোছা: অর্জিনা খাতুন,জন্ম তারিখ: ১৪/০৭/১৯৮৬,পেশা: শ্রমিক,ঠিকানা: "গাড়াবোব, মাঠপাড়া, গাংনী, মেহেরপুর"</t>
  </si>
  <si>
    <t>১৬১২,নাম: মো: ইসমাইল হাসান,ভোটার নং: ৫৭০০৩৮০০০০০১,পিতা: মো: সিদ্দিকুর রহমান,মাতা: মোছা: হাফিজা খাতুন,জন্ম তারিখ: ০১/০১/১৯৬৪,পেশা: ব্যবসা,ঠিকানা: গাড়াবোব, গাংনী, মেহেরপুর</t>
  </si>
  <si>
    <t>১৬১৩,নাম: মো: আরিফুল ইসলাম,ভোটার নং: ৫৭০০৩৮০০০০০২,পিতা: মো: আব্দুর রহিম,মাতা: মোছা: শাহিদুন্নাহার,জন্ম তারিখ: ০১/১২/১৯৯০,পেশা: কৃষক,ঠিকানা: গাড়াবোব, গাংনী, মেহেরপুর</t>
  </si>
  <si>
    <t>১৬১৪,নাম: মো: মিলন হোসেন,ভোটার নং: ৫৭০০৩৮০০০০০৪,পিতা: মো: আব্দুল কুদ্দুস,মাতা: মোছা: মনোয়ারা খাতুন,জন্ম তারিখ: ১৫/০৩/১৯৮৯,পেশা: ব্যবসা,ঠিকানা: গাড়াবোব, গাংনী, মেহেরপুর</t>
  </si>
  <si>
    <t>১৬১৫,নাম: মো: আলমগীর হোসেন,ভোটার নং: ৫৭০০৩৮০০০০০৫,পিতা: খেজমত,মাতা: শামসুন্নাহার,জন্ম তারিখ: ১৫/০৬/১৯৮০,পেশা: কৃষক,ঠিকানা: গাড়াবোব, গাংনী, মেহেরপুর</t>
  </si>
  <si>
    <t>১৬১৬,নাম: কে এম মাহবুবউল আলম,ভোটার নং: ৫৭০০৩৮০০০০০১৫,পিতা: মো: আব্দুল জলিল,মাতা: মোছা: আছিয়া খাতুন,জন্ম তারিখ: ১০/০২/১৯৯১,পেশা: ছাত্র/ছাত্রী,ঠিকানা: গাড়াবোব, গাংনী, মেহেরপুর</t>
  </si>
  <si>
    <t>১৬১৭,নাম: মো: জাহিদুল ইসলাম,ভোটার নং: ৫৭০০৩৮০০০০০১৮,পিতা: মো: মিজানুর রহমান,মাতা: মোছা: জালেমা খাতুন,জন্ম তারিখ: ০১/০১/১৯৮৯,পেশা: কৃষক,ঠিকানা: গাড়াবোব, গাংনী, মেহেরপুর</t>
  </si>
  <si>
    <t>১৬১৮,নাম: মো: আতিয়ার রহমান,ভোটার নং: ৫৭০০৩৮০০০০২৬,পিতা: জবেদ আলী মীর,মাতা: মোছা: মর্জিনা খাতুন,জন্ম তারিখ: ০১/০৪/১৯৭২,পেশা: ব্যবসা,ঠিকানা: গাড়াবোব, গাংনী, মেহেরপুর</t>
  </si>
  <si>
    <t>১৬১৯,নাম: মো: বাহারুল ইসলাম,ভোটার নং: ৫৭০০৩৮০০০০২৭,পিতা: মো: আওলাদ হোসেন,মাতা: মোছা: খাদেজা খাতুন,জন্ম তারিখ: ১৫/০২/১৯৯৫,পেশা: বেসরকারী চাকুরী,ঠিকানা: গাড়াবোব, গাংনী, মেহেরপুর</t>
  </si>
  <si>
    <t>১৬২০,নাম: মো: জাহাঙ্গীর,ভোটার নং: ৫৭০০৩৮০০০০৩৪,পিতা: মো: খেজমত,মাতা: মোছা: সামসুন্নাহার,জন্ম তারিখ: ১৩/০২/১৯৮৬,পেশা: দিনমজুর,ঠিকানা: গাড়াবোব, গাংনী, মেহেরপুর</t>
  </si>
  <si>
    <t>১৬২১,নাম: মো: সামিরুল ইসলাম,ভোটার নং: ৫৭০০৩৮০০০০৩৫,পিতা: মো: সইরুদ্দীন,মাতা: আমেনা খাতুন,জন্ম তারিখ: ১৫/০৭/১৯৯০,পেশা: শ্রমিক,ঠিকানা: গাড়াবোব, গাংনী, মেহেরপুর</t>
  </si>
  <si>
    <t>১৬২২,নাম: মো: আসরাফুল ইসলাম,ভোটার নং: ৫৭০০৩৮০০০০৩৭,পিতা: মো: রফিকুল ইসলাম,মাতা: মোছা: মনোয়ারা বেগম,জন্ম তারিখ: ০১/১০/১৯৯০,পেশা: কৃষক,ঠিকানা: গাড়াবোব, গাংনী, মেহেরপুর</t>
  </si>
  <si>
    <t>১৬২৩,নাম: মো: জামিরুল ইসলাম,ভোটার নং: ৫৭০০৩৮০০০০৩৮,পিতা: মো: ছাদের আলী,মাতা: মোছা: ইকাতন,জন্ম তারিখ: ০২/০৫/১৯৮৯,পেশা: মিস্ত্রী,ঠিকানা: গাড়াবোব, গাংনী, মেহেরপুর</t>
  </si>
  <si>
    <t>১৬২৪,নাম: মো: মনিরুল ইসলাম,ভোটার নং: ৫৭০০৩৮০০০০৩৯,পিতা: মো: আখের আলী,মাতা: মোছা: জাফিরন নেছা,জন্ম তারিখ: ১৫/০৩/১৯৮৩,পেশা: কৃষক,ঠিকানা: গাড়াবোব, গাংনী, মেহেরপুর</t>
  </si>
  <si>
    <t>১৬২৫,নাম: মো: হাবিবুর রহমান,ভোটার নং: ৫৭০০৩৮০০০০৪০,পিতা: মো: নাজিমুদ্দিন,মাতা: মোছা: মাবিয়া খাতুন,জন্ম তারিখ: ০১/০১/১৯৮৯,পেশা: কৃষক,ঠিকানা: গাড়াবোব, গাংনী, মেহেরপুর</t>
  </si>
  <si>
    <t>১৬২৬,নাম: মো: নাজমুল হোসেন,ভোটার নং: ৫৭০০৩৮০০০০৪১,পিতা: মো: আ: মোতালেব,মাতা: মোছা: নাছিমা খাতুন,জন্ম তারিখ: ০২/০২/১৯৮৯,পেশা: কৃষক,ঠিকানা: গাড়াবোব, গাংনী, মেহেরপুর</t>
  </si>
  <si>
    <t>১৬২৭,নাম: মো: আব্দুল মান্নান,ভোটার নং: ৫৭০০৩৮০০০০৪২,পিতা: আতর আলী,মাতা: মোছা: জামেনা খাতুন,জন্ম তারিখ: ৩০/০৫/১৯৯০,পেশা: দর্জি,ঠিকানা: গাড়াবোব, গাংনী, মেহেরপুর</t>
  </si>
  <si>
    <t>১৬২৮,নাম: মো: সেলিম রেজা,ভোটার নং: ৫৭০০৩৮০০০০৪৩,পিতা: মো: চাঁদ মিয়া,মাতা: মোছা: বিবিরন নেছা,জন্ম তারিখ: ১৫/০১/১৯৯০,পেশা: মিস্ত্রী,ঠিকানা: গাড়াবোব, গাংনী, মেহেরপুর</t>
  </si>
  <si>
    <t>১৬২৯,নাম: মো: জাহিদুল ইসলাম,ভোটার নং: ৫৭০০৩৮০০০০৪৪,পিতা: মো: নুরুল আমীন,মাতা: মোছা: আকলিমা খাতুন,জন্ম তারিখ: ০১/০১/১৯৯১,পেশা: শ্রমিক,ঠিকানা: গাড়াবোব, গাংনী, মেহেরপুর</t>
  </si>
  <si>
    <t>১৬৩০,নাম: মো: আব্দুল মালেক,ভোটার নং: ৫৭০০৩৮০০০০৪৫,পিতা: মো: জহির উদ্দীন,মাতা: মোছা: ছালেহা খাতুন,জন্ম তারিখ: ২১/১০/১৯৬৮,পেশা: কৃষক,ঠিকানা: গাড়াবোব, গাংনী, মেহেরপুর</t>
  </si>
  <si>
    <t>১৬৩১,নাম: মো: তাইজুল আলী,ভোটার নং: ৫৭০০৩৮০০০০৪৭,পিতা: আনারুল ইসলাম,মাতা: তানজিলা,জন্ম তারিখ: ০৬/০৬/১৯৯০,পেশা: বেকার,ঠিকানা: গাড়াবোব, গাংনী, মেহেরপুর</t>
  </si>
  <si>
    <t>১৬৩২,নাম: মো: সলিম শেখ,ভোটার নং: ৫৭০০৩৮০০০০৪৯,পিতা: মো: শুকচাদ শেখ,মাতা: মোছা: আসমা খাতুন,জন্ম তারিখ: ০৫/০৩/১৯৮৭,পেশা: কৃষক,ঠিকানা: গাড়াবোব, গাংনী, মেহেরপুর</t>
  </si>
  <si>
    <t>১৬৩৩,নাম: মো: ফরাজুল ইসলাম,ভোটার নং: ৫৭০০৩৮০০০০৫০,পিতা: নুর মোহাম্মাদ,মাতা: মোছা: খাদিজা খাতুন,জন্ম তারিখ: ১০/০৭/১৯৬৯,পেশা: কৃষক,ঠিকানা: গাড়াবোব, গাংনী, মেহেরপুর</t>
  </si>
  <si>
    <t>১৬৩৪,নাম: মোহা: মন্টু মিয়া,ভোটার নং: ৫৭০০৩৮০০০০৫১,পিতা: মোহা: হাফেজ উদ্দিন শেখ,মাতা: মোছা: নাছিমা খাতুন,জন্ম তারিখ: ২৯/১১/১৯৯১,পেশা: ছাত্র/ছাত্রী,ঠিকানা: গাড়াবোব, গাংনী, মেহেরপুর</t>
  </si>
  <si>
    <t>১৬৩৫,নাম: মো: গাফফারুল ইসলাম,ভোটার নং: ৫৭০০৩৮০০০০৫৪,পিতা: মো: আহাদ আলী,মাতা: মোছা: সাজেদা খাতুন,জন্ম তারিখ: ১৬/১২/১৯৮৭,পেশা: কৃষক,ঠিকানা: গাড়াবোব, গাংনী, মেহেরপুর</t>
  </si>
  <si>
    <t>১৬৩৬,নাম: মো: রোকনুজ্জামান,ভোটার নং: ৫৭০০৩৮০০০০৫৮,পিতা: মো: তৈয়ব আলী,মাতা: মোছা: আনজিরা খাতুন,জন্ম তারিখ: ০৪/০৩/১৯৯০,পেশা: ছাত্র/ছাত্রী,ঠিকানা: গাড়াবোব, গাংনী, মেহেরপুর</t>
  </si>
  <si>
    <t>১৬৩৭,নাম: মো: জাব্বারুল ইসলাম,ভোটার নং: ৫৭০০৩৮০০০০৬১,পিতা: মো: আব্দুল হান্নান,মাতা: মোছা: বুলুয়ারা,জন্ম তারিখ: ০১/১২/১৯৯০,পেশা: কৃষক,ঠিকানা: গাড়াবোব, গাংনী, মেহেরপুর</t>
  </si>
  <si>
    <t>১৬৩৮,নাম: মো: শাহিন রেজা,ভোটার নং: ৫৭০০৩৮০০০০৬২,পিতা: মো: সোহরাব হোসেন,মাতা: মোছা: সেলিনা খাতুন,জন্ম তারিখ: ০৬/০১/১৯৯০,পেশা: ছাত্র/ছাত্রী,ঠিকানা: গাড়াবোব, গাংনী, মেহেরপুর</t>
  </si>
  <si>
    <t>১৬৩৯,নাম: মো: মখলেচুর রহমান,ভোটার নং: ৫৭০০৩৮০০০০৬৩,পিতা: মো: মুনছুর আলী,মাতা: মোছা: আরশিনা খাতুন,জন্ম তারিখ: ১০/০৫/১৯৯০,পেশা: ব্যবসা,ঠিকানা: গাড়াবোব, গাংনী, মেহেরপুর</t>
  </si>
  <si>
    <t>১৬৪০,নাম: মো: বাবু মিয়া,ভোটার নং: ৫৭০০৩৮০০০০৬৪,পিতা: ওমর আলী,মাতা: খুকি খাতুন,জন্ম তারিখ: ০৫/০৬/১৯৭০,পেশা: ব্যবসা,ঠিকানা: গাড়াবোব, গাংনী, মেহেরপুর</t>
  </si>
  <si>
    <t>১৬৪১,নাম: মো: শাহারুল ইসলাম,ভোটার নং: ৫৭০০৩৮০০০০৬৫,পিতা: মো: আওলাদ হোসেন,মাতা: মোছা: খাদিজা খাতুন,জন্ম তারিখ: ০২/০৩/১৯৯১,পেশা: কৃষক,ঠিকানা: গাড়াবোব, গাংনী, মেহেরপুর</t>
  </si>
  <si>
    <t>১৬৪২,নাম: মো: আবুল কাশেম,ভোটার নং: ৫৭০০৩৮০০০০৬৭,পিতা: মো: এনায়েত আলী,মাতা: মোছা: হাজেরা খাতুন,জন্ম তারিখ: ২১/০৭/১৯৮৭,পেশা: ছাত্র/ছাত্রী,ঠিকানা: গাড়াবোব, গাংনী, মেহেরপুর</t>
  </si>
  <si>
    <t>১৬৪৩,নাম: মো: আব্দুস সাত্তার,ভোটার নং: ৫৭০০৩৮০০০০৬৯,পিতা: মো: হারু মালিথা,মাতা: মোছা: আনোয়ারা,জন্ম তারিখ: ১১/০৬/১৯৮২,পেশা: কৃষক,ঠিকানা: গাড়াবোব, গাংনী, মেহেরপুর</t>
  </si>
  <si>
    <t>১৬৪৪,নাম: মো: মুকাদ্দেছ আলী,ভোটার নং: ৫৭০০৩৮০০০০৭০,পিতা: জালাল আলী,মাতা: জহুরা খাতুন,জন্ম তারিখ: ০৫/০৬/১৯৯১,পেশা: দিনমজুর,ঠিকানা: গাড়াবোব, গাংনী, মেহেরপুর</t>
  </si>
  <si>
    <t>১৬৪৫,নাম: মো: আঃ হালিম,ভোটার নং: ৫৭০০৩৮০০০০৭৪,পিতা: আঃ রাজ্জাক,মাতা: জীবন্নারা খাতুন,জন্ম তারিখ: ২০/০৬/১৯৮৯,পেশা: বেকার,ঠিকানা: গাড়াবোব, গাংনী, মেহেরপুর</t>
  </si>
  <si>
    <t>১৬৪৬,নাম: মো: সামসুল আলম,ভোটার নং: ৫৭০০৩৮০০০০৭৫,পিতা: মো: আবুল কালাম,মাতা: মোছা: আছিয়া খাতুন,জন্ম তারিখ: ২৩/১০/১৯৮৭,পেশা: কৃষক,ঠিকানা: গাড়াবোব, গাংনী, মেহেরপুর</t>
  </si>
  <si>
    <t>১৬৪৭,নাম: মো: শাহিনুর ইসলাম,ভোটার নং: ৫৭০০৩৮০০০০৭৬,পিতা: মো: রফিকুল ইসলাম,মাতা: মোছা: শাহিদা খাতুন,জন্ম তারিখ: ১০/১০/১৯৯১,পেশা: ব্যবসা,ঠিকানা: গাড়াবোব, গাংনী, মেহেরপুর</t>
  </si>
  <si>
    <t>১৬৪৮,নাম: মো: আবু ইউসুফ,ভোটার নং: ৫৭০০৩৮০০০০৭৭,পিতা: মো: নাসির উদ্দীন,মাতা: মোছা: লায়লা খাতুন,জন্ম তারিখ: ০২/০২/১৯৯০,পেশা: ছাত্র/ছাত্রী,ঠিকানা: গাড়াবোব, গাংনী, মেহেরপুর</t>
  </si>
  <si>
    <t>১৬৪৯,নাম: মো: তৌফিকুল ইসলাম,ভোটার নং: ৫৭০০৩৮০০০০৭৮,পিতা: মো: তারিফ হোসেন,মাতা: মোছা: তাসলিমা খাতুন,জন্ম তারিখ: ০১/০১/১৯৯২,পেশা: ছাত্র/ছাত্রী,ঠিকানা: গাড়াবোব, গাংনী, মেহেরপুর</t>
  </si>
  <si>
    <t>১৬৫০,নাম: মো: মিন্টু মিয়া,ভোটার নং: ৫৭০০৩৮০০০০৭৯,পিতা: মো: আব্দুল কুদ্দুস,মাতা: মোছা: মনোয়ারা বেগম,জন্ম তারিখ: ০১/০৫/১৯৮৭,পেশা: ব্যবসা,ঠিকানা: গাড়াবোব, গাংনী, মেহেরপুর</t>
  </si>
  <si>
    <t>১৬৫১,নাম: মো: মাইনুল ইসলাম,ভোটার নং: ৫৭০০৩৮০০০০৮০,পিতা: পাঞ্জাব মন্ডল,মাতা: আনোয়ারা খাতুন,জন্ম তারিখ: ১০/০৫/১৯৮৫,পেশা: বেসরকারী চাকুরী,ঠিকানা: গাড়াবোব, গাংনী, মেহেরপুর</t>
  </si>
  <si>
    <t>১৬৫২,নাম: মো: সরুজ আলী,ভোটার নং: ৫৭০০৩৮০০০০৮১,পিতা: মো: আঃ ছামাদ,মাতা: মোছা: মমতাজ খাতুন,জন্ম তারিখ: ২৫/১০/১৯৭৬,পেশা: কৃষক,ঠিকানা: গাড়াবোব, গাংনী, মেহেরপুর</t>
  </si>
  <si>
    <t>১৬৫৩,নাম: মো: নাছিরুল ইসলাম,ভোটার নং: ৫৭০০৩৮০০০০৮২,পিতা: মো: ফজের আলী,মাতা: মোছা: নাছিমা খাতুন,জন্ম তারিখ: ২০/০১/১৯৯১,পেশা: মিস্ত্রী,ঠিকানা: গাড়াবোব, গাংনী, মেহেরপুর</t>
  </si>
  <si>
    <t>১৬৫৪,নাম: মীর মো: রাশেদ রেজা,ভোটার নং: ৫৭০০৩৮০০০০৮৩,পিতা: মীর মো: আব্দুল আলিম,মাতা: মোছা: রাশিদা খাতুন,জন্ম তারিখ: ০১/০১/১৯৯১,পেশা: কৃষক,ঠিকানা: গাড়াবোব, গাংনী, মেহেরপুর</t>
  </si>
  <si>
    <t>১৬৫৫,নাম: মো: একতার আলী,ভোটার নং: ৫৭০০৩৮০০০০৮৪,পিতা: রহিম শেখ,মাতা: মোছা: রাহিলা খাতুন,জন্ম তারিখ: ১৫/০২/১৯৫২,পেশা: ব্যবসা,ঠিকানা: গাড়াবোব, গাংনী, মেহেরপুর</t>
  </si>
  <si>
    <t>১৬৫৬,নাম: মো: সাহারুল ইসলাম,ভোটার নং: ৫৭০০৩৮০০০০৮৫,পিতা: মো: ছাইনাল ইসলাম,মাতা: মোছা: বানুয়ারা খাতুন,জন্ম তারিখ: ৩০/১২/১৯৯০,পেশা: কৃষক,ঠিকানা: গাড়াবোব, গাংনী, মেহেরপুর</t>
  </si>
  <si>
    <t>১৬৫৭,নাম: মো: হাসান আলী,ভোটার নং: ৫৭০০৩৮০০০০৮৬,পিতা: মো: আনারুল ইসলাম,মাতা: মোছা: হালিমা খাতুন,জন্ম তারিখ: ৩০/০৬/১৯৯০,পেশা: কৃষক,ঠিকানা: গাড়াবোব, গাংনী, মেহেরপুর</t>
  </si>
  <si>
    <t>১৬৫৮,নাম: মো: বাহাদুর হক,ভোটার নং: ৫৭০০৩৮০০০০৮৭,পিতা: মো: নেকছার আলী,মাতা: মোছা: রাশেদা খাতুন,জন্ম তারিখ: ১০/০১/১৯৮৫,পেশা: শ্রমিক,ঠিকানা: গাড়াবোব, গাংনী, মেহেরপুর</t>
  </si>
  <si>
    <t>১৬৫৯,নাম: মো: সেলিম রেজা,ভোটার নং: ৫৭০০৩৮০০০০৯৪,পিতা: মো: শমসের আলী,মাতা: মোছা: মেহেরুন নেছা,জন্ম তারিখ: ০৬/০৯/১৯৮৭,পেশা: কৃষক,ঠিকানা: গাড়াবোব, গাংনী, মেহেরপুর</t>
  </si>
  <si>
    <t>১৬৬০,নাম: মো: উজ্জ্বল মিয়া,ভোটার নং: ৫৭০০৩৮০০০০৯৬,পিতা: মো: আবুল কাশেম,মাতা: মোছা: জোসনা খাতুন,জন্ম তারিখ: ০২/০১/১৯৯১,পেশা: কৃষক,ঠিকানা: গাড়াবোব, গাংনী, মেহেরপুর</t>
  </si>
  <si>
    <t>১৬৬১,নাম: মো: সেলিম রেজা,ভোটার নং: ৫৭০০৩৮০০০০৯৭,পিতা: মো: আব্দুল কুদ্দুস,মাতা: মোছা: হাফিজা খাতুন,জন্ম তারিখ: ২২/১২/১৯৯১,পেশা: ছাত্র/ছাত্রী,ঠিকানা: গাড়াবোব, গাংনী, মেহেরপুর</t>
  </si>
  <si>
    <t>১৬৬২,নাম: মো: শামিম রেজা,ভোটার নং: ৫৭০০৩৮০০০১০৩,পিতা: মো: আক্কাছ আলী,মাতা: মোছা: আছিয়া খাতুন,জন্ম তারিখ: ০২/০৬/১৯৮৮,পেশা: ছাত্র/ছাত্রী,ঠিকানা: গাড়াবোব, গাংনী, মেহেরপুর</t>
  </si>
  <si>
    <t>১৬৬৩,নাম: মো: আনারুল ইসলাম,ভোটার নং: ৫৭০০৩৮০০০১০৪,পিতা: নজিমুদ্দীন,মাতা: মোছা: রাজিয়া খাতুন,জন্ম তারিখ: ২৫/০৪/১৯৭৪,পেশা: কৃষক,ঠিকানা: গাড়াবোব, গাংনী, মেহেরপুর</t>
  </si>
  <si>
    <t>১৬৬৪,নাম: মো: শরিফুল ইসলাম,ভোটার নং: ৫৭০০৩৮০০০১০৫,পিতা: মো: আবুল কাশেম,মাতা: মোছা: ফাতেমা খাতুন,জন্ম তারিখ: ১০/০৭/১৯৯০,পেশা: কৃষক,ঠিকানা: গাড়াবোব, গাংনী, মেহেরপুর</t>
  </si>
  <si>
    <t>১৬৬৫,নাম: মো: হায়দার আলী,ভোটার নং: ৫৭০০৩৮০০০১০৭,পিতা: মো: শাহাদ আলী,মাতা: মোছা: ফুলঝুরা,জন্ম তারিখ: ১৫/০১/১৯৯১,পেশা: মিস্ত্রী,ঠিকানা: গাড়াবোব, গাংনী, মেহেরপুর</t>
  </si>
  <si>
    <t>১৬৬৬,নাম: মো: আবু হানিফ,ভোটার নং: ৫৭০০৩৮০০০১০৮,পিতা: মো: মহিবুল ইসলাম,মাতা: মোছা: রুপিয়া খাতুন,জন্ম তারিখ: ২০/০২/১৯৮৫,পেশা: ব্যবসা,ঠিকানা: গাড়াবোব, গাংনী, মেহেরপুর</t>
  </si>
  <si>
    <t>১৬৬৭,নাম: মো: মিনারুল ইসলাম,ভোটার নং: ৫৭০০৩৮০০০১০৯,পিতা: মো: আজমত আলী,মাতা: মোছা: মিনা খাতুন,জন্ম তারিখ: ১০/১১/১৯৯০,পেশা: বেসরকারী চাকুরী,ঠিকানা: গাড়াবোব, গাংনী, মেহেরপুর</t>
  </si>
  <si>
    <t>১৬৬৮,নাম: মো: হোসেনুজ্জামান,ভোটার নং: ৫৭০০৩৮০০০১১০,পিতা: মো: আলী হোসেন,মাতা: মোছা: ছামেনা খাতুন,জন্ম তারিখ: ০১/০৬/১৯৮৮,পেশা: কৃষক,ঠিকানা: গাড়াবোব, গাংনী, মেহেরপুর</t>
  </si>
  <si>
    <t>১৬৬৯,নাম: মো: সেলিম রেজা,ভোটার নং: ৫৭০০৩৮০০০১১১,পিতা: আব্দুল আজিজ,মাতা: মোছা: সুফিয়া বেগম,জন্ম তারিখ: ০১/১০/১৯৮০,পেশা: ব্যবসা,ঠিকানা: গাড়াবোব, গাংনী, মেহেরপুর</t>
  </si>
  <si>
    <t>১৬৭০,নাম: মো: মিয়ারুল ইসলাম,ভোটার নং: ৫৭০০৩৮০০০১১২,পিতা: মো: মোজাম্মেল হক,মাতা: মোছা: নেছারন খাতুন,জন্ম তারিখ: ১৬/০২/১৯৯১,পেশা: ব্যবসা,ঠিকানা: গাড়াবোব, গাংনী, মেহেরপুর</t>
  </si>
  <si>
    <t>১৬৭১,নাম: মো: শাহিন আলী,ভোটার নং: ৫৭০০৩৮০০০১১৩,পিতা: মো: সামসুজ্জোহা,মাতা: শামসুন্নাহার,জন্ম তারিখ: ২০/০২/১৯৮৮,পেশা: ড্রাইভার,ঠিকানা: গাড়াবোব, গাংনী, মেহেরপুর</t>
  </si>
  <si>
    <t>১৬৭২,নাম: মো: একরামুল হোসেন,ভোটার নং: ৫৭০০৩৮০০০১১৫,পিতা: নুর ইসলাম,মাতা: রুমিয়া খাতুন,জন্ম তারিখ: ০৩/০২/১৯৯১,পেশা: কৃষক,ঠিকানা: গাড়াবোব, গাংনী, মেহেরপুর</t>
  </si>
  <si>
    <t>১৬৭৩,নাম: মো: সোহেল রানা,ভোটার নং: ৫৭০০৩৮০০০১১৬,পিতা: মো: বিনার বক্স,মাতা: মোছা: সুফিয়া খাতুন,জন্ম তারিখ: ০২/০৪/১৯৯০,পেশা: কৃষক,ঠিকানা: গাড়াবোব, গাংনী, মেহেরপুর</t>
  </si>
  <si>
    <t>১৬৭৪,নাম: মো: মিঠুন,ভোটার নং: ৫৭০০৩৮০০০১১৭,পিতা: মো: জসিম আলী,মাতা: মোছা: আকলিমা খাতুন,জন্ম তারিখ: ০৪/০৫/১৯৮৮,পেশা: কৃষক,ঠিকানা: গাড়াবোব, গাংনী, মেহেরপুর</t>
  </si>
  <si>
    <t>১৬৭৫,নাম: মো: লাভলু আকতার,ভোটার নং: ৫৭০০৩৮০০০১১৮,পিতা: মো: ইউছুফ আলী,মাতা: মোছা: মার্জিয়া খাতুন,জন্ম তারিখ: ০১/০৩/১৯৮৯,পেশা: কৃষক,ঠিকানা: গাড়াবোব, গাংনী, মেহেরপুর</t>
  </si>
  <si>
    <t>১৬৭৬,নাম: মো: রাশিদুল ইসলাম,ভোটার নং: ৫৭০০৩৮০০০১১৯,পিতা: মো: শহিদুল ইসলাম,মাতা: মোছা: ফজিলা খাতুন,জন্ম তারিখ: ১৫/০৫/১৯৮৪,পেশা: কৃষক,ঠিকানা: গাড়াবোব, গাংনী, মেহেরপুর</t>
  </si>
  <si>
    <t>১৬৭৭,নাম: মো: রিপন আলী,ভোটার নং: ৫৭০০৩৮০০০১২৩,পিতা: মো: তৈয়ব আলী,মাতা: মোছা: আনজিরা খাতুন,জন্ম তারিখ: ২৫/১১/১৯৯০,পেশা: ছাত্র/ছাত্রী,ঠিকানা: গাড়াবোব, গাংনী, মেহেরপুর</t>
  </si>
  <si>
    <t>১৬৭৮,নাম: মো: ইউসুফ আলী,ভোটার নং: ৫৭০০৩৮০০০১২৪,পিতা: মো: হাবিবুর রহমান,মাতা: মোছা: আয়েশা খাতুন,জন্ম তারিখ: ১০/১১/১৯৯০,পেশা: কৃষক,ঠিকানা: গাড়াবোব, গাংনী, মেহেরপুর</t>
  </si>
  <si>
    <t>১৬৭৯,নাম: মো: রকিবুল ইসলাম,ভোটার নং: ৫৭০০৩৮০০০১২৫,পিতা: মো: রুহুল আমীন,মাতা: মোছা: রোকয়া খাতুন,জন্ম তারিখ: ১৫/০২/১৯৯১,পেশা: ছাত্র/ছাত্রী,ঠিকানা: গাড়াবোব, গাংনী, মেহেরপুর</t>
  </si>
  <si>
    <t>১৬৮০,নাম: মো: আরিফ হোসেন,ভোটার নং: ৫৭০০৩৮০০০১২৭,পিতা: মো: রুহুল আমীন,মাতা: মোছা: তামেশা খাতুন,জন্ম তারিখ: ০১/০১/১৯৮৯,পেশা: মিস্ত্রী,ঠিকানা: গাড়াবোব, গাংনী, মেহেরপুর</t>
  </si>
  <si>
    <t>১৬৮১,নাম: মো: ফিরোজ শেখ,ভোটার নং: ৫৭০০৩৮০০০১২৯,পিতা: মো: ছাত্তার শেখ,মাতা: মোছা: ফেরদৌসি খাতুন,জন্ম তারিখ: ১১/০৪/১৯৯০,পেশা: কৃষক,ঠিকানা: গাড়াবোব, গাংনী, মেহেরপুর</t>
  </si>
  <si>
    <t>১৬৮২,নাম: মো: জাকির হোসেন,ভোটার নং: ৫৭০০৩৮০০০১৩০,পিতা: মো: নিহাজ উদ্দীন,মাতা: মোছা: জুলেখা খাতুন,জন্ম তারিখ: ০৫/০৮/১৯৭৫,পেশা: ড্রাইভার,ঠিকানা: গাড়াবোব, গাংনী, মেহেরপুর</t>
  </si>
  <si>
    <t>১৬৮৩,নাম: মো: আজিজুল হক,ভোটার নং: ৫৭০০৩৮০০০১৩১,পিতা: মো: আবু ছাত্তার,মাতা: জহুরা খাতুন,জন্ম তারিখ: ০১/০১/১৯৮৮,পেশা: ব্যবসা,ঠিকানা: গাড়াবোব, গাংনী, মেহেরপুর</t>
  </si>
  <si>
    <t>১৬৮৪,নাম: মো: মাসুম আলী,ভোটার নং: ৫৭০০৩৮০০০১৩২,পিতা: মো: আলাউদ্দিন,মাতা: মোছা: মাসুদা খাতুন,জন্ম তারিখ: ২২/০৭/১৯৯০,পেশা: ছাত্র/ছাত্রী,ঠিকানা: গাড়াবোব, গাংনী, মেহেরপুর</t>
  </si>
  <si>
    <t>১৬৮৫,নাম: শ্রী গোপীনাথ শাহা,ভোটার নং: ৫৭০০৩৮০০০১৩৩,পিতা: শ্রী গৌরশাহা,মাতা: শ্রীমতি আশালতা,জন্ম তারিখ: ১১/১০/১৯৮০,পেশা: ব্যবসা,ঠিকানা: গাড়াবোব, গাংনী, মেহেরপুর</t>
  </si>
  <si>
    <t>১৬৮৬,নাম: মো: হোসেন আলী,ভোটার নং: ৫৭০০৩৮০০০১৩৪,পিতা: শুকুর আলী,মাতা: মোছা: জবেদা খাতুন,জন্ম তারিখ: ০৮/০৬/১৯৮৬,পেশা: কৃষক,ঠিকানা: গাড়াবোব, গাংনী, মেহেরপুর</t>
  </si>
  <si>
    <t>১৬৮৭,নাম: মো: আনছার আলী,ভোটার নং: ৫৭০০৩৮০০০১৩৫,পিতা: মো: আব্দুল মোতালেব,মাতা: মোছা: আনজুমান আরা,জন্ম তারিখ: ০৫/০১/১৯৯০,পেশা: ছাত্র/ছাত্রী,ঠিকানা: গাড়াবোব, গাংনী, মেহেরপুর</t>
  </si>
  <si>
    <t>১৬৮৮,নাম: মো: আহসান হাবিব,ভোটার নং: ৫৭০০৩৮০০০১৩৬,পিতা: মো: আব্দুল মোতালেব,মাতা: মোছা: আনজুমানয়ারা,জন্ম তারিখ: ০১/০৩/১৯৯১,পেশা: শ্রমিক,ঠিকানা: গাড়াবোব, গাংনী, মেহেরপুর</t>
  </si>
  <si>
    <t>১৬৮৯,নাম: মো: মাহাফুজুর রহমান,ভোটার নং: ৫৭০০৩৮০০০১৩৭,পিতা: মো: আদম আলি,মাতা: মোছা: মমতাজ বেগম,জন্ম তারিখ: ২৫/০৬/১৯৯১,পেশা: ছাত্র/ছাত্রী,ঠিকানা: গাড়াবোব, গাংনী, মেহেরপুর</t>
  </si>
  <si>
    <t>১৬৯০,নাম: মো: ফরহাদ হোসেন,ভোটার নং: ৫৭০০৩৮০০০১৩৮,পিতা: মো: নছির উদ্দীন,মাতা: মোছা: ফেরদৌসি আক্তার,জন্ম তারিখ: ০৫/০৮/১৯৯০,পেশা: ছাত্র/ছাত্রী,ঠিকানা: গাড়াবোব, গাংনী, মেহেরপুর</t>
  </si>
  <si>
    <t>১৬৯১,নাম: মো: সোহেল রানা,ভোটার নং: ৫৭০০৩৮০০০১৪১,পিতা: মো: আক্কাচ আলী,মাতা: মোছা: শাহিদা খাতুন,জন্ম তারিখ: ০১/০১/১৯৯০,পেশা: বেসরকারী চাকুরী,ঠিকানা: গাড়াবোব, গাংনী, মেহেরপুর</t>
  </si>
  <si>
    <t>১৬৯২,নাম: মো: ইয়াকুব আলী,ভোটার নং: ৫৭০০৩৮০০০১৪২,পিতা: মো: আব্দুল মান্নান,মাতা: মোছা: মাজেদা বেগম,জন্ম তারিখ: ০১/০১/১৯৯২,পেশা: মিস্ত্রী,ঠিকানা: গাড়াবোব, গাংনী, মেহেরপুর</t>
  </si>
  <si>
    <t>১৬৯৩,নাম: মোহা: ফিরোজ আলম,ভোটার নং: ৫৭০০৩৮০০০১৪৩,পিতা: মো: আবুল হাশেম,মাতা: মোছা: মাহমুদা বেগম,জন্ম তারিখ: ১৫/০৬/১৯৭৯,পেশা: গৃহিনী,ঠিকানা: গাড়াবোব, গাংনী, মেহেরপুর</t>
  </si>
  <si>
    <t>১৬৯৪,নাম: মো: রিপন আলী,ভোটার নং: ৫৭০০৩৮০০০১৪৫,পিতা: মো: নায়েব আলী,মাতা: মোছা: রেণুকা খাতুন,জন্ম তারিখ: ০১/০৫/১৯৯০,পেশা: শ্রমিক,ঠিকানা: গাড়াবোব, গাংনী, মেহেরপুর</t>
  </si>
  <si>
    <t>১৬৯৫,নাম: মো: রিপন আলী,ভোটার নং: ৫৭০০৩৮০০০১৪৭,পিতা: মো: নায়েব আলী,মাতা: মোছা: হাসিনা বেগম,জন্ম তারিখ: ০১/০১/১৯৯১,পেশা: ছাত্র/ছাত্রী,ঠিকানা: গাড়াবোব, গাংনী, মেহেরপুর</t>
  </si>
  <si>
    <t>১৬৯৬,নাম: মো: শফিকুল ইসলাম,ভোটার নং: ৫৭০০৩৮০০০১৪৯,পিতা: মো: সাহাবুদ্দীন,মাতা: মোছা: জামেনা খাতুন,জন্ম তারিখ: ১১/০২/১৯৯১,পেশা: ছাত্র/ছাত্রী,ঠিকানা: "গাড়াবোব, ধানখোলা, গাংনী, মেহেরপুর"</t>
  </si>
  <si>
    <t>১৬৯৭,নাম: মোহা: ইলিয়াস হোসেন,ভোটার নং: ৫৭০০৩৮০০০১৫০,পিতা: রহমতুল্লাহ,মাতা: মোছা: জাহানারা খাতুন,জন্ম তারিখ: ৩০/০৩/১৯৭৫,পেশা: ব্যবসা,ঠিকানা: গাড়াবোব, গাংনী, মেহেরপুর</t>
  </si>
  <si>
    <t>১৬৯৮,নাম: মো: সাইফুল ইসলাম,ভোটার নং: ৫৭০০৩৮০০০১৫৬,পিতা: মো: আতাহার আলী,মাতা: মোছা: ফাতেমা খাতুন,জন্ম তারিখ: ২১/১১/১৯৯১,পেশা: কৃষক,ঠিকানা: গাড়াবোব, গাংনী, মেহেরপুর</t>
  </si>
  <si>
    <t>১৬৯৯,নাম: এস এম আশরাফুজ্জামান,ভোটার নং: ৫৭০০৩৮০০০১৬০,পিতা: রিয়াজ উদ্দীন,মাতা: মোহা: শবিকোন নেছা,জন্ম তারিখ: ২৮/১২/১৯৮২,পেশা: ব্যবসা,ঠিকানা: গাড়াবোব, গাংনী, মেহেরপুর</t>
  </si>
  <si>
    <t>১৭০০,নাম: মো: বেল্টু আহমেদ,ভোটার নং: ৫৭০০৩৮০০০১৬১,পিতা: মো: কাউসার আলী,মাতা: মোছা: ফিরোজা খাতুন,জন্ম তারিখ: ০৪/০৭/১৯৯১,পেশা: ব্যবসা,ঠিকানা: গাড়াবোব, গাংনী, মেহেরপুর</t>
  </si>
  <si>
    <t>১৭০১,নাম: মো: আব্দুস সালাম,ভোটার নং: ৫৭০০৩৮০০০১৬৪,পিতা: মো: আজিমুদ্দীন শেখ,মাতা: মোছা: হালিমা বিবি,জন্ম তারিখ: ১২/১০/১৯৮৯,পেশা: কৃষক,ঠিকানা: গাড়াবোব, গাংনী, মেহেরপুর</t>
  </si>
  <si>
    <t>১৭০২,নাম: মো: ফারুক হোসেন,ভোটার নং: ৫৭০০৩৮০০০১৬৫,পিতা: মো: আবুল কাসেম,মাতা: মোছা: ফাতেমা খাতুন,জন্ম তারিখ: ১১/০১/১৯৮৮,পেশা: কৃষক,ঠিকানা: গাড়াবোব, গাংনী, মেহেরপুর</t>
  </si>
  <si>
    <t>১৭০৩,নাম: মো: মহিদুল ইসলাম,ভোটার নং: ৫৭০০৩৮০০০১৭৫,পিতা: মো: কুদ্দুস শেখ,মাতা: মোছা: কহিনুর বেগম,জন্ম তারিখ: ২০/০৫/১৯৮৯,পেশা: দিনমজুর,ঠিকানা: গাড়াবোব, গাংনী, মেহেরপুর</t>
  </si>
  <si>
    <t>১৭০৪,নাম: মো: সুজন আলী,ভোটার নং: ৫৭০০৩৮০০০১৭৬,পিতা: মো: হিবাজ উদ্দীন,মাতা: মোছা: তহুরা খাতুন,জন্ম তারিখ: ১৬/১০/১৯৯০,পেশা: শ্রমিক,ঠিকানা: গাড়াবোব, গাংনী, মেহেরপুর</t>
  </si>
  <si>
    <t>১৭০৫,নাম: মো: রাজিব হোসেন,ভোটার নং: ৫৭০০৩৮০০০১৭৭,পিতা: আইযুব আলী,মাতা: রাবেয়া,জন্ম তারিখ: ০৫/০৫/১৯৯১,পেশা: কৃষক,ঠিকানা: গাড়াবোব, গাংনী, মেহেরপুর</t>
  </si>
  <si>
    <t>১৭০৬,নাম: মো: রাশেদুল ইসলাম,ভোটার নং: ৫৭০০৩৮০০০১৭৮,পিতা: মো: হাফিজুর রহমান,মাতা: মোছা: রাশিদা খাতুন,জন্ম তারিখ: ০১/০১/১৯৯১,পেশা: কৃষক,ঠিকানা: গাড়াবোব, গাংনী, মেহেরপুর</t>
  </si>
  <si>
    <t>১৭০৭,নাম: মো: আল জিহাদ,ভোটার নং: ৫৭০০৩৮০০০১৭৯,পিতা: মো: আতিয়ার রহমান,মাতা: মোছা: তাছলিমা খাতুন,জন্ম তারিখ: ২৫/১২/১৯৯১,পেশা: ছাত্র/ছাত্রী,ঠিকানা: "বাঁশবাড়ীয়া, গাংনী, মেহেরপুর"</t>
  </si>
  <si>
    <t>১৭০৮,নাম: মো: শাহিদুর রহমান জসিম,ভোটার নং: ৫৭০০৩৮০০০১৮১,পিতা: খলিলুর রহমান,মাতা: মোছা: জহুরা খাতুন,জন্ম তারিখ: ১২/১০/১৯৯০,পেশা: কৃষক,ঠিকানা: গাড়াবোব, গাংনী, মেহেরপুর</t>
  </si>
  <si>
    <t>১৭০৯,নাম: মো: ডালিম,ভোটার নং: ৫৭০০৩৮০০০১৮২,পিতা: মো: ইসমাইল হক,মাতা: মোছা: হামিদা খাতুন,জন্ম তারিখ: ০৩/০৬/১৯৯০,পেশা: কৃষক,ঠিকানা: গাড়াবোব, গাংনী, মেহেরপুর</t>
  </si>
  <si>
    <t>১৭১০,নাম: মো: ইমরান হোসেন,ভোটার নং: ৫৭০০৩৮০০০১৮৩,পিতা: মো: ফারাজুল ইসলাম,মাতা: মোছা: নাসিরা খাতুন,জন্ম তারিখ: ১০/০৯/১৯৯১,পেশা: ছাত্র/ছাত্রী,ঠিকানা: গাড়াবোব, গাংনী, মেহেরপুর</t>
  </si>
  <si>
    <t>১৭১১,নাম: মো: ছিপাত উদ্দীন,ভোটার নং: ৫৭০০৩৮০০০১৮৫,পিতা: মো: মাওলাদ হোসেন,মাতা: মোছা: বাচেনা খাতুন,জন্ম তারিখ: ২০/০৮/১৯৯০,পেশা: কৃষক,ঠিকানা: গাড়াবোব, গাংনী, মেহেরপুর</t>
  </si>
  <si>
    <t>১৭১২,নাম: মো: মিলন,ভোটার নং: ৫৭০০৩৮০০০১৮৬,পিতা: মো: দুলাল শেখ,মাতা: মোছা: হানেছা খাতুন,জন্ম তারিখ: ০১/০৫/১৯৯০,পেশা: বেসরকারী চাকুরী,ঠিকানা: গাড়াবোব, গাংনী, মেহেরপুর</t>
  </si>
  <si>
    <t>১৭১৩,নাম: মো: মাহমুদুল হাসান,ভোটার নং: ৫৭০০৩৮০০০১৮৯,পিতা: মো: আবুল হাশেম,মাতা: মোছা: মাহমুদা খাতুন,জন্ম তারিখ: ৩০/১১/১৯৯১,পেশা: ছাত্র/ছাত্রী,ঠিকানা: গাড়াবোব, গাংনী, মেহেরপুর</t>
  </si>
  <si>
    <t>১৭১৪,নাম: মো: তারিকুল,ভোটার নং: ৫৭০০৩৮০০০১৯৫,পিতা: মো: আ: কুদ্দুস,মাতা: মোছা: আরিফা খাতুন,জন্ম তারিখ: ০১/০১/১৯৯০,পেশা: দিনমজুর,ঠিকানা: গাড়াবোব, গাংনী, মেহেরপুর</t>
  </si>
  <si>
    <t>১৭১৫,নাম: মো: রকি হোসেন,ভোটার নং: ৫৭০০৩৮০০০১৯৭,পিতা: মো: আ: মান্নান,মাতা: মোছা: তাসলিমা বেগম,জন্ম তারিখ: ১০/০১/১৯৯০,পেশা: কৃষক,ঠিকানা: গাড়াবোব, গাংনী, মেহেরপুর</t>
  </si>
  <si>
    <t>১৭১৬,নাম: মো: মাহফুজুর রহমান,ভোটার নং: ৫৭০০৩৮০০০১৯৮,পিতা: মো: আ: রাজ্জাক,মাতা: মোছা: সুপিয়া খাতুন,জন্ম তারিখ: ১৫/১২/১৯৮৩,পেশা: কৃষক,ঠিকানা: গাড়াবোব, গাংনী, মেহেরপুর</t>
  </si>
  <si>
    <t>১৭১৭,নাম: মো: শামীম হোসেন,ভোটার নং: ৫৭০০৩৮০০০২০৪,পিতা: মো: সাফায়াত হোসেন,মাতা: মোছা: খাদিজা খাতুন,জন্ম তারিখ: ০৫/০৮/১৯৯০,পেশা: মিস্ত্রী,ঠিকানা: গাড়াবোব, গাংনী, মেহেরপুর</t>
  </si>
  <si>
    <t>১৭১৮,নাম: মো: শাহ আলম,ভোটার নং: ৫৭০০৩৮০০০২০৫,পিতা: মো: শফি উল্লাহ,মাতা: মোছা: রমেজান,জন্ম তারিখ: ১৬/০৮/১৯৮৬,পেশা: কৃষক,ঠিকানা: গাড়াবোব, গাংনী, মেহেরপুর</t>
  </si>
  <si>
    <t>১৭১৯,নাম: মো: আঃ আওয়াল,ভোটার নং: ৫৭০০৩৮০০০২০৬,পিতা: মো: আবুল কালাম,মাতা: মোছা: আছিয়া খাতুন,জন্ম তারিখ: ১২/১০/১৯৮৯,পেশা: কৃষক,ঠিকানা: গাড়াবোব, গাংনী, মেহেরপুর</t>
  </si>
  <si>
    <t>১৭২০,নাম: মো: জাহিদুল ইসলাম,ভোটার নং: ৫৭০০৩৮০০০২০৭,পিতা: মো: ইনতাজ আলী,মাতা: মোছা: জামবিয়া খাতুন,জন্ম তারিখ: ১২/১০/১৯৯১,পেশা: কৃষক,ঠিকানা: গাড়াবোব, গাংনী, মেহেরপুর</t>
  </si>
  <si>
    <t>১৭২১,নাম: মো: ছানোয়ার হোসেন,ভোটার নং: ৫৭০০৩৮০০০২০৮,পিতা: কিয়াম উদ্দিন,মাতা: মোছা: মাহিরন বিবি,জন্ম তারিখ: ০১/১০/১৯৯০,পেশা: কৃষক,ঠিকানা: গাড়াবোব, গাংনী, মেহেরপুর</t>
  </si>
  <si>
    <t>১৭২২,নাম: মো: সাইফুল,ভোটার নং: ৫৭০০৩৮০০০২১১,পিতা: মো: গরীব,মাতা: মোছা: বানুয়ারা,জন্ম তারিখ: ০১/০৫/১৯৭৫,পেশা: দিনমজুর,ঠিকানা: গাড়াবোব, গাংনী, মেহেরপুর</t>
  </si>
  <si>
    <t>১৭২৩,নাম: মো: ফরহাদ,ভোটার নং: ৫৭০০৩৮০০০২১৩,পিতা: মো: বিশারত আলী,মাতা: মোছা: ফিরোজা বেগম,জন্ম তারিখ: ২৫/০১/১৯৯০,পেশা: ব্যবসা,ঠিকানা: গাড়াবোব, গাংনী, মেহেরপুর</t>
  </si>
  <si>
    <t>১৭২৪,নাম: মো: জসিম উদ্দিন,ভোটার নং: ৫৭০০৩৮০০০২১৬,পিতা: খলিল খাঁ,মাতা: মোছা: জোহরা বেগম,জন্ম তারিখ: ০৯/০৩/১৯৯০,পেশা: শ্রমিক,ঠিকানা: গাড়াবোব, গাংনী, মেহেরপুর</t>
  </si>
  <si>
    <t>১৭২৫,নাম: মোহা: ফিরোজ হোসেন সুজন,ভোটার নং: ৫৭০০৩৮০০০২১৭,পিতা: মো: ইদ্রিস আলী,মাতা: মোছা: ফিরোজা খাতুন,জন্ম তারিখ: ১২/০৬/১৯৮৭,পেশা: ড্রাইভার,ঠিকানা: গাড়াবোব, গাংনী, মেহেরপুর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</si>
</sst>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6.25"/>
    <col customWidth="1" min="3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5.700383531641E12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5.700383535004E12</v>
      </c>
      <c r="F3" s="1" t="s">
        <v>17</v>
      </c>
      <c r="G3" s="1" t="s">
        <v>18</v>
      </c>
      <c r="H3" s="3" t="s">
        <v>19</v>
      </c>
      <c r="I3" s="1"/>
    </row>
    <row r="4" ht="15.75" customHeight="1">
      <c r="A4" s="2">
        <v>3.0</v>
      </c>
      <c r="B4" s="1" t="s">
        <v>20</v>
      </c>
      <c r="C4" s="1" t="s">
        <v>21</v>
      </c>
      <c r="D4" s="1" t="s">
        <v>22</v>
      </c>
      <c r="E4" s="2">
        <v>5.700383535007E12</v>
      </c>
      <c r="F4" s="1" t="s">
        <v>23</v>
      </c>
      <c r="G4" s="1" t="s">
        <v>24</v>
      </c>
      <c r="H4" s="3" t="s">
        <v>19</v>
      </c>
      <c r="I4" s="1"/>
    </row>
    <row r="5" ht="15.75" customHeight="1">
      <c r="A5" s="2">
        <v>4.0</v>
      </c>
      <c r="B5" s="1" t="s">
        <v>25</v>
      </c>
      <c r="C5" s="1" t="s">
        <v>26</v>
      </c>
      <c r="D5" s="1" t="s">
        <v>27</v>
      </c>
      <c r="E5" s="2">
        <v>5.700383535013E12</v>
      </c>
      <c r="F5" s="1" t="s">
        <v>28</v>
      </c>
      <c r="G5" s="1" t="s">
        <v>24</v>
      </c>
      <c r="H5" s="3" t="s">
        <v>19</v>
      </c>
      <c r="I5" s="1"/>
    </row>
    <row r="6" ht="15.75" customHeight="1">
      <c r="A6" s="2">
        <v>5.0</v>
      </c>
      <c r="B6" s="1" t="s">
        <v>26</v>
      </c>
      <c r="C6" s="1" t="s">
        <v>29</v>
      </c>
      <c r="D6" s="1" t="s">
        <v>30</v>
      </c>
      <c r="E6" s="2">
        <v>5.700383535017E12</v>
      </c>
      <c r="F6" s="1" t="s">
        <v>31</v>
      </c>
      <c r="G6" s="1" t="s">
        <v>24</v>
      </c>
      <c r="H6" s="3" t="s">
        <v>19</v>
      </c>
      <c r="I6" s="1"/>
    </row>
    <row r="7" ht="15.75" customHeight="1">
      <c r="A7" s="2">
        <v>6.0</v>
      </c>
      <c r="B7" s="1" t="s">
        <v>32</v>
      </c>
      <c r="C7" s="1" t="s">
        <v>33</v>
      </c>
      <c r="D7" s="1" t="s">
        <v>34</v>
      </c>
      <c r="E7" s="2">
        <v>5.700383535018E12</v>
      </c>
      <c r="F7" s="1" t="s">
        <v>35</v>
      </c>
      <c r="G7" s="1" t="s">
        <v>24</v>
      </c>
      <c r="H7" s="3" t="s">
        <v>19</v>
      </c>
      <c r="I7" s="1"/>
    </row>
    <row r="8" ht="15.75" customHeight="1">
      <c r="A8" s="2">
        <v>7.0</v>
      </c>
      <c r="B8" s="1" t="s">
        <v>36</v>
      </c>
      <c r="C8" s="1" t="s">
        <v>15</v>
      </c>
      <c r="D8" s="1" t="s">
        <v>16</v>
      </c>
      <c r="E8" s="2">
        <v>5.700383535019E12</v>
      </c>
      <c r="F8" s="1" t="s">
        <v>37</v>
      </c>
      <c r="G8" s="1" t="s">
        <v>38</v>
      </c>
      <c r="H8" s="3" t="s">
        <v>19</v>
      </c>
      <c r="I8" s="1"/>
    </row>
    <row r="9" ht="15.75" customHeight="1">
      <c r="A9" s="2">
        <v>8.0</v>
      </c>
      <c r="B9" s="1" t="s">
        <v>39</v>
      </c>
      <c r="C9" s="1" t="s">
        <v>40</v>
      </c>
      <c r="D9" s="1" t="s">
        <v>41</v>
      </c>
      <c r="E9" s="2">
        <v>5.70038353502E12</v>
      </c>
      <c r="F9" s="1" t="s">
        <v>42</v>
      </c>
      <c r="G9" s="1" t="s">
        <v>24</v>
      </c>
      <c r="H9" s="3" t="s">
        <v>19</v>
      </c>
      <c r="I9" s="1"/>
    </row>
    <row r="10" ht="15.75" customHeight="1">
      <c r="A10" s="2">
        <v>9.0</v>
      </c>
      <c r="B10" s="1" t="s">
        <v>43</v>
      </c>
      <c r="C10" s="1" t="s">
        <v>44</v>
      </c>
      <c r="D10" s="1" t="s">
        <v>45</v>
      </c>
      <c r="E10" s="2">
        <v>5.700383535027E12</v>
      </c>
      <c r="F10" s="1" t="s">
        <v>46</v>
      </c>
      <c r="G10" s="1" t="s">
        <v>47</v>
      </c>
      <c r="H10" s="3" t="s">
        <v>19</v>
      </c>
      <c r="I10" s="1"/>
    </row>
    <row r="11" ht="15.75" customHeight="1">
      <c r="A11" s="2">
        <v>10.0</v>
      </c>
      <c r="B11" s="1" t="s">
        <v>48</v>
      </c>
      <c r="C11" s="1" t="s">
        <v>40</v>
      </c>
      <c r="D11" s="1" t="s">
        <v>49</v>
      </c>
      <c r="E11" s="2">
        <v>5.700383535029E12</v>
      </c>
      <c r="F11" s="1" t="s">
        <v>50</v>
      </c>
      <c r="G11" s="1" t="s">
        <v>24</v>
      </c>
      <c r="H11" s="3" t="s">
        <v>19</v>
      </c>
      <c r="I11" s="1"/>
    </row>
    <row r="12" ht="15.75" customHeight="1">
      <c r="A12" s="2">
        <v>11.0</v>
      </c>
      <c r="B12" s="1" t="s">
        <v>51</v>
      </c>
      <c r="C12" s="1" t="s">
        <v>48</v>
      </c>
      <c r="D12" s="1" t="s">
        <v>52</v>
      </c>
      <c r="E12" s="2">
        <v>5.70038353503E12</v>
      </c>
      <c r="F12" s="1" t="s">
        <v>53</v>
      </c>
      <c r="G12" s="1" t="s">
        <v>24</v>
      </c>
      <c r="H12" s="3" t="s">
        <v>19</v>
      </c>
      <c r="I12" s="1"/>
    </row>
    <row r="13" ht="15.75" customHeight="1">
      <c r="A13" s="2">
        <v>12.0</v>
      </c>
      <c r="B13" s="1" t="s">
        <v>54</v>
      </c>
      <c r="C13" s="1" t="s">
        <v>40</v>
      </c>
      <c r="D13" s="1" t="s">
        <v>49</v>
      </c>
      <c r="E13" s="2">
        <v>5.700383535034E12</v>
      </c>
      <c r="F13" s="1" t="s">
        <v>55</v>
      </c>
      <c r="G13" s="1" t="s">
        <v>24</v>
      </c>
      <c r="H13" s="3" t="s">
        <v>19</v>
      </c>
      <c r="I13" s="1"/>
    </row>
    <row r="14" ht="15.75" customHeight="1">
      <c r="A14" s="2">
        <v>13.0</v>
      </c>
      <c r="B14" s="1" t="s">
        <v>56</v>
      </c>
      <c r="C14" s="1" t="s">
        <v>57</v>
      </c>
      <c r="D14" s="1" t="s">
        <v>58</v>
      </c>
      <c r="E14" s="2">
        <v>5.700383535035E12</v>
      </c>
      <c r="F14" s="1" t="s">
        <v>59</v>
      </c>
      <c r="G14" s="1" t="s">
        <v>24</v>
      </c>
      <c r="H14" s="3" t="s">
        <v>19</v>
      </c>
      <c r="I14" s="1"/>
    </row>
    <row r="15" ht="15.75" customHeight="1">
      <c r="A15" s="2">
        <v>14.0</v>
      </c>
      <c r="B15" s="1" t="s">
        <v>60</v>
      </c>
      <c r="C15" s="1" t="s">
        <v>61</v>
      </c>
      <c r="D15" s="1" t="s">
        <v>62</v>
      </c>
      <c r="E15" s="2">
        <v>5.700383535036E12</v>
      </c>
      <c r="F15" s="1" t="s">
        <v>63</v>
      </c>
      <c r="G15" s="1" t="s">
        <v>24</v>
      </c>
      <c r="H15" s="3" t="s">
        <v>19</v>
      </c>
      <c r="I15" s="1"/>
    </row>
    <row r="16" ht="15.75" customHeight="1">
      <c r="A16" s="2">
        <v>15.0</v>
      </c>
      <c r="B16" s="1" t="s">
        <v>64</v>
      </c>
      <c r="C16" s="1" t="s">
        <v>61</v>
      </c>
      <c r="D16" s="1" t="s">
        <v>62</v>
      </c>
      <c r="E16" s="2">
        <v>5.700383535037E12</v>
      </c>
      <c r="F16" s="1" t="s">
        <v>65</v>
      </c>
      <c r="G16" s="1" t="s">
        <v>38</v>
      </c>
      <c r="H16" s="3" t="s">
        <v>19</v>
      </c>
      <c r="I16" s="1"/>
    </row>
    <row r="17" ht="15.75" customHeight="1">
      <c r="A17" s="2">
        <v>16.0</v>
      </c>
      <c r="B17" s="1" t="s">
        <v>66</v>
      </c>
      <c r="C17" s="1" t="s">
        <v>67</v>
      </c>
      <c r="D17" s="1" t="s">
        <v>68</v>
      </c>
      <c r="E17" s="2">
        <v>5.700383535043E12</v>
      </c>
      <c r="F17" s="1" t="s">
        <v>69</v>
      </c>
      <c r="G17" s="1" t="s">
        <v>24</v>
      </c>
      <c r="H17" s="3" t="s">
        <v>19</v>
      </c>
      <c r="I17" s="1"/>
    </row>
    <row r="18" ht="15.75" customHeight="1">
      <c r="A18" s="2">
        <v>17.0</v>
      </c>
      <c r="B18" s="1" t="s">
        <v>70</v>
      </c>
      <c r="C18" s="1" t="s">
        <v>67</v>
      </c>
      <c r="D18" s="1" t="s">
        <v>68</v>
      </c>
      <c r="E18" s="2">
        <v>5.700383535046E12</v>
      </c>
      <c r="F18" s="1" t="s">
        <v>71</v>
      </c>
      <c r="G18" s="1" t="s">
        <v>24</v>
      </c>
      <c r="H18" s="3" t="s">
        <v>19</v>
      </c>
      <c r="I18" s="1"/>
    </row>
    <row r="19" ht="15.75" customHeight="1">
      <c r="A19" s="2">
        <v>18.0</v>
      </c>
      <c r="B19" s="1" t="s">
        <v>72</v>
      </c>
      <c r="C19" s="1" t="s">
        <v>67</v>
      </c>
      <c r="D19" s="1" t="s">
        <v>73</v>
      </c>
      <c r="E19" s="2">
        <v>5.700383535047E12</v>
      </c>
      <c r="F19" s="1" t="s">
        <v>74</v>
      </c>
      <c r="G19" s="1" t="s">
        <v>24</v>
      </c>
      <c r="H19" s="3" t="s">
        <v>19</v>
      </c>
      <c r="I19" s="1"/>
    </row>
    <row r="20" ht="15.75" customHeight="1">
      <c r="A20" s="2">
        <v>19.0</v>
      </c>
      <c r="B20" s="1" t="s">
        <v>75</v>
      </c>
      <c r="C20" s="1" t="s">
        <v>76</v>
      </c>
      <c r="D20" s="1" t="s">
        <v>77</v>
      </c>
      <c r="E20" s="2">
        <v>5.700383535055E12</v>
      </c>
      <c r="F20" s="1" t="s">
        <v>78</v>
      </c>
      <c r="G20" s="1" t="s">
        <v>24</v>
      </c>
      <c r="H20" s="3" t="s">
        <v>19</v>
      </c>
      <c r="I20" s="1"/>
    </row>
    <row r="21" ht="15.75" customHeight="1">
      <c r="A21" s="2">
        <v>20.0</v>
      </c>
      <c r="B21" s="1" t="s">
        <v>79</v>
      </c>
      <c r="C21" s="1" t="s">
        <v>76</v>
      </c>
      <c r="D21" s="1" t="s">
        <v>77</v>
      </c>
      <c r="E21" s="2">
        <v>5.700383535056E12</v>
      </c>
      <c r="F21" s="1" t="s">
        <v>80</v>
      </c>
      <c r="G21" s="1" t="s">
        <v>38</v>
      </c>
      <c r="H21" s="3" t="s">
        <v>19</v>
      </c>
      <c r="I21" s="1"/>
    </row>
    <row r="22" ht="15.75" customHeight="1">
      <c r="A22" s="2">
        <v>21.0</v>
      </c>
      <c r="B22" s="1" t="s">
        <v>81</v>
      </c>
      <c r="C22" s="1" t="s">
        <v>57</v>
      </c>
      <c r="D22" s="1" t="s">
        <v>82</v>
      </c>
      <c r="E22" s="2">
        <v>5.700383535061E12</v>
      </c>
      <c r="F22" s="1" t="s">
        <v>83</v>
      </c>
      <c r="G22" s="1" t="s">
        <v>24</v>
      </c>
      <c r="H22" s="3" t="s">
        <v>19</v>
      </c>
      <c r="I22" s="1"/>
    </row>
    <row r="23" ht="15.75" customHeight="1">
      <c r="A23" s="2">
        <v>22.0</v>
      </c>
      <c r="B23" s="1" t="s">
        <v>84</v>
      </c>
      <c r="C23" s="1" t="s">
        <v>85</v>
      </c>
      <c r="D23" s="1" t="s">
        <v>86</v>
      </c>
      <c r="E23" s="2">
        <v>5.700383535066E12</v>
      </c>
      <c r="F23" s="1" t="s">
        <v>87</v>
      </c>
      <c r="G23" s="1" t="s">
        <v>18</v>
      </c>
      <c r="H23" s="3" t="s">
        <v>19</v>
      </c>
      <c r="I23" s="1"/>
    </row>
    <row r="24" ht="15.75" customHeight="1">
      <c r="A24" s="2">
        <v>23.0</v>
      </c>
      <c r="B24" s="1" t="s">
        <v>88</v>
      </c>
      <c r="C24" s="1" t="s">
        <v>85</v>
      </c>
      <c r="D24" s="1" t="s">
        <v>86</v>
      </c>
      <c r="E24" s="2">
        <v>5.700383535067E12</v>
      </c>
      <c r="F24" s="1" t="s">
        <v>89</v>
      </c>
      <c r="G24" s="1" t="s">
        <v>90</v>
      </c>
      <c r="H24" s="3" t="s">
        <v>19</v>
      </c>
      <c r="I24" s="1"/>
    </row>
    <row r="25" ht="15.75" customHeight="1">
      <c r="A25" s="2">
        <v>24.0</v>
      </c>
      <c r="B25" s="1" t="s">
        <v>91</v>
      </c>
      <c r="C25" s="1" t="s">
        <v>85</v>
      </c>
      <c r="D25" s="1" t="s">
        <v>86</v>
      </c>
      <c r="E25" s="2">
        <v>5.700383535068E12</v>
      </c>
      <c r="F25" s="1" t="s">
        <v>92</v>
      </c>
      <c r="G25" s="1" t="s">
        <v>90</v>
      </c>
      <c r="H25" s="3" t="s">
        <v>19</v>
      </c>
      <c r="I25" s="1"/>
    </row>
    <row r="26" ht="15.75" customHeight="1">
      <c r="A26" s="2">
        <v>25.0</v>
      </c>
      <c r="B26" s="1" t="s">
        <v>93</v>
      </c>
      <c r="C26" s="1" t="s">
        <v>94</v>
      </c>
      <c r="D26" s="1" t="s">
        <v>95</v>
      </c>
      <c r="E26" s="2">
        <v>5.70038353507E12</v>
      </c>
      <c r="F26" s="1" t="s">
        <v>96</v>
      </c>
      <c r="G26" s="1" t="s">
        <v>38</v>
      </c>
      <c r="H26" s="3" t="s">
        <v>19</v>
      </c>
      <c r="I26" s="1"/>
    </row>
    <row r="27" ht="15.75" customHeight="1">
      <c r="A27" s="2">
        <v>26.0</v>
      </c>
      <c r="B27" s="1" t="s">
        <v>97</v>
      </c>
      <c r="C27" s="1" t="s">
        <v>98</v>
      </c>
      <c r="D27" s="1" t="s">
        <v>99</v>
      </c>
      <c r="E27" s="2">
        <v>5.700383535076E12</v>
      </c>
      <c r="F27" s="1" t="s">
        <v>100</v>
      </c>
      <c r="G27" s="1" t="s">
        <v>24</v>
      </c>
      <c r="H27" s="3" t="s">
        <v>19</v>
      </c>
      <c r="I27" s="1"/>
    </row>
    <row r="28" ht="15.75" customHeight="1">
      <c r="A28" s="2">
        <v>27.0</v>
      </c>
      <c r="B28" s="1" t="s">
        <v>101</v>
      </c>
      <c r="C28" s="1" t="s">
        <v>102</v>
      </c>
      <c r="D28" s="1" t="s">
        <v>103</v>
      </c>
      <c r="E28" s="2">
        <v>5.700383535079E12</v>
      </c>
      <c r="F28" s="1" t="s">
        <v>104</v>
      </c>
      <c r="G28" s="1" t="s">
        <v>24</v>
      </c>
      <c r="H28" s="3" t="s">
        <v>19</v>
      </c>
      <c r="I28" s="1"/>
    </row>
    <row r="29" ht="15.75" customHeight="1">
      <c r="A29" s="2">
        <v>28.0</v>
      </c>
      <c r="B29" s="1" t="s">
        <v>105</v>
      </c>
      <c r="C29" s="1" t="s">
        <v>106</v>
      </c>
      <c r="D29" s="1" t="s">
        <v>107</v>
      </c>
      <c r="E29" s="2">
        <v>5.700383535081E12</v>
      </c>
      <c r="F29" s="1" t="s">
        <v>108</v>
      </c>
      <c r="G29" s="1" t="s">
        <v>38</v>
      </c>
      <c r="H29" s="3" t="s">
        <v>19</v>
      </c>
      <c r="I29" s="1"/>
    </row>
    <row r="30" ht="15.75" customHeight="1">
      <c r="A30" s="2">
        <v>29.0</v>
      </c>
      <c r="B30" s="1" t="s">
        <v>109</v>
      </c>
      <c r="C30" s="1" t="s">
        <v>110</v>
      </c>
      <c r="D30" s="1" t="s">
        <v>111</v>
      </c>
      <c r="E30" s="2">
        <v>5.700383535082E12</v>
      </c>
      <c r="F30" s="1" t="s">
        <v>112</v>
      </c>
      <c r="G30" s="1" t="s">
        <v>24</v>
      </c>
      <c r="H30" s="3" t="s">
        <v>19</v>
      </c>
      <c r="I30" s="1"/>
    </row>
    <row r="31" ht="15.75" customHeight="1">
      <c r="A31" s="2">
        <v>30.0</v>
      </c>
      <c r="B31" s="1" t="s">
        <v>113</v>
      </c>
      <c r="C31" s="1" t="s">
        <v>114</v>
      </c>
      <c r="D31" s="1" t="s">
        <v>115</v>
      </c>
      <c r="E31" s="2">
        <v>5.700383535087E12</v>
      </c>
      <c r="F31" s="1" t="s">
        <v>116</v>
      </c>
      <c r="G31" s="1" t="s">
        <v>38</v>
      </c>
      <c r="H31" s="3" t="s">
        <v>19</v>
      </c>
      <c r="I31" s="1"/>
    </row>
    <row r="32" ht="15.75" customHeight="1">
      <c r="A32" s="2">
        <v>31.0</v>
      </c>
      <c r="B32" s="1" t="s">
        <v>117</v>
      </c>
      <c r="C32" s="1" t="s">
        <v>118</v>
      </c>
      <c r="D32" s="1" t="s">
        <v>119</v>
      </c>
      <c r="E32" s="2">
        <v>5.700383535091E12</v>
      </c>
      <c r="F32" s="1" t="s">
        <v>120</v>
      </c>
      <c r="G32" s="1" t="s">
        <v>121</v>
      </c>
      <c r="H32" s="3" t="s">
        <v>19</v>
      </c>
      <c r="I32" s="1"/>
    </row>
    <row r="33" ht="15.75" customHeight="1">
      <c r="A33" s="2">
        <v>32.0</v>
      </c>
      <c r="B33" s="1" t="s">
        <v>122</v>
      </c>
      <c r="C33" s="1" t="s">
        <v>123</v>
      </c>
      <c r="D33" s="1" t="s">
        <v>10</v>
      </c>
      <c r="E33" s="2">
        <v>5.700383535092E12</v>
      </c>
      <c r="F33" s="1" t="s">
        <v>124</v>
      </c>
      <c r="G33" s="1" t="s">
        <v>121</v>
      </c>
      <c r="H33" s="3" t="s">
        <v>19</v>
      </c>
      <c r="I33" s="1"/>
    </row>
    <row r="34" ht="15.75" customHeight="1">
      <c r="A34" s="2">
        <v>33.0</v>
      </c>
      <c r="B34" s="1" t="s">
        <v>125</v>
      </c>
      <c r="C34" s="1" t="s">
        <v>126</v>
      </c>
      <c r="D34" s="1" t="s">
        <v>127</v>
      </c>
      <c r="E34" s="2">
        <v>5.700383535096E12</v>
      </c>
      <c r="F34" s="1" t="s">
        <v>128</v>
      </c>
      <c r="G34" s="1" t="s">
        <v>24</v>
      </c>
      <c r="H34" s="3" t="s">
        <v>19</v>
      </c>
      <c r="I34" s="1"/>
    </row>
    <row r="35" ht="15.75" customHeight="1">
      <c r="A35" s="2">
        <v>34.0</v>
      </c>
      <c r="B35" s="1" t="s">
        <v>129</v>
      </c>
      <c r="C35" s="1" t="s">
        <v>130</v>
      </c>
      <c r="D35" s="1" t="s">
        <v>131</v>
      </c>
      <c r="E35" s="2">
        <v>5.7003835351E12</v>
      </c>
      <c r="F35" s="1" t="s">
        <v>132</v>
      </c>
      <c r="G35" s="1" t="s">
        <v>38</v>
      </c>
      <c r="H35" s="3" t="s">
        <v>19</v>
      </c>
      <c r="I35" s="1"/>
    </row>
    <row r="36" ht="15.75" customHeight="1">
      <c r="A36" s="2">
        <v>35.0</v>
      </c>
      <c r="B36" s="1" t="s">
        <v>133</v>
      </c>
      <c r="C36" s="1" t="s">
        <v>134</v>
      </c>
      <c r="D36" s="1" t="s">
        <v>135</v>
      </c>
      <c r="E36" s="2">
        <v>5.700383535108E12</v>
      </c>
      <c r="F36" s="1" t="s">
        <v>136</v>
      </c>
      <c r="G36" s="1" t="s">
        <v>38</v>
      </c>
      <c r="H36" s="3" t="s">
        <v>19</v>
      </c>
      <c r="I36" s="1"/>
    </row>
    <row r="37" ht="15.75" customHeight="1">
      <c r="A37" s="2">
        <v>36.0</v>
      </c>
      <c r="B37" s="1" t="s">
        <v>123</v>
      </c>
      <c r="C37" s="1" t="s">
        <v>137</v>
      </c>
      <c r="D37" s="1" t="s">
        <v>127</v>
      </c>
      <c r="E37" s="2">
        <v>5.700383535109E12</v>
      </c>
      <c r="F37" s="1" t="s">
        <v>138</v>
      </c>
      <c r="G37" s="1" t="s">
        <v>24</v>
      </c>
      <c r="H37" s="3" t="s">
        <v>19</v>
      </c>
      <c r="I37" s="1"/>
    </row>
    <row r="38" ht="15.75" customHeight="1">
      <c r="A38" s="2">
        <v>37.0</v>
      </c>
      <c r="B38" s="1" t="s">
        <v>139</v>
      </c>
      <c r="C38" s="1" t="s">
        <v>140</v>
      </c>
      <c r="D38" s="1" t="s">
        <v>141</v>
      </c>
      <c r="E38" s="2">
        <v>5.700383535112E12</v>
      </c>
      <c r="F38" s="1" t="s">
        <v>142</v>
      </c>
      <c r="G38" s="1" t="s">
        <v>143</v>
      </c>
      <c r="H38" s="3" t="s">
        <v>19</v>
      </c>
      <c r="I38" s="1"/>
    </row>
    <row r="39" ht="15.75" customHeight="1">
      <c r="A39" s="2">
        <v>38.0</v>
      </c>
      <c r="B39" s="1" t="s">
        <v>144</v>
      </c>
      <c r="C39" s="1" t="s">
        <v>126</v>
      </c>
      <c r="D39" s="1" t="s">
        <v>127</v>
      </c>
      <c r="E39" s="2">
        <v>5.700383535114E12</v>
      </c>
      <c r="F39" s="1" t="s">
        <v>145</v>
      </c>
      <c r="G39" s="1" t="s">
        <v>24</v>
      </c>
      <c r="H39" s="3" t="s">
        <v>19</v>
      </c>
      <c r="I39" s="1"/>
    </row>
    <row r="40" ht="15.75" customHeight="1">
      <c r="A40" s="2">
        <v>39.0</v>
      </c>
      <c r="B40" s="1" t="s">
        <v>146</v>
      </c>
      <c r="C40" s="1" t="s">
        <v>147</v>
      </c>
      <c r="D40" s="1" t="s">
        <v>127</v>
      </c>
      <c r="E40" s="2">
        <v>5.700383535115E12</v>
      </c>
      <c r="F40" s="1" t="s">
        <v>148</v>
      </c>
      <c r="G40" s="1" t="s">
        <v>24</v>
      </c>
      <c r="H40" s="3" t="s">
        <v>19</v>
      </c>
      <c r="I40" s="1"/>
    </row>
    <row r="41" ht="15.75" customHeight="1">
      <c r="A41" s="2">
        <v>40.0</v>
      </c>
      <c r="B41" s="1" t="s">
        <v>149</v>
      </c>
      <c r="C41" s="1" t="s">
        <v>15</v>
      </c>
      <c r="D41" s="1" t="s">
        <v>16</v>
      </c>
      <c r="E41" s="2">
        <v>5.700383535116E12</v>
      </c>
      <c r="F41" s="1" t="s">
        <v>78</v>
      </c>
      <c r="G41" s="1" t="s">
        <v>24</v>
      </c>
      <c r="H41" s="3" t="s">
        <v>19</v>
      </c>
      <c r="I41" s="1"/>
    </row>
    <row r="42" ht="15.75" customHeight="1">
      <c r="A42" s="2">
        <v>41.0</v>
      </c>
      <c r="B42" s="1" t="s">
        <v>150</v>
      </c>
      <c r="C42" s="1" t="s">
        <v>151</v>
      </c>
      <c r="D42" s="1" t="s">
        <v>73</v>
      </c>
      <c r="E42" s="2">
        <v>5.700383535117E12</v>
      </c>
      <c r="F42" s="1" t="s">
        <v>152</v>
      </c>
      <c r="G42" s="1" t="s">
        <v>38</v>
      </c>
      <c r="H42" s="3" t="s">
        <v>19</v>
      </c>
      <c r="I42" s="1"/>
    </row>
    <row r="43" ht="15.75" customHeight="1">
      <c r="A43" s="2">
        <v>42.0</v>
      </c>
      <c r="B43" s="1" t="s">
        <v>153</v>
      </c>
      <c r="C43" s="1" t="s">
        <v>76</v>
      </c>
      <c r="D43" s="1" t="s">
        <v>154</v>
      </c>
      <c r="E43" s="2">
        <v>5.700383535118E12</v>
      </c>
      <c r="F43" s="1" t="s">
        <v>155</v>
      </c>
      <c r="G43" s="1" t="s">
        <v>24</v>
      </c>
      <c r="H43" s="3" t="s">
        <v>19</v>
      </c>
      <c r="I43" s="1"/>
    </row>
    <row r="44" ht="15.75" customHeight="1">
      <c r="A44" s="2">
        <v>43.0</v>
      </c>
      <c r="B44" s="1" t="s">
        <v>156</v>
      </c>
      <c r="C44" s="1" t="s">
        <v>157</v>
      </c>
      <c r="D44" s="1" t="s">
        <v>158</v>
      </c>
      <c r="E44" s="2">
        <v>5.700383535119E12</v>
      </c>
      <c r="F44" s="1" t="s">
        <v>159</v>
      </c>
      <c r="G44" s="1" t="s">
        <v>24</v>
      </c>
      <c r="H44" s="3" t="s">
        <v>19</v>
      </c>
      <c r="I44" s="1"/>
    </row>
    <row r="45" ht="15.75" customHeight="1">
      <c r="A45" s="2">
        <v>44.0</v>
      </c>
      <c r="B45" s="1" t="s">
        <v>160</v>
      </c>
      <c r="C45" s="1" t="s">
        <v>134</v>
      </c>
      <c r="D45" s="1" t="s">
        <v>161</v>
      </c>
      <c r="E45" s="2">
        <v>5.70038353512E12</v>
      </c>
      <c r="F45" s="1" t="s">
        <v>162</v>
      </c>
      <c r="G45" s="1" t="s">
        <v>24</v>
      </c>
      <c r="H45" s="3" t="s">
        <v>19</v>
      </c>
      <c r="I45" s="1"/>
    </row>
    <row r="46" ht="15.75" customHeight="1">
      <c r="A46" s="2">
        <v>45.0</v>
      </c>
      <c r="B46" s="1" t="s">
        <v>163</v>
      </c>
      <c r="C46" s="1" t="s">
        <v>140</v>
      </c>
      <c r="D46" s="1" t="s">
        <v>141</v>
      </c>
      <c r="E46" s="2">
        <v>5.700383535121E12</v>
      </c>
      <c r="F46" s="1" t="s">
        <v>164</v>
      </c>
      <c r="G46" s="1" t="s">
        <v>24</v>
      </c>
      <c r="H46" s="3" t="s">
        <v>19</v>
      </c>
      <c r="I46" s="1"/>
    </row>
    <row r="47" ht="15.75" customHeight="1">
      <c r="A47" s="2">
        <v>46.0</v>
      </c>
      <c r="B47" s="1" t="s">
        <v>165</v>
      </c>
      <c r="C47" s="1" t="s">
        <v>166</v>
      </c>
      <c r="D47" s="1" t="s">
        <v>167</v>
      </c>
      <c r="E47" s="2">
        <v>5.700383535122E12</v>
      </c>
      <c r="F47" s="1" t="s">
        <v>168</v>
      </c>
      <c r="G47" s="1" t="s">
        <v>143</v>
      </c>
      <c r="H47" s="3" t="s">
        <v>19</v>
      </c>
      <c r="I47" s="1"/>
    </row>
    <row r="48" ht="15.75" customHeight="1">
      <c r="A48" s="2">
        <v>47.0</v>
      </c>
      <c r="B48" s="1" t="s">
        <v>169</v>
      </c>
      <c r="C48" s="1" t="s">
        <v>170</v>
      </c>
      <c r="D48" s="1" t="s">
        <v>171</v>
      </c>
      <c r="E48" s="2">
        <v>5.700383535124E12</v>
      </c>
      <c r="F48" s="1" t="s">
        <v>172</v>
      </c>
      <c r="G48" s="1" t="s">
        <v>24</v>
      </c>
      <c r="H48" s="3" t="s">
        <v>19</v>
      </c>
      <c r="I48" s="1"/>
    </row>
    <row r="49" ht="15.75" customHeight="1">
      <c r="A49" s="2">
        <v>48.0</v>
      </c>
      <c r="B49" s="1" t="s">
        <v>173</v>
      </c>
      <c r="C49" s="1" t="s">
        <v>174</v>
      </c>
      <c r="D49" s="1" t="s">
        <v>167</v>
      </c>
      <c r="E49" s="2">
        <v>5.70038353513E12</v>
      </c>
      <c r="F49" s="1" t="s">
        <v>175</v>
      </c>
      <c r="G49" s="1" t="s">
        <v>121</v>
      </c>
      <c r="H49" s="3" t="s">
        <v>19</v>
      </c>
      <c r="I49" s="1"/>
    </row>
    <row r="50" ht="15.75" customHeight="1">
      <c r="A50" s="2">
        <v>49.0</v>
      </c>
      <c r="B50" s="1" t="s">
        <v>176</v>
      </c>
      <c r="C50" s="1" t="s">
        <v>177</v>
      </c>
      <c r="D50" s="1" t="s">
        <v>178</v>
      </c>
      <c r="E50" s="2">
        <v>5.700383535134E12</v>
      </c>
      <c r="F50" s="1" t="s">
        <v>179</v>
      </c>
      <c r="G50" s="1" t="s">
        <v>24</v>
      </c>
      <c r="H50" s="3" t="s">
        <v>19</v>
      </c>
      <c r="I50" s="1"/>
    </row>
    <row r="51" ht="15.75" customHeight="1">
      <c r="A51" s="2">
        <v>50.0</v>
      </c>
      <c r="B51" s="1" t="s">
        <v>180</v>
      </c>
      <c r="C51" s="1" t="s">
        <v>181</v>
      </c>
      <c r="D51" s="1" t="s">
        <v>182</v>
      </c>
      <c r="E51" s="2">
        <v>5.70038353514E12</v>
      </c>
      <c r="F51" s="1" t="s">
        <v>183</v>
      </c>
      <c r="G51" s="1" t="s">
        <v>24</v>
      </c>
      <c r="H51" s="3" t="s">
        <v>19</v>
      </c>
      <c r="I51" s="1"/>
    </row>
    <row r="52" ht="15.75" customHeight="1">
      <c r="A52" s="2">
        <v>51.0</v>
      </c>
      <c r="B52" s="1" t="s">
        <v>184</v>
      </c>
      <c r="C52" s="1" t="s">
        <v>139</v>
      </c>
      <c r="D52" s="1" t="s">
        <v>185</v>
      </c>
      <c r="E52" s="2">
        <v>5.70038353515E12</v>
      </c>
      <c r="F52" s="1" t="s">
        <v>186</v>
      </c>
      <c r="G52" s="1" t="s">
        <v>38</v>
      </c>
      <c r="H52" s="3" t="s">
        <v>19</v>
      </c>
      <c r="I52" s="1"/>
    </row>
    <row r="53" ht="15.75" customHeight="1">
      <c r="A53" s="2">
        <v>52.0</v>
      </c>
      <c r="B53" s="1" t="s">
        <v>187</v>
      </c>
      <c r="C53" s="1" t="s">
        <v>188</v>
      </c>
      <c r="D53" s="1" t="s">
        <v>189</v>
      </c>
      <c r="E53" s="2">
        <v>5.700383535154E12</v>
      </c>
      <c r="F53" s="1" t="s">
        <v>190</v>
      </c>
      <c r="G53" s="1" t="s">
        <v>38</v>
      </c>
      <c r="H53" s="3" t="s">
        <v>19</v>
      </c>
      <c r="I53" s="1"/>
    </row>
    <row r="54" ht="15.75" customHeight="1">
      <c r="A54" s="2">
        <v>53.0</v>
      </c>
      <c r="B54" s="1" t="s">
        <v>191</v>
      </c>
      <c r="C54" s="1" t="s">
        <v>192</v>
      </c>
      <c r="D54" s="1" t="s">
        <v>193</v>
      </c>
      <c r="E54" s="2">
        <v>5.700383535157E12</v>
      </c>
      <c r="F54" s="1" t="s">
        <v>194</v>
      </c>
      <c r="G54" s="1" t="s">
        <v>121</v>
      </c>
      <c r="H54" s="3" t="s">
        <v>19</v>
      </c>
      <c r="I54" s="1"/>
    </row>
    <row r="55" ht="15.75" customHeight="1">
      <c r="A55" s="2">
        <v>54.0</v>
      </c>
      <c r="B55" s="1" t="s">
        <v>195</v>
      </c>
      <c r="C55" s="1" t="s">
        <v>169</v>
      </c>
      <c r="D55" s="1" t="s">
        <v>196</v>
      </c>
      <c r="E55" s="2">
        <v>5.700383535159E12</v>
      </c>
      <c r="F55" s="1" t="s">
        <v>197</v>
      </c>
      <c r="G55" s="1" t="s">
        <v>121</v>
      </c>
      <c r="H55" s="3" t="s">
        <v>19</v>
      </c>
      <c r="I55" s="1"/>
    </row>
    <row r="56" ht="15.75" customHeight="1">
      <c r="A56" s="2">
        <v>55.0</v>
      </c>
      <c r="B56" s="1" t="s">
        <v>106</v>
      </c>
      <c r="C56" s="1" t="s">
        <v>198</v>
      </c>
      <c r="D56" s="1" t="s">
        <v>199</v>
      </c>
      <c r="E56" s="2">
        <v>5.700383535161E12</v>
      </c>
      <c r="F56" s="1" t="s">
        <v>200</v>
      </c>
      <c r="G56" s="1" t="s">
        <v>38</v>
      </c>
      <c r="H56" s="3" t="s">
        <v>19</v>
      </c>
      <c r="I56" s="1"/>
    </row>
    <row r="57" ht="15.75" customHeight="1">
      <c r="A57" s="2">
        <v>56.0</v>
      </c>
      <c r="B57" s="1" t="s">
        <v>201</v>
      </c>
      <c r="C57" s="1" t="s">
        <v>202</v>
      </c>
      <c r="D57" s="1" t="s">
        <v>203</v>
      </c>
      <c r="E57" s="2">
        <v>5.700383535162E12</v>
      </c>
      <c r="F57" s="1" t="s">
        <v>204</v>
      </c>
      <c r="G57" s="1" t="s">
        <v>38</v>
      </c>
      <c r="H57" s="3" t="s">
        <v>19</v>
      </c>
      <c r="I57" s="1"/>
    </row>
    <row r="58" ht="15.75" customHeight="1">
      <c r="A58" s="2">
        <v>57.0</v>
      </c>
      <c r="B58" s="1" t="s">
        <v>205</v>
      </c>
      <c r="C58" s="1" t="s">
        <v>206</v>
      </c>
      <c r="D58" s="1" t="s">
        <v>207</v>
      </c>
      <c r="E58" s="2">
        <v>5.700383535164E12</v>
      </c>
      <c r="F58" s="1" t="s">
        <v>208</v>
      </c>
      <c r="G58" s="1" t="s">
        <v>38</v>
      </c>
      <c r="H58" s="3" t="s">
        <v>19</v>
      </c>
      <c r="I58" s="1"/>
    </row>
    <row r="59" ht="15.75" customHeight="1">
      <c r="A59" s="2">
        <v>58.0</v>
      </c>
      <c r="B59" s="1" t="s">
        <v>209</v>
      </c>
      <c r="C59" s="1" t="s">
        <v>210</v>
      </c>
      <c r="D59" s="1" t="s">
        <v>211</v>
      </c>
      <c r="E59" s="2">
        <v>5.700383535168E12</v>
      </c>
      <c r="F59" s="1" t="s">
        <v>212</v>
      </c>
      <c r="G59" s="1" t="s">
        <v>38</v>
      </c>
      <c r="H59" s="3" t="s">
        <v>19</v>
      </c>
      <c r="I59" s="1"/>
    </row>
    <row r="60" ht="15.75" customHeight="1">
      <c r="A60" s="2">
        <v>59.0</v>
      </c>
      <c r="B60" s="1" t="s">
        <v>213</v>
      </c>
      <c r="C60" s="1" t="s">
        <v>94</v>
      </c>
      <c r="D60" s="1" t="s">
        <v>95</v>
      </c>
      <c r="E60" s="2">
        <v>5.700383535169E12</v>
      </c>
      <c r="F60" s="1" t="s">
        <v>214</v>
      </c>
      <c r="G60" s="1" t="s">
        <v>38</v>
      </c>
      <c r="H60" s="3" t="s">
        <v>19</v>
      </c>
      <c r="I60" s="1"/>
    </row>
    <row r="61" ht="15.75" customHeight="1">
      <c r="A61" s="2">
        <v>60.0</v>
      </c>
      <c r="B61" s="1" t="s">
        <v>215</v>
      </c>
      <c r="C61" s="1" t="s">
        <v>216</v>
      </c>
      <c r="D61" s="1" t="s">
        <v>217</v>
      </c>
      <c r="E61" s="2">
        <v>5.70038353517E12</v>
      </c>
      <c r="F61" s="1" t="s">
        <v>218</v>
      </c>
      <c r="G61" s="1" t="s">
        <v>24</v>
      </c>
      <c r="H61" s="3" t="s">
        <v>19</v>
      </c>
      <c r="I61" s="1"/>
    </row>
    <row r="62" ht="15.75" customHeight="1">
      <c r="A62" s="2">
        <v>61.0</v>
      </c>
      <c r="B62" s="1" t="s">
        <v>219</v>
      </c>
      <c r="C62" s="1" t="s">
        <v>220</v>
      </c>
      <c r="D62" s="1" t="s">
        <v>221</v>
      </c>
      <c r="E62" s="2">
        <v>5.700383535171E12</v>
      </c>
      <c r="F62" s="1" t="s">
        <v>222</v>
      </c>
      <c r="G62" s="1" t="s">
        <v>24</v>
      </c>
      <c r="H62" s="3" t="s">
        <v>19</v>
      </c>
      <c r="I62" s="1"/>
    </row>
    <row r="63" ht="15.75" customHeight="1">
      <c r="A63" s="2">
        <v>62.0</v>
      </c>
      <c r="B63" s="1" t="s">
        <v>223</v>
      </c>
      <c r="C63" s="1" t="s">
        <v>224</v>
      </c>
      <c r="D63" s="1" t="s">
        <v>225</v>
      </c>
      <c r="E63" s="2">
        <v>5.700383535173E12</v>
      </c>
      <c r="F63" s="1" t="s">
        <v>226</v>
      </c>
      <c r="G63" s="1" t="s">
        <v>24</v>
      </c>
      <c r="H63" s="3" t="s">
        <v>19</v>
      </c>
      <c r="I63" s="1"/>
    </row>
    <row r="64" ht="15.75" customHeight="1">
      <c r="A64" s="2">
        <v>63.0</v>
      </c>
      <c r="B64" s="1" t="s">
        <v>39</v>
      </c>
      <c r="C64" s="1" t="s">
        <v>227</v>
      </c>
      <c r="D64" s="1" t="s">
        <v>228</v>
      </c>
      <c r="E64" s="2">
        <v>5.700383535175E12</v>
      </c>
      <c r="F64" s="1" t="s">
        <v>229</v>
      </c>
      <c r="G64" s="1" t="s">
        <v>24</v>
      </c>
      <c r="H64" s="3" t="s">
        <v>19</v>
      </c>
      <c r="I64" s="1"/>
    </row>
    <row r="65" ht="15.75" customHeight="1">
      <c r="A65" s="2">
        <v>64.0</v>
      </c>
      <c r="B65" s="1" t="s">
        <v>230</v>
      </c>
      <c r="C65" s="1" t="s">
        <v>202</v>
      </c>
      <c r="D65" s="1" t="s">
        <v>231</v>
      </c>
      <c r="E65" s="2">
        <v>5.700383535177E12</v>
      </c>
      <c r="F65" s="1" t="s">
        <v>232</v>
      </c>
      <c r="G65" s="1" t="s">
        <v>38</v>
      </c>
      <c r="H65" s="3" t="s">
        <v>19</v>
      </c>
      <c r="I65" s="1"/>
    </row>
    <row r="66" ht="15.75" customHeight="1">
      <c r="A66" s="2">
        <v>65.0</v>
      </c>
      <c r="B66" s="1" t="s">
        <v>233</v>
      </c>
      <c r="C66" s="1" t="s">
        <v>234</v>
      </c>
      <c r="D66" s="1" t="s">
        <v>141</v>
      </c>
      <c r="E66" s="2">
        <v>5.700383535178E12</v>
      </c>
      <c r="F66" s="1" t="s">
        <v>17</v>
      </c>
      <c r="G66" s="1" t="s">
        <v>24</v>
      </c>
      <c r="H66" s="3" t="s">
        <v>19</v>
      </c>
      <c r="I66" s="1"/>
    </row>
    <row r="67" ht="15.75" customHeight="1">
      <c r="A67" s="2">
        <v>66.0</v>
      </c>
      <c r="B67" s="1" t="s">
        <v>106</v>
      </c>
      <c r="C67" s="1" t="s">
        <v>235</v>
      </c>
      <c r="D67" s="1" t="s">
        <v>236</v>
      </c>
      <c r="E67" s="2">
        <v>5.700383535179E12</v>
      </c>
      <c r="F67" s="1" t="s">
        <v>237</v>
      </c>
      <c r="G67" s="1" t="s">
        <v>38</v>
      </c>
      <c r="H67" s="3" t="s">
        <v>19</v>
      </c>
      <c r="I67" s="1"/>
    </row>
    <row r="68" ht="15.75" customHeight="1">
      <c r="A68" s="2">
        <v>67.0</v>
      </c>
      <c r="B68" s="1" t="s">
        <v>39</v>
      </c>
      <c r="C68" s="1" t="s">
        <v>238</v>
      </c>
      <c r="D68" s="1" t="s">
        <v>239</v>
      </c>
      <c r="E68" s="2">
        <v>5.70038353518E12</v>
      </c>
      <c r="F68" s="1" t="s">
        <v>237</v>
      </c>
      <c r="G68" s="1" t="s">
        <v>24</v>
      </c>
      <c r="H68" s="3" t="s">
        <v>19</v>
      </c>
      <c r="I68" s="1"/>
    </row>
    <row r="69" ht="15.75" customHeight="1">
      <c r="A69" s="2">
        <v>68.0</v>
      </c>
      <c r="B69" s="1" t="s">
        <v>240</v>
      </c>
      <c r="C69" s="1" t="s">
        <v>241</v>
      </c>
      <c r="D69" s="1" t="s">
        <v>242</v>
      </c>
      <c r="E69" s="2">
        <v>5.700383535181E12</v>
      </c>
      <c r="F69" s="1" t="s">
        <v>243</v>
      </c>
      <c r="G69" s="1" t="s">
        <v>24</v>
      </c>
      <c r="H69" s="3" t="s">
        <v>19</v>
      </c>
      <c r="I69" s="1"/>
    </row>
    <row r="70" ht="15.75" customHeight="1">
      <c r="A70" s="2">
        <v>69.0</v>
      </c>
      <c r="B70" s="1" t="s">
        <v>244</v>
      </c>
      <c r="C70" s="1" t="s">
        <v>245</v>
      </c>
      <c r="D70" s="1" t="s">
        <v>246</v>
      </c>
      <c r="E70" s="2">
        <v>5.700383535182E12</v>
      </c>
      <c r="F70" s="1" t="s">
        <v>247</v>
      </c>
      <c r="G70" s="1" t="s">
        <v>24</v>
      </c>
      <c r="H70" s="3" t="s">
        <v>19</v>
      </c>
      <c r="I70" s="1"/>
    </row>
    <row r="71" ht="15.75" customHeight="1">
      <c r="A71" s="2">
        <v>70.0</v>
      </c>
      <c r="B71" s="1" t="s">
        <v>106</v>
      </c>
      <c r="C71" s="1" t="s">
        <v>248</v>
      </c>
      <c r="D71" s="1" t="s">
        <v>249</v>
      </c>
      <c r="E71" s="2">
        <v>5.700383535183E12</v>
      </c>
      <c r="F71" s="1" t="s">
        <v>250</v>
      </c>
      <c r="G71" s="1" t="s">
        <v>24</v>
      </c>
      <c r="H71" s="3" t="s">
        <v>19</v>
      </c>
      <c r="I71" s="1"/>
    </row>
    <row r="72" ht="15.75" customHeight="1">
      <c r="A72" s="2">
        <v>71.0</v>
      </c>
      <c r="B72" s="1" t="s">
        <v>251</v>
      </c>
      <c r="C72" s="1" t="s">
        <v>248</v>
      </c>
      <c r="D72" s="1" t="s">
        <v>252</v>
      </c>
      <c r="E72" s="2">
        <v>5.700383535184E12</v>
      </c>
      <c r="F72" s="1" t="s">
        <v>253</v>
      </c>
      <c r="G72" s="1" t="s">
        <v>24</v>
      </c>
      <c r="H72" s="3" t="s">
        <v>19</v>
      </c>
      <c r="I72" s="1"/>
    </row>
    <row r="73" ht="15.75" customHeight="1">
      <c r="A73" s="2">
        <v>72.0</v>
      </c>
      <c r="B73" s="1" t="s">
        <v>173</v>
      </c>
      <c r="C73" s="1" t="s">
        <v>254</v>
      </c>
      <c r="D73" s="1" t="s">
        <v>255</v>
      </c>
      <c r="E73" s="2">
        <v>5.700383535185E12</v>
      </c>
      <c r="F73" s="1" t="s">
        <v>256</v>
      </c>
      <c r="G73" s="1" t="s">
        <v>121</v>
      </c>
      <c r="H73" s="3" t="s">
        <v>19</v>
      </c>
      <c r="I73" s="1"/>
    </row>
    <row r="74" ht="15.75" customHeight="1">
      <c r="A74" s="2">
        <v>73.0</v>
      </c>
      <c r="B74" s="1" t="s">
        <v>257</v>
      </c>
      <c r="C74" s="1" t="s">
        <v>93</v>
      </c>
      <c r="D74" s="1" t="s">
        <v>103</v>
      </c>
      <c r="E74" s="2">
        <v>5.700383535186E12</v>
      </c>
      <c r="F74" s="1" t="s">
        <v>258</v>
      </c>
      <c r="G74" s="1" t="s">
        <v>38</v>
      </c>
      <c r="H74" s="3" t="s">
        <v>19</v>
      </c>
      <c r="I74" s="1"/>
    </row>
    <row r="75" ht="15.75" customHeight="1">
      <c r="A75" s="2">
        <v>74.0</v>
      </c>
      <c r="B75" s="1" t="s">
        <v>259</v>
      </c>
      <c r="C75" s="1" t="s">
        <v>260</v>
      </c>
      <c r="D75" s="1" t="s">
        <v>261</v>
      </c>
      <c r="E75" s="2">
        <v>5.700383535187E12</v>
      </c>
      <c r="F75" s="1" t="s">
        <v>262</v>
      </c>
      <c r="G75" s="1" t="s">
        <v>24</v>
      </c>
      <c r="H75" s="3" t="s">
        <v>19</v>
      </c>
      <c r="I75" s="1"/>
    </row>
    <row r="76" ht="15.75" customHeight="1">
      <c r="A76" s="2">
        <v>75.0</v>
      </c>
      <c r="B76" s="1" t="s">
        <v>263</v>
      </c>
      <c r="C76" s="1" t="s">
        <v>264</v>
      </c>
      <c r="D76" s="1" t="s">
        <v>265</v>
      </c>
      <c r="E76" s="2">
        <v>5.700383535189E12</v>
      </c>
      <c r="F76" s="1" t="s">
        <v>266</v>
      </c>
      <c r="G76" s="1" t="s">
        <v>24</v>
      </c>
      <c r="H76" s="3" t="s">
        <v>19</v>
      </c>
      <c r="I76" s="1"/>
    </row>
    <row r="77" ht="15.75" customHeight="1">
      <c r="A77" s="2">
        <v>76.0</v>
      </c>
      <c r="B77" s="1" t="s">
        <v>267</v>
      </c>
      <c r="C77" s="1" t="s">
        <v>268</v>
      </c>
      <c r="D77" s="1" t="s">
        <v>269</v>
      </c>
      <c r="E77" s="2">
        <v>5.70038353519E12</v>
      </c>
      <c r="F77" s="1" t="s">
        <v>270</v>
      </c>
      <c r="G77" s="1" t="s">
        <v>24</v>
      </c>
      <c r="H77" s="3" t="s">
        <v>19</v>
      </c>
      <c r="I77" s="1"/>
    </row>
    <row r="78" ht="15.75" customHeight="1">
      <c r="A78" s="2">
        <v>77.0</v>
      </c>
      <c r="B78" s="1" t="s">
        <v>271</v>
      </c>
      <c r="C78" s="1" t="s">
        <v>272</v>
      </c>
      <c r="D78" s="1" t="s">
        <v>273</v>
      </c>
      <c r="E78" s="2">
        <v>5.700383535191E12</v>
      </c>
      <c r="F78" s="1" t="s">
        <v>274</v>
      </c>
      <c r="G78" s="1" t="s">
        <v>24</v>
      </c>
      <c r="H78" s="3" t="s">
        <v>19</v>
      </c>
      <c r="I78" s="1"/>
    </row>
    <row r="79" ht="15.75" customHeight="1">
      <c r="A79" s="2">
        <v>78.0</v>
      </c>
      <c r="B79" s="1" t="s">
        <v>275</v>
      </c>
      <c r="C79" s="1" t="s">
        <v>276</v>
      </c>
      <c r="D79" s="1" t="s">
        <v>10</v>
      </c>
      <c r="E79" s="2">
        <v>5.700383535192E12</v>
      </c>
      <c r="F79" s="1" t="s">
        <v>277</v>
      </c>
      <c r="G79" s="1" t="s">
        <v>24</v>
      </c>
      <c r="H79" s="3" t="s">
        <v>19</v>
      </c>
      <c r="I79" s="1"/>
    </row>
    <row r="80" ht="15.75" customHeight="1">
      <c r="A80" s="2">
        <v>79.0</v>
      </c>
      <c r="B80" s="1" t="s">
        <v>278</v>
      </c>
      <c r="C80" s="1" t="s">
        <v>267</v>
      </c>
      <c r="D80" s="1" t="s">
        <v>279</v>
      </c>
      <c r="E80" s="2">
        <v>5.700383535193E12</v>
      </c>
      <c r="F80" s="1" t="s">
        <v>280</v>
      </c>
      <c r="G80" s="1" t="s">
        <v>121</v>
      </c>
      <c r="H80" s="3" t="s">
        <v>19</v>
      </c>
      <c r="I80" s="1"/>
    </row>
    <row r="81" ht="15.75" customHeight="1">
      <c r="A81" s="2">
        <v>80.0</v>
      </c>
      <c r="B81" s="1" t="s">
        <v>281</v>
      </c>
      <c r="C81" s="1" t="s">
        <v>282</v>
      </c>
      <c r="D81" s="1" t="s">
        <v>283</v>
      </c>
      <c r="E81" s="2">
        <v>5.700383535194E12</v>
      </c>
      <c r="F81" s="1" t="s">
        <v>284</v>
      </c>
      <c r="G81" s="1" t="s">
        <v>24</v>
      </c>
      <c r="H81" s="3" t="s">
        <v>19</v>
      </c>
      <c r="I81" s="1"/>
    </row>
    <row r="82" ht="15.75" customHeight="1">
      <c r="A82" s="2">
        <v>81.0</v>
      </c>
      <c r="B82" s="1" t="s">
        <v>285</v>
      </c>
      <c r="C82" s="1" t="s">
        <v>286</v>
      </c>
      <c r="D82" s="1" t="s">
        <v>287</v>
      </c>
      <c r="E82" s="2">
        <v>5.700383535197E12</v>
      </c>
      <c r="F82" s="1" t="s">
        <v>288</v>
      </c>
      <c r="G82" s="1" t="s">
        <v>38</v>
      </c>
      <c r="H82" s="3" t="s">
        <v>19</v>
      </c>
      <c r="I82" s="1"/>
    </row>
    <row r="83" ht="15.75" customHeight="1">
      <c r="A83" s="2">
        <v>82.0</v>
      </c>
      <c r="B83" s="1" t="s">
        <v>289</v>
      </c>
      <c r="C83" s="1" t="s">
        <v>290</v>
      </c>
      <c r="D83" s="1" t="s">
        <v>291</v>
      </c>
      <c r="E83" s="2">
        <v>5.700383535198E12</v>
      </c>
      <c r="F83" s="1" t="s">
        <v>292</v>
      </c>
      <c r="G83" s="1" t="s">
        <v>143</v>
      </c>
      <c r="H83" s="3" t="s">
        <v>19</v>
      </c>
      <c r="I83" s="1"/>
    </row>
    <row r="84" ht="15.75" customHeight="1">
      <c r="A84" s="2">
        <v>83.0</v>
      </c>
      <c r="B84" s="1" t="s">
        <v>293</v>
      </c>
      <c r="C84" s="1" t="s">
        <v>294</v>
      </c>
      <c r="D84" s="1" t="s">
        <v>295</v>
      </c>
      <c r="E84" s="2">
        <v>5.700383535203E12</v>
      </c>
      <c r="F84" s="1" t="s">
        <v>296</v>
      </c>
      <c r="G84" s="1" t="s">
        <v>121</v>
      </c>
      <c r="H84" s="3" t="s">
        <v>19</v>
      </c>
      <c r="I84" s="1"/>
    </row>
    <row r="85" ht="15.75" customHeight="1">
      <c r="A85" s="2">
        <v>84.0</v>
      </c>
      <c r="B85" s="1" t="s">
        <v>297</v>
      </c>
      <c r="C85" s="1" t="s">
        <v>298</v>
      </c>
      <c r="D85" s="1" t="s">
        <v>299</v>
      </c>
      <c r="E85" s="2">
        <v>5.700383535205E12</v>
      </c>
      <c r="F85" s="1" t="s">
        <v>300</v>
      </c>
      <c r="G85" s="1" t="s">
        <v>24</v>
      </c>
      <c r="H85" s="3" t="s">
        <v>19</v>
      </c>
      <c r="I85" s="1"/>
    </row>
    <row r="86" ht="15.75" customHeight="1">
      <c r="A86" s="2">
        <v>85.0</v>
      </c>
      <c r="B86" s="1" t="s">
        <v>301</v>
      </c>
      <c r="C86" s="1" t="s">
        <v>302</v>
      </c>
      <c r="D86" s="1" t="s">
        <v>303</v>
      </c>
      <c r="E86" s="2">
        <v>5.700383535206E12</v>
      </c>
      <c r="F86" s="1" t="s">
        <v>304</v>
      </c>
      <c r="G86" s="1" t="s">
        <v>24</v>
      </c>
      <c r="H86" s="3" t="s">
        <v>19</v>
      </c>
      <c r="I86" s="1"/>
    </row>
    <row r="87" ht="15.75" customHeight="1">
      <c r="A87" s="2">
        <v>86.0</v>
      </c>
      <c r="B87" s="1" t="s">
        <v>305</v>
      </c>
      <c r="C87" s="1" t="s">
        <v>306</v>
      </c>
      <c r="D87" s="1" t="s">
        <v>307</v>
      </c>
      <c r="E87" s="2">
        <v>5.700383535208E12</v>
      </c>
      <c r="F87" s="1" t="s">
        <v>128</v>
      </c>
      <c r="G87" s="1" t="s">
        <v>24</v>
      </c>
      <c r="H87" s="3" t="s">
        <v>19</v>
      </c>
      <c r="I87" s="1"/>
    </row>
    <row r="88" ht="15.75" customHeight="1">
      <c r="A88" s="2">
        <v>87.0</v>
      </c>
      <c r="B88" s="1" t="s">
        <v>308</v>
      </c>
      <c r="C88" s="1" t="s">
        <v>93</v>
      </c>
      <c r="D88" s="1" t="s">
        <v>309</v>
      </c>
      <c r="E88" s="2">
        <v>5.70038353521E12</v>
      </c>
      <c r="F88" s="1" t="s">
        <v>310</v>
      </c>
      <c r="G88" s="1" t="s">
        <v>38</v>
      </c>
      <c r="H88" s="3" t="s">
        <v>19</v>
      </c>
      <c r="I88" s="1"/>
    </row>
    <row r="89" ht="15.75" customHeight="1">
      <c r="A89" s="2">
        <v>88.0</v>
      </c>
      <c r="B89" s="1" t="s">
        <v>311</v>
      </c>
      <c r="C89" s="1" t="s">
        <v>312</v>
      </c>
      <c r="D89" s="1" t="s">
        <v>313</v>
      </c>
      <c r="E89" s="2">
        <v>5.700383535211E12</v>
      </c>
      <c r="F89" s="1" t="s">
        <v>314</v>
      </c>
      <c r="G89" s="1" t="s">
        <v>90</v>
      </c>
      <c r="H89" s="3" t="s">
        <v>19</v>
      </c>
      <c r="I89" s="1"/>
    </row>
    <row r="90" ht="15.75" customHeight="1">
      <c r="A90" s="2">
        <v>89.0</v>
      </c>
      <c r="B90" s="1" t="s">
        <v>315</v>
      </c>
      <c r="C90" s="1" t="s">
        <v>316</v>
      </c>
      <c r="D90" s="1" t="s">
        <v>62</v>
      </c>
      <c r="E90" s="2">
        <v>5.700383535212E12</v>
      </c>
      <c r="F90" s="1" t="s">
        <v>317</v>
      </c>
      <c r="G90" s="1" t="s">
        <v>121</v>
      </c>
      <c r="H90" s="3" t="s">
        <v>19</v>
      </c>
      <c r="I90" s="1"/>
    </row>
    <row r="91" ht="15.75" customHeight="1">
      <c r="A91" s="2">
        <v>90.0</v>
      </c>
      <c r="B91" s="1" t="s">
        <v>318</v>
      </c>
      <c r="C91" s="1" t="s">
        <v>319</v>
      </c>
      <c r="D91" s="1" t="s">
        <v>320</v>
      </c>
      <c r="E91" s="2">
        <v>5.700383535213E12</v>
      </c>
      <c r="F91" s="1" t="s">
        <v>321</v>
      </c>
      <c r="G91" s="1" t="s">
        <v>24</v>
      </c>
      <c r="H91" s="3" t="s">
        <v>19</v>
      </c>
      <c r="I91" s="1"/>
    </row>
    <row r="92" ht="15.75" customHeight="1">
      <c r="A92" s="2">
        <v>91.0</v>
      </c>
      <c r="B92" s="1" t="s">
        <v>322</v>
      </c>
      <c r="C92" s="1" t="s">
        <v>323</v>
      </c>
      <c r="D92" s="1" t="s">
        <v>324</v>
      </c>
      <c r="E92" s="2">
        <v>5.700383535214E12</v>
      </c>
      <c r="F92" s="1" t="s">
        <v>325</v>
      </c>
      <c r="G92" s="1" t="s">
        <v>24</v>
      </c>
      <c r="H92" s="3" t="s">
        <v>19</v>
      </c>
      <c r="I92" s="1"/>
    </row>
    <row r="93" ht="15.75" customHeight="1">
      <c r="A93" s="2">
        <v>92.0</v>
      </c>
      <c r="B93" s="1" t="s">
        <v>326</v>
      </c>
      <c r="C93" s="1" t="s">
        <v>327</v>
      </c>
      <c r="D93" s="1" t="s">
        <v>328</v>
      </c>
      <c r="E93" s="2">
        <v>5.700383535216E12</v>
      </c>
      <c r="F93" s="1" t="s">
        <v>87</v>
      </c>
      <c r="G93" s="1" t="s">
        <v>24</v>
      </c>
      <c r="H93" s="3" t="s">
        <v>19</v>
      </c>
      <c r="I93" s="1"/>
    </row>
    <row r="94" ht="15.75" customHeight="1">
      <c r="A94" s="2">
        <v>93.0</v>
      </c>
      <c r="B94" s="1" t="s">
        <v>329</v>
      </c>
      <c r="C94" s="1" t="s">
        <v>330</v>
      </c>
      <c r="D94" s="1" t="s">
        <v>331</v>
      </c>
      <c r="E94" s="2">
        <v>5.700383535217E12</v>
      </c>
      <c r="F94" s="1" t="s">
        <v>332</v>
      </c>
      <c r="G94" s="1" t="s">
        <v>24</v>
      </c>
      <c r="H94" s="3" t="s">
        <v>19</v>
      </c>
      <c r="I94" s="1"/>
    </row>
    <row r="95" ht="15.75" customHeight="1">
      <c r="A95" s="2">
        <v>94.0</v>
      </c>
      <c r="B95" s="1" t="s">
        <v>333</v>
      </c>
      <c r="C95" s="1" t="s">
        <v>334</v>
      </c>
      <c r="D95" s="1" t="s">
        <v>335</v>
      </c>
      <c r="E95" s="2">
        <v>5.700383535219E12</v>
      </c>
      <c r="F95" s="1" t="s">
        <v>336</v>
      </c>
      <c r="G95" s="1" t="s">
        <v>38</v>
      </c>
      <c r="H95" s="3" t="s">
        <v>19</v>
      </c>
      <c r="I95" s="1"/>
    </row>
    <row r="96" ht="15.75" customHeight="1">
      <c r="A96" s="2">
        <v>95.0</v>
      </c>
      <c r="B96" s="1" t="s">
        <v>337</v>
      </c>
      <c r="C96" s="1" t="s">
        <v>338</v>
      </c>
      <c r="D96" s="1" t="s">
        <v>324</v>
      </c>
      <c r="E96" s="2">
        <v>5.70038353522E12</v>
      </c>
      <c r="F96" s="1" t="s">
        <v>339</v>
      </c>
      <c r="G96" s="1" t="s">
        <v>38</v>
      </c>
      <c r="H96" s="3" t="s">
        <v>19</v>
      </c>
      <c r="I96" s="1"/>
    </row>
    <row r="97" ht="15.75" customHeight="1">
      <c r="A97" s="2">
        <v>96.0</v>
      </c>
      <c r="B97" s="1" t="s">
        <v>340</v>
      </c>
      <c r="C97" s="1" t="s">
        <v>341</v>
      </c>
      <c r="D97" s="1" t="s">
        <v>342</v>
      </c>
      <c r="E97" s="2">
        <v>5.700383535221E12</v>
      </c>
      <c r="F97" s="1" t="s">
        <v>343</v>
      </c>
      <c r="G97" s="1" t="s">
        <v>18</v>
      </c>
      <c r="H97" s="3" t="s">
        <v>19</v>
      </c>
      <c r="I97" s="1"/>
    </row>
    <row r="98" ht="15.75" customHeight="1">
      <c r="A98" s="2">
        <v>97.0</v>
      </c>
      <c r="B98" s="1" t="s">
        <v>344</v>
      </c>
      <c r="C98" s="1" t="s">
        <v>345</v>
      </c>
      <c r="D98" s="1" t="s">
        <v>346</v>
      </c>
      <c r="E98" s="2">
        <v>5.700383535223E12</v>
      </c>
      <c r="F98" s="1" t="s">
        <v>347</v>
      </c>
      <c r="G98" s="1" t="s">
        <v>24</v>
      </c>
      <c r="H98" s="3" t="s">
        <v>19</v>
      </c>
      <c r="I98" s="1"/>
    </row>
    <row r="99" ht="15.75" customHeight="1">
      <c r="A99" s="2">
        <v>98.0</v>
      </c>
      <c r="B99" s="1" t="s">
        <v>348</v>
      </c>
      <c r="C99" s="1" t="s">
        <v>345</v>
      </c>
      <c r="D99" s="1" t="s">
        <v>346</v>
      </c>
      <c r="E99" s="2">
        <v>5.70038353523E12</v>
      </c>
      <c r="F99" s="1" t="s">
        <v>349</v>
      </c>
      <c r="G99" s="1" t="s">
        <v>24</v>
      </c>
      <c r="H99" s="3" t="s">
        <v>19</v>
      </c>
      <c r="I99" s="1"/>
    </row>
    <row r="100" ht="15.75" customHeight="1">
      <c r="A100" s="2">
        <v>99.0</v>
      </c>
      <c r="B100" s="1" t="s">
        <v>350</v>
      </c>
      <c r="C100" s="1" t="s">
        <v>351</v>
      </c>
      <c r="D100" s="1" t="s">
        <v>352</v>
      </c>
      <c r="E100" s="2">
        <v>5.700383535231E12</v>
      </c>
      <c r="F100" s="1" t="s">
        <v>353</v>
      </c>
      <c r="G100" s="1" t="s">
        <v>38</v>
      </c>
      <c r="H100" s="3" t="s">
        <v>19</v>
      </c>
      <c r="I100" s="1"/>
    </row>
    <row r="101" ht="15.75" customHeight="1">
      <c r="A101" s="2">
        <v>100.0</v>
      </c>
      <c r="B101" s="1" t="s">
        <v>354</v>
      </c>
      <c r="C101" s="1" t="s">
        <v>355</v>
      </c>
      <c r="D101" s="1" t="s">
        <v>324</v>
      </c>
      <c r="E101" s="2">
        <v>5.700383535235E12</v>
      </c>
      <c r="F101" s="1" t="s">
        <v>356</v>
      </c>
      <c r="G101" s="1" t="s">
        <v>12</v>
      </c>
      <c r="H101" s="3" t="s">
        <v>19</v>
      </c>
      <c r="I101" s="1"/>
    </row>
    <row r="102" ht="15.75" customHeight="1">
      <c r="A102" s="2">
        <v>101.0</v>
      </c>
      <c r="B102" s="1" t="s">
        <v>357</v>
      </c>
      <c r="C102" s="1" t="s">
        <v>358</v>
      </c>
      <c r="D102" s="1" t="s">
        <v>359</v>
      </c>
      <c r="E102" s="2">
        <v>5.700383535237E12</v>
      </c>
      <c r="F102" s="1" t="s">
        <v>360</v>
      </c>
      <c r="G102" s="1" t="s">
        <v>38</v>
      </c>
      <c r="H102" s="3" t="s">
        <v>19</v>
      </c>
      <c r="I102" s="1"/>
    </row>
    <row r="103" ht="15.75" customHeight="1">
      <c r="A103" s="2">
        <v>102.0</v>
      </c>
      <c r="B103" s="1" t="s">
        <v>361</v>
      </c>
      <c r="C103" s="1" t="s">
        <v>362</v>
      </c>
      <c r="D103" s="1" t="s">
        <v>363</v>
      </c>
      <c r="E103" s="2">
        <v>5.700383535242E12</v>
      </c>
      <c r="F103" s="1" t="s">
        <v>78</v>
      </c>
      <c r="G103" s="1" t="s">
        <v>24</v>
      </c>
      <c r="H103" s="3" t="s">
        <v>19</v>
      </c>
      <c r="I103" s="1"/>
    </row>
    <row r="104" ht="15.75" customHeight="1">
      <c r="A104" s="2">
        <v>103.0</v>
      </c>
      <c r="B104" s="1" t="s">
        <v>140</v>
      </c>
      <c r="C104" s="1" t="s">
        <v>364</v>
      </c>
      <c r="D104" s="1" t="s">
        <v>365</v>
      </c>
      <c r="E104" s="2">
        <v>5.700383535249E12</v>
      </c>
      <c r="F104" s="1" t="s">
        <v>366</v>
      </c>
      <c r="G104" s="1" t="s">
        <v>24</v>
      </c>
      <c r="H104" s="3" t="s">
        <v>19</v>
      </c>
      <c r="I104" s="1"/>
    </row>
    <row r="105" ht="15.75" customHeight="1">
      <c r="A105" s="2">
        <v>104.0</v>
      </c>
      <c r="B105" s="1" t="s">
        <v>367</v>
      </c>
      <c r="C105" s="1" t="s">
        <v>368</v>
      </c>
      <c r="D105" s="1" t="s">
        <v>369</v>
      </c>
      <c r="E105" s="2">
        <v>5.700383535251E12</v>
      </c>
      <c r="F105" s="1" t="s">
        <v>65</v>
      </c>
      <c r="G105" s="1" t="s">
        <v>38</v>
      </c>
      <c r="H105" s="3" t="s">
        <v>19</v>
      </c>
      <c r="I105" s="1"/>
    </row>
    <row r="106" ht="15.75" customHeight="1">
      <c r="A106" s="2">
        <v>105.0</v>
      </c>
      <c r="B106" s="1" t="s">
        <v>370</v>
      </c>
      <c r="C106" s="1" t="s">
        <v>371</v>
      </c>
      <c r="D106" s="1" t="s">
        <v>372</v>
      </c>
      <c r="E106" s="2">
        <v>5.700383535252E12</v>
      </c>
      <c r="F106" s="1" t="s">
        <v>373</v>
      </c>
      <c r="G106" s="1" t="s">
        <v>24</v>
      </c>
      <c r="H106" s="3" t="s">
        <v>19</v>
      </c>
      <c r="I106" s="1"/>
    </row>
    <row r="107" ht="15.75" customHeight="1">
      <c r="A107" s="2">
        <v>106.0</v>
      </c>
      <c r="B107" s="1" t="s">
        <v>374</v>
      </c>
      <c r="C107" s="1" t="s">
        <v>140</v>
      </c>
      <c r="D107" s="1" t="s">
        <v>375</v>
      </c>
      <c r="E107" s="2">
        <v>5.700383535253E12</v>
      </c>
      <c r="F107" s="1" t="s">
        <v>376</v>
      </c>
      <c r="G107" s="1" t="s">
        <v>38</v>
      </c>
      <c r="H107" s="3" t="s">
        <v>19</v>
      </c>
      <c r="I107" s="1"/>
    </row>
    <row r="108" ht="15.75" customHeight="1">
      <c r="A108" s="2">
        <v>107.0</v>
      </c>
      <c r="B108" s="1" t="s">
        <v>32</v>
      </c>
      <c r="C108" s="1" t="s">
        <v>377</v>
      </c>
      <c r="D108" s="1" t="s">
        <v>158</v>
      </c>
      <c r="E108" s="2">
        <v>5.700383535255E12</v>
      </c>
      <c r="F108" s="1" t="s">
        <v>378</v>
      </c>
      <c r="G108" s="1" t="s">
        <v>38</v>
      </c>
      <c r="H108" s="3" t="s">
        <v>19</v>
      </c>
      <c r="I108" s="1"/>
    </row>
    <row r="109" ht="15.75" customHeight="1">
      <c r="A109" s="2">
        <v>108.0</v>
      </c>
      <c r="B109" s="1" t="s">
        <v>130</v>
      </c>
      <c r="C109" s="1" t="s">
        <v>362</v>
      </c>
      <c r="D109" s="1" t="s">
        <v>363</v>
      </c>
      <c r="E109" s="2">
        <v>5.700383535256E12</v>
      </c>
      <c r="F109" s="1" t="s">
        <v>379</v>
      </c>
      <c r="G109" s="1" t="s">
        <v>143</v>
      </c>
      <c r="H109" s="3" t="s">
        <v>19</v>
      </c>
      <c r="I109" s="1"/>
    </row>
    <row r="110" ht="15.75" customHeight="1">
      <c r="A110" s="2">
        <v>109.0</v>
      </c>
      <c r="B110" s="1" t="s">
        <v>380</v>
      </c>
      <c r="C110" s="1" t="s">
        <v>130</v>
      </c>
      <c r="D110" s="1" t="s">
        <v>381</v>
      </c>
      <c r="E110" s="2">
        <v>5.700383535257E12</v>
      </c>
      <c r="F110" s="1" t="s">
        <v>382</v>
      </c>
      <c r="G110" s="1" t="s">
        <v>383</v>
      </c>
      <c r="H110" s="3" t="s">
        <v>19</v>
      </c>
      <c r="I110" s="1"/>
    </row>
    <row r="111" ht="15.75" customHeight="1">
      <c r="A111" s="2">
        <v>110.0</v>
      </c>
      <c r="B111" s="1" t="s">
        <v>384</v>
      </c>
      <c r="C111" s="1" t="s">
        <v>385</v>
      </c>
      <c r="D111" s="1" t="s">
        <v>386</v>
      </c>
      <c r="E111" s="2">
        <v>5.700383535258E12</v>
      </c>
      <c r="F111" s="1" t="s">
        <v>31</v>
      </c>
      <c r="G111" s="1" t="s">
        <v>24</v>
      </c>
      <c r="H111" s="3" t="s">
        <v>19</v>
      </c>
      <c r="I111" s="1"/>
    </row>
    <row r="112" ht="15.75" customHeight="1">
      <c r="A112" s="2">
        <v>111.0</v>
      </c>
      <c r="B112" s="1" t="s">
        <v>387</v>
      </c>
      <c r="C112" s="1" t="s">
        <v>388</v>
      </c>
      <c r="D112" s="1" t="s">
        <v>389</v>
      </c>
      <c r="E112" s="2">
        <v>5.70038353526E12</v>
      </c>
      <c r="F112" s="1" t="s">
        <v>390</v>
      </c>
      <c r="G112" s="1" t="s">
        <v>18</v>
      </c>
      <c r="H112" s="3" t="s">
        <v>19</v>
      </c>
      <c r="I112" s="1"/>
    </row>
    <row r="113" ht="15.75" customHeight="1">
      <c r="A113" s="2">
        <v>112.0</v>
      </c>
      <c r="B113" s="1" t="s">
        <v>39</v>
      </c>
      <c r="C113" s="1" t="s">
        <v>391</v>
      </c>
      <c r="D113" s="1" t="s">
        <v>392</v>
      </c>
      <c r="E113" s="2">
        <v>5.700383535261E12</v>
      </c>
      <c r="F113" s="1" t="s">
        <v>284</v>
      </c>
      <c r="G113" s="1" t="s">
        <v>24</v>
      </c>
      <c r="H113" s="3" t="s">
        <v>19</v>
      </c>
      <c r="I113" s="1"/>
    </row>
    <row r="114" ht="15.75" customHeight="1">
      <c r="A114" s="2">
        <v>113.0</v>
      </c>
      <c r="B114" s="1" t="s">
        <v>393</v>
      </c>
      <c r="C114" s="1" t="s">
        <v>394</v>
      </c>
      <c r="D114" s="1" t="s">
        <v>363</v>
      </c>
      <c r="E114" s="2">
        <v>5.700383535263E12</v>
      </c>
      <c r="F114" s="1" t="s">
        <v>395</v>
      </c>
      <c r="G114" s="1" t="s">
        <v>24</v>
      </c>
      <c r="H114" s="3" t="s">
        <v>19</v>
      </c>
      <c r="I114" s="1"/>
    </row>
    <row r="115" ht="15.75" customHeight="1">
      <c r="A115" s="2">
        <v>114.0</v>
      </c>
      <c r="B115" s="1" t="s">
        <v>396</v>
      </c>
      <c r="C115" s="1" t="s">
        <v>397</v>
      </c>
      <c r="D115" s="1" t="s">
        <v>369</v>
      </c>
      <c r="E115" s="2">
        <v>5.700383535264E12</v>
      </c>
      <c r="F115" s="1" t="s">
        <v>398</v>
      </c>
      <c r="G115" s="1" t="s">
        <v>121</v>
      </c>
      <c r="H115" s="3" t="s">
        <v>19</v>
      </c>
      <c r="I115" s="1"/>
    </row>
    <row r="116" ht="15.75" customHeight="1">
      <c r="A116" s="2">
        <v>115.0</v>
      </c>
      <c r="B116" s="1" t="s">
        <v>399</v>
      </c>
      <c r="C116" s="1" t="s">
        <v>400</v>
      </c>
      <c r="D116" s="1" t="s">
        <v>401</v>
      </c>
      <c r="E116" s="2">
        <v>5.700383535265E12</v>
      </c>
      <c r="F116" s="1" t="s">
        <v>402</v>
      </c>
      <c r="G116" s="1" t="s">
        <v>12</v>
      </c>
      <c r="H116" s="3" t="s">
        <v>19</v>
      </c>
      <c r="I116" s="1"/>
    </row>
    <row r="117" ht="15.75" customHeight="1">
      <c r="A117" s="2">
        <v>116.0</v>
      </c>
      <c r="B117" s="1" t="s">
        <v>403</v>
      </c>
      <c r="C117" s="1" t="s">
        <v>404</v>
      </c>
      <c r="D117" s="1" t="s">
        <v>405</v>
      </c>
      <c r="E117" s="2">
        <v>5.700383535267E12</v>
      </c>
      <c r="F117" s="1" t="s">
        <v>406</v>
      </c>
      <c r="G117" s="1" t="s">
        <v>24</v>
      </c>
      <c r="H117" s="3" t="s">
        <v>19</v>
      </c>
      <c r="I117" s="1"/>
    </row>
    <row r="118" ht="15.75" customHeight="1">
      <c r="A118" s="2">
        <v>117.0</v>
      </c>
      <c r="B118" s="1" t="s">
        <v>407</v>
      </c>
      <c r="C118" s="1" t="s">
        <v>140</v>
      </c>
      <c r="D118" s="1" t="s">
        <v>408</v>
      </c>
      <c r="E118" s="2">
        <v>5.700383535268E12</v>
      </c>
      <c r="F118" s="1" t="s">
        <v>409</v>
      </c>
      <c r="G118" s="1" t="s">
        <v>38</v>
      </c>
      <c r="H118" s="3" t="s">
        <v>19</v>
      </c>
      <c r="I118" s="1"/>
    </row>
    <row r="119" ht="15.75" customHeight="1">
      <c r="A119" s="2">
        <v>118.0</v>
      </c>
      <c r="B119" s="1" t="s">
        <v>410</v>
      </c>
      <c r="C119" s="1" t="s">
        <v>411</v>
      </c>
      <c r="D119" s="1" t="s">
        <v>412</v>
      </c>
      <c r="E119" s="2">
        <v>5.700383535271E12</v>
      </c>
      <c r="F119" s="1" t="s">
        <v>413</v>
      </c>
      <c r="G119" s="1" t="s">
        <v>24</v>
      </c>
      <c r="H119" s="3" t="s">
        <v>19</v>
      </c>
      <c r="I119" s="1"/>
    </row>
    <row r="120" ht="15.75" customHeight="1">
      <c r="A120" s="2">
        <v>119.0</v>
      </c>
      <c r="B120" s="1" t="s">
        <v>414</v>
      </c>
      <c r="C120" s="1" t="s">
        <v>415</v>
      </c>
      <c r="D120" s="1" t="s">
        <v>416</v>
      </c>
      <c r="E120" s="2">
        <v>5.700383535272E12</v>
      </c>
      <c r="F120" s="1" t="s">
        <v>417</v>
      </c>
      <c r="G120" s="1" t="s">
        <v>24</v>
      </c>
      <c r="H120" s="3" t="s">
        <v>19</v>
      </c>
      <c r="I120" s="1"/>
    </row>
    <row r="121" ht="15.75" customHeight="1">
      <c r="A121" s="2">
        <v>120.0</v>
      </c>
      <c r="B121" s="1" t="s">
        <v>418</v>
      </c>
      <c r="C121" s="1" t="s">
        <v>419</v>
      </c>
      <c r="D121" s="1" t="s">
        <v>324</v>
      </c>
      <c r="E121" s="2">
        <v>5.700383535273E12</v>
      </c>
      <c r="F121" s="1" t="s">
        <v>420</v>
      </c>
      <c r="G121" s="1" t="s">
        <v>12</v>
      </c>
      <c r="H121" s="3" t="s">
        <v>19</v>
      </c>
      <c r="I121" s="1"/>
    </row>
    <row r="122" ht="15.75" customHeight="1">
      <c r="A122" s="2">
        <v>121.0</v>
      </c>
      <c r="B122" s="1" t="s">
        <v>188</v>
      </c>
      <c r="C122" s="1" t="s">
        <v>421</v>
      </c>
      <c r="D122" s="1" t="s">
        <v>422</v>
      </c>
      <c r="E122" s="2">
        <v>5.700383535281E12</v>
      </c>
      <c r="F122" s="1" t="s">
        <v>80</v>
      </c>
      <c r="G122" s="1" t="s">
        <v>24</v>
      </c>
      <c r="H122" s="3" t="s">
        <v>19</v>
      </c>
      <c r="I122" s="1"/>
    </row>
    <row r="123" ht="15.75" customHeight="1">
      <c r="A123" s="2">
        <v>122.0</v>
      </c>
      <c r="B123" s="1" t="s">
        <v>423</v>
      </c>
      <c r="C123" s="1" t="s">
        <v>424</v>
      </c>
      <c r="D123" s="1" t="s">
        <v>425</v>
      </c>
      <c r="E123" s="2">
        <v>5.700383535282E12</v>
      </c>
      <c r="F123" s="1" t="s">
        <v>426</v>
      </c>
      <c r="G123" s="1" t="s">
        <v>24</v>
      </c>
      <c r="H123" s="3" t="s">
        <v>19</v>
      </c>
      <c r="I123" s="1"/>
    </row>
    <row r="124" ht="15.75" customHeight="1">
      <c r="A124" s="2">
        <v>123.0</v>
      </c>
      <c r="B124" s="1" t="s">
        <v>427</v>
      </c>
      <c r="C124" s="1" t="s">
        <v>428</v>
      </c>
      <c r="D124" s="1" t="s">
        <v>429</v>
      </c>
      <c r="E124" s="2">
        <v>5.700383535284E12</v>
      </c>
      <c r="F124" s="1" t="s">
        <v>430</v>
      </c>
      <c r="G124" s="1" t="s">
        <v>38</v>
      </c>
      <c r="H124" s="3" t="s">
        <v>19</v>
      </c>
      <c r="I124" s="1"/>
    </row>
    <row r="125" ht="15.75" customHeight="1">
      <c r="A125" s="2">
        <v>124.0</v>
      </c>
      <c r="B125" s="1" t="s">
        <v>431</v>
      </c>
      <c r="C125" s="1" t="s">
        <v>432</v>
      </c>
      <c r="D125" s="1" t="s">
        <v>342</v>
      </c>
      <c r="E125" s="2">
        <v>5.700383535285E12</v>
      </c>
      <c r="F125" s="1" t="s">
        <v>433</v>
      </c>
      <c r="G125" s="1" t="s">
        <v>24</v>
      </c>
      <c r="H125" s="3" t="s">
        <v>19</v>
      </c>
      <c r="I125" s="1"/>
    </row>
    <row r="126" ht="15.75" customHeight="1">
      <c r="A126" s="2">
        <v>125.0</v>
      </c>
      <c r="B126" s="1" t="s">
        <v>223</v>
      </c>
      <c r="C126" s="1" t="s">
        <v>434</v>
      </c>
      <c r="D126" s="1" t="s">
        <v>435</v>
      </c>
      <c r="E126" s="2">
        <v>5.700383535286E12</v>
      </c>
      <c r="F126" s="1" t="s">
        <v>436</v>
      </c>
      <c r="G126" s="1" t="s">
        <v>24</v>
      </c>
      <c r="H126" s="3" t="s">
        <v>19</v>
      </c>
      <c r="I126" s="1"/>
    </row>
    <row r="127" ht="15.75" customHeight="1">
      <c r="A127" s="2">
        <v>126.0</v>
      </c>
      <c r="B127" s="1" t="s">
        <v>315</v>
      </c>
      <c r="C127" s="1" t="s">
        <v>437</v>
      </c>
      <c r="D127" s="1" t="s">
        <v>438</v>
      </c>
      <c r="E127" s="2">
        <v>5.700383535287E12</v>
      </c>
      <c r="F127" s="1" t="s">
        <v>439</v>
      </c>
      <c r="G127" s="1" t="s">
        <v>38</v>
      </c>
      <c r="H127" s="3" t="s">
        <v>19</v>
      </c>
      <c r="I127" s="1"/>
    </row>
    <row r="128" ht="15.75" customHeight="1">
      <c r="A128" s="2">
        <v>127.0</v>
      </c>
      <c r="B128" s="1" t="s">
        <v>191</v>
      </c>
      <c r="C128" s="1" t="s">
        <v>66</v>
      </c>
      <c r="D128" s="1" t="s">
        <v>440</v>
      </c>
      <c r="E128" s="2">
        <v>5.700383535288E12</v>
      </c>
      <c r="F128" s="1" t="s">
        <v>441</v>
      </c>
      <c r="G128" s="1" t="s">
        <v>383</v>
      </c>
      <c r="H128" s="3" t="s">
        <v>19</v>
      </c>
      <c r="I128" s="1"/>
    </row>
    <row r="129" ht="15.75" customHeight="1">
      <c r="A129" s="2">
        <v>128.0</v>
      </c>
      <c r="B129" s="1" t="s">
        <v>308</v>
      </c>
      <c r="C129" s="1" t="s">
        <v>442</v>
      </c>
      <c r="D129" s="1" t="s">
        <v>115</v>
      </c>
      <c r="E129" s="2">
        <v>5.700383535289E12</v>
      </c>
      <c r="F129" s="1" t="s">
        <v>443</v>
      </c>
      <c r="G129" s="1" t="s">
        <v>24</v>
      </c>
      <c r="H129" s="3" t="s">
        <v>19</v>
      </c>
      <c r="I129" s="1"/>
    </row>
    <row r="130" ht="15.75" customHeight="1">
      <c r="A130" s="2">
        <v>129.0</v>
      </c>
      <c r="B130" s="1" t="s">
        <v>444</v>
      </c>
      <c r="C130" s="1" t="s">
        <v>445</v>
      </c>
      <c r="D130" s="1" t="s">
        <v>446</v>
      </c>
      <c r="E130" s="2">
        <v>5.700383535296E12</v>
      </c>
      <c r="F130" s="1" t="s">
        <v>314</v>
      </c>
      <c r="G130" s="1" t="s">
        <v>18</v>
      </c>
      <c r="H130" s="3" t="s">
        <v>19</v>
      </c>
      <c r="I130" s="1"/>
    </row>
    <row r="131" ht="15.75" customHeight="1">
      <c r="A131" s="2">
        <v>130.0</v>
      </c>
      <c r="B131" s="1" t="s">
        <v>447</v>
      </c>
      <c r="C131" s="1" t="s">
        <v>445</v>
      </c>
      <c r="D131" s="1" t="s">
        <v>448</v>
      </c>
      <c r="E131" s="2">
        <v>5.700383535297E12</v>
      </c>
      <c r="F131" s="1" t="s">
        <v>449</v>
      </c>
      <c r="G131" s="1" t="s">
        <v>18</v>
      </c>
      <c r="H131" s="3" t="s">
        <v>19</v>
      </c>
      <c r="I131" s="1"/>
    </row>
    <row r="132" ht="15.75" customHeight="1">
      <c r="A132" s="2">
        <v>131.0</v>
      </c>
      <c r="B132" s="1" t="s">
        <v>79</v>
      </c>
      <c r="C132" s="1" t="s">
        <v>445</v>
      </c>
      <c r="D132" s="1" t="s">
        <v>446</v>
      </c>
      <c r="E132" s="2">
        <v>5.7003835353E12</v>
      </c>
      <c r="F132" s="1" t="s">
        <v>450</v>
      </c>
      <c r="G132" s="1" t="s">
        <v>18</v>
      </c>
      <c r="H132" s="3" t="s">
        <v>19</v>
      </c>
      <c r="I132" s="1"/>
    </row>
    <row r="133" ht="15.75" customHeight="1">
      <c r="A133" s="2">
        <v>132.0</v>
      </c>
      <c r="B133" s="1" t="s">
        <v>451</v>
      </c>
      <c r="C133" s="1" t="s">
        <v>452</v>
      </c>
      <c r="D133" s="1" t="s">
        <v>453</v>
      </c>
      <c r="E133" s="2">
        <v>5.700383535301E12</v>
      </c>
      <c r="F133" s="1" t="s">
        <v>454</v>
      </c>
      <c r="G133" s="1" t="s">
        <v>38</v>
      </c>
      <c r="H133" s="3" t="s">
        <v>19</v>
      </c>
      <c r="I133" s="1"/>
    </row>
    <row r="134" ht="15.75" customHeight="1">
      <c r="A134" s="2">
        <v>133.0</v>
      </c>
      <c r="B134" s="1" t="s">
        <v>455</v>
      </c>
      <c r="C134" s="1" t="s">
        <v>456</v>
      </c>
      <c r="D134" s="1" t="s">
        <v>457</v>
      </c>
      <c r="E134" s="2">
        <v>5.700383535304E12</v>
      </c>
      <c r="F134" s="1" t="s">
        <v>458</v>
      </c>
      <c r="G134" s="1" t="s">
        <v>121</v>
      </c>
      <c r="H134" s="3" t="s">
        <v>19</v>
      </c>
      <c r="I134" s="1"/>
    </row>
    <row r="135" ht="15.75" customHeight="1">
      <c r="A135" s="2">
        <v>134.0</v>
      </c>
      <c r="B135" s="1" t="s">
        <v>459</v>
      </c>
      <c r="C135" s="1" t="s">
        <v>460</v>
      </c>
      <c r="D135" s="1" t="s">
        <v>453</v>
      </c>
      <c r="E135" s="2">
        <v>5.700383535305E12</v>
      </c>
      <c r="F135" s="1" t="s">
        <v>461</v>
      </c>
      <c r="G135" s="1" t="s">
        <v>38</v>
      </c>
      <c r="H135" s="3" t="s">
        <v>19</v>
      </c>
      <c r="I135" s="1"/>
    </row>
    <row r="136" ht="15.75" customHeight="1">
      <c r="A136" s="2">
        <v>135.0</v>
      </c>
      <c r="B136" s="1" t="s">
        <v>462</v>
      </c>
      <c r="C136" s="1" t="s">
        <v>463</v>
      </c>
      <c r="D136" s="1" t="s">
        <v>464</v>
      </c>
      <c r="E136" s="2">
        <v>5.700383535307E12</v>
      </c>
      <c r="F136" s="1" t="s">
        <v>465</v>
      </c>
      <c r="G136" s="1" t="s">
        <v>383</v>
      </c>
      <c r="H136" s="3" t="s">
        <v>19</v>
      </c>
      <c r="I136" s="1"/>
    </row>
    <row r="137" ht="15.75" customHeight="1">
      <c r="A137" s="2">
        <v>136.0</v>
      </c>
      <c r="B137" s="1" t="s">
        <v>463</v>
      </c>
      <c r="C137" s="1" t="s">
        <v>466</v>
      </c>
      <c r="D137" s="1" t="s">
        <v>467</v>
      </c>
      <c r="E137" s="2">
        <v>5.700383535308E12</v>
      </c>
      <c r="F137" s="1" t="s">
        <v>468</v>
      </c>
      <c r="G137" s="1" t="s">
        <v>24</v>
      </c>
      <c r="H137" s="3" t="s">
        <v>19</v>
      </c>
      <c r="I137" s="1"/>
    </row>
    <row r="138" ht="15.75" customHeight="1">
      <c r="A138" s="2">
        <v>137.0</v>
      </c>
      <c r="B138" s="1" t="s">
        <v>469</v>
      </c>
      <c r="C138" s="1" t="s">
        <v>470</v>
      </c>
      <c r="D138" s="1" t="s">
        <v>471</v>
      </c>
      <c r="E138" s="2">
        <v>5.700383535311E12</v>
      </c>
      <c r="F138" s="1" t="s">
        <v>472</v>
      </c>
      <c r="G138" s="1" t="s">
        <v>143</v>
      </c>
      <c r="H138" s="3" t="s">
        <v>19</v>
      </c>
      <c r="I138" s="1"/>
    </row>
    <row r="139" ht="15.75" customHeight="1">
      <c r="A139" s="2">
        <v>138.0</v>
      </c>
      <c r="B139" s="1" t="s">
        <v>470</v>
      </c>
      <c r="C139" s="1" t="s">
        <v>460</v>
      </c>
      <c r="D139" s="1" t="s">
        <v>453</v>
      </c>
      <c r="E139" s="2">
        <v>5.700383535312E12</v>
      </c>
      <c r="F139" s="1" t="s">
        <v>473</v>
      </c>
      <c r="G139" s="1" t="s">
        <v>38</v>
      </c>
      <c r="H139" s="3" t="s">
        <v>19</v>
      </c>
      <c r="I139" s="1"/>
    </row>
    <row r="140" ht="15.75" customHeight="1">
      <c r="A140" s="2">
        <v>139.0</v>
      </c>
      <c r="B140" s="1" t="s">
        <v>410</v>
      </c>
      <c r="C140" s="1" t="s">
        <v>474</v>
      </c>
      <c r="D140" s="1" t="s">
        <v>475</v>
      </c>
      <c r="E140" s="2">
        <v>5.700383535318E12</v>
      </c>
      <c r="F140" s="1" t="s">
        <v>476</v>
      </c>
      <c r="G140" s="1" t="s">
        <v>24</v>
      </c>
      <c r="H140" s="3" t="s">
        <v>19</v>
      </c>
      <c r="I140" s="1"/>
    </row>
    <row r="141" ht="15.75" customHeight="1">
      <c r="A141" s="2">
        <v>140.0</v>
      </c>
      <c r="B141" s="1" t="s">
        <v>477</v>
      </c>
      <c r="C141" s="1" t="s">
        <v>419</v>
      </c>
      <c r="D141" s="1" t="s">
        <v>478</v>
      </c>
      <c r="E141" s="2">
        <v>5.700383535324E12</v>
      </c>
      <c r="F141" s="1" t="s">
        <v>479</v>
      </c>
      <c r="G141" s="1" t="s">
        <v>24</v>
      </c>
      <c r="H141" s="3" t="s">
        <v>19</v>
      </c>
      <c r="I141" s="1"/>
    </row>
    <row r="142" ht="15.75" customHeight="1">
      <c r="A142" s="2">
        <v>141.0</v>
      </c>
      <c r="B142" s="1" t="s">
        <v>311</v>
      </c>
      <c r="C142" s="1" t="s">
        <v>480</v>
      </c>
      <c r="D142" s="1" t="s">
        <v>475</v>
      </c>
      <c r="E142" s="2">
        <v>5.700383535327E12</v>
      </c>
      <c r="F142" s="1" t="s">
        <v>481</v>
      </c>
      <c r="G142" s="1" t="s">
        <v>24</v>
      </c>
      <c r="H142" s="3" t="s">
        <v>19</v>
      </c>
      <c r="I142" s="1"/>
    </row>
    <row r="143" ht="15.75" customHeight="1">
      <c r="A143" s="2">
        <v>142.0</v>
      </c>
      <c r="B143" s="1" t="s">
        <v>482</v>
      </c>
      <c r="C143" s="1" t="s">
        <v>480</v>
      </c>
      <c r="D143" s="1" t="s">
        <v>475</v>
      </c>
      <c r="E143" s="2">
        <v>5.700383535329E12</v>
      </c>
      <c r="F143" s="1" t="s">
        <v>483</v>
      </c>
      <c r="G143" s="1" t="s">
        <v>24</v>
      </c>
      <c r="H143" s="3" t="s">
        <v>19</v>
      </c>
      <c r="I143" s="1"/>
    </row>
    <row r="144" ht="15.75" customHeight="1">
      <c r="A144" s="2">
        <v>143.0</v>
      </c>
      <c r="B144" s="1" t="s">
        <v>484</v>
      </c>
      <c r="C144" s="1" t="s">
        <v>485</v>
      </c>
      <c r="D144" s="1" t="s">
        <v>486</v>
      </c>
      <c r="E144" s="2">
        <v>5.700383535332E12</v>
      </c>
      <c r="F144" s="1" t="s">
        <v>487</v>
      </c>
      <c r="G144" s="1" t="s">
        <v>18</v>
      </c>
      <c r="H144" s="3" t="s">
        <v>19</v>
      </c>
      <c r="I144" s="1"/>
    </row>
    <row r="145" ht="15.75" customHeight="1">
      <c r="A145" s="2">
        <v>144.0</v>
      </c>
      <c r="B145" s="1" t="s">
        <v>488</v>
      </c>
      <c r="C145" s="1" t="s">
        <v>489</v>
      </c>
      <c r="D145" s="1" t="s">
        <v>490</v>
      </c>
      <c r="E145" s="2">
        <v>5.700383535336E12</v>
      </c>
      <c r="F145" s="1" t="s">
        <v>491</v>
      </c>
      <c r="G145" s="1" t="s">
        <v>38</v>
      </c>
      <c r="H145" s="3" t="s">
        <v>19</v>
      </c>
      <c r="I145" s="1"/>
    </row>
    <row r="146" ht="15.75" customHeight="1">
      <c r="A146" s="2">
        <v>145.0</v>
      </c>
      <c r="B146" s="1" t="s">
        <v>492</v>
      </c>
      <c r="C146" s="1" t="s">
        <v>493</v>
      </c>
      <c r="D146" s="1" t="s">
        <v>494</v>
      </c>
      <c r="E146" s="2">
        <v>5.700383535338E12</v>
      </c>
      <c r="F146" s="1" t="s">
        <v>495</v>
      </c>
      <c r="G146" s="1" t="s">
        <v>143</v>
      </c>
      <c r="H146" s="3" t="s">
        <v>19</v>
      </c>
      <c r="I146" s="1"/>
    </row>
    <row r="147" ht="15.75" customHeight="1">
      <c r="A147" s="2">
        <v>146.0</v>
      </c>
      <c r="B147" s="1" t="s">
        <v>496</v>
      </c>
      <c r="C147" s="1" t="s">
        <v>33</v>
      </c>
      <c r="D147" s="1" t="s">
        <v>497</v>
      </c>
      <c r="E147" s="2">
        <v>5.700383535341E12</v>
      </c>
      <c r="F147" s="1" t="s">
        <v>498</v>
      </c>
      <c r="G147" s="1" t="s">
        <v>24</v>
      </c>
      <c r="H147" s="3" t="s">
        <v>19</v>
      </c>
      <c r="I147" s="1"/>
    </row>
    <row r="148" ht="15.75" customHeight="1">
      <c r="A148" s="2">
        <v>147.0</v>
      </c>
      <c r="B148" s="1" t="s">
        <v>499</v>
      </c>
      <c r="C148" s="1" t="s">
        <v>500</v>
      </c>
      <c r="D148" s="1" t="s">
        <v>501</v>
      </c>
      <c r="E148" s="2">
        <v>5.700383535343E12</v>
      </c>
      <c r="F148" s="1" t="s">
        <v>502</v>
      </c>
      <c r="G148" s="1" t="s">
        <v>24</v>
      </c>
      <c r="H148" s="3" t="s">
        <v>19</v>
      </c>
      <c r="I148" s="1"/>
    </row>
    <row r="149" ht="15.75" customHeight="1">
      <c r="A149" s="2">
        <v>148.0</v>
      </c>
      <c r="B149" s="1" t="s">
        <v>503</v>
      </c>
      <c r="C149" s="1" t="s">
        <v>499</v>
      </c>
      <c r="D149" s="1" t="s">
        <v>504</v>
      </c>
      <c r="E149" s="2">
        <v>5.700383535344E12</v>
      </c>
      <c r="F149" s="1" t="s">
        <v>505</v>
      </c>
      <c r="G149" s="1" t="s">
        <v>143</v>
      </c>
      <c r="H149" s="3" t="s">
        <v>19</v>
      </c>
      <c r="I149" s="1"/>
    </row>
    <row r="150" ht="15.75" customHeight="1">
      <c r="A150" s="2">
        <v>149.0</v>
      </c>
      <c r="B150" s="1" t="s">
        <v>506</v>
      </c>
      <c r="C150" s="1" t="s">
        <v>480</v>
      </c>
      <c r="D150" s="1" t="s">
        <v>475</v>
      </c>
      <c r="E150" s="2">
        <v>5.700383535347E12</v>
      </c>
      <c r="F150" s="1" t="s">
        <v>507</v>
      </c>
      <c r="G150" s="1" t="s">
        <v>38</v>
      </c>
      <c r="H150" s="3" t="s">
        <v>19</v>
      </c>
      <c r="I150" s="1"/>
    </row>
    <row r="151" ht="15.75" customHeight="1">
      <c r="A151" s="2">
        <v>150.0</v>
      </c>
      <c r="B151" s="1" t="s">
        <v>508</v>
      </c>
      <c r="C151" s="1" t="s">
        <v>489</v>
      </c>
      <c r="D151" s="1" t="s">
        <v>509</v>
      </c>
      <c r="E151" s="2">
        <v>5.700383535348E12</v>
      </c>
      <c r="F151" s="1" t="s">
        <v>510</v>
      </c>
      <c r="G151" s="1" t="s">
        <v>38</v>
      </c>
      <c r="H151" s="3" t="s">
        <v>19</v>
      </c>
      <c r="I151" s="1"/>
    </row>
    <row r="152" ht="15.75" customHeight="1">
      <c r="A152" s="2">
        <v>151.0</v>
      </c>
      <c r="B152" s="1" t="s">
        <v>511</v>
      </c>
      <c r="C152" s="1" t="s">
        <v>512</v>
      </c>
      <c r="D152" s="1" t="s">
        <v>283</v>
      </c>
      <c r="E152" s="2">
        <v>5.700383535349E12</v>
      </c>
      <c r="F152" s="1" t="s">
        <v>513</v>
      </c>
      <c r="G152" s="1" t="s">
        <v>38</v>
      </c>
      <c r="H152" s="3" t="s">
        <v>19</v>
      </c>
      <c r="I152" s="1"/>
    </row>
    <row r="153" ht="15.75" customHeight="1">
      <c r="A153" s="2">
        <v>152.0</v>
      </c>
      <c r="B153" s="1" t="s">
        <v>514</v>
      </c>
      <c r="C153" s="1" t="s">
        <v>515</v>
      </c>
      <c r="D153" s="1" t="s">
        <v>68</v>
      </c>
      <c r="E153" s="2">
        <v>5.70038353535E12</v>
      </c>
      <c r="F153" s="1" t="s">
        <v>516</v>
      </c>
      <c r="G153" s="1" t="s">
        <v>38</v>
      </c>
      <c r="H153" s="3" t="s">
        <v>19</v>
      </c>
      <c r="I153" s="1"/>
    </row>
    <row r="154" ht="15.75" customHeight="1">
      <c r="A154" s="2">
        <v>153.0</v>
      </c>
      <c r="B154" s="1" t="s">
        <v>517</v>
      </c>
      <c r="C154" s="1" t="s">
        <v>496</v>
      </c>
      <c r="D154" s="1" t="s">
        <v>518</v>
      </c>
      <c r="E154" s="2">
        <v>5.700383535351E12</v>
      </c>
      <c r="F154" s="1" t="s">
        <v>519</v>
      </c>
      <c r="G154" s="1" t="s">
        <v>24</v>
      </c>
      <c r="H154" s="3" t="s">
        <v>19</v>
      </c>
      <c r="I154" s="1"/>
    </row>
    <row r="155" ht="15.75" customHeight="1">
      <c r="A155" s="2">
        <v>154.0</v>
      </c>
      <c r="B155" s="1" t="s">
        <v>520</v>
      </c>
      <c r="C155" s="1" t="s">
        <v>521</v>
      </c>
      <c r="D155" s="1" t="s">
        <v>522</v>
      </c>
      <c r="E155" s="2">
        <v>5.700383535352E12</v>
      </c>
      <c r="F155" s="1" t="s">
        <v>523</v>
      </c>
      <c r="G155" s="1" t="s">
        <v>24</v>
      </c>
      <c r="H155" s="3" t="s">
        <v>19</v>
      </c>
      <c r="I155" s="1"/>
    </row>
    <row r="156" ht="15.75" customHeight="1">
      <c r="A156" s="2">
        <v>155.0</v>
      </c>
      <c r="B156" s="1" t="s">
        <v>524</v>
      </c>
      <c r="C156" s="1" t="s">
        <v>520</v>
      </c>
      <c r="D156" s="1" t="s">
        <v>103</v>
      </c>
      <c r="E156" s="2">
        <v>5.700383535354E12</v>
      </c>
      <c r="F156" s="1" t="s">
        <v>525</v>
      </c>
      <c r="G156" s="1" t="s">
        <v>24</v>
      </c>
      <c r="H156" s="3" t="s">
        <v>19</v>
      </c>
      <c r="I156" s="1"/>
    </row>
    <row r="157" ht="15.75" customHeight="1">
      <c r="A157" s="2">
        <v>156.0</v>
      </c>
      <c r="B157" s="1" t="s">
        <v>526</v>
      </c>
      <c r="C157" s="1" t="s">
        <v>527</v>
      </c>
      <c r="D157" s="1" t="s">
        <v>528</v>
      </c>
      <c r="E157" s="2">
        <v>5.700383535356E12</v>
      </c>
      <c r="F157" s="1" t="s">
        <v>529</v>
      </c>
      <c r="G157" s="1" t="s">
        <v>24</v>
      </c>
      <c r="H157" s="3" t="s">
        <v>19</v>
      </c>
      <c r="I157" s="1"/>
    </row>
    <row r="158" ht="15.75" customHeight="1">
      <c r="A158" s="2">
        <v>157.0</v>
      </c>
      <c r="B158" s="1" t="s">
        <v>530</v>
      </c>
      <c r="C158" s="1" t="s">
        <v>531</v>
      </c>
      <c r="D158" s="1" t="s">
        <v>532</v>
      </c>
      <c r="E158" s="2">
        <v>5.700383535359E12</v>
      </c>
      <c r="F158" s="1" t="s">
        <v>533</v>
      </c>
      <c r="G158" s="1" t="s">
        <v>24</v>
      </c>
      <c r="H158" s="3" t="s">
        <v>19</v>
      </c>
      <c r="I158" s="1"/>
    </row>
    <row r="159" ht="15.75" customHeight="1">
      <c r="A159" s="2">
        <v>158.0</v>
      </c>
      <c r="B159" s="1" t="s">
        <v>534</v>
      </c>
      <c r="C159" s="1" t="s">
        <v>535</v>
      </c>
      <c r="D159" s="1" t="s">
        <v>536</v>
      </c>
      <c r="E159" s="2">
        <v>5.700383535362E12</v>
      </c>
      <c r="F159" s="1" t="s">
        <v>537</v>
      </c>
      <c r="G159" s="1" t="s">
        <v>24</v>
      </c>
      <c r="H159" s="3" t="s">
        <v>19</v>
      </c>
      <c r="I159" s="1"/>
    </row>
    <row r="160" ht="15.75" customHeight="1">
      <c r="A160" s="2">
        <v>159.0</v>
      </c>
      <c r="B160" s="1" t="s">
        <v>538</v>
      </c>
      <c r="C160" s="1" t="s">
        <v>539</v>
      </c>
      <c r="D160" s="1" t="s">
        <v>540</v>
      </c>
      <c r="E160" s="2">
        <v>5.700383535364E12</v>
      </c>
      <c r="F160" s="1" t="s">
        <v>541</v>
      </c>
      <c r="G160" s="1" t="s">
        <v>24</v>
      </c>
      <c r="H160" s="3" t="s">
        <v>19</v>
      </c>
      <c r="I160" s="1"/>
    </row>
    <row r="161" ht="15.75" customHeight="1">
      <c r="A161" s="2">
        <v>160.0</v>
      </c>
      <c r="B161" s="1" t="s">
        <v>542</v>
      </c>
      <c r="C161" s="1" t="s">
        <v>543</v>
      </c>
      <c r="D161" s="1" t="s">
        <v>509</v>
      </c>
      <c r="E161" s="2">
        <v>5.700383535366E12</v>
      </c>
      <c r="F161" s="1" t="s">
        <v>544</v>
      </c>
      <c r="G161" s="1" t="s">
        <v>24</v>
      </c>
      <c r="H161" s="3" t="s">
        <v>19</v>
      </c>
      <c r="I161" s="1"/>
    </row>
    <row r="162" ht="15.75" customHeight="1">
      <c r="A162" s="2">
        <v>161.0</v>
      </c>
      <c r="B162" s="1" t="s">
        <v>545</v>
      </c>
      <c r="C162" s="1" t="s">
        <v>460</v>
      </c>
      <c r="D162" s="1" t="s">
        <v>381</v>
      </c>
      <c r="E162" s="2">
        <v>5.700383535367E12</v>
      </c>
      <c r="F162" s="1" t="s">
        <v>546</v>
      </c>
      <c r="G162" s="1" t="s">
        <v>38</v>
      </c>
      <c r="H162" s="3" t="s">
        <v>19</v>
      </c>
      <c r="I162" s="1"/>
    </row>
    <row r="163" ht="15.75" customHeight="1">
      <c r="A163" s="2">
        <v>162.0</v>
      </c>
      <c r="B163" s="1" t="s">
        <v>547</v>
      </c>
      <c r="C163" s="1" t="s">
        <v>545</v>
      </c>
      <c r="D163" s="1" t="s">
        <v>471</v>
      </c>
      <c r="E163" s="2">
        <v>5.700383535369E12</v>
      </c>
      <c r="F163" s="1" t="s">
        <v>548</v>
      </c>
      <c r="G163" s="1" t="s">
        <v>38</v>
      </c>
      <c r="H163" s="3" t="s">
        <v>19</v>
      </c>
      <c r="I163" s="1"/>
    </row>
    <row r="164" ht="15.75" customHeight="1">
      <c r="A164" s="2">
        <v>163.0</v>
      </c>
      <c r="B164" s="1" t="s">
        <v>173</v>
      </c>
      <c r="C164" s="1" t="s">
        <v>549</v>
      </c>
      <c r="D164" s="1" t="s">
        <v>550</v>
      </c>
      <c r="E164" s="2">
        <v>5.700383535371E12</v>
      </c>
      <c r="F164" s="1" t="s">
        <v>551</v>
      </c>
      <c r="G164" s="1" t="s">
        <v>24</v>
      </c>
      <c r="H164" s="3" t="s">
        <v>19</v>
      </c>
      <c r="I164" s="1"/>
    </row>
    <row r="165" ht="15.75" customHeight="1">
      <c r="A165" s="2">
        <v>164.0</v>
      </c>
      <c r="B165" s="1" t="s">
        <v>340</v>
      </c>
      <c r="C165" s="1" t="s">
        <v>552</v>
      </c>
      <c r="D165" s="1" t="s">
        <v>553</v>
      </c>
      <c r="E165" s="2">
        <v>5.700383535373E12</v>
      </c>
      <c r="F165" s="1" t="s">
        <v>554</v>
      </c>
      <c r="G165" s="1" t="s">
        <v>38</v>
      </c>
      <c r="H165" s="3" t="s">
        <v>19</v>
      </c>
      <c r="I165" s="1"/>
    </row>
    <row r="166" ht="15.75" customHeight="1">
      <c r="A166" s="2">
        <v>165.0</v>
      </c>
      <c r="B166" s="1" t="s">
        <v>555</v>
      </c>
      <c r="C166" s="1" t="s">
        <v>340</v>
      </c>
      <c r="D166" s="1" t="s">
        <v>207</v>
      </c>
      <c r="E166" s="2">
        <v>5.700383535375E12</v>
      </c>
      <c r="F166" s="1" t="s">
        <v>556</v>
      </c>
      <c r="G166" s="1" t="s">
        <v>38</v>
      </c>
      <c r="H166" s="3" t="s">
        <v>19</v>
      </c>
      <c r="I166" s="1"/>
    </row>
    <row r="167" ht="15.75" customHeight="1">
      <c r="A167" s="2">
        <v>166.0</v>
      </c>
      <c r="B167" s="1" t="s">
        <v>557</v>
      </c>
      <c r="C167" s="1" t="s">
        <v>340</v>
      </c>
      <c r="D167" s="1" t="s">
        <v>207</v>
      </c>
      <c r="E167" s="2">
        <v>5.700383535378E12</v>
      </c>
      <c r="F167" s="1" t="s">
        <v>558</v>
      </c>
      <c r="G167" s="1" t="s">
        <v>38</v>
      </c>
      <c r="H167" s="3" t="s">
        <v>19</v>
      </c>
      <c r="I167" s="1"/>
    </row>
    <row r="168" ht="15.75" customHeight="1">
      <c r="A168" s="2">
        <v>167.0</v>
      </c>
      <c r="B168" s="1" t="s">
        <v>559</v>
      </c>
      <c r="C168" s="1" t="s">
        <v>560</v>
      </c>
      <c r="D168" s="1" t="s">
        <v>561</v>
      </c>
      <c r="E168" s="2">
        <v>5.700383535381E12</v>
      </c>
      <c r="F168" s="1" t="s">
        <v>562</v>
      </c>
      <c r="G168" s="1" t="s">
        <v>24</v>
      </c>
      <c r="H168" s="3" t="s">
        <v>19</v>
      </c>
      <c r="I168" s="1"/>
    </row>
    <row r="169" ht="15.75" customHeight="1">
      <c r="A169" s="2">
        <v>168.0</v>
      </c>
      <c r="B169" s="1" t="s">
        <v>563</v>
      </c>
      <c r="C169" s="1" t="s">
        <v>493</v>
      </c>
      <c r="D169" s="1" t="s">
        <v>494</v>
      </c>
      <c r="E169" s="2">
        <v>5.700383535384E12</v>
      </c>
      <c r="F169" s="1" t="s">
        <v>564</v>
      </c>
      <c r="G169" s="1" t="s">
        <v>24</v>
      </c>
      <c r="H169" s="3" t="s">
        <v>19</v>
      </c>
      <c r="I169" s="1"/>
    </row>
    <row r="170" ht="15.75" customHeight="1">
      <c r="A170" s="2">
        <v>169.0</v>
      </c>
      <c r="B170" s="1" t="s">
        <v>330</v>
      </c>
      <c r="C170" s="1" t="s">
        <v>565</v>
      </c>
      <c r="D170" s="1" t="s">
        <v>566</v>
      </c>
      <c r="E170" s="2">
        <v>5.700383535387E12</v>
      </c>
      <c r="F170" s="1" t="s">
        <v>567</v>
      </c>
      <c r="G170" s="1" t="s">
        <v>24</v>
      </c>
      <c r="H170" s="3" t="s">
        <v>19</v>
      </c>
      <c r="I170" s="1"/>
    </row>
    <row r="171" ht="15.75" customHeight="1">
      <c r="A171" s="2">
        <v>170.0</v>
      </c>
      <c r="B171" s="1" t="s">
        <v>568</v>
      </c>
      <c r="C171" s="1" t="s">
        <v>330</v>
      </c>
      <c r="D171" s="1" t="s">
        <v>569</v>
      </c>
      <c r="E171" s="2">
        <v>5.700383535389E12</v>
      </c>
      <c r="F171" s="1" t="s">
        <v>570</v>
      </c>
      <c r="G171" s="1" t="s">
        <v>24</v>
      </c>
      <c r="H171" s="3" t="s">
        <v>19</v>
      </c>
      <c r="I171" s="1"/>
    </row>
    <row r="172" ht="15.75" customHeight="1">
      <c r="A172" s="2">
        <v>171.0</v>
      </c>
      <c r="B172" s="1" t="s">
        <v>106</v>
      </c>
      <c r="C172" s="1" t="s">
        <v>330</v>
      </c>
      <c r="D172" s="1" t="s">
        <v>569</v>
      </c>
      <c r="E172" s="2">
        <v>5.70038353539E12</v>
      </c>
      <c r="F172" s="1" t="s">
        <v>571</v>
      </c>
      <c r="G172" s="1" t="s">
        <v>24</v>
      </c>
      <c r="H172" s="3" t="s">
        <v>19</v>
      </c>
      <c r="I172" s="1"/>
    </row>
    <row r="173" ht="15.75" customHeight="1">
      <c r="A173" s="2">
        <v>172.0</v>
      </c>
      <c r="B173" s="1" t="s">
        <v>572</v>
      </c>
      <c r="C173" s="1" t="s">
        <v>573</v>
      </c>
      <c r="D173" s="1" t="s">
        <v>574</v>
      </c>
      <c r="E173" s="2">
        <v>5.700383535391E12</v>
      </c>
      <c r="F173" s="1" t="s">
        <v>575</v>
      </c>
      <c r="G173" s="1" t="s">
        <v>24</v>
      </c>
      <c r="H173" s="3" t="s">
        <v>19</v>
      </c>
      <c r="I173" s="1"/>
    </row>
    <row r="174" ht="15.75" customHeight="1">
      <c r="A174" s="2">
        <v>173.0</v>
      </c>
      <c r="B174" s="1" t="s">
        <v>79</v>
      </c>
      <c r="C174" s="1" t="s">
        <v>572</v>
      </c>
      <c r="D174" s="1" t="s">
        <v>576</v>
      </c>
      <c r="E174" s="2">
        <v>5.700383535396E12</v>
      </c>
      <c r="F174" s="1" t="s">
        <v>577</v>
      </c>
      <c r="G174" s="1" t="s">
        <v>121</v>
      </c>
      <c r="H174" s="3" t="s">
        <v>19</v>
      </c>
      <c r="I174" s="1"/>
    </row>
    <row r="175" ht="15.75" customHeight="1">
      <c r="A175" s="2">
        <v>174.0</v>
      </c>
      <c r="B175" s="1" t="s">
        <v>578</v>
      </c>
      <c r="C175" s="1" t="s">
        <v>579</v>
      </c>
      <c r="D175" s="1" t="s">
        <v>324</v>
      </c>
      <c r="E175" s="2">
        <v>5.7003835354E12</v>
      </c>
      <c r="F175" s="1" t="s">
        <v>580</v>
      </c>
      <c r="G175" s="1" t="s">
        <v>24</v>
      </c>
      <c r="H175" s="3" t="s">
        <v>19</v>
      </c>
      <c r="I175" s="1"/>
    </row>
    <row r="176" ht="15.75" customHeight="1">
      <c r="A176" s="2">
        <v>175.0</v>
      </c>
      <c r="B176" s="1" t="s">
        <v>581</v>
      </c>
      <c r="C176" s="1" t="s">
        <v>582</v>
      </c>
      <c r="D176" s="1" t="s">
        <v>583</v>
      </c>
      <c r="E176" s="2">
        <v>5.700383535403E12</v>
      </c>
      <c r="F176" s="1" t="s">
        <v>584</v>
      </c>
      <c r="G176" s="1" t="s">
        <v>24</v>
      </c>
      <c r="H176" s="3" t="s">
        <v>19</v>
      </c>
      <c r="I176" s="1"/>
    </row>
    <row r="177" ht="15.75" customHeight="1">
      <c r="A177" s="2">
        <v>176.0</v>
      </c>
      <c r="B177" s="1" t="s">
        <v>585</v>
      </c>
      <c r="C177" s="1" t="s">
        <v>586</v>
      </c>
      <c r="D177" s="1" t="s">
        <v>587</v>
      </c>
      <c r="E177" s="2">
        <v>5.700383535407E12</v>
      </c>
      <c r="F177" s="1" t="s">
        <v>588</v>
      </c>
      <c r="G177" s="1" t="s">
        <v>24</v>
      </c>
      <c r="H177" s="3" t="s">
        <v>19</v>
      </c>
      <c r="I177" s="1"/>
    </row>
    <row r="178" ht="15.75" customHeight="1">
      <c r="A178" s="2">
        <v>177.0</v>
      </c>
      <c r="B178" s="1" t="s">
        <v>434</v>
      </c>
      <c r="C178" s="1" t="s">
        <v>585</v>
      </c>
      <c r="D178" s="1" t="s">
        <v>589</v>
      </c>
      <c r="E178" s="2">
        <v>5.700383535408E12</v>
      </c>
      <c r="F178" s="1" t="s">
        <v>310</v>
      </c>
      <c r="G178" s="1" t="s">
        <v>121</v>
      </c>
      <c r="H178" s="3" t="s">
        <v>19</v>
      </c>
      <c r="I178" s="1"/>
    </row>
    <row r="179" ht="15.75" customHeight="1">
      <c r="A179" s="2">
        <v>178.0</v>
      </c>
      <c r="B179" s="1" t="s">
        <v>590</v>
      </c>
      <c r="C179" s="1" t="s">
        <v>591</v>
      </c>
      <c r="D179" s="1" t="s">
        <v>561</v>
      </c>
      <c r="E179" s="2">
        <v>5.7003835341E11</v>
      </c>
      <c r="F179" s="1" t="s">
        <v>592</v>
      </c>
      <c r="G179" s="1" t="s">
        <v>593</v>
      </c>
      <c r="H179" s="1" t="s">
        <v>594</v>
      </c>
      <c r="I179" s="1" t="s">
        <v>595</v>
      </c>
      <c r="J179" s="1" t="s">
        <v>596</v>
      </c>
    </row>
    <row r="180" ht="15.75" customHeight="1">
      <c r="A180" s="2">
        <v>179.0</v>
      </c>
      <c r="B180" s="1" t="s">
        <v>597</v>
      </c>
      <c r="C180" s="1" t="s">
        <v>598</v>
      </c>
      <c r="D180" s="1" t="s">
        <v>501</v>
      </c>
      <c r="E180" s="2">
        <v>5.70038353412E11</v>
      </c>
      <c r="F180" s="1" t="s">
        <v>599</v>
      </c>
      <c r="G180" s="1" t="s">
        <v>38</v>
      </c>
      <c r="H180" s="1" t="s">
        <v>594</v>
      </c>
      <c r="I180" s="1" t="s">
        <v>595</v>
      </c>
      <c r="J180" s="1" t="s">
        <v>596</v>
      </c>
    </row>
    <row r="181" ht="15.75" customHeight="1">
      <c r="A181" s="2">
        <v>180.0</v>
      </c>
      <c r="B181" s="1" t="s">
        <v>600</v>
      </c>
      <c r="C181" s="1" t="s">
        <v>597</v>
      </c>
      <c r="D181" s="1" t="s">
        <v>601</v>
      </c>
      <c r="E181" s="2">
        <v>5.70038353416E11</v>
      </c>
      <c r="F181" s="1" t="s">
        <v>602</v>
      </c>
      <c r="G181" s="1" t="s">
        <v>121</v>
      </c>
      <c r="H181" s="1" t="s">
        <v>594</v>
      </c>
      <c r="I181" s="1" t="s">
        <v>595</v>
      </c>
      <c r="J181" s="1" t="s">
        <v>596</v>
      </c>
    </row>
    <row r="182" ht="15.75" customHeight="1">
      <c r="A182" s="2">
        <v>181.0</v>
      </c>
      <c r="B182" s="1" t="s">
        <v>603</v>
      </c>
      <c r="C182" s="1" t="s">
        <v>604</v>
      </c>
      <c r="D182" s="1" t="s">
        <v>605</v>
      </c>
      <c r="E182" s="2">
        <v>5.70038353418E11</v>
      </c>
      <c r="F182" s="1" t="s">
        <v>606</v>
      </c>
      <c r="G182" s="1" t="s">
        <v>38</v>
      </c>
      <c r="H182" s="1" t="s">
        <v>594</v>
      </c>
      <c r="I182" s="1" t="s">
        <v>595</v>
      </c>
      <c r="J182" s="1" t="s">
        <v>596</v>
      </c>
    </row>
    <row r="183" ht="15.75" customHeight="1">
      <c r="A183" s="2">
        <v>182.0</v>
      </c>
      <c r="B183" s="1" t="s">
        <v>257</v>
      </c>
      <c r="C183" s="1" t="s">
        <v>542</v>
      </c>
      <c r="D183" s="1" t="s">
        <v>309</v>
      </c>
      <c r="E183" s="2">
        <v>5.70038353419E11</v>
      </c>
      <c r="F183" s="1" t="s">
        <v>607</v>
      </c>
      <c r="G183" s="1" t="s">
        <v>24</v>
      </c>
      <c r="H183" s="1" t="s">
        <v>594</v>
      </c>
      <c r="I183" s="1" t="s">
        <v>595</v>
      </c>
      <c r="J183" s="1" t="s">
        <v>596</v>
      </c>
    </row>
    <row r="184" ht="15.75" customHeight="1">
      <c r="A184" s="2">
        <v>183.0</v>
      </c>
      <c r="B184" s="1" t="s">
        <v>608</v>
      </c>
      <c r="C184" s="1" t="s">
        <v>609</v>
      </c>
      <c r="D184" s="1" t="s">
        <v>610</v>
      </c>
      <c r="E184" s="2">
        <v>5.7003835342E11</v>
      </c>
      <c r="F184" s="1" t="s">
        <v>611</v>
      </c>
      <c r="G184" s="1" t="s">
        <v>12</v>
      </c>
      <c r="H184" s="1" t="s">
        <v>594</v>
      </c>
      <c r="I184" s="1" t="s">
        <v>595</v>
      </c>
      <c r="J184" s="1" t="s">
        <v>596</v>
      </c>
    </row>
    <row r="185" ht="15.75" customHeight="1">
      <c r="A185" s="2">
        <v>184.0</v>
      </c>
      <c r="B185" s="1" t="s">
        <v>612</v>
      </c>
      <c r="C185" s="1" t="s">
        <v>613</v>
      </c>
      <c r="D185" s="1" t="s">
        <v>231</v>
      </c>
      <c r="E185" s="2">
        <v>5.70038353423E11</v>
      </c>
      <c r="F185" s="1" t="s">
        <v>614</v>
      </c>
      <c r="G185" s="1" t="s">
        <v>24</v>
      </c>
      <c r="H185" s="1" t="s">
        <v>594</v>
      </c>
      <c r="I185" s="1" t="s">
        <v>595</v>
      </c>
      <c r="J185" s="1" t="s">
        <v>596</v>
      </c>
    </row>
    <row r="186" ht="15.75" customHeight="1">
      <c r="A186" s="2">
        <v>185.0</v>
      </c>
      <c r="B186" s="1" t="s">
        <v>257</v>
      </c>
      <c r="C186" s="1" t="s">
        <v>615</v>
      </c>
      <c r="D186" s="1" t="s">
        <v>616</v>
      </c>
      <c r="E186" s="2">
        <v>5.70038353426E11</v>
      </c>
      <c r="F186" s="1" t="s">
        <v>617</v>
      </c>
      <c r="G186" s="1" t="s">
        <v>38</v>
      </c>
      <c r="H186" s="1" t="s">
        <v>594</v>
      </c>
      <c r="I186" s="1" t="s">
        <v>595</v>
      </c>
      <c r="J186" s="1" t="s">
        <v>596</v>
      </c>
    </row>
    <row r="187" ht="15.75" customHeight="1">
      <c r="A187" s="2">
        <v>186.0</v>
      </c>
      <c r="B187" s="1" t="s">
        <v>615</v>
      </c>
      <c r="C187" s="1" t="s">
        <v>618</v>
      </c>
      <c r="D187" s="1" t="s">
        <v>62</v>
      </c>
      <c r="E187" s="2">
        <v>5.70038353428E11</v>
      </c>
      <c r="F187" s="1" t="s">
        <v>619</v>
      </c>
      <c r="G187" s="1" t="s">
        <v>24</v>
      </c>
      <c r="H187" s="1" t="s">
        <v>594</v>
      </c>
      <c r="I187" s="1" t="s">
        <v>595</v>
      </c>
      <c r="J187" s="1" t="s">
        <v>596</v>
      </c>
    </row>
    <row r="188" ht="15.75" customHeight="1">
      <c r="A188" s="2">
        <v>187.0</v>
      </c>
      <c r="B188" s="1" t="s">
        <v>43</v>
      </c>
      <c r="C188" s="1" t="s">
        <v>174</v>
      </c>
      <c r="D188" s="1" t="s">
        <v>255</v>
      </c>
      <c r="E188" s="2">
        <v>5.7003835343E11</v>
      </c>
      <c r="F188" s="1" t="s">
        <v>620</v>
      </c>
      <c r="G188" s="1" t="s">
        <v>121</v>
      </c>
      <c r="H188" s="1" t="s">
        <v>594</v>
      </c>
      <c r="I188" s="1" t="s">
        <v>595</v>
      </c>
      <c r="J188" s="1" t="s">
        <v>596</v>
      </c>
    </row>
    <row r="189" ht="15.75" customHeight="1">
      <c r="A189" s="2">
        <v>188.0</v>
      </c>
      <c r="B189" s="1" t="s">
        <v>621</v>
      </c>
      <c r="C189" s="1" t="s">
        <v>618</v>
      </c>
      <c r="D189" s="1" t="s">
        <v>62</v>
      </c>
      <c r="E189" s="2">
        <v>5.70038353431E11</v>
      </c>
      <c r="F189" s="1" t="s">
        <v>622</v>
      </c>
      <c r="G189" s="1" t="s">
        <v>24</v>
      </c>
      <c r="H189" s="1" t="s">
        <v>594</v>
      </c>
      <c r="I189" s="1" t="s">
        <v>595</v>
      </c>
      <c r="J189" s="1" t="s">
        <v>596</v>
      </c>
    </row>
    <row r="190" ht="15.75" customHeight="1">
      <c r="A190" s="2">
        <v>189.0</v>
      </c>
      <c r="B190" s="1" t="s">
        <v>559</v>
      </c>
      <c r="C190" s="1" t="s">
        <v>621</v>
      </c>
      <c r="D190" s="1" t="s">
        <v>307</v>
      </c>
      <c r="E190" s="2">
        <v>5.70038353433E11</v>
      </c>
      <c r="F190" s="1" t="s">
        <v>623</v>
      </c>
      <c r="G190" s="1" t="s">
        <v>24</v>
      </c>
      <c r="H190" s="1" t="s">
        <v>594</v>
      </c>
      <c r="I190" s="1" t="s">
        <v>595</v>
      </c>
      <c r="J190" s="1" t="s">
        <v>596</v>
      </c>
    </row>
    <row r="191" ht="15.75" customHeight="1">
      <c r="A191" s="2">
        <v>190.0</v>
      </c>
      <c r="B191" s="1" t="s">
        <v>180</v>
      </c>
      <c r="C191" s="1" t="s">
        <v>621</v>
      </c>
      <c r="D191" s="1" t="s">
        <v>307</v>
      </c>
      <c r="E191" s="2">
        <v>5.70038353435E11</v>
      </c>
      <c r="F191" s="1" t="s">
        <v>624</v>
      </c>
      <c r="G191" s="1" t="s">
        <v>24</v>
      </c>
      <c r="H191" s="1" t="s">
        <v>594</v>
      </c>
      <c r="I191" s="1" t="s">
        <v>595</v>
      </c>
      <c r="J191" s="1" t="s">
        <v>596</v>
      </c>
    </row>
    <row r="192" ht="15.75" customHeight="1">
      <c r="A192" s="2">
        <v>191.0</v>
      </c>
      <c r="B192" s="1" t="s">
        <v>625</v>
      </c>
      <c r="C192" s="1" t="s">
        <v>626</v>
      </c>
      <c r="D192" s="1" t="s">
        <v>627</v>
      </c>
      <c r="E192" s="2">
        <v>5.70038353437E11</v>
      </c>
      <c r="F192" s="1" t="s">
        <v>628</v>
      </c>
      <c r="G192" s="1" t="s">
        <v>24</v>
      </c>
      <c r="H192" s="1" t="s">
        <v>594</v>
      </c>
      <c r="I192" s="1" t="s">
        <v>595</v>
      </c>
      <c r="J192" s="1" t="s">
        <v>596</v>
      </c>
    </row>
    <row r="193" ht="15.75" customHeight="1">
      <c r="A193" s="2">
        <v>192.0</v>
      </c>
      <c r="B193" s="1" t="s">
        <v>629</v>
      </c>
      <c r="C193" s="1" t="s">
        <v>630</v>
      </c>
      <c r="D193" s="1" t="s">
        <v>576</v>
      </c>
      <c r="E193" s="2">
        <v>5.70038353438E11</v>
      </c>
      <c r="F193" s="1" t="s">
        <v>631</v>
      </c>
      <c r="G193" s="1" t="s">
        <v>24</v>
      </c>
      <c r="H193" s="1" t="s">
        <v>594</v>
      </c>
      <c r="I193" s="1" t="s">
        <v>595</v>
      </c>
      <c r="J193" s="1" t="s">
        <v>596</v>
      </c>
    </row>
    <row r="194" ht="15.75" customHeight="1">
      <c r="A194" s="2">
        <v>193.0</v>
      </c>
      <c r="B194" s="1" t="s">
        <v>604</v>
      </c>
      <c r="C194" s="1" t="s">
        <v>586</v>
      </c>
      <c r="D194" s="1" t="s">
        <v>324</v>
      </c>
      <c r="E194" s="2">
        <v>5.70038353439E11</v>
      </c>
      <c r="F194" s="1" t="s">
        <v>632</v>
      </c>
      <c r="G194" s="1" t="s">
        <v>38</v>
      </c>
      <c r="H194" s="1" t="s">
        <v>594</v>
      </c>
      <c r="I194" s="1" t="s">
        <v>595</v>
      </c>
      <c r="J194" s="1" t="s">
        <v>596</v>
      </c>
    </row>
    <row r="195" ht="15.75" customHeight="1">
      <c r="A195" s="2">
        <v>194.0</v>
      </c>
      <c r="B195" s="1" t="s">
        <v>315</v>
      </c>
      <c r="C195" s="1" t="s">
        <v>633</v>
      </c>
      <c r="D195" s="1" t="s">
        <v>550</v>
      </c>
      <c r="E195" s="2">
        <v>5.7003835344E11</v>
      </c>
      <c r="F195" s="1" t="s">
        <v>634</v>
      </c>
      <c r="G195" s="1" t="s">
        <v>18</v>
      </c>
      <c r="H195" s="1" t="s">
        <v>594</v>
      </c>
      <c r="I195" s="1" t="s">
        <v>595</v>
      </c>
      <c r="J195" s="1" t="s">
        <v>596</v>
      </c>
    </row>
    <row r="196" ht="15.75" customHeight="1">
      <c r="A196" s="2">
        <v>195.0</v>
      </c>
      <c r="B196" s="1" t="s">
        <v>559</v>
      </c>
      <c r="C196" s="1" t="s">
        <v>635</v>
      </c>
      <c r="D196" s="1" t="s">
        <v>103</v>
      </c>
      <c r="E196" s="2">
        <v>5.70038353441E11</v>
      </c>
      <c r="F196" s="1" t="s">
        <v>636</v>
      </c>
      <c r="G196" s="1" t="s">
        <v>24</v>
      </c>
      <c r="H196" s="1" t="s">
        <v>594</v>
      </c>
      <c r="I196" s="1" t="s">
        <v>595</v>
      </c>
      <c r="J196" s="1" t="s">
        <v>596</v>
      </c>
    </row>
    <row r="197" ht="15.75" customHeight="1">
      <c r="A197" s="2">
        <v>196.0</v>
      </c>
      <c r="B197" s="1" t="s">
        <v>559</v>
      </c>
      <c r="C197" s="1" t="s">
        <v>637</v>
      </c>
      <c r="D197" s="1" t="s">
        <v>273</v>
      </c>
      <c r="E197" s="2">
        <v>5.70038353443E11</v>
      </c>
      <c r="F197" s="1" t="s">
        <v>638</v>
      </c>
      <c r="G197" s="1" t="s">
        <v>38</v>
      </c>
      <c r="H197" s="1" t="s">
        <v>594</v>
      </c>
      <c r="I197" s="1" t="s">
        <v>595</v>
      </c>
      <c r="J197" s="1" t="s">
        <v>596</v>
      </c>
    </row>
    <row r="198" ht="15.75" customHeight="1">
      <c r="A198" s="2">
        <v>197.0</v>
      </c>
      <c r="B198" s="1" t="s">
        <v>639</v>
      </c>
      <c r="C198" s="1" t="s">
        <v>542</v>
      </c>
      <c r="D198" s="1" t="s">
        <v>640</v>
      </c>
      <c r="E198" s="2">
        <v>5.70038353445E11</v>
      </c>
      <c r="F198" s="1" t="s">
        <v>641</v>
      </c>
      <c r="G198" s="1" t="s">
        <v>24</v>
      </c>
      <c r="H198" s="1" t="s">
        <v>594</v>
      </c>
      <c r="I198" s="1" t="s">
        <v>595</v>
      </c>
      <c r="J198" s="1" t="s">
        <v>596</v>
      </c>
    </row>
    <row r="199" ht="15.75" customHeight="1">
      <c r="A199" s="2">
        <v>198.0</v>
      </c>
      <c r="B199" s="1" t="s">
        <v>542</v>
      </c>
      <c r="C199" s="1" t="s">
        <v>642</v>
      </c>
      <c r="D199" s="1" t="s">
        <v>273</v>
      </c>
      <c r="E199" s="2">
        <v>5.70038353447E11</v>
      </c>
      <c r="F199" s="1" t="s">
        <v>643</v>
      </c>
      <c r="G199" s="1" t="s">
        <v>24</v>
      </c>
      <c r="H199" s="1" t="s">
        <v>594</v>
      </c>
      <c r="I199" s="1" t="s">
        <v>595</v>
      </c>
      <c r="J199" s="1" t="s">
        <v>596</v>
      </c>
    </row>
    <row r="200" ht="15.75" customHeight="1">
      <c r="A200" s="2">
        <v>199.0</v>
      </c>
      <c r="B200" s="1" t="s">
        <v>608</v>
      </c>
      <c r="C200" s="1" t="s">
        <v>618</v>
      </c>
      <c r="D200" s="1" t="s">
        <v>644</v>
      </c>
      <c r="E200" s="2">
        <v>5.70038353453E11</v>
      </c>
      <c r="F200" s="1" t="s">
        <v>645</v>
      </c>
      <c r="G200" s="1" t="s">
        <v>38</v>
      </c>
      <c r="H200" s="1" t="s">
        <v>594</v>
      </c>
      <c r="I200" s="1" t="s">
        <v>595</v>
      </c>
      <c r="J200" s="1" t="s">
        <v>596</v>
      </c>
    </row>
    <row r="201" ht="15.75" customHeight="1">
      <c r="A201" s="2">
        <v>200.0</v>
      </c>
      <c r="B201" s="1" t="s">
        <v>434</v>
      </c>
      <c r="C201" s="1" t="s">
        <v>646</v>
      </c>
      <c r="D201" s="1" t="s">
        <v>217</v>
      </c>
      <c r="E201" s="2">
        <v>5.70038353454E11</v>
      </c>
      <c r="F201" s="1" t="s">
        <v>647</v>
      </c>
      <c r="G201" s="1" t="s">
        <v>38</v>
      </c>
      <c r="H201" s="1" t="s">
        <v>594</v>
      </c>
      <c r="I201" s="1" t="s">
        <v>595</v>
      </c>
      <c r="J201" s="1" t="s">
        <v>596</v>
      </c>
    </row>
    <row r="202" ht="15.75" customHeight="1">
      <c r="A202" s="2">
        <v>201.0</v>
      </c>
      <c r="B202" s="1" t="s">
        <v>648</v>
      </c>
      <c r="C202" s="1" t="s">
        <v>649</v>
      </c>
      <c r="D202" s="1" t="s">
        <v>650</v>
      </c>
      <c r="E202" s="2">
        <v>5.70038353459E11</v>
      </c>
      <c r="F202" s="1" t="s">
        <v>651</v>
      </c>
      <c r="G202" s="1" t="s">
        <v>38</v>
      </c>
      <c r="H202" s="1" t="s">
        <v>594</v>
      </c>
      <c r="I202" s="1" t="s">
        <v>595</v>
      </c>
      <c r="J202" s="1" t="s">
        <v>596</v>
      </c>
    </row>
    <row r="203" ht="15.75" customHeight="1">
      <c r="A203" s="2">
        <v>202.0</v>
      </c>
      <c r="B203" s="1" t="s">
        <v>289</v>
      </c>
      <c r="C203" s="1" t="s">
        <v>652</v>
      </c>
      <c r="D203" s="1" t="s">
        <v>320</v>
      </c>
      <c r="E203" s="2">
        <v>5.70038353461E11</v>
      </c>
      <c r="F203" s="1" t="s">
        <v>653</v>
      </c>
      <c r="G203" s="1" t="s">
        <v>38</v>
      </c>
      <c r="H203" s="1" t="s">
        <v>594</v>
      </c>
      <c r="I203" s="1" t="s">
        <v>595</v>
      </c>
      <c r="J203" s="1" t="s">
        <v>596</v>
      </c>
    </row>
    <row r="204" ht="15.75" customHeight="1">
      <c r="A204" s="2">
        <v>203.0</v>
      </c>
      <c r="B204" s="1" t="s">
        <v>654</v>
      </c>
      <c r="C204" s="1" t="s">
        <v>286</v>
      </c>
      <c r="D204" s="1" t="s">
        <v>381</v>
      </c>
      <c r="E204" s="2">
        <v>5.70038353462E11</v>
      </c>
      <c r="F204" s="1" t="s">
        <v>655</v>
      </c>
      <c r="G204" s="1" t="s">
        <v>38</v>
      </c>
      <c r="H204" s="1" t="s">
        <v>594</v>
      </c>
      <c r="I204" s="1" t="s">
        <v>595</v>
      </c>
      <c r="J204" s="1" t="s">
        <v>596</v>
      </c>
    </row>
    <row r="205" ht="15.75" customHeight="1">
      <c r="A205" s="2">
        <v>204.0</v>
      </c>
      <c r="B205" s="1" t="s">
        <v>656</v>
      </c>
      <c r="C205" s="1" t="s">
        <v>657</v>
      </c>
      <c r="D205" s="1" t="s">
        <v>658</v>
      </c>
      <c r="E205" s="2">
        <v>5.70038353463E11</v>
      </c>
      <c r="F205" s="1" t="s">
        <v>659</v>
      </c>
      <c r="G205" s="1" t="s">
        <v>38</v>
      </c>
      <c r="H205" s="1" t="s">
        <v>594</v>
      </c>
      <c r="I205" s="1" t="s">
        <v>595</v>
      </c>
      <c r="J205" s="1" t="s">
        <v>596</v>
      </c>
    </row>
    <row r="206" ht="15.75" customHeight="1">
      <c r="A206" s="2">
        <v>205.0</v>
      </c>
      <c r="B206" s="1" t="s">
        <v>514</v>
      </c>
      <c r="C206" s="1" t="s">
        <v>245</v>
      </c>
      <c r="D206" s="1" t="s">
        <v>660</v>
      </c>
      <c r="E206" s="2">
        <v>5.70038353467E11</v>
      </c>
      <c r="F206" s="1" t="s">
        <v>661</v>
      </c>
      <c r="G206" s="1" t="s">
        <v>38</v>
      </c>
      <c r="H206" s="1" t="s">
        <v>594</v>
      </c>
      <c r="I206" s="1" t="s">
        <v>595</v>
      </c>
      <c r="J206" s="1" t="s">
        <v>596</v>
      </c>
    </row>
    <row r="207" ht="15.75" customHeight="1">
      <c r="A207" s="2">
        <v>206.0</v>
      </c>
      <c r="B207" s="1" t="s">
        <v>662</v>
      </c>
      <c r="C207" s="1" t="s">
        <v>40</v>
      </c>
      <c r="D207" s="1" t="s">
        <v>41</v>
      </c>
      <c r="E207" s="2">
        <v>5.70038353468E11</v>
      </c>
      <c r="F207" s="1" t="s">
        <v>663</v>
      </c>
      <c r="G207" s="1" t="s">
        <v>24</v>
      </c>
      <c r="H207" s="1" t="s">
        <v>594</v>
      </c>
      <c r="I207" s="1" t="s">
        <v>595</v>
      </c>
      <c r="J207" s="1" t="s">
        <v>596</v>
      </c>
    </row>
    <row r="208" ht="15.75" customHeight="1">
      <c r="A208" s="2">
        <v>207.0</v>
      </c>
      <c r="B208" s="1" t="s">
        <v>330</v>
      </c>
      <c r="C208" s="1" t="s">
        <v>618</v>
      </c>
      <c r="D208" s="1" t="s">
        <v>62</v>
      </c>
      <c r="E208" s="2">
        <v>5.70038353469E11</v>
      </c>
      <c r="F208" s="1" t="s">
        <v>664</v>
      </c>
      <c r="G208" s="1" t="s">
        <v>24</v>
      </c>
      <c r="H208" s="1" t="s">
        <v>594</v>
      </c>
      <c r="I208" s="1" t="s">
        <v>595</v>
      </c>
      <c r="J208" s="1" t="s">
        <v>596</v>
      </c>
    </row>
    <row r="209" ht="15.75" customHeight="1">
      <c r="A209" s="2">
        <v>208.0</v>
      </c>
      <c r="B209" s="1" t="s">
        <v>665</v>
      </c>
      <c r="C209" s="1" t="s">
        <v>666</v>
      </c>
      <c r="D209" s="1" t="s">
        <v>667</v>
      </c>
      <c r="E209" s="2">
        <v>5.70038353471E11</v>
      </c>
      <c r="F209" s="1" t="s">
        <v>668</v>
      </c>
      <c r="G209" s="1" t="s">
        <v>38</v>
      </c>
      <c r="H209" s="1" t="s">
        <v>594</v>
      </c>
      <c r="I209" s="1" t="s">
        <v>595</v>
      </c>
      <c r="J209" s="1" t="s">
        <v>596</v>
      </c>
    </row>
    <row r="210" ht="15.75" customHeight="1">
      <c r="A210" s="2">
        <v>209.0</v>
      </c>
      <c r="B210" s="1" t="s">
        <v>669</v>
      </c>
      <c r="C210" s="1" t="s">
        <v>666</v>
      </c>
      <c r="D210" s="1" t="s">
        <v>667</v>
      </c>
      <c r="E210" s="2">
        <v>5.70038353473E11</v>
      </c>
      <c r="F210" s="1" t="s">
        <v>661</v>
      </c>
      <c r="G210" s="1" t="s">
        <v>38</v>
      </c>
      <c r="H210" s="1" t="s">
        <v>594</v>
      </c>
      <c r="I210" s="1" t="s">
        <v>595</v>
      </c>
      <c r="J210" s="1" t="s">
        <v>596</v>
      </c>
    </row>
    <row r="211" ht="15.75" customHeight="1">
      <c r="A211" s="2">
        <v>210.0</v>
      </c>
      <c r="B211" s="1" t="s">
        <v>60</v>
      </c>
      <c r="C211" s="1" t="s">
        <v>670</v>
      </c>
      <c r="D211" s="1" t="s">
        <v>671</v>
      </c>
      <c r="E211" s="2">
        <v>5.70038353475E11</v>
      </c>
      <c r="F211" s="1" t="s">
        <v>672</v>
      </c>
      <c r="G211" s="1" t="s">
        <v>18</v>
      </c>
      <c r="H211" s="1" t="s">
        <v>594</v>
      </c>
      <c r="I211" s="1" t="s">
        <v>595</v>
      </c>
      <c r="J211" s="1" t="s">
        <v>596</v>
      </c>
    </row>
    <row r="212" ht="15.75" customHeight="1">
      <c r="A212" s="2">
        <v>211.0</v>
      </c>
      <c r="B212" s="1" t="s">
        <v>673</v>
      </c>
      <c r="C212" s="1" t="s">
        <v>674</v>
      </c>
      <c r="D212" s="1" t="s">
        <v>324</v>
      </c>
      <c r="E212" s="2">
        <v>5.70038353477E11</v>
      </c>
      <c r="F212" s="1" t="s">
        <v>675</v>
      </c>
      <c r="G212" s="1" t="s">
        <v>38</v>
      </c>
      <c r="H212" s="1" t="s">
        <v>594</v>
      </c>
      <c r="I212" s="1" t="s">
        <v>595</v>
      </c>
      <c r="J212" s="1" t="s">
        <v>596</v>
      </c>
    </row>
    <row r="213" ht="15.75" customHeight="1">
      <c r="A213" s="2">
        <v>212.0</v>
      </c>
      <c r="B213" s="1" t="s">
        <v>676</v>
      </c>
      <c r="C213" s="1" t="s">
        <v>677</v>
      </c>
      <c r="D213" s="1" t="s">
        <v>324</v>
      </c>
      <c r="E213" s="2">
        <v>5.70038353478E11</v>
      </c>
      <c r="F213" s="1" t="s">
        <v>678</v>
      </c>
      <c r="G213" s="1" t="s">
        <v>24</v>
      </c>
      <c r="H213" s="1" t="s">
        <v>594</v>
      </c>
      <c r="I213" s="1" t="s">
        <v>595</v>
      </c>
      <c r="J213" s="1" t="s">
        <v>596</v>
      </c>
    </row>
    <row r="214" ht="15.75" customHeight="1">
      <c r="A214" s="2">
        <v>213.0</v>
      </c>
      <c r="B214" s="1" t="s">
        <v>679</v>
      </c>
      <c r="C214" s="1" t="s">
        <v>680</v>
      </c>
      <c r="D214" s="1" t="s">
        <v>324</v>
      </c>
      <c r="E214" s="2">
        <v>5.70038353486E11</v>
      </c>
      <c r="F214" s="1" t="s">
        <v>681</v>
      </c>
      <c r="G214" s="1" t="s">
        <v>12</v>
      </c>
      <c r="H214" s="1" t="s">
        <v>594</v>
      </c>
      <c r="I214" s="1" t="s">
        <v>595</v>
      </c>
      <c r="J214" s="1" t="s">
        <v>596</v>
      </c>
    </row>
    <row r="215" ht="15.75" customHeight="1">
      <c r="A215" s="2">
        <v>214.0</v>
      </c>
      <c r="B215" s="1" t="s">
        <v>682</v>
      </c>
      <c r="C215" s="1" t="s">
        <v>683</v>
      </c>
      <c r="D215" s="1" t="s">
        <v>231</v>
      </c>
      <c r="E215" s="2">
        <v>5.70038353487E11</v>
      </c>
      <c r="F215" s="1" t="s">
        <v>684</v>
      </c>
      <c r="G215" s="1" t="s">
        <v>24</v>
      </c>
      <c r="H215" s="1" t="s">
        <v>594</v>
      </c>
      <c r="I215" s="1" t="s">
        <v>595</v>
      </c>
      <c r="J215" s="1" t="s">
        <v>596</v>
      </c>
    </row>
    <row r="216" ht="15.75" customHeight="1">
      <c r="A216" s="2">
        <v>215.0</v>
      </c>
      <c r="B216" s="1" t="s">
        <v>315</v>
      </c>
      <c r="C216" s="1" t="s">
        <v>682</v>
      </c>
      <c r="D216" s="1" t="s">
        <v>685</v>
      </c>
      <c r="E216" s="2">
        <v>5.70038353489E11</v>
      </c>
      <c r="F216" s="1" t="s">
        <v>686</v>
      </c>
      <c r="G216" s="1" t="s">
        <v>121</v>
      </c>
      <c r="H216" s="1" t="s">
        <v>594</v>
      </c>
      <c r="I216" s="1" t="s">
        <v>595</v>
      </c>
      <c r="J216" s="1" t="s">
        <v>596</v>
      </c>
    </row>
    <row r="217" ht="15.75" customHeight="1">
      <c r="A217" s="2">
        <v>216.0</v>
      </c>
      <c r="B217" s="1" t="s">
        <v>687</v>
      </c>
      <c r="C217" s="1" t="s">
        <v>688</v>
      </c>
      <c r="D217" s="1" t="s">
        <v>478</v>
      </c>
      <c r="E217" s="2">
        <v>5.70038353492E11</v>
      </c>
      <c r="F217" s="1" t="s">
        <v>689</v>
      </c>
      <c r="G217" s="1" t="s">
        <v>24</v>
      </c>
      <c r="H217" s="1" t="s">
        <v>594</v>
      </c>
      <c r="I217" s="1" t="s">
        <v>595</v>
      </c>
      <c r="J217" s="1" t="s">
        <v>596</v>
      </c>
    </row>
    <row r="218" ht="15.75" customHeight="1">
      <c r="A218" s="2">
        <v>217.0</v>
      </c>
      <c r="B218" s="1" t="s">
        <v>665</v>
      </c>
      <c r="C218" s="1" t="s">
        <v>688</v>
      </c>
      <c r="D218" s="1" t="s">
        <v>478</v>
      </c>
      <c r="E218" s="2">
        <v>5.70038353494E11</v>
      </c>
      <c r="F218" s="1" t="s">
        <v>690</v>
      </c>
      <c r="G218" s="1" t="s">
        <v>38</v>
      </c>
      <c r="H218" s="1" t="s">
        <v>594</v>
      </c>
      <c r="I218" s="1" t="s">
        <v>595</v>
      </c>
      <c r="J218" s="1" t="s">
        <v>596</v>
      </c>
    </row>
    <row r="219" ht="15.75" customHeight="1">
      <c r="A219" s="2">
        <v>218.0</v>
      </c>
      <c r="B219" s="1" t="s">
        <v>691</v>
      </c>
      <c r="C219" s="1" t="s">
        <v>688</v>
      </c>
      <c r="D219" s="1" t="s">
        <v>478</v>
      </c>
      <c r="E219" s="2">
        <v>5.70038353497E11</v>
      </c>
      <c r="F219" s="1" t="s">
        <v>692</v>
      </c>
      <c r="G219" s="1" t="s">
        <v>24</v>
      </c>
      <c r="H219" s="1" t="s">
        <v>594</v>
      </c>
      <c r="I219" s="1" t="s">
        <v>595</v>
      </c>
      <c r="J219" s="1" t="s">
        <v>596</v>
      </c>
    </row>
    <row r="220" ht="15.75" customHeight="1">
      <c r="A220" s="2">
        <v>219.0</v>
      </c>
      <c r="B220" s="1" t="s">
        <v>688</v>
      </c>
      <c r="C220" s="1" t="s">
        <v>693</v>
      </c>
      <c r="D220" s="1" t="s">
        <v>694</v>
      </c>
      <c r="E220" s="2">
        <v>5.70038353498E11</v>
      </c>
      <c r="F220" s="1" t="s">
        <v>695</v>
      </c>
      <c r="G220" s="1" t="s">
        <v>143</v>
      </c>
      <c r="H220" s="1" t="s">
        <v>594</v>
      </c>
      <c r="I220" s="1" t="s">
        <v>595</v>
      </c>
      <c r="J220" s="1" t="s">
        <v>596</v>
      </c>
    </row>
    <row r="221" ht="15.75" customHeight="1">
      <c r="A221" s="2">
        <v>220.0</v>
      </c>
      <c r="B221" s="1" t="s">
        <v>597</v>
      </c>
      <c r="C221" s="1" t="s">
        <v>696</v>
      </c>
      <c r="D221" s="1" t="s">
        <v>697</v>
      </c>
      <c r="E221" s="2">
        <v>5.70038353499E11</v>
      </c>
      <c r="F221" s="1" t="s">
        <v>698</v>
      </c>
      <c r="G221" s="1" t="s">
        <v>121</v>
      </c>
      <c r="H221" s="1" t="s">
        <v>594</v>
      </c>
      <c r="I221" s="1" t="s">
        <v>595</v>
      </c>
      <c r="J221" s="1" t="s">
        <v>596</v>
      </c>
    </row>
    <row r="222" ht="15.75" customHeight="1">
      <c r="A222" s="2">
        <v>221.0</v>
      </c>
      <c r="B222" s="1" t="s">
        <v>699</v>
      </c>
      <c r="C222" s="1" t="s">
        <v>400</v>
      </c>
      <c r="D222" s="1" t="s">
        <v>532</v>
      </c>
      <c r="E222" s="2">
        <v>5.70038353501E11</v>
      </c>
      <c r="F222" s="1" t="s">
        <v>700</v>
      </c>
      <c r="G222" s="1" t="s">
        <v>24</v>
      </c>
      <c r="H222" s="1" t="s">
        <v>594</v>
      </c>
      <c r="I222" s="1" t="s">
        <v>595</v>
      </c>
      <c r="J222" s="1" t="s">
        <v>596</v>
      </c>
    </row>
    <row r="223" ht="15.75" customHeight="1">
      <c r="A223" s="2">
        <v>222.0</v>
      </c>
      <c r="B223" s="1" t="s">
        <v>701</v>
      </c>
      <c r="C223" s="1" t="s">
        <v>702</v>
      </c>
      <c r="D223" s="1" t="s">
        <v>703</v>
      </c>
      <c r="E223" s="2">
        <v>5.70038353502E11</v>
      </c>
      <c r="F223" s="1" t="s">
        <v>704</v>
      </c>
      <c r="G223" s="1" t="s">
        <v>143</v>
      </c>
      <c r="H223" s="1" t="s">
        <v>594</v>
      </c>
      <c r="I223" s="1" t="s">
        <v>595</v>
      </c>
      <c r="J223" s="1" t="s">
        <v>596</v>
      </c>
    </row>
    <row r="224" ht="15.75" customHeight="1">
      <c r="A224" s="2">
        <v>223.0</v>
      </c>
      <c r="B224" s="1" t="s">
        <v>705</v>
      </c>
      <c r="C224" s="1" t="s">
        <v>706</v>
      </c>
      <c r="D224" s="1" t="s">
        <v>707</v>
      </c>
      <c r="E224" s="2">
        <v>5.70038353504E11</v>
      </c>
      <c r="F224" s="1" t="s">
        <v>708</v>
      </c>
      <c r="G224" s="1" t="s">
        <v>121</v>
      </c>
      <c r="H224" s="1" t="s">
        <v>594</v>
      </c>
      <c r="I224" s="1" t="s">
        <v>595</v>
      </c>
      <c r="J224" s="1" t="s">
        <v>596</v>
      </c>
    </row>
    <row r="225" ht="15.75" customHeight="1">
      <c r="A225" s="2">
        <v>224.0</v>
      </c>
      <c r="B225" s="1" t="s">
        <v>709</v>
      </c>
      <c r="C225" s="1" t="s">
        <v>710</v>
      </c>
      <c r="D225" s="1" t="s">
        <v>711</v>
      </c>
      <c r="E225" s="2">
        <v>5.70038353506E11</v>
      </c>
      <c r="F225" s="1" t="s">
        <v>712</v>
      </c>
      <c r="G225" s="1" t="s">
        <v>24</v>
      </c>
      <c r="H225" s="1" t="s">
        <v>594</v>
      </c>
      <c r="I225" s="1" t="s">
        <v>595</v>
      </c>
      <c r="J225" s="1" t="s">
        <v>596</v>
      </c>
    </row>
    <row r="226" ht="15.75" customHeight="1">
      <c r="A226" s="2">
        <v>225.0</v>
      </c>
      <c r="B226" s="1" t="s">
        <v>713</v>
      </c>
      <c r="C226" s="1" t="s">
        <v>586</v>
      </c>
      <c r="D226" s="1" t="s">
        <v>714</v>
      </c>
      <c r="E226" s="2">
        <v>5.70038353508E11</v>
      </c>
      <c r="F226" s="1" t="s">
        <v>715</v>
      </c>
      <c r="G226" s="1" t="s">
        <v>24</v>
      </c>
      <c r="H226" s="1" t="s">
        <v>594</v>
      </c>
      <c r="I226" s="1" t="s">
        <v>595</v>
      </c>
      <c r="J226" s="1" t="s">
        <v>596</v>
      </c>
    </row>
    <row r="227" ht="15.75" customHeight="1">
      <c r="A227" s="2">
        <v>226.0</v>
      </c>
      <c r="B227" s="1" t="s">
        <v>716</v>
      </c>
      <c r="C227" s="1" t="s">
        <v>717</v>
      </c>
      <c r="D227" s="1" t="s">
        <v>714</v>
      </c>
      <c r="E227" s="2">
        <v>5.70038353509E11</v>
      </c>
      <c r="F227" s="1" t="s">
        <v>718</v>
      </c>
      <c r="G227" s="1" t="s">
        <v>24</v>
      </c>
      <c r="H227" s="1" t="s">
        <v>594</v>
      </c>
      <c r="I227" s="1" t="s">
        <v>595</v>
      </c>
      <c r="J227" s="1" t="s">
        <v>596</v>
      </c>
    </row>
    <row r="228" ht="15.75" customHeight="1">
      <c r="A228" s="2">
        <v>227.0</v>
      </c>
      <c r="B228" s="1" t="s">
        <v>719</v>
      </c>
      <c r="C228" s="1" t="s">
        <v>720</v>
      </c>
      <c r="D228" s="1" t="s">
        <v>721</v>
      </c>
      <c r="E228" s="2">
        <v>5.70038353512E11</v>
      </c>
      <c r="F228" s="1" t="s">
        <v>525</v>
      </c>
      <c r="G228" s="1" t="s">
        <v>24</v>
      </c>
      <c r="H228" s="1" t="s">
        <v>594</v>
      </c>
      <c r="I228" s="1" t="s">
        <v>595</v>
      </c>
      <c r="J228" s="1" t="s">
        <v>596</v>
      </c>
    </row>
    <row r="229" ht="15.75" customHeight="1">
      <c r="A229" s="2">
        <v>228.0</v>
      </c>
      <c r="B229" s="1" t="s">
        <v>722</v>
      </c>
      <c r="C229" s="1" t="s">
        <v>723</v>
      </c>
      <c r="D229" s="1" t="s">
        <v>724</v>
      </c>
      <c r="E229" s="2">
        <v>5.70038353513E11</v>
      </c>
      <c r="F229" s="1" t="s">
        <v>725</v>
      </c>
      <c r="G229" s="1" t="s">
        <v>24</v>
      </c>
      <c r="H229" s="1" t="s">
        <v>594</v>
      </c>
      <c r="I229" s="1" t="s">
        <v>595</v>
      </c>
      <c r="J229" s="1" t="s">
        <v>596</v>
      </c>
    </row>
    <row r="230" ht="15.75" customHeight="1">
      <c r="A230" s="2">
        <v>229.0</v>
      </c>
      <c r="B230" s="1" t="s">
        <v>514</v>
      </c>
      <c r="C230" s="1" t="s">
        <v>726</v>
      </c>
      <c r="D230" s="1" t="s">
        <v>727</v>
      </c>
      <c r="E230" s="2">
        <v>5.70038353518E11</v>
      </c>
      <c r="F230" s="1" t="s">
        <v>728</v>
      </c>
      <c r="G230" s="1" t="s">
        <v>24</v>
      </c>
      <c r="H230" s="1" t="s">
        <v>594</v>
      </c>
      <c r="I230" s="1" t="s">
        <v>595</v>
      </c>
      <c r="J230" s="1" t="s">
        <v>596</v>
      </c>
    </row>
    <row r="231" ht="15.75" customHeight="1">
      <c r="A231" s="2">
        <v>230.0</v>
      </c>
      <c r="B231" s="1" t="s">
        <v>729</v>
      </c>
      <c r="C231" s="1" t="s">
        <v>730</v>
      </c>
      <c r="D231" s="1" t="s">
        <v>731</v>
      </c>
      <c r="E231" s="2">
        <v>5.70038353519E11</v>
      </c>
      <c r="F231" s="1" t="s">
        <v>732</v>
      </c>
      <c r="G231" s="1" t="s">
        <v>121</v>
      </c>
      <c r="H231" s="1" t="s">
        <v>594</v>
      </c>
      <c r="I231" s="1" t="s">
        <v>595</v>
      </c>
      <c r="J231" s="1" t="s">
        <v>596</v>
      </c>
    </row>
    <row r="232" ht="15.75" customHeight="1">
      <c r="A232" s="2">
        <v>231.0</v>
      </c>
      <c r="B232" s="1" t="s">
        <v>488</v>
      </c>
      <c r="C232" s="1" t="s">
        <v>308</v>
      </c>
      <c r="D232" s="1" t="s">
        <v>733</v>
      </c>
      <c r="E232" s="2">
        <v>5.7003835352E11</v>
      </c>
      <c r="F232" s="1" t="s">
        <v>734</v>
      </c>
      <c r="G232" s="1" t="s">
        <v>18</v>
      </c>
      <c r="H232" s="1" t="s">
        <v>594</v>
      </c>
      <c r="I232" s="1" t="s">
        <v>595</v>
      </c>
      <c r="J232" s="1" t="s">
        <v>596</v>
      </c>
    </row>
    <row r="233" ht="15.75" customHeight="1">
      <c r="A233" s="2">
        <v>232.0</v>
      </c>
      <c r="B233" s="1" t="s">
        <v>735</v>
      </c>
      <c r="C233" s="1" t="s">
        <v>308</v>
      </c>
      <c r="D233" s="1" t="s">
        <v>736</v>
      </c>
      <c r="E233" s="2">
        <v>5.70038353521E11</v>
      </c>
      <c r="F233" s="1" t="s">
        <v>737</v>
      </c>
      <c r="G233" s="1" t="s">
        <v>38</v>
      </c>
      <c r="H233" s="1" t="s">
        <v>594</v>
      </c>
      <c r="I233" s="1" t="s">
        <v>595</v>
      </c>
      <c r="J233" s="1" t="s">
        <v>596</v>
      </c>
    </row>
    <row r="234" ht="15.75" customHeight="1">
      <c r="A234" s="2">
        <v>233.0</v>
      </c>
      <c r="B234" s="1" t="s">
        <v>503</v>
      </c>
      <c r="C234" s="1" t="s">
        <v>738</v>
      </c>
      <c r="D234" s="1" t="s">
        <v>416</v>
      </c>
      <c r="E234" s="2">
        <v>5.70038353523E11</v>
      </c>
      <c r="F234" s="1" t="s">
        <v>739</v>
      </c>
      <c r="G234" s="1" t="s">
        <v>593</v>
      </c>
      <c r="H234" s="1" t="s">
        <v>594</v>
      </c>
      <c r="I234" s="1" t="s">
        <v>595</v>
      </c>
      <c r="J234" s="1" t="s">
        <v>596</v>
      </c>
    </row>
    <row r="235" ht="15.75" customHeight="1">
      <c r="A235" s="2">
        <v>234.0</v>
      </c>
      <c r="B235" s="1" t="s">
        <v>559</v>
      </c>
      <c r="C235" s="1" t="s">
        <v>740</v>
      </c>
      <c r="D235" s="1" t="s">
        <v>392</v>
      </c>
      <c r="E235" s="2">
        <v>5.70038353525E11</v>
      </c>
      <c r="F235" s="1" t="s">
        <v>741</v>
      </c>
      <c r="G235" s="1" t="s">
        <v>38</v>
      </c>
      <c r="H235" s="1" t="s">
        <v>594</v>
      </c>
      <c r="I235" s="1" t="s">
        <v>595</v>
      </c>
      <c r="J235" s="1" t="s">
        <v>596</v>
      </c>
    </row>
    <row r="236" ht="15.75" customHeight="1">
      <c r="A236" s="2">
        <v>235.0</v>
      </c>
      <c r="B236" s="1" t="s">
        <v>209</v>
      </c>
      <c r="C236" s="1" t="s">
        <v>713</v>
      </c>
      <c r="D236" s="1" t="s">
        <v>742</v>
      </c>
      <c r="E236" s="2">
        <v>5.70038353526E11</v>
      </c>
      <c r="F236" s="1" t="s">
        <v>743</v>
      </c>
      <c r="G236" s="1" t="s">
        <v>121</v>
      </c>
      <c r="H236" s="1" t="s">
        <v>594</v>
      </c>
      <c r="I236" s="1" t="s">
        <v>595</v>
      </c>
      <c r="J236" s="1" t="s">
        <v>596</v>
      </c>
    </row>
    <row r="237" ht="15.75" customHeight="1">
      <c r="A237" s="2">
        <v>236.0</v>
      </c>
      <c r="B237" s="1" t="s">
        <v>514</v>
      </c>
      <c r="C237" s="1" t="s">
        <v>388</v>
      </c>
      <c r="D237" s="1" t="s">
        <v>744</v>
      </c>
      <c r="E237" s="2">
        <v>5.70038353528E11</v>
      </c>
      <c r="F237" s="1" t="s">
        <v>745</v>
      </c>
      <c r="G237" s="1" t="s">
        <v>24</v>
      </c>
      <c r="H237" s="1" t="s">
        <v>594</v>
      </c>
      <c r="I237" s="1" t="s">
        <v>595</v>
      </c>
      <c r="J237" s="1" t="s">
        <v>596</v>
      </c>
    </row>
    <row r="238" ht="15.75" customHeight="1">
      <c r="A238" s="2">
        <v>237.0</v>
      </c>
      <c r="B238" s="1" t="s">
        <v>746</v>
      </c>
      <c r="C238" s="1" t="s">
        <v>747</v>
      </c>
      <c r="D238" s="1" t="s">
        <v>748</v>
      </c>
      <c r="E238" s="2">
        <v>5.70038353533E11</v>
      </c>
      <c r="F238" s="1" t="s">
        <v>749</v>
      </c>
      <c r="G238" s="1" t="s">
        <v>121</v>
      </c>
      <c r="H238" s="1" t="s">
        <v>594</v>
      </c>
      <c r="I238" s="1" t="s">
        <v>595</v>
      </c>
      <c r="J238" s="1" t="s">
        <v>596</v>
      </c>
    </row>
    <row r="239" ht="15.75" customHeight="1">
      <c r="A239" s="2">
        <v>238.0</v>
      </c>
      <c r="B239" s="1" t="s">
        <v>387</v>
      </c>
      <c r="C239" s="1" t="s">
        <v>750</v>
      </c>
      <c r="D239" s="1" t="s">
        <v>751</v>
      </c>
      <c r="E239" s="2">
        <v>5.70038353535E11</v>
      </c>
      <c r="F239" s="1" t="s">
        <v>752</v>
      </c>
      <c r="G239" s="1" t="s">
        <v>38</v>
      </c>
      <c r="H239" s="1" t="s">
        <v>594</v>
      </c>
      <c r="I239" s="1" t="s">
        <v>595</v>
      </c>
      <c r="J239" s="1" t="s">
        <v>596</v>
      </c>
    </row>
    <row r="240" ht="15.75" customHeight="1">
      <c r="A240" s="2">
        <v>239.0</v>
      </c>
      <c r="B240" s="1" t="s">
        <v>753</v>
      </c>
      <c r="C240" s="1" t="s">
        <v>754</v>
      </c>
      <c r="D240" s="1" t="s">
        <v>755</v>
      </c>
      <c r="E240" s="2">
        <v>5.70038353536E11</v>
      </c>
      <c r="F240" s="1" t="s">
        <v>756</v>
      </c>
      <c r="G240" s="1" t="s">
        <v>38</v>
      </c>
      <c r="H240" s="1" t="s">
        <v>594</v>
      </c>
      <c r="I240" s="1" t="s">
        <v>595</v>
      </c>
      <c r="J240" s="1" t="s">
        <v>596</v>
      </c>
    </row>
    <row r="241" ht="15.75" customHeight="1">
      <c r="A241" s="2">
        <v>240.0</v>
      </c>
      <c r="B241" s="1" t="s">
        <v>403</v>
      </c>
      <c r="C241" s="1" t="s">
        <v>757</v>
      </c>
      <c r="D241" s="1" t="s">
        <v>758</v>
      </c>
      <c r="E241" s="2">
        <v>5.70038353537E11</v>
      </c>
      <c r="F241" s="1" t="s">
        <v>759</v>
      </c>
      <c r="G241" s="1" t="s">
        <v>24</v>
      </c>
      <c r="H241" s="1" t="s">
        <v>594</v>
      </c>
      <c r="I241" s="1" t="s">
        <v>595</v>
      </c>
      <c r="J241" s="1" t="s">
        <v>596</v>
      </c>
    </row>
    <row r="242" ht="15.75" customHeight="1">
      <c r="A242" s="2">
        <v>241.0</v>
      </c>
      <c r="B242" s="1" t="s">
        <v>760</v>
      </c>
      <c r="C242" s="1" t="s">
        <v>761</v>
      </c>
      <c r="D242" s="1" t="s">
        <v>471</v>
      </c>
      <c r="E242" s="2">
        <v>5.70038353538E11</v>
      </c>
      <c r="F242" s="1" t="s">
        <v>208</v>
      </c>
      <c r="G242" s="1" t="s">
        <v>143</v>
      </c>
      <c r="H242" s="1" t="s">
        <v>594</v>
      </c>
      <c r="I242" s="1" t="s">
        <v>595</v>
      </c>
      <c r="J242" s="1" t="s">
        <v>596</v>
      </c>
    </row>
    <row r="243" ht="15.75" customHeight="1">
      <c r="A243" s="2">
        <v>242.0</v>
      </c>
      <c r="B243" s="1" t="s">
        <v>762</v>
      </c>
      <c r="C243" s="1" t="s">
        <v>388</v>
      </c>
      <c r="D243" s="1" t="s">
        <v>744</v>
      </c>
      <c r="E243" s="2">
        <v>5.7003835354E11</v>
      </c>
      <c r="F243" s="1" t="s">
        <v>763</v>
      </c>
      <c r="G243" s="1" t="s">
        <v>38</v>
      </c>
      <c r="H243" s="1" t="s">
        <v>594</v>
      </c>
      <c r="I243" s="1" t="s">
        <v>595</v>
      </c>
      <c r="J243" s="1" t="s">
        <v>596</v>
      </c>
    </row>
    <row r="244" ht="15.75" customHeight="1">
      <c r="A244" s="2">
        <v>243.0</v>
      </c>
      <c r="B244" s="1" t="s">
        <v>764</v>
      </c>
      <c r="C244" s="1" t="s">
        <v>677</v>
      </c>
      <c r="D244" s="1" t="s">
        <v>324</v>
      </c>
      <c r="E244" s="2">
        <v>5.70038353542E11</v>
      </c>
      <c r="F244" s="1" t="s">
        <v>765</v>
      </c>
      <c r="G244" s="1" t="s">
        <v>38</v>
      </c>
      <c r="H244" s="1" t="s">
        <v>594</v>
      </c>
      <c r="I244" s="1" t="s">
        <v>595</v>
      </c>
      <c r="J244" s="1" t="s">
        <v>596</v>
      </c>
    </row>
    <row r="245" ht="15.75" customHeight="1">
      <c r="A245" s="2">
        <v>244.0</v>
      </c>
      <c r="B245" s="1" t="s">
        <v>766</v>
      </c>
      <c r="C245" s="1" t="s">
        <v>677</v>
      </c>
      <c r="D245" s="1" t="s">
        <v>324</v>
      </c>
      <c r="E245" s="2">
        <v>5.70038353543E11</v>
      </c>
      <c r="F245" s="1" t="s">
        <v>767</v>
      </c>
      <c r="G245" s="1" t="s">
        <v>12</v>
      </c>
      <c r="H245" s="1" t="s">
        <v>594</v>
      </c>
      <c r="I245" s="1" t="s">
        <v>595</v>
      </c>
      <c r="J245" s="1" t="s">
        <v>596</v>
      </c>
    </row>
    <row r="246" ht="15.75" customHeight="1">
      <c r="A246" s="2">
        <v>245.0</v>
      </c>
      <c r="B246" s="1" t="s">
        <v>768</v>
      </c>
      <c r="C246" s="1" t="s">
        <v>769</v>
      </c>
      <c r="D246" s="1" t="s">
        <v>770</v>
      </c>
      <c r="E246" s="2">
        <v>5.70038353549E11</v>
      </c>
      <c r="F246" s="1" t="s">
        <v>771</v>
      </c>
      <c r="G246" s="1" t="s">
        <v>143</v>
      </c>
      <c r="H246" s="1" t="s">
        <v>594</v>
      </c>
      <c r="I246" s="1" t="s">
        <v>595</v>
      </c>
      <c r="J246" s="1" t="s">
        <v>596</v>
      </c>
    </row>
    <row r="247" ht="15.75" customHeight="1">
      <c r="A247" s="2">
        <v>246.0</v>
      </c>
      <c r="B247" s="1" t="s">
        <v>772</v>
      </c>
      <c r="C247" s="1" t="s">
        <v>682</v>
      </c>
      <c r="D247" s="1" t="s">
        <v>685</v>
      </c>
      <c r="E247" s="2">
        <v>5.70038353551E11</v>
      </c>
      <c r="F247" s="1" t="s">
        <v>773</v>
      </c>
      <c r="G247" s="1" t="s">
        <v>143</v>
      </c>
      <c r="H247" s="1" t="s">
        <v>594</v>
      </c>
      <c r="I247" s="1" t="s">
        <v>595</v>
      </c>
      <c r="J247" s="1" t="s">
        <v>596</v>
      </c>
    </row>
    <row r="248" ht="15.75" customHeight="1">
      <c r="A248" s="2">
        <v>247.0</v>
      </c>
      <c r="B248" s="1" t="s">
        <v>774</v>
      </c>
      <c r="C248" s="1" t="s">
        <v>775</v>
      </c>
      <c r="D248" s="1" t="s">
        <v>103</v>
      </c>
      <c r="E248" s="2">
        <v>5.70038353552E11</v>
      </c>
      <c r="F248" s="1" t="s">
        <v>776</v>
      </c>
      <c r="G248" s="1" t="s">
        <v>18</v>
      </c>
      <c r="H248" s="1" t="s">
        <v>594</v>
      </c>
      <c r="I248" s="1" t="s">
        <v>595</v>
      </c>
      <c r="J248" s="1" t="s">
        <v>596</v>
      </c>
    </row>
    <row r="249" ht="15.75" customHeight="1">
      <c r="A249" s="2">
        <v>248.0</v>
      </c>
      <c r="B249" s="1" t="s">
        <v>777</v>
      </c>
      <c r="C249" s="1" t="s">
        <v>257</v>
      </c>
      <c r="D249" s="1" t="s">
        <v>335</v>
      </c>
      <c r="E249" s="2">
        <v>5.70038353554E11</v>
      </c>
      <c r="F249" s="1" t="s">
        <v>778</v>
      </c>
      <c r="G249" s="1" t="s">
        <v>38</v>
      </c>
      <c r="H249" s="1" t="s">
        <v>594</v>
      </c>
      <c r="I249" s="1" t="s">
        <v>595</v>
      </c>
      <c r="J249" s="1" t="s">
        <v>596</v>
      </c>
    </row>
    <row r="250" ht="15.75" customHeight="1">
      <c r="A250" s="2">
        <v>249.0</v>
      </c>
      <c r="B250" s="1" t="s">
        <v>760</v>
      </c>
      <c r="C250" s="1" t="s">
        <v>779</v>
      </c>
      <c r="D250" s="1" t="s">
        <v>504</v>
      </c>
      <c r="E250" s="2">
        <v>5.70038353555E11</v>
      </c>
      <c r="F250" s="1" t="s">
        <v>104</v>
      </c>
      <c r="G250" s="1" t="s">
        <v>18</v>
      </c>
      <c r="H250" s="1" t="s">
        <v>594</v>
      </c>
      <c r="I250" s="1" t="s">
        <v>595</v>
      </c>
      <c r="J250" s="1" t="s">
        <v>596</v>
      </c>
    </row>
    <row r="251" ht="15.75" customHeight="1">
      <c r="A251" s="2">
        <v>250.0</v>
      </c>
      <c r="B251" s="1" t="s">
        <v>780</v>
      </c>
      <c r="C251" s="1" t="s">
        <v>612</v>
      </c>
      <c r="D251" s="1" t="s">
        <v>781</v>
      </c>
      <c r="E251" s="2">
        <v>5.70038353556E11</v>
      </c>
      <c r="F251" s="1" t="s">
        <v>782</v>
      </c>
      <c r="G251" s="1" t="s">
        <v>24</v>
      </c>
      <c r="H251" s="1" t="s">
        <v>594</v>
      </c>
      <c r="I251" s="1" t="s">
        <v>595</v>
      </c>
      <c r="J251" s="1" t="s">
        <v>596</v>
      </c>
    </row>
    <row r="252" ht="15.75" customHeight="1">
      <c r="A252" s="2">
        <v>251.0</v>
      </c>
      <c r="B252" s="1" t="s">
        <v>195</v>
      </c>
      <c r="C252" s="1" t="s">
        <v>188</v>
      </c>
      <c r="D252" s="1" t="s">
        <v>504</v>
      </c>
      <c r="E252" s="2">
        <v>5.70038353557E11</v>
      </c>
      <c r="F252" s="1" t="s">
        <v>783</v>
      </c>
      <c r="G252" s="1" t="s">
        <v>24</v>
      </c>
      <c r="H252" s="1" t="s">
        <v>594</v>
      </c>
      <c r="I252" s="1" t="s">
        <v>595</v>
      </c>
      <c r="J252" s="1" t="s">
        <v>596</v>
      </c>
    </row>
    <row r="253" ht="15.75" customHeight="1">
      <c r="A253" s="2">
        <v>252.0</v>
      </c>
      <c r="B253" s="1" t="s">
        <v>165</v>
      </c>
      <c r="C253" s="1" t="s">
        <v>784</v>
      </c>
      <c r="D253" s="1" t="s">
        <v>785</v>
      </c>
      <c r="E253" s="2">
        <v>5.70038353558E11</v>
      </c>
      <c r="F253" s="1" t="s">
        <v>786</v>
      </c>
      <c r="G253" s="1" t="s">
        <v>24</v>
      </c>
      <c r="H253" s="1" t="s">
        <v>594</v>
      </c>
      <c r="I253" s="1" t="s">
        <v>595</v>
      </c>
      <c r="J253" s="1" t="s">
        <v>596</v>
      </c>
    </row>
    <row r="254" ht="15.75" customHeight="1">
      <c r="A254" s="2">
        <v>253.0</v>
      </c>
      <c r="B254" s="1" t="s">
        <v>39</v>
      </c>
      <c r="C254" s="1" t="s">
        <v>118</v>
      </c>
      <c r="D254" s="1" t="s">
        <v>787</v>
      </c>
      <c r="E254" s="2">
        <v>5.70038353559E11</v>
      </c>
      <c r="F254" s="1" t="s">
        <v>788</v>
      </c>
      <c r="G254" s="1" t="s">
        <v>18</v>
      </c>
      <c r="H254" s="1" t="s">
        <v>594</v>
      </c>
      <c r="I254" s="1" t="s">
        <v>595</v>
      </c>
      <c r="J254" s="1" t="s">
        <v>596</v>
      </c>
    </row>
    <row r="255" ht="15.75" customHeight="1">
      <c r="A255" s="2">
        <v>254.0</v>
      </c>
      <c r="B255" s="1" t="s">
        <v>191</v>
      </c>
      <c r="C255" s="1" t="s">
        <v>340</v>
      </c>
      <c r="D255" s="1" t="s">
        <v>789</v>
      </c>
      <c r="E255" s="2">
        <v>5.7003835356E11</v>
      </c>
      <c r="F255" s="1" t="s">
        <v>790</v>
      </c>
      <c r="G255" s="1" t="s">
        <v>121</v>
      </c>
      <c r="H255" s="1" t="s">
        <v>594</v>
      </c>
      <c r="I255" s="1" t="s">
        <v>595</v>
      </c>
      <c r="J255" s="1" t="s">
        <v>596</v>
      </c>
    </row>
    <row r="256" ht="15.75" customHeight="1">
      <c r="A256" s="2">
        <v>255.0</v>
      </c>
      <c r="B256" s="1" t="s">
        <v>764</v>
      </c>
      <c r="C256" s="1" t="s">
        <v>791</v>
      </c>
      <c r="D256" s="1" t="s">
        <v>324</v>
      </c>
      <c r="E256" s="2">
        <v>5.70038353564E11</v>
      </c>
      <c r="F256" s="1" t="s">
        <v>792</v>
      </c>
      <c r="G256" s="1" t="s">
        <v>38</v>
      </c>
      <c r="H256" s="1" t="s">
        <v>594</v>
      </c>
      <c r="I256" s="1" t="s">
        <v>595</v>
      </c>
      <c r="J256" s="1" t="s">
        <v>596</v>
      </c>
    </row>
    <row r="257" ht="15.75" customHeight="1">
      <c r="A257" s="2">
        <v>256.0</v>
      </c>
      <c r="B257" s="1" t="s">
        <v>793</v>
      </c>
      <c r="C257" s="1" t="s">
        <v>794</v>
      </c>
      <c r="D257" s="1" t="s">
        <v>795</v>
      </c>
      <c r="E257" s="2">
        <v>5.70038353565E11</v>
      </c>
      <c r="F257" s="1" t="s">
        <v>796</v>
      </c>
      <c r="G257" s="1" t="s">
        <v>143</v>
      </c>
      <c r="H257" s="1" t="s">
        <v>594</v>
      </c>
      <c r="I257" s="1" t="s">
        <v>595</v>
      </c>
      <c r="J257" s="1" t="s">
        <v>596</v>
      </c>
    </row>
    <row r="258" ht="15.75" customHeight="1">
      <c r="A258" s="2">
        <v>257.0</v>
      </c>
      <c r="B258" s="1" t="s">
        <v>797</v>
      </c>
      <c r="C258" s="1" t="s">
        <v>798</v>
      </c>
      <c r="D258" s="1" t="s">
        <v>770</v>
      </c>
      <c r="E258" s="2">
        <v>5.70038353567E11</v>
      </c>
      <c r="F258" s="1" t="s">
        <v>799</v>
      </c>
      <c r="G258" s="1" t="s">
        <v>121</v>
      </c>
      <c r="H258" s="1" t="s">
        <v>594</v>
      </c>
      <c r="I258" s="1" t="s">
        <v>595</v>
      </c>
      <c r="J258" s="1" t="s">
        <v>596</v>
      </c>
    </row>
    <row r="259" ht="15.75" customHeight="1">
      <c r="A259" s="2">
        <v>258.0</v>
      </c>
      <c r="B259" s="1" t="s">
        <v>315</v>
      </c>
      <c r="C259" s="1" t="s">
        <v>800</v>
      </c>
      <c r="D259" s="1" t="s">
        <v>801</v>
      </c>
      <c r="E259" s="2">
        <v>5.70038353569E11</v>
      </c>
      <c r="F259" s="1" t="s">
        <v>778</v>
      </c>
      <c r="G259" s="1" t="s">
        <v>24</v>
      </c>
      <c r="H259" s="1" t="s">
        <v>594</v>
      </c>
      <c r="I259" s="1" t="s">
        <v>595</v>
      </c>
      <c r="J259" s="1" t="s">
        <v>596</v>
      </c>
    </row>
    <row r="260" ht="15.75" customHeight="1">
      <c r="A260" s="2">
        <v>259.0</v>
      </c>
      <c r="B260" s="1" t="s">
        <v>802</v>
      </c>
      <c r="C260" s="1" t="s">
        <v>680</v>
      </c>
      <c r="D260" s="1" t="s">
        <v>587</v>
      </c>
      <c r="E260" s="2">
        <v>5.7003835357E11</v>
      </c>
      <c r="F260" s="1" t="s">
        <v>803</v>
      </c>
      <c r="G260" s="1" t="s">
        <v>121</v>
      </c>
      <c r="H260" s="1" t="s">
        <v>594</v>
      </c>
      <c r="I260" s="1" t="s">
        <v>595</v>
      </c>
      <c r="J260" s="1" t="s">
        <v>596</v>
      </c>
    </row>
    <row r="261" ht="15.75" customHeight="1">
      <c r="A261" s="2">
        <v>260.0</v>
      </c>
      <c r="B261" s="1" t="s">
        <v>804</v>
      </c>
      <c r="C261" s="1" t="s">
        <v>805</v>
      </c>
      <c r="D261" s="1" t="s">
        <v>103</v>
      </c>
      <c r="E261" s="2">
        <v>5.70038353572E11</v>
      </c>
      <c r="F261" s="1" t="s">
        <v>806</v>
      </c>
      <c r="G261" s="1" t="s">
        <v>143</v>
      </c>
      <c r="H261" s="1" t="s">
        <v>594</v>
      </c>
      <c r="I261" s="1" t="s">
        <v>595</v>
      </c>
      <c r="J261" s="1" t="s">
        <v>596</v>
      </c>
    </row>
    <row r="262" ht="15.75" customHeight="1">
      <c r="A262" s="2">
        <v>261.0</v>
      </c>
      <c r="B262" s="1" t="s">
        <v>807</v>
      </c>
      <c r="C262" s="1" t="s">
        <v>808</v>
      </c>
      <c r="D262" s="1" t="s">
        <v>809</v>
      </c>
      <c r="E262" s="2">
        <v>5.70038353575E11</v>
      </c>
      <c r="F262" s="1" t="s">
        <v>810</v>
      </c>
      <c r="G262" s="1" t="s">
        <v>24</v>
      </c>
      <c r="H262" s="1" t="s">
        <v>594</v>
      </c>
      <c r="I262" s="1" t="s">
        <v>595</v>
      </c>
      <c r="J262" s="1" t="s">
        <v>596</v>
      </c>
    </row>
    <row r="263" ht="15.75" customHeight="1">
      <c r="A263" s="2">
        <v>262.0</v>
      </c>
      <c r="B263" s="1" t="s">
        <v>25</v>
      </c>
      <c r="C263" s="1" t="s">
        <v>811</v>
      </c>
      <c r="D263" s="1" t="s">
        <v>812</v>
      </c>
      <c r="E263" s="2">
        <v>5.70038353576E11</v>
      </c>
      <c r="F263" s="1" t="s">
        <v>564</v>
      </c>
      <c r="G263" s="1" t="s">
        <v>38</v>
      </c>
      <c r="H263" s="1" t="s">
        <v>594</v>
      </c>
      <c r="I263" s="1" t="s">
        <v>595</v>
      </c>
      <c r="J263" s="1" t="s">
        <v>596</v>
      </c>
    </row>
    <row r="264" ht="15.75" customHeight="1">
      <c r="A264" s="2">
        <v>263.0</v>
      </c>
      <c r="B264" s="1" t="s">
        <v>514</v>
      </c>
      <c r="C264" s="1" t="s">
        <v>813</v>
      </c>
      <c r="D264" s="1" t="s">
        <v>107</v>
      </c>
      <c r="E264" s="2">
        <v>5.70038353577E11</v>
      </c>
      <c r="F264" s="1" t="s">
        <v>814</v>
      </c>
      <c r="G264" s="1" t="s">
        <v>38</v>
      </c>
      <c r="H264" s="1" t="s">
        <v>594</v>
      </c>
      <c r="I264" s="1" t="s">
        <v>595</v>
      </c>
      <c r="J264" s="1" t="s">
        <v>596</v>
      </c>
    </row>
    <row r="265" ht="15.75" customHeight="1">
      <c r="A265" s="2">
        <v>264.0</v>
      </c>
      <c r="B265" s="1" t="s">
        <v>815</v>
      </c>
      <c r="C265" s="1" t="s">
        <v>816</v>
      </c>
      <c r="D265" s="1" t="s">
        <v>817</v>
      </c>
      <c r="E265" s="2">
        <v>5.7003835358E11</v>
      </c>
      <c r="F265" s="1" t="s">
        <v>818</v>
      </c>
      <c r="G265" s="1" t="s">
        <v>24</v>
      </c>
      <c r="H265" s="1" t="s">
        <v>594</v>
      </c>
      <c r="I265" s="1" t="s">
        <v>595</v>
      </c>
      <c r="J265" s="1" t="s">
        <v>596</v>
      </c>
    </row>
    <row r="266" ht="15.75" customHeight="1">
      <c r="A266" s="2">
        <v>265.0</v>
      </c>
      <c r="B266" s="1" t="s">
        <v>257</v>
      </c>
      <c r="C266" s="1" t="s">
        <v>710</v>
      </c>
      <c r="D266" s="1" t="s">
        <v>711</v>
      </c>
      <c r="E266" s="2">
        <v>5.70038353581E11</v>
      </c>
      <c r="F266" s="1" t="s">
        <v>819</v>
      </c>
      <c r="G266" s="1" t="s">
        <v>24</v>
      </c>
      <c r="H266" s="1" t="s">
        <v>594</v>
      </c>
      <c r="I266" s="1" t="s">
        <v>595</v>
      </c>
      <c r="J266" s="1" t="s">
        <v>596</v>
      </c>
    </row>
    <row r="267" ht="15.75" customHeight="1">
      <c r="A267" s="2">
        <v>266.0</v>
      </c>
      <c r="B267" s="1" t="s">
        <v>820</v>
      </c>
      <c r="C267" s="1" t="s">
        <v>821</v>
      </c>
      <c r="D267" s="1" t="s">
        <v>822</v>
      </c>
      <c r="E267" s="2">
        <v>5.70038353582E11</v>
      </c>
      <c r="F267" s="1" t="s">
        <v>823</v>
      </c>
      <c r="G267" s="1" t="s">
        <v>38</v>
      </c>
      <c r="H267" s="1" t="s">
        <v>594</v>
      </c>
      <c r="I267" s="1" t="s">
        <v>595</v>
      </c>
      <c r="J267" s="1" t="s">
        <v>596</v>
      </c>
    </row>
    <row r="268" ht="15.75" customHeight="1">
      <c r="A268" s="2">
        <v>267.0</v>
      </c>
      <c r="B268" s="1" t="s">
        <v>43</v>
      </c>
      <c r="C268" s="1" t="s">
        <v>824</v>
      </c>
      <c r="D268" s="1" t="s">
        <v>825</v>
      </c>
      <c r="E268" s="2">
        <v>5.70038353583E11</v>
      </c>
      <c r="F268" s="1" t="s">
        <v>826</v>
      </c>
      <c r="G268" s="1" t="s">
        <v>18</v>
      </c>
      <c r="H268" s="1" t="s">
        <v>594</v>
      </c>
      <c r="I268" s="1" t="s">
        <v>595</v>
      </c>
      <c r="J268" s="1" t="s">
        <v>596</v>
      </c>
    </row>
    <row r="269" ht="15.75" customHeight="1">
      <c r="A269" s="2">
        <v>268.0</v>
      </c>
      <c r="B269" s="1" t="s">
        <v>827</v>
      </c>
      <c r="C269" s="1" t="s">
        <v>828</v>
      </c>
      <c r="D269" s="1" t="s">
        <v>829</v>
      </c>
      <c r="E269" s="2">
        <v>5.70038353584E11</v>
      </c>
      <c r="F269" s="1" t="s">
        <v>830</v>
      </c>
      <c r="G269" s="1" t="s">
        <v>38</v>
      </c>
      <c r="H269" s="1" t="s">
        <v>594</v>
      </c>
      <c r="I269" s="1" t="s">
        <v>595</v>
      </c>
      <c r="J269" s="1" t="s">
        <v>596</v>
      </c>
    </row>
    <row r="270" ht="15.75" customHeight="1">
      <c r="A270" s="2">
        <v>269.0</v>
      </c>
      <c r="B270" s="1" t="s">
        <v>831</v>
      </c>
      <c r="C270" s="1" t="s">
        <v>832</v>
      </c>
      <c r="D270" s="1" t="s">
        <v>833</v>
      </c>
      <c r="E270" s="2">
        <v>5.70038353586E11</v>
      </c>
      <c r="F270" s="1" t="s">
        <v>786</v>
      </c>
      <c r="G270" s="1" t="s">
        <v>24</v>
      </c>
      <c r="H270" s="1" t="s">
        <v>594</v>
      </c>
      <c r="I270" s="1" t="s">
        <v>595</v>
      </c>
      <c r="J270" s="1" t="s">
        <v>596</v>
      </c>
    </row>
    <row r="271" ht="15.75" customHeight="1">
      <c r="A271" s="2">
        <v>270.0</v>
      </c>
      <c r="B271" s="1" t="s">
        <v>834</v>
      </c>
      <c r="C271" s="1" t="s">
        <v>130</v>
      </c>
      <c r="D271" s="1" t="s">
        <v>381</v>
      </c>
      <c r="E271" s="2">
        <v>5.70038353588E11</v>
      </c>
      <c r="F271" s="1" t="s">
        <v>835</v>
      </c>
      <c r="G271" s="1" t="s">
        <v>38</v>
      </c>
      <c r="H271" s="1" t="s">
        <v>594</v>
      </c>
      <c r="I271" s="1" t="s">
        <v>595</v>
      </c>
      <c r="J271" s="1" t="s">
        <v>596</v>
      </c>
    </row>
    <row r="272" ht="15.75" customHeight="1">
      <c r="A272" s="2">
        <v>271.0</v>
      </c>
      <c r="B272" s="1" t="s">
        <v>836</v>
      </c>
      <c r="C272" s="1" t="s">
        <v>680</v>
      </c>
      <c r="D272" s="1" t="s">
        <v>324</v>
      </c>
      <c r="E272" s="2">
        <v>5.70038353589E11</v>
      </c>
      <c r="F272" s="1" t="s">
        <v>837</v>
      </c>
      <c r="G272" s="1" t="s">
        <v>38</v>
      </c>
      <c r="H272" s="1" t="s">
        <v>594</v>
      </c>
      <c r="I272" s="1" t="s">
        <v>595</v>
      </c>
      <c r="J272" s="1" t="s">
        <v>596</v>
      </c>
    </row>
    <row r="273" ht="15.75" customHeight="1">
      <c r="A273" s="2">
        <v>272.0</v>
      </c>
      <c r="B273" s="1" t="s">
        <v>838</v>
      </c>
      <c r="C273" s="1" t="s">
        <v>39</v>
      </c>
      <c r="D273" s="1" t="s">
        <v>781</v>
      </c>
      <c r="E273" s="2">
        <v>5.70038353593E11</v>
      </c>
      <c r="F273" s="1" t="s">
        <v>631</v>
      </c>
      <c r="G273" s="1" t="s">
        <v>18</v>
      </c>
      <c r="H273" s="1" t="s">
        <v>594</v>
      </c>
      <c r="I273" s="1" t="s">
        <v>595</v>
      </c>
      <c r="J273" s="1" t="s">
        <v>596</v>
      </c>
    </row>
    <row r="274" ht="15.75" customHeight="1">
      <c r="A274" s="2">
        <v>273.0</v>
      </c>
      <c r="B274" s="1" t="s">
        <v>118</v>
      </c>
      <c r="C274" s="1" t="s">
        <v>839</v>
      </c>
      <c r="D274" s="1" t="s">
        <v>335</v>
      </c>
      <c r="E274" s="2">
        <v>5.70038353594E11</v>
      </c>
      <c r="F274" s="1" t="s">
        <v>728</v>
      </c>
      <c r="G274" s="1" t="s">
        <v>18</v>
      </c>
      <c r="H274" s="1" t="s">
        <v>594</v>
      </c>
      <c r="I274" s="1" t="s">
        <v>595</v>
      </c>
      <c r="J274" s="1" t="s">
        <v>596</v>
      </c>
    </row>
    <row r="275" ht="15.75" customHeight="1">
      <c r="A275" s="2">
        <v>274.0</v>
      </c>
      <c r="B275" s="1" t="s">
        <v>840</v>
      </c>
      <c r="C275" s="1" t="s">
        <v>841</v>
      </c>
      <c r="D275" s="1" t="s">
        <v>842</v>
      </c>
      <c r="E275" s="2">
        <v>5.70038353597E11</v>
      </c>
      <c r="F275" s="1" t="s">
        <v>843</v>
      </c>
      <c r="G275" s="1" t="s">
        <v>38</v>
      </c>
      <c r="H275" s="1" t="s">
        <v>594</v>
      </c>
      <c r="I275" s="1" t="s">
        <v>595</v>
      </c>
      <c r="J275" s="1" t="s">
        <v>596</v>
      </c>
    </row>
    <row r="276" ht="15.75" customHeight="1">
      <c r="A276" s="2">
        <v>275.0</v>
      </c>
      <c r="B276" s="1" t="s">
        <v>844</v>
      </c>
      <c r="C276" s="1" t="s">
        <v>845</v>
      </c>
      <c r="D276" s="1" t="s">
        <v>846</v>
      </c>
      <c r="E276" s="2">
        <v>5.70038353598E11</v>
      </c>
      <c r="F276" s="1" t="s">
        <v>847</v>
      </c>
      <c r="G276" s="1" t="s">
        <v>38</v>
      </c>
      <c r="H276" s="1" t="s">
        <v>594</v>
      </c>
      <c r="I276" s="1" t="s">
        <v>595</v>
      </c>
      <c r="J276" s="1" t="s">
        <v>596</v>
      </c>
    </row>
    <row r="277" ht="15.75" customHeight="1">
      <c r="A277" s="2">
        <v>276.0</v>
      </c>
      <c r="B277" s="1" t="s">
        <v>848</v>
      </c>
      <c r="C277" s="1" t="s">
        <v>849</v>
      </c>
      <c r="D277" s="1" t="s">
        <v>850</v>
      </c>
      <c r="E277" s="2">
        <v>5.700383536E11</v>
      </c>
      <c r="F277" s="1" t="s">
        <v>851</v>
      </c>
      <c r="G277" s="1" t="s">
        <v>24</v>
      </c>
      <c r="H277" s="1" t="s">
        <v>594</v>
      </c>
      <c r="I277" s="1" t="s">
        <v>595</v>
      </c>
      <c r="J277" s="1" t="s">
        <v>596</v>
      </c>
    </row>
    <row r="278" ht="15.75" customHeight="1">
      <c r="A278" s="2">
        <v>277.0</v>
      </c>
      <c r="B278" s="1" t="s">
        <v>852</v>
      </c>
      <c r="C278" s="1" t="s">
        <v>853</v>
      </c>
      <c r="D278" s="1" t="s">
        <v>854</v>
      </c>
      <c r="E278" s="2">
        <v>5.70038353611E11</v>
      </c>
      <c r="F278" s="1" t="s">
        <v>855</v>
      </c>
      <c r="G278" s="1" t="s">
        <v>24</v>
      </c>
      <c r="H278" s="1" t="s">
        <v>594</v>
      </c>
      <c r="I278" s="1" t="s">
        <v>595</v>
      </c>
      <c r="J278" s="1" t="s">
        <v>596</v>
      </c>
    </row>
    <row r="279" ht="15.75" customHeight="1">
      <c r="A279" s="2">
        <v>278.0</v>
      </c>
      <c r="B279" s="1" t="s">
        <v>106</v>
      </c>
      <c r="C279" s="1" t="s">
        <v>852</v>
      </c>
      <c r="D279" s="1" t="s">
        <v>856</v>
      </c>
      <c r="E279" s="2">
        <v>5.70038353612E11</v>
      </c>
      <c r="F279" s="1" t="s">
        <v>857</v>
      </c>
      <c r="G279" s="1" t="s">
        <v>24</v>
      </c>
      <c r="H279" s="1" t="s">
        <v>594</v>
      </c>
      <c r="I279" s="1" t="s">
        <v>595</v>
      </c>
      <c r="J279" s="1" t="s">
        <v>596</v>
      </c>
    </row>
    <row r="280" ht="15.75" customHeight="1">
      <c r="A280" s="2">
        <v>279.0</v>
      </c>
      <c r="B280" s="1" t="s">
        <v>66</v>
      </c>
      <c r="C280" s="1" t="s">
        <v>852</v>
      </c>
      <c r="D280" s="1" t="s">
        <v>856</v>
      </c>
      <c r="E280" s="2">
        <v>5.70038353613E11</v>
      </c>
      <c r="F280" s="1" t="s">
        <v>858</v>
      </c>
      <c r="G280" s="1" t="s">
        <v>24</v>
      </c>
      <c r="H280" s="1" t="s">
        <v>594</v>
      </c>
      <c r="I280" s="1" t="s">
        <v>595</v>
      </c>
      <c r="J280" s="1" t="s">
        <v>596</v>
      </c>
    </row>
    <row r="281" ht="15.75" customHeight="1">
      <c r="A281" s="2">
        <v>280.0</v>
      </c>
      <c r="B281" s="1" t="s">
        <v>165</v>
      </c>
      <c r="C281" s="1" t="s">
        <v>859</v>
      </c>
      <c r="D281" s="1" t="s">
        <v>860</v>
      </c>
      <c r="E281" s="2">
        <v>5.70038353617E11</v>
      </c>
      <c r="F281" s="1" t="s">
        <v>861</v>
      </c>
      <c r="G281" s="1" t="s">
        <v>38</v>
      </c>
      <c r="H281" s="1" t="s">
        <v>594</v>
      </c>
      <c r="I281" s="1" t="s">
        <v>595</v>
      </c>
      <c r="J281" s="1" t="s">
        <v>596</v>
      </c>
    </row>
    <row r="282" ht="15.75" customHeight="1">
      <c r="A282" s="2">
        <v>281.0</v>
      </c>
      <c r="B282" s="1" t="s">
        <v>39</v>
      </c>
      <c r="C282" s="1" t="s">
        <v>859</v>
      </c>
      <c r="D282" s="1" t="s">
        <v>860</v>
      </c>
      <c r="E282" s="2">
        <v>5.70038353618E11</v>
      </c>
      <c r="F282" s="1" t="s">
        <v>862</v>
      </c>
      <c r="G282" s="1" t="s">
        <v>38</v>
      </c>
      <c r="H282" s="1" t="s">
        <v>594</v>
      </c>
      <c r="I282" s="1" t="s">
        <v>595</v>
      </c>
      <c r="J282" s="1" t="s">
        <v>596</v>
      </c>
    </row>
    <row r="283" ht="15.75" customHeight="1">
      <c r="A283" s="2">
        <v>282.0</v>
      </c>
      <c r="B283" s="1" t="s">
        <v>333</v>
      </c>
      <c r="C283" s="1" t="s">
        <v>863</v>
      </c>
      <c r="D283" s="1" t="s">
        <v>864</v>
      </c>
      <c r="E283" s="2">
        <v>5.70038353621E11</v>
      </c>
      <c r="F283" s="1" t="s">
        <v>865</v>
      </c>
      <c r="G283" s="1" t="s">
        <v>38</v>
      </c>
      <c r="H283" s="1" t="s">
        <v>594</v>
      </c>
      <c r="I283" s="1" t="s">
        <v>595</v>
      </c>
      <c r="J283" s="1" t="s">
        <v>596</v>
      </c>
    </row>
    <row r="284" ht="15.75" customHeight="1">
      <c r="A284" s="2">
        <v>283.0</v>
      </c>
      <c r="B284" s="1" t="s">
        <v>866</v>
      </c>
      <c r="C284" s="1" t="s">
        <v>867</v>
      </c>
      <c r="D284" s="1" t="s">
        <v>868</v>
      </c>
      <c r="E284" s="2">
        <v>5.70038353625E11</v>
      </c>
      <c r="F284" s="1" t="s">
        <v>869</v>
      </c>
      <c r="G284" s="1" t="s">
        <v>38</v>
      </c>
      <c r="H284" s="1" t="s">
        <v>594</v>
      </c>
      <c r="I284" s="1" t="s">
        <v>595</v>
      </c>
      <c r="J284" s="1" t="s">
        <v>596</v>
      </c>
    </row>
    <row r="285" ht="15.75" customHeight="1">
      <c r="A285" s="2">
        <v>284.0</v>
      </c>
      <c r="B285" s="1" t="s">
        <v>488</v>
      </c>
      <c r="C285" s="1" t="s">
        <v>870</v>
      </c>
      <c r="D285" s="1" t="s">
        <v>871</v>
      </c>
      <c r="E285" s="2">
        <v>5.70038353627E11</v>
      </c>
      <c r="F285" s="1" t="s">
        <v>872</v>
      </c>
      <c r="G285" s="1" t="s">
        <v>143</v>
      </c>
      <c r="H285" s="1" t="s">
        <v>594</v>
      </c>
      <c r="I285" s="1" t="s">
        <v>595</v>
      </c>
      <c r="J285" s="1" t="s">
        <v>596</v>
      </c>
    </row>
    <row r="286" ht="15.75" customHeight="1">
      <c r="A286" s="2">
        <v>285.0</v>
      </c>
      <c r="B286" s="1" t="s">
        <v>873</v>
      </c>
      <c r="C286" s="1" t="s">
        <v>874</v>
      </c>
      <c r="D286" s="1" t="s">
        <v>871</v>
      </c>
      <c r="E286" s="2">
        <v>5.70038353629E11</v>
      </c>
      <c r="F286" s="1" t="s">
        <v>875</v>
      </c>
      <c r="G286" s="1" t="s">
        <v>38</v>
      </c>
      <c r="H286" s="1" t="s">
        <v>594</v>
      </c>
      <c r="I286" s="1" t="s">
        <v>595</v>
      </c>
      <c r="J286" s="1" t="s">
        <v>596</v>
      </c>
    </row>
    <row r="287" ht="15.75" customHeight="1">
      <c r="A287" s="2">
        <v>286.0</v>
      </c>
      <c r="B287" s="1" t="s">
        <v>410</v>
      </c>
      <c r="C287" s="1" t="s">
        <v>870</v>
      </c>
      <c r="D287" s="1" t="s">
        <v>871</v>
      </c>
      <c r="E287" s="2">
        <v>5.70038353632E11</v>
      </c>
      <c r="F287" s="1" t="s">
        <v>876</v>
      </c>
      <c r="G287" s="1" t="s">
        <v>38</v>
      </c>
      <c r="H287" s="1" t="s">
        <v>594</v>
      </c>
      <c r="I287" s="1" t="s">
        <v>595</v>
      </c>
      <c r="J287" s="1" t="s">
        <v>596</v>
      </c>
    </row>
    <row r="288" ht="15.75" customHeight="1">
      <c r="A288" s="2">
        <v>287.0</v>
      </c>
      <c r="B288" s="1" t="s">
        <v>329</v>
      </c>
      <c r="C288" s="1" t="s">
        <v>459</v>
      </c>
      <c r="D288" s="1" t="s">
        <v>877</v>
      </c>
      <c r="E288" s="2">
        <v>5.70038353635E11</v>
      </c>
      <c r="F288" s="1" t="s">
        <v>878</v>
      </c>
      <c r="G288" s="1" t="s">
        <v>38</v>
      </c>
      <c r="H288" s="1" t="s">
        <v>594</v>
      </c>
      <c r="I288" s="1" t="s">
        <v>595</v>
      </c>
      <c r="J288" s="1" t="s">
        <v>596</v>
      </c>
    </row>
    <row r="289" ht="15.75" customHeight="1">
      <c r="A289" s="2">
        <v>288.0</v>
      </c>
      <c r="B289" s="1" t="s">
        <v>257</v>
      </c>
      <c r="C289" s="1" t="s">
        <v>459</v>
      </c>
      <c r="D289" s="1" t="s">
        <v>610</v>
      </c>
      <c r="E289" s="2">
        <v>5.70038353636E11</v>
      </c>
      <c r="F289" s="1" t="s">
        <v>879</v>
      </c>
      <c r="G289" s="1" t="s">
        <v>38</v>
      </c>
      <c r="H289" s="1" t="s">
        <v>594</v>
      </c>
      <c r="I289" s="1" t="s">
        <v>595</v>
      </c>
      <c r="J289" s="1" t="s">
        <v>596</v>
      </c>
    </row>
    <row r="290" ht="15.75" customHeight="1">
      <c r="A290" s="2">
        <v>289.0</v>
      </c>
      <c r="B290" s="1" t="s">
        <v>215</v>
      </c>
      <c r="C290" s="1" t="s">
        <v>666</v>
      </c>
      <c r="D290" s="1" t="s">
        <v>667</v>
      </c>
      <c r="E290" s="2">
        <v>5.70038353637E11</v>
      </c>
      <c r="F290" s="1" t="s">
        <v>880</v>
      </c>
      <c r="G290" s="1" t="s">
        <v>593</v>
      </c>
      <c r="H290" s="1" t="s">
        <v>594</v>
      </c>
      <c r="I290" s="1" t="s">
        <v>595</v>
      </c>
      <c r="J290" s="1" t="s">
        <v>596</v>
      </c>
    </row>
    <row r="291" ht="15.75" customHeight="1">
      <c r="A291" s="2">
        <v>290.0</v>
      </c>
      <c r="B291" s="1" t="s">
        <v>881</v>
      </c>
      <c r="C291" s="1" t="s">
        <v>882</v>
      </c>
      <c r="D291" s="1" t="s">
        <v>62</v>
      </c>
      <c r="E291" s="2">
        <v>5.70038353638E11</v>
      </c>
      <c r="F291" s="1" t="s">
        <v>376</v>
      </c>
      <c r="G291" s="1" t="s">
        <v>38</v>
      </c>
      <c r="H291" s="1" t="s">
        <v>594</v>
      </c>
      <c r="I291" s="1" t="s">
        <v>595</v>
      </c>
      <c r="J291" s="1" t="s">
        <v>596</v>
      </c>
    </row>
    <row r="292" ht="15.75" customHeight="1">
      <c r="A292" s="2">
        <v>291.0</v>
      </c>
      <c r="B292" s="1" t="s">
        <v>883</v>
      </c>
      <c r="C292" s="1" t="s">
        <v>881</v>
      </c>
      <c r="D292" s="1" t="s">
        <v>884</v>
      </c>
      <c r="E292" s="2">
        <v>5.70038353639E11</v>
      </c>
      <c r="F292" s="1" t="s">
        <v>885</v>
      </c>
      <c r="G292" s="1" t="s">
        <v>121</v>
      </c>
      <c r="H292" s="1" t="s">
        <v>594</v>
      </c>
      <c r="I292" s="1" t="s">
        <v>595</v>
      </c>
      <c r="J292" s="1" t="s">
        <v>596</v>
      </c>
    </row>
    <row r="293" ht="15.75" customHeight="1">
      <c r="A293" s="2">
        <v>292.0</v>
      </c>
      <c r="B293" s="1" t="s">
        <v>886</v>
      </c>
      <c r="C293" s="1" t="s">
        <v>780</v>
      </c>
      <c r="D293" s="1" t="s">
        <v>605</v>
      </c>
      <c r="E293" s="2">
        <v>5.70038353643E11</v>
      </c>
      <c r="F293" s="1" t="s">
        <v>887</v>
      </c>
      <c r="G293" s="1" t="s">
        <v>38</v>
      </c>
      <c r="H293" s="1" t="s">
        <v>594</v>
      </c>
      <c r="I293" s="1" t="s">
        <v>595</v>
      </c>
      <c r="J293" s="1" t="s">
        <v>596</v>
      </c>
    </row>
    <row r="294" ht="15.75" customHeight="1">
      <c r="A294" s="2">
        <v>293.0</v>
      </c>
      <c r="B294" s="1" t="s">
        <v>775</v>
      </c>
      <c r="C294" s="1" t="s">
        <v>888</v>
      </c>
      <c r="D294" s="1" t="s">
        <v>320</v>
      </c>
      <c r="E294" s="2">
        <v>5.70038353653E11</v>
      </c>
      <c r="F294" s="1" t="s">
        <v>889</v>
      </c>
      <c r="G294" s="1" t="s">
        <v>24</v>
      </c>
      <c r="H294" s="1" t="s">
        <v>594</v>
      </c>
      <c r="I294" s="1" t="s">
        <v>595</v>
      </c>
      <c r="J294" s="1" t="s">
        <v>596</v>
      </c>
    </row>
    <row r="295" ht="15.75" customHeight="1">
      <c r="A295" s="2">
        <v>294.0</v>
      </c>
      <c r="B295" s="1" t="s">
        <v>762</v>
      </c>
      <c r="C295" s="1" t="s">
        <v>775</v>
      </c>
      <c r="D295" s="1" t="s">
        <v>115</v>
      </c>
      <c r="E295" s="2">
        <v>5.70038353654E11</v>
      </c>
      <c r="F295" s="1" t="s">
        <v>890</v>
      </c>
      <c r="G295" s="1" t="s">
        <v>24</v>
      </c>
      <c r="H295" s="1" t="s">
        <v>594</v>
      </c>
      <c r="I295" s="1" t="s">
        <v>595</v>
      </c>
      <c r="J295" s="1" t="s">
        <v>596</v>
      </c>
    </row>
    <row r="296" ht="15.75" customHeight="1">
      <c r="A296" s="2">
        <v>295.0</v>
      </c>
      <c r="B296" s="1" t="s">
        <v>340</v>
      </c>
      <c r="C296" s="1" t="s">
        <v>891</v>
      </c>
      <c r="D296" s="1" t="s">
        <v>892</v>
      </c>
      <c r="E296" s="2">
        <v>5.70038353657E11</v>
      </c>
      <c r="F296" s="1" t="s">
        <v>893</v>
      </c>
      <c r="G296" s="1" t="s">
        <v>38</v>
      </c>
      <c r="H296" s="1" t="s">
        <v>594</v>
      </c>
      <c r="I296" s="1" t="s">
        <v>595</v>
      </c>
      <c r="J296" s="1" t="s">
        <v>596</v>
      </c>
    </row>
    <row r="297" ht="15.75" customHeight="1">
      <c r="A297" s="2">
        <v>296.0</v>
      </c>
      <c r="B297" s="1" t="s">
        <v>559</v>
      </c>
      <c r="C297" s="1" t="s">
        <v>334</v>
      </c>
      <c r="D297" s="1" t="s">
        <v>335</v>
      </c>
      <c r="E297" s="2">
        <v>5.7003835366E11</v>
      </c>
      <c r="F297" s="1" t="s">
        <v>894</v>
      </c>
      <c r="G297" s="1" t="s">
        <v>24</v>
      </c>
      <c r="H297" s="1" t="s">
        <v>594</v>
      </c>
      <c r="I297" s="1" t="s">
        <v>595</v>
      </c>
      <c r="J297" s="1" t="s">
        <v>596</v>
      </c>
    </row>
    <row r="298" ht="15.75" customHeight="1">
      <c r="A298" s="2">
        <v>297.0</v>
      </c>
      <c r="B298" s="1" t="s">
        <v>25</v>
      </c>
      <c r="C298" s="1" t="s">
        <v>895</v>
      </c>
      <c r="D298" s="1" t="s">
        <v>703</v>
      </c>
      <c r="E298" s="2">
        <v>5.70038353661E11</v>
      </c>
      <c r="F298" s="1" t="s">
        <v>896</v>
      </c>
      <c r="G298" s="1" t="s">
        <v>24</v>
      </c>
      <c r="H298" s="1" t="s">
        <v>594</v>
      </c>
      <c r="I298" s="1" t="s">
        <v>595</v>
      </c>
      <c r="J298" s="1" t="s">
        <v>596</v>
      </c>
    </row>
    <row r="299" ht="15.75" customHeight="1">
      <c r="A299" s="2">
        <v>298.0</v>
      </c>
      <c r="B299" s="1" t="s">
        <v>897</v>
      </c>
      <c r="C299" s="1" t="s">
        <v>898</v>
      </c>
      <c r="D299" s="1" t="s">
        <v>68</v>
      </c>
      <c r="E299" s="2">
        <v>5.70038353662E11</v>
      </c>
      <c r="F299" s="1" t="s">
        <v>78</v>
      </c>
      <c r="G299" s="1" t="s">
        <v>38</v>
      </c>
      <c r="H299" s="1" t="s">
        <v>594</v>
      </c>
      <c r="I299" s="1" t="s">
        <v>595</v>
      </c>
      <c r="J299" s="1" t="s">
        <v>596</v>
      </c>
    </row>
    <row r="300" ht="15.75" customHeight="1">
      <c r="A300" s="2">
        <v>299.0</v>
      </c>
      <c r="B300" s="1" t="s">
        <v>308</v>
      </c>
      <c r="C300" s="1" t="s">
        <v>899</v>
      </c>
      <c r="D300" s="1" t="s">
        <v>900</v>
      </c>
      <c r="E300" s="2">
        <v>5.70038353663E11</v>
      </c>
      <c r="F300" s="1" t="s">
        <v>901</v>
      </c>
      <c r="G300" s="1" t="s">
        <v>38</v>
      </c>
      <c r="H300" s="1" t="s">
        <v>594</v>
      </c>
      <c r="I300" s="1" t="s">
        <v>595</v>
      </c>
      <c r="J300" s="1" t="s">
        <v>596</v>
      </c>
    </row>
    <row r="301" ht="15.75" customHeight="1">
      <c r="A301" s="2">
        <v>300.0</v>
      </c>
      <c r="B301" s="1" t="s">
        <v>902</v>
      </c>
      <c r="C301" s="1" t="s">
        <v>903</v>
      </c>
      <c r="D301" s="1" t="s">
        <v>904</v>
      </c>
      <c r="E301" s="2">
        <v>5.70038353664E11</v>
      </c>
      <c r="F301" s="1" t="s">
        <v>905</v>
      </c>
      <c r="G301" s="1" t="s">
        <v>121</v>
      </c>
      <c r="H301" s="1" t="s">
        <v>594</v>
      </c>
      <c r="I301" s="1" t="s">
        <v>595</v>
      </c>
      <c r="J301" s="1" t="s">
        <v>596</v>
      </c>
    </row>
    <row r="302" ht="15.75" customHeight="1">
      <c r="A302" s="2">
        <v>301.0</v>
      </c>
      <c r="B302" s="1" t="s">
        <v>403</v>
      </c>
      <c r="C302" s="1" t="s">
        <v>903</v>
      </c>
      <c r="D302" s="1" t="s">
        <v>904</v>
      </c>
      <c r="E302" s="2">
        <v>5.70038353665E11</v>
      </c>
      <c r="F302" s="1" t="s">
        <v>906</v>
      </c>
      <c r="G302" s="1" t="s">
        <v>38</v>
      </c>
      <c r="H302" s="1" t="s">
        <v>594</v>
      </c>
      <c r="I302" s="1" t="s">
        <v>595</v>
      </c>
      <c r="J302" s="1" t="s">
        <v>596</v>
      </c>
    </row>
    <row r="303" ht="15.75" customHeight="1">
      <c r="A303" s="2">
        <v>302.0</v>
      </c>
      <c r="B303" s="1" t="s">
        <v>907</v>
      </c>
      <c r="C303" s="1" t="s">
        <v>908</v>
      </c>
      <c r="D303" s="1" t="s">
        <v>909</v>
      </c>
      <c r="E303" s="2">
        <v>5.70038353669E11</v>
      </c>
      <c r="F303" s="1" t="s">
        <v>910</v>
      </c>
      <c r="G303" s="1" t="s">
        <v>24</v>
      </c>
      <c r="H303" s="1" t="s">
        <v>594</v>
      </c>
      <c r="I303" s="1" t="s">
        <v>595</v>
      </c>
      <c r="J303" s="1" t="s">
        <v>596</v>
      </c>
    </row>
    <row r="304" ht="15.75" customHeight="1">
      <c r="A304" s="2">
        <v>303.0</v>
      </c>
      <c r="B304" s="1" t="s">
        <v>911</v>
      </c>
      <c r="C304" s="1" t="s">
        <v>912</v>
      </c>
      <c r="D304" s="1" t="s">
        <v>913</v>
      </c>
      <c r="E304" s="2">
        <v>5.70038353672E11</v>
      </c>
      <c r="F304" s="1" t="s">
        <v>914</v>
      </c>
      <c r="G304" s="1" t="s">
        <v>143</v>
      </c>
      <c r="H304" s="1" t="s">
        <v>594</v>
      </c>
      <c r="I304" s="1" t="s">
        <v>595</v>
      </c>
      <c r="J304" s="1" t="s">
        <v>596</v>
      </c>
    </row>
    <row r="305" ht="15.75" customHeight="1">
      <c r="A305" s="2">
        <v>304.0</v>
      </c>
      <c r="B305" s="1" t="s">
        <v>915</v>
      </c>
      <c r="C305" s="1" t="s">
        <v>916</v>
      </c>
      <c r="D305" s="1" t="s">
        <v>917</v>
      </c>
      <c r="E305" s="2">
        <v>5.70038353673E11</v>
      </c>
      <c r="F305" s="1" t="s">
        <v>918</v>
      </c>
      <c r="G305" s="1" t="s">
        <v>24</v>
      </c>
      <c r="H305" s="1" t="s">
        <v>594</v>
      </c>
      <c r="I305" s="1" t="s">
        <v>595</v>
      </c>
      <c r="J305" s="1" t="s">
        <v>596</v>
      </c>
    </row>
    <row r="306" ht="15.75" customHeight="1">
      <c r="A306" s="2">
        <v>305.0</v>
      </c>
      <c r="B306" s="1" t="s">
        <v>919</v>
      </c>
      <c r="C306" s="1" t="s">
        <v>130</v>
      </c>
      <c r="D306" s="1" t="s">
        <v>62</v>
      </c>
      <c r="E306" s="2">
        <v>5.70038353674E11</v>
      </c>
      <c r="F306" s="1" t="s">
        <v>920</v>
      </c>
      <c r="G306" s="1" t="s">
        <v>121</v>
      </c>
      <c r="H306" s="1" t="s">
        <v>594</v>
      </c>
      <c r="I306" s="1" t="s">
        <v>595</v>
      </c>
      <c r="J306" s="1" t="s">
        <v>596</v>
      </c>
    </row>
    <row r="307" ht="15.75" customHeight="1">
      <c r="A307" s="2">
        <v>306.0</v>
      </c>
      <c r="B307" s="1" t="s">
        <v>800</v>
      </c>
      <c r="C307" s="1" t="s">
        <v>921</v>
      </c>
      <c r="D307" s="1" t="s">
        <v>922</v>
      </c>
      <c r="E307" s="2">
        <v>5.70038353675E11</v>
      </c>
      <c r="F307" s="1" t="s">
        <v>923</v>
      </c>
      <c r="G307" s="1" t="s">
        <v>24</v>
      </c>
      <c r="H307" s="1" t="s">
        <v>594</v>
      </c>
      <c r="I307" s="1" t="s">
        <v>595</v>
      </c>
      <c r="J307" s="1" t="s">
        <v>596</v>
      </c>
    </row>
    <row r="308" ht="15.75" customHeight="1">
      <c r="A308" s="2">
        <v>307.0</v>
      </c>
      <c r="B308" s="1" t="s">
        <v>130</v>
      </c>
      <c r="C308" s="1" t="s">
        <v>924</v>
      </c>
      <c r="D308" s="1" t="s">
        <v>925</v>
      </c>
      <c r="E308" s="2">
        <v>5.70038353679E11</v>
      </c>
      <c r="F308" s="1" t="s">
        <v>926</v>
      </c>
      <c r="G308" s="1" t="s">
        <v>90</v>
      </c>
      <c r="H308" s="1" t="s">
        <v>594</v>
      </c>
      <c r="I308" s="1" t="s">
        <v>595</v>
      </c>
      <c r="J308" s="1" t="s">
        <v>596</v>
      </c>
    </row>
    <row r="309" ht="15.75" customHeight="1">
      <c r="A309" s="2">
        <v>308.0</v>
      </c>
      <c r="B309" s="1" t="s">
        <v>330</v>
      </c>
      <c r="C309" s="1" t="s">
        <v>927</v>
      </c>
      <c r="D309" s="1" t="s">
        <v>217</v>
      </c>
      <c r="E309" s="2">
        <v>5.7003835368E11</v>
      </c>
      <c r="F309" s="1" t="s">
        <v>928</v>
      </c>
      <c r="G309" s="1" t="s">
        <v>24</v>
      </c>
      <c r="H309" s="1" t="s">
        <v>594</v>
      </c>
      <c r="I309" s="1" t="s">
        <v>595</v>
      </c>
      <c r="J309" s="1" t="s">
        <v>596</v>
      </c>
    </row>
    <row r="310" ht="15.75" customHeight="1">
      <c r="A310" s="2">
        <v>309.0</v>
      </c>
      <c r="B310" s="1" t="s">
        <v>330</v>
      </c>
      <c r="C310" s="1" t="s">
        <v>929</v>
      </c>
      <c r="D310" s="1" t="s">
        <v>930</v>
      </c>
      <c r="E310" s="2">
        <v>5.70038353682E11</v>
      </c>
      <c r="F310" s="1" t="s">
        <v>931</v>
      </c>
      <c r="G310" s="1" t="s">
        <v>24</v>
      </c>
      <c r="H310" s="1" t="s">
        <v>594</v>
      </c>
      <c r="I310" s="1" t="s">
        <v>595</v>
      </c>
      <c r="J310" s="1" t="s">
        <v>596</v>
      </c>
    </row>
    <row r="311" ht="15.75" customHeight="1">
      <c r="A311" s="2">
        <v>310.0</v>
      </c>
      <c r="B311" s="1" t="s">
        <v>932</v>
      </c>
      <c r="C311" s="1" t="s">
        <v>933</v>
      </c>
      <c r="D311" s="1" t="s">
        <v>934</v>
      </c>
      <c r="E311" s="2">
        <v>5.70038353686E11</v>
      </c>
      <c r="F311" s="1" t="s">
        <v>935</v>
      </c>
      <c r="G311" s="1" t="s">
        <v>24</v>
      </c>
      <c r="H311" s="1" t="s">
        <v>594</v>
      </c>
      <c r="I311" s="1" t="s">
        <v>595</v>
      </c>
      <c r="J311" s="1" t="s">
        <v>596</v>
      </c>
    </row>
    <row r="312" ht="15.75" customHeight="1">
      <c r="A312" s="2">
        <v>311.0</v>
      </c>
      <c r="B312" s="1" t="s">
        <v>936</v>
      </c>
      <c r="C312" s="1" t="s">
        <v>290</v>
      </c>
      <c r="D312" s="1" t="s">
        <v>291</v>
      </c>
      <c r="E312" s="2">
        <v>5.70038353689E11</v>
      </c>
      <c r="F312" s="1" t="s">
        <v>937</v>
      </c>
      <c r="G312" s="1" t="s">
        <v>38</v>
      </c>
      <c r="H312" s="1" t="s">
        <v>594</v>
      </c>
      <c r="I312" s="1" t="s">
        <v>595</v>
      </c>
      <c r="J312" s="1" t="s">
        <v>596</v>
      </c>
    </row>
    <row r="313" ht="15.75" customHeight="1">
      <c r="A313" s="2">
        <v>312.0</v>
      </c>
      <c r="B313" s="1" t="s">
        <v>938</v>
      </c>
      <c r="C313" s="1" t="s">
        <v>367</v>
      </c>
      <c r="D313" s="1" t="s">
        <v>939</v>
      </c>
      <c r="E313" s="2">
        <v>5.70038353691E11</v>
      </c>
      <c r="F313" s="1" t="s">
        <v>940</v>
      </c>
      <c r="G313" s="1" t="s">
        <v>38</v>
      </c>
      <c r="H313" s="1" t="s">
        <v>594</v>
      </c>
      <c r="I313" s="1" t="s">
        <v>595</v>
      </c>
      <c r="J313" s="1" t="s">
        <v>596</v>
      </c>
    </row>
    <row r="314" ht="15.75" customHeight="1">
      <c r="A314" s="2">
        <v>313.0</v>
      </c>
      <c r="B314" s="1" t="s">
        <v>941</v>
      </c>
      <c r="C314" s="1" t="s">
        <v>942</v>
      </c>
      <c r="D314" s="1" t="s">
        <v>943</v>
      </c>
      <c r="E314" s="2">
        <v>5.70038353692E11</v>
      </c>
      <c r="F314" s="1" t="s">
        <v>944</v>
      </c>
      <c r="G314" s="1" t="s">
        <v>38</v>
      </c>
      <c r="H314" s="1" t="s">
        <v>594</v>
      </c>
      <c r="I314" s="1" t="s">
        <v>595</v>
      </c>
      <c r="J314" s="1" t="s">
        <v>596</v>
      </c>
    </row>
    <row r="315" ht="15.75" customHeight="1">
      <c r="A315" s="2">
        <v>314.0</v>
      </c>
      <c r="B315" s="1" t="s">
        <v>945</v>
      </c>
      <c r="C315" s="1" t="s">
        <v>942</v>
      </c>
      <c r="D315" s="1" t="s">
        <v>943</v>
      </c>
      <c r="E315" s="2">
        <v>5.70038353697E11</v>
      </c>
      <c r="F315" s="1" t="s">
        <v>946</v>
      </c>
      <c r="G315" s="1" t="s">
        <v>24</v>
      </c>
      <c r="H315" s="1" t="s">
        <v>594</v>
      </c>
      <c r="I315" s="1" t="s">
        <v>595</v>
      </c>
      <c r="J315" s="1" t="s">
        <v>596</v>
      </c>
    </row>
    <row r="316" ht="15.75" customHeight="1">
      <c r="A316" s="2">
        <v>315.0</v>
      </c>
      <c r="B316" s="1" t="s">
        <v>947</v>
      </c>
      <c r="C316" s="1" t="s">
        <v>948</v>
      </c>
      <c r="D316" s="1" t="s">
        <v>949</v>
      </c>
      <c r="E316" s="2">
        <v>5.70038353702E11</v>
      </c>
      <c r="F316" s="1" t="s">
        <v>950</v>
      </c>
      <c r="G316" s="1" t="s">
        <v>38</v>
      </c>
      <c r="H316" s="1" t="s">
        <v>594</v>
      </c>
      <c r="I316" s="1" t="s">
        <v>595</v>
      </c>
      <c r="J316" s="1" t="s">
        <v>596</v>
      </c>
    </row>
    <row r="317" ht="15.75" customHeight="1">
      <c r="A317" s="2">
        <v>316.0</v>
      </c>
      <c r="B317" s="1" t="s">
        <v>951</v>
      </c>
      <c r="C317" s="1" t="s">
        <v>952</v>
      </c>
      <c r="D317" s="1" t="s">
        <v>789</v>
      </c>
      <c r="E317" s="2">
        <v>5.70038353704E11</v>
      </c>
      <c r="F317" s="1" t="s">
        <v>953</v>
      </c>
      <c r="G317" s="1" t="s">
        <v>38</v>
      </c>
      <c r="H317" s="1" t="s">
        <v>594</v>
      </c>
      <c r="I317" s="1" t="s">
        <v>595</v>
      </c>
      <c r="J317" s="1" t="s">
        <v>596</v>
      </c>
    </row>
    <row r="318" ht="15.75" customHeight="1">
      <c r="A318" s="2">
        <v>317.0</v>
      </c>
      <c r="B318" s="1" t="s">
        <v>139</v>
      </c>
      <c r="C318" s="1" t="s">
        <v>954</v>
      </c>
      <c r="D318" s="1" t="s">
        <v>955</v>
      </c>
      <c r="E318" s="2">
        <v>5.70038353711E11</v>
      </c>
      <c r="F318" s="1" t="s">
        <v>956</v>
      </c>
      <c r="G318" s="1" t="s">
        <v>24</v>
      </c>
      <c r="H318" s="1" t="s">
        <v>594</v>
      </c>
      <c r="I318" s="1" t="s">
        <v>595</v>
      </c>
      <c r="J318" s="1" t="s">
        <v>596</v>
      </c>
    </row>
    <row r="319" ht="15.75" customHeight="1">
      <c r="A319" s="2">
        <v>318.0</v>
      </c>
      <c r="B319" s="1" t="s">
        <v>957</v>
      </c>
      <c r="C319" s="1" t="s">
        <v>958</v>
      </c>
      <c r="D319" s="1" t="s">
        <v>115</v>
      </c>
      <c r="E319" s="2">
        <v>5.70038353718E11</v>
      </c>
      <c r="F319" s="1" t="s">
        <v>959</v>
      </c>
      <c r="G319" s="1" t="s">
        <v>38</v>
      </c>
      <c r="H319" s="1" t="s">
        <v>594</v>
      </c>
      <c r="I319" s="1" t="s">
        <v>595</v>
      </c>
      <c r="J319" s="1" t="s">
        <v>596</v>
      </c>
    </row>
    <row r="320" ht="15.75" customHeight="1">
      <c r="A320" s="2">
        <v>319.0</v>
      </c>
      <c r="B320" s="1" t="s">
        <v>960</v>
      </c>
      <c r="C320" s="1" t="s">
        <v>961</v>
      </c>
      <c r="D320" s="1" t="s">
        <v>962</v>
      </c>
      <c r="E320" s="2">
        <v>5.70038353719E11</v>
      </c>
      <c r="F320" s="1" t="s">
        <v>963</v>
      </c>
      <c r="G320" s="1" t="s">
        <v>47</v>
      </c>
      <c r="H320" s="1" t="s">
        <v>594</v>
      </c>
      <c r="I320" s="1" t="s">
        <v>595</v>
      </c>
      <c r="J320" s="1" t="s">
        <v>596</v>
      </c>
    </row>
    <row r="321" ht="15.75" customHeight="1">
      <c r="A321" s="2">
        <v>320.0</v>
      </c>
      <c r="B321" s="1" t="s">
        <v>964</v>
      </c>
      <c r="C321" s="1" t="s">
        <v>965</v>
      </c>
      <c r="D321" s="1" t="s">
        <v>966</v>
      </c>
      <c r="E321" s="2">
        <v>5.70038353729E11</v>
      </c>
      <c r="F321" s="1" t="s">
        <v>967</v>
      </c>
      <c r="G321" s="1" t="s">
        <v>24</v>
      </c>
      <c r="H321" s="1" t="s">
        <v>594</v>
      </c>
      <c r="I321" s="1" t="s">
        <v>595</v>
      </c>
      <c r="J321" s="1" t="s">
        <v>596</v>
      </c>
    </row>
    <row r="322" ht="15.75" customHeight="1">
      <c r="A322" s="2">
        <v>321.0</v>
      </c>
      <c r="B322" s="1" t="s">
        <v>968</v>
      </c>
      <c r="C322" s="1" t="s">
        <v>969</v>
      </c>
      <c r="D322" s="1" t="s">
        <v>970</v>
      </c>
      <c r="E322" s="2">
        <v>5.70038353736E11</v>
      </c>
      <c r="F322" s="1" t="s">
        <v>971</v>
      </c>
      <c r="G322" s="1" t="s">
        <v>38</v>
      </c>
      <c r="H322" s="1" t="s">
        <v>594</v>
      </c>
      <c r="I322" s="1" t="s">
        <v>595</v>
      </c>
      <c r="J322" s="1" t="s">
        <v>596</v>
      </c>
    </row>
    <row r="323" ht="15.75" customHeight="1">
      <c r="A323" s="2">
        <v>322.0</v>
      </c>
      <c r="B323" s="1" t="s">
        <v>972</v>
      </c>
      <c r="C323" s="1" t="s">
        <v>973</v>
      </c>
      <c r="D323" s="1" t="s">
        <v>62</v>
      </c>
      <c r="E323" s="2">
        <v>5.70038353742E11</v>
      </c>
      <c r="F323" s="1" t="s">
        <v>974</v>
      </c>
      <c r="G323" s="1" t="s">
        <v>593</v>
      </c>
      <c r="H323" s="1" t="s">
        <v>594</v>
      </c>
      <c r="I323" s="1" t="s">
        <v>595</v>
      </c>
      <c r="J323" s="1" t="s">
        <v>596</v>
      </c>
    </row>
    <row r="324" ht="15.75" customHeight="1">
      <c r="A324" s="2">
        <v>323.0</v>
      </c>
      <c r="B324" s="1" t="s">
        <v>780</v>
      </c>
      <c r="C324" s="1" t="s">
        <v>591</v>
      </c>
      <c r="D324" s="1" t="s">
        <v>975</v>
      </c>
      <c r="E324" s="2">
        <v>5.70038353744E11</v>
      </c>
      <c r="F324" s="1" t="s">
        <v>976</v>
      </c>
      <c r="G324" s="1" t="s">
        <v>24</v>
      </c>
      <c r="H324" s="1" t="s">
        <v>594</v>
      </c>
      <c r="I324" s="1" t="s">
        <v>595</v>
      </c>
      <c r="J324" s="1" t="s">
        <v>596</v>
      </c>
    </row>
    <row r="325" ht="15.75" customHeight="1">
      <c r="A325" s="2">
        <v>324.0</v>
      </c>
      <c r="B325" s="1" t="s">
        <v>977</v>
      </c>
      <c r="C325" s="1" t="s">
        <v>459</v>
      </c>
      <c r="D325" s="1" t="s">
        <v>978</v>
      </c>
      <c r="E325" s="2">
        <v>5.70038353745E11</v>
      </c>
      <c r="F325" s="1" t="s">
        <v>979</v>
      </c>
      <c r="G325" s="1" t="s">
        <v>980</v>
      </c>
      <c r="H325" s="1" t="s">
        <v>594</v>
      </c>
      <c r="I325" s="1" t="s">
        <v>595</v>
      </c>
      <c r="J325" s="1" t="s">
        <v>596</v>
      </c>
    </row>
    <row r="326" ht="15.75" customHeight="1">
      <c r="A326" s="2">
        <v>325.0</v>
      </c>
      <c r="B326" s="1" t="s">
        <v>981</v>
      </c>
      <c r="C326" s="1" t="s">
        <v>982</v>
      </c>
      <c r="D326" s="1" t="s">
        <v>983</v>
      </c>
      <c r="E326" s="2">
        <v>5.70038353747E11</v>
      </c>
      <c r="F326" s="1" t="s">
        <v>984</v>
      </c>
      <c r="G326" s="1" t="s">
        <v>24</v>
      </c>
      <c r="H326" s="1" t="s">
        <v>594</v>
      </c>
      <c r="I326" s="1" t="s">
        <v>595</v>
      </c>
      <c r="J326" s="1" t="s">
        <v>596</v>
      </c>
    </row>
    <row r="327" ht="15.75" customHeight="1">
      <c r="A327" s="2">
        <v>326.0</v>
      </c>
      <c r="B327" s="1" t="s">
        <v>223</v>
      </c>
      <c r="C327" s="1" t="s">
        <v>981</v>
      </c>
      <c r="D327" s="1" t="s">
        <v>536</v>
      </c>
      <c r="E327" s="2">
        <v>5.70038353748E11</v>
      </c>
      <c r="F327" s="1" t="s">
        <v>985</v>
      </c>
      <c r="G327" s="1" t="s">
        <v>24</v>
      </c>
      <c r="H327" s="1" t="s">
        <v>594</v>
      </c>
      <c r="I327" s="1" t="s">
        <v>595</v>
      </c>
      <c r="J327" s="1" t="s">
        <v>596</v>
      </c>
    </row>
    <row r="328" ht="15.75" customHeight="1">
      <c r="A328" s="2">
        <v>327.0</v>
      </c>
      <c r="B328" s="1" t="s">
        <v>986</v>
      </c>
      <c r="C328" s="1" t="s">
        <v>987</v>
      </c>
      <c r="D328" s="1" t="s">
        <v>389</v>
      </c>
      <c r="E328" s="2">
        <v>5.70038353749E11</v>
      </c>
      <c r="F328" s="1" t="s">
        <v>988</v>
      </c>
      <c r="G328" s="1" t="s">
        <v>24</v>
      </c>
      <c r="H328" s="1" t="s">
        <v>594</v>
      </c>
      <c r="I328" s="1" t="s">
        <v>595</v>
      </c>
      <c r="J328" s="1" t="s">
        <v>596</v>
      </c>
    </row>
    <row r="329" ht="15.75" customHeight="1">
      <c r="A329" s="2">
        <v>328.0</v>
      </c>
      <c r="B329" s="1" t="s">
        <v>989</v>
      </c>
      <c r="C329" s="1" t="s">
        <v>990</v>
      </c>
      <c r="D329" s="1" t="s">
        <v>991</v>
      </c>
      <c r="E329" s="2">
        <v>5.7003835375E11</v>
      </c>
      <c r="F329" s="1" t="s">
        <v>992</v>
      </c>
      <c r="G329" s="1" t="s">
        <v>24</v>
      </c>
      <c r="H329" s="1" t="s">
        <v>594</v>
      </c>
      <c r="I329" s="1" t="s">
        <v>595</v>
      </c>
      <c r="J329" s="1" t="s">
        <v>596</v>
      </c>
    </row>
    <row r="330" ht="15.75" customHeight="1">
      <c r="A330" s="2">
        <v>329.0</v>
      </c>
      <c r="B330" s="1" t="s">
        <v>993</v>
      </c>
      <c r="C330" s="1" t="s">
        <v>994</v>
      </c>
      <c r="D330" s="1" t="s">
        <v>995</v>
      </c>
      <c r="E330" s="2">
        <v>5.70038353751E11</v>
      </c>
      <c r="F330" s="1" t="s">
        <v>996</v>
      </c>
      <c r="G330" s="1" t="s">
        <v>24</v>
      </c>
      <c r="H330" s="1" t="s">
        <v>594</v>
      </c>
      <c r="I330" s="1" t="s">
        <v>595</v>
      </c>
      <c r="J330" s="1" t="s">
        <v>596</v>
      </c>
    </row>
    <row r="331" ht="15.75" customHeight="1">
      <c r="A331" s="2">
        <v>330.0</v>
      </c>
      <c r="B331" s="1" t="s">
        <v>997</v>
      </c>
      <c r="C331" s="1" t="s">
        <v>998</v>
      </c>
      <c r="D331" s="1" t="s">
        <v>991</v>
      </c>
      <c r="E331" s="2">
        <v>5.70038353752E11</v>
      </c>
      <c r="F331" s="1" t="s">
        <v>999</v>
      </c>
      <c r="G331" s="1" t="s">
        <v>24</v>
      </c>
      <c r="H331" s="1" t="s">
        <v>594</v>
      </c>
      <c r="I331" s="1" t="s">
        <v>595</v>
      </c>
      <c r="J331" s="1" t="s">
        <v>596</v>
      </c>
    </row>
    <row r="332" ht="15.75" customHeight="1">
      <c r="A332" s="2">
        <v>331.0</v>
      </c>
      <c r="B332" s="1" t="s">
        <v>1000</v>
      </c>
      <c r="C332" s="1" t="s">
        <v>1001</v>
      </c>
      <c r="D332" s="1" t="s">
        <v>1002</v>
      </c>
      <c r="E332" s="2">
        <v>5.70038353753E11</v>
      </c>
      <c r="F332" s="1" t="s">
        <v>1003</v>
      </c>
      <c r="G332" s="1" t="s">
        <v>90</v>
      </c>
      <c r="H332" s="1" t="s">
        <v>594</v>
      </c>
      <c r="I332" s="1" t="s">
        <v>595</v>
      </c>
      <c r="J332" s="1" t="s">
        <v>596</v>
      </c>
    </row>
    <row r="333" ht="15.75" customHeight="1">
      <c r="A333" s="2">
        <v>332.0</v>
      </c>
      <c r="B333" s="1" t="s">
        <v>191</v>
      </c>
      <c r="C333" s="1" t="s">
        <v>1004</v>
      </c>
      <c r="D333" s="1" t="s">
        <v>610</v>
      </c>
      <c r="E333" s="2">
        <v>5.70038353754E11</v>
      </c>
      <c r="F333" s="1" t="s">
        <v>1005</v>
      </c>
      <c r="G333" s="1" t="s">
        <v>24</v>
      </c>
      <c r="H333" s="1" t="s">
        <v>594</v>
      </c>
      <c r="I333" s="1" t="s">
        <v>595</v>
      </c>
      <c r="J333" s="1" t="s">
        <v>596</v>
      </c>
    </row>
    <row r="334" ht="15.75" customHeight="1">
      <c r="A334" s="2">
        <v>333.0</v>
      </c>
      <c r="B334" s="1" t="s">
        <v>1006</v>
      </c>
      <c r="C334" s="1" t="s">
        <v>1007</v>
      </c>
      <c r="D334" s="1" t="s">
        <v>68</v>
      </c>
      <c r="E334" s="2">
        <v>5.70038353755E11</v>
      </c>
      <c r="F334" s="1" t="s">
        <v>1008</v>
      </c>
      <c r="G334" s="1" t="s">
        <v>38</v>
      </c>
      <c r="H334" s="1" t="s">
        <v>594</v>
      </c>
      <c r="I334" s="1" t="s">
        <v>595</v>
      </c>
      <c r="J334" s="1" t="s">
        <v>596</v>
      </c>
    </row>
    <row r="335" ht="15.75" customHeight="1">
      <c r="A335" s="2">
        <v>334.0</v>
      </c>
      <c r="B335" s="1" t="s">
        <v>1009</v>
      </c>
      <c r="C335" s="1" t="s">
        <v>1010</v>
      </c>
      <c r="D335" s="1" t="s">
        <v>231</v>
      </c>
      <c r="E335" s="2">
        <v>5.70038353757E11</v>
      </c>
      <c r="F335" s="1" t="s">
        <v>1011</v>
      </c>
      <c r="G335" s="1" t="s">
        <v>24</v>
      </c>
      <c r="H335" s="1" t="s">
        <v>594</v>
      </c>
      <c r="I335" s="1" t="s">
        <v>595</v>
      </c>
      <c r="J335" s="1" t="s">
        <v>596</v>
      </c>
    </row>
    <row r="336" ht="15.75" customHeight="1">
      <c r="A336" s="2">
        <v>335.0</v>
      </c>
      <c r="B336" s="1" t="s">
        <v>1012</v>
      </c>
      <c r="C336" s="1" t="s">
        <v>1009</v>
      </c>
      <c r="D336" s="1" t="s">
        <v>68</v>
      </c>
      <c r="E336" s="2">
        <v>5.7003835376E11</v>
      </c>
      <c r="F336" s="1" t="s">
        <v>1013</v>
      </c>
      <c r="G336" s="1" t="s">
        <v>24</v>
      </c>
      <c r="H336" s="1" t="s">
        <v>594</v>
      </c>
      <c r="I336" s="1" t="s">
        <v>595</v>
      </c>
      <c r="J336" s="1" t="s">
        <v>596</v>
      </c>
    </row>
    <row r="337" ht="15.75" customHeight="1">
      <c r="A337" s="2">
        <v>336.0</v>
      </c>
      <c r="B337" s="1" t="s">
        <v>1014</v>
      </c>
      <c r="C337" s="1" t="s">
        <v>987</v>
      </c>
      <c r="D337" s="1" t="s">
        <v>744</v>
      </c>
      <c r="E337" s="2">
        <v>5.70038353761E11</v>
      </c>
      <c r="F337" s="1" t="s">
        <v>1015</v>
      </c>
      <c r="G337" s="1" t="s">
        <v>38</v>
      </c>
      <c r="H337" s="1" t="s">
        <v>594</v>
      </c>
      <c r="I337" s="1" t="s">
        <v>595</v>
      </c>
      <c r="J337" s="1" t="s">
        <v>596</v>
      </c>
    </row>
    <row r="338" ht="15.75" customHeight="1">
      <c r="A338" s="2">
        <v>337.0</v>
      </c>
      <c r="B338" s="1" t="s">
        <v>1016</v>
      </c>
      <c r="C338" s="1" t="s">
        <v>1017</v>
      </c>
      <c r="D338" s="1" t="s">
        <v>1018</v>
      </c>
      <c r="E338" s="2">
        <v>5.70038353762E11</v>
      </c>
      <c r="F338" s="1" t="s">
        <v>83</v>
      </c>
      <c r="G338" s="1" t="s">
        <v>24</v>
      </c>
      <c r="H338" s="1" t="s">
        <v>594</v>
      </c>
      <c r="I338" s="1" t="s">
        <v>595</v>
      </c>
      <c r="J338" s="1" t="s">
        <v>596</v>
      </c>
    </row>
    <row r="339" ht="15.75" customHeight="1">
      <c r="A339" s="2">
        <v>338.0</v>
      </c>
      <c r="B339" s="1" t="s">
        <v>1019</v>
      </c>
      <c r="C339" s="1" t="s">
        <v>1020</v>
      </c>
      <c r="D339" s="1" t="s">
        <v>1021</v>
      </c>
      <c r="E339" s="2">
        <v>5.70038353765E11</v>
      </c>
      <c r="F339" s="1" t="s">
        <v>1022</v>
      </c>
      <c r="G339" s="1" t="s">
        <v>38</v>
      </c>
      <c r="H339" s="1" t="s">
        <v>594</v>
      </c>
      <c r="I339" s="1" t="s">
        <v>595</v>
      </c>
      <c r="J339" s="1" t="s">
        <v>596</v>
      </c>
    </row>
    <row r="340" ht="15.75" customHeight="1">
      <c r="A340" s="2">
        <v>339.0</v>
      </c>
      <c r="B340" s="1" t="s">
        <v>1023</v>
      </c>
      <c r="C340" s="1" t="s">
        <v>1024</v>
      </c>
      <c r="D340" s="1" t="s">
        <v>1025</v>
      </c>
      <c r="E340" s="2">
        <v>5.70038353769E11</v>
      </c>
      <c r="F340" s="1" t="s">
        <v>1026</v>
      </c>
      <c r="G340" s="1" t="s">
        <v>38</v>
      </c>
      <c r="H340" s="1" t="s">
        <v>594</v>
      </c>
      <c r="I340" s="1" t="s">
        <v>595</v>
      </c>
      <c r="J340" s="1" t="s">
        <v>596</v>
      </c>
    </row>
    <row r="341" ht="15.75" customHeight="1">
      <c r="A341" s="2">
        <v>340.0</v>
      </c>
      <c r="B341" s="1" t="s">
        <v>1027</v>
      </c>
      <c r="C341" s="1" t="s">
        <v>1028</v>
      </c>
      <c r="D341" s="1" t="s">
        <v>1029</v>
      </c>
      <c r="E341" s="2">
        <v>5.7003835377E11</v>
      </c>
      <c r="F341" s="1" t="s">
        <v>1030</v>
      </c>
      <c r="G341" s="1" t="s">
        <v>38</v>
      </c>
      <c r="H341" s="1" t="s">
        <v>594</v>
      </c>
      <c r="I341" s="1" t="s">
        <v>595</v>
      </c>
      <c r="J341" s="1" t="s">
        <v>596</v>
      </c>
    </row>
    <row r="342" ht="15.75" customHeight="1">
      <c r="A342" s="2">
        <v>341.0</v>
      </c>
      <c r="B342" s="1" t="s">
        <v>1031</v>
      </c>
      <c r="C342" s="1" t="s">
        <v>1020</v>
      </c>
      <c r="D342" s="1" t="s">
        <v>1032</v>
      </c>
      <c r="E342" s="2">
        <v>5.70038353772E11</v>
      </c>
      <c r="F342" s="1" t="s">
        <v>1033</v>
      </c>
      <c r="G342" s="1" t="s">
        <v>38</v>
      </c>
      <c r="H342" s="1" t="s">
        <v>594</v>
      </c>
      <c r="I342" s="1" t="s">
        <v>595</v>
      </c>
      <c r="J342" s="1" t="s">
        <v>596</v>
      </c>
    </row>
    <row r="343" ht="15.75" customHeight="1">
      <c r="A343" s="2">
        <v>342.0</v>
      </c>
      <c r="B343" s="1" t="s">
        <v>1034</v>
      </c>
      <c r="C343" s="1" t="s">
        <v>1035</v>
      </c>
      <c r="D343" s="1" t="s">
        <v>1036</v>
      </c>
      <c r="E343" s="2">
        <v>5.70038353773E11</v>
      </c>
      <c r="F343" s="1" t="s">
        <v>1037</v>
      </c>
      <c r="G343" s="1" t="s">
        <v>38</v>
      </c>
      <c r="H343" s="1" t="s">
        <v>594</v>
      </c>
      <c r="I343" s="1" t="s">
        <v>595</v>
      </c>
      <c r="J343" s="1" t="s">
        <v>596</v>
      </c>
    </row>
    <row r="344" ht="15.75" customHeight="1">
      <c r="A344" s="2">
        <v>343.0</v>
      </c>
      <c r="B344" s="1" t="s">
        <v>1038</v>
      </c>
      <c r="C344" s="1" t="s">
        <v>1039</v>
      </c>
      <c r="D344" s="1" t="s">
        <v>1040</v>
      </c>
      <c r="E344" s="2">
        <v>5.70038353774E11</v>
      </c>
      <c r="F344" s="1" t="s">
        <v>1041</v>
      </c>
      <c r="G344" s="1" t="s">
        <v>38</v>
      </c>
      <c r="H344" s="1" t="s">
        <v>594</v>
      </c>
      <c r="I344" s="1" t="s">
        <v>595</v>
      </c>
      <c r="J344" s="1" t="s">
        <v>596</v>
      </c>
    </row>
    <row r="345" ht="15.75" customHeight="1">
      <c r="A345" s="2">
        <v>344.0</v>
      </c>
      <c r="B345" s="1" t="s">
        <v>1042</v>
      </c>
      <c r="C345" s="1" t="s">
        <v>1043</v>
      </c>
      <c r="D345" s="1" t="s">
        <v>1029</v>
      </c>
      <c r="E345" s="2">
        <v>5.70038353775E11</v>
      </c>
      <c r="F345" s="1" t="s">
        <v>1044</v>
      </c>
      <c r="G345" s="1" t="s">
        <v>38</v>
      </c>
      <c r="H345" s="1" t="s">
        <v>594</v>
      </c>
      <c r="I345" s="1" t="s">
        <v>595</v>
      </c>
      <c r="J345" s="1" t="s">
        <v>596</v>
      </c>
    </row>
    <row r="346" ht="15.75" customHeight="1">
      <c r="A346" s="2">
        <v>345.0</v>
      </c>
      <c r="B346" s="1" t="s">
        <v>1045</v>
      </c>
      <c r="C346" s="1" t="s">
        <v>1035</v>
      </c>
      <c r="D346" s="1" t="s">
        <v>1046</v>
      </c>
      <c r="E346" s="2">
        <v>5.70038353778E11</v>
      </c>
      <c r="F346" s="1" t="s">
        <v>1047</v>
      </c>
      <c r="G346" s="1" t="s">
        <v>38</v>
      </c>
      <c r="H346" s="1" t="s">
        <v>594</v>
      </c>
      <c r="I346" s="1" t="s">
        <v>595</v>
      </c>
      <c r="J346" s="1" t="s">
        <v>596</v>
      </c>
    </row>
    <row r="347" ht="15.75" customHeight="1">
      <c r="A347" s="2">
        <v>346.0</v>
      </c>
      <c r="B347" s="1" t="s">
        <v>1048</v>
      </c>
      <c r="C347" s="1" t="s">
        <v>1049</v>
      </c>
      <c r="D347" s="1" t="s">
        <v>1050</v>
      </c>
      <c r="E347" s="2">
        <v>5.70038353785E11</v>
      </c>
      <c r="F347" s="1" t="s">
        <v>1051</v>
      </c>
      <c r="G347" s="1" t="s">
        <v>38</v>
      </c>
      <c r="H347" s="1" t="s">
        <v>594</v>
      </c>
      <c r="I347" s="1" t="s">
        <v>595</v>
      </c>
      <c r="J347" s="1" t="s">
        <v>596</v>
      </c>
    </row>
    <row r="348" ht="15.75" customHeight="1">
      <c r="A348" s="2">
        <v>347.0</v>
      </c>
      <c r="B348" s="1" t="s">
        <v>1052</v>
      </c>
      <c r="C348" s="1" t="s">
        <v>1053</v>
      </c>
      <c r="D348" s="1" t="s">
        <v>1054</v>
      </c>
      <c r="E348" s="2">
        <v>5.70038353789E11</v>
      </c>
      <c r="F348" s="1" t="s">
        <v>1055</v>
      </c>
      <c r="G348" s="1" t="s">
        <v>24</v>
      </c>
      <c r="H348" s="1" t="s">
        <v>594</v>
      </c>
      <c r="I348" s="1" t="s">
        <v>595</v>
      </c>
      <c r="J348" s="1" t="s">
        <v>596</v>
      </c>
    </row>
    <row r="349" ht="15.75" customHeight="1">
      <c r="A349" s="2">
        <v>348.0</v>
      </c>
      <c r="B349" s="1" t="s">
        <v>1056</v>
      </c>
      <c r="C349" s="1" t="s">
        <v>1057</v>
      </c>
      <c r="D349" s="1" t="s">
        <v>1058</v>
      </c>
      <c r="E349" s="2">
        <v>5.7003835379E11</v>
      </c>
      <c r="F349" s="1" t="s">
        <v>1059</v>
      </c>
      <c r="G349" s="1" t="s">
        <v>24</v>
      </c>
      <c r="H349" s="1" t="s">
        <v>594</v>
      </c>
      <c r="I349" s="1" t="s">
        <v>595</v>
      </c>
      <c r="J349" s="1" t="s">
        <v>596</v>
      </c>
    </row>
    <row r="350" ht="15.75" customHeight="1">
      <c r="A350" s="2">
        <v>349.0</v>
      </c>
      <c r="B350" s="1" t="s">
        <v>1060</v>
      </c>
      <c r="C350" s="1" t="s">
        <v>947</v>
      </c>
      <c r="D350" s="1" t="s">
        <v>925</v>
      </c>
      <c r="E350" s="2">
        <v>5.70038353791E11</v>
      </c>
      <c r="F350" s="1" t="s">
        <v>1061</v>
      </c>
      <c r="G350" s="1" t="s">
        <v>18</v>
      </c>
      <c r="H350" s="1" t="s">
        <v>594</v>
      </c>
      <c r="I350" s="1" t="s">
        <v>595</v>
      </c>
      <c r="J350" s="1" t="s">
        <v>596</v>
      </c>
    </row>
    <row r="351" ht="15.75" customHeight="1">
      <c r="A351" s="2">
        <v>350.0</v>
      </c>
      <c r="B351" s="1" t="s">
        <v>1062</v>
      </c>
      <c r="C351" s="1" t="s">
        <v>947</v>
      </c>
      <c r="D351" s="1" t="s">
        <v>925</v>
      </c>
      <c r="E351" s="2">
        <v>5.70038353792E11</v>
      </c>
      <c r="F351" s="1" t="s">
        <v>1063</v>
      </c>
      <c r="G351" s="1" t="s">
        <v>24</v>
      </c>
      <c r="H351" s="1" t="s">
        <v>594</v>
      </c>
      <c r="I351" s="1" t="s">
        <v>595</v>
      </c>
      <c r="J351" s="1" t="s">
        <v>596</v>
      </c>
    </row>
    <row r="352" ht="15.75" customHeight="1">
      <c r="A352" s="2">
        <v>351.0</v>
      </c>
      <c r="B352" s="1" t="s">
        <v>1064</v>
      </c>
      <c r="C352" s="1" t="s">
        <v>1065</v>
      </c>
      <c r="D352" s="1" t="s">
        <v>925</v>
      </c>
      <c r="E352" s="2">
        <v>5.70038353793E11</v>
      </c>
      <c r="F352" s="1" t="s">
        <v>1066</v>
      </c>
      <c r="G352" s="1" t="s">
        <v>24</v>
      </c>
      <c r="H352" s="1" t="s">
        <v>594</v>
      </c>
      <c r="I352" s="1" t="s">
        <v>595</v>
      </c>
      <c r="J352" s="1" t="s">
        <v>596</v>
      </c>
    </row>
    <row r="353" ht="15.75" customHeight="1">
      <c r="A353" s="2">
        <v>352.0</v>
      </c>
      <c r="B353" s="1" t="s">
        <v>559</v>
      </c>
      <c r="C353" s="1" t="s">
        <v>174</v>
      </c>
      <c r="D353" s="1" t="s">
        <v>1067</v>
      </c>
      <c r="E353" s="2">
        <v>5.70038353794E11</v>
      </c>
      <c r="F353" s="1" t="s">
        <v>1068</v>
      </c>
      <c r="G353" s="1" t="s">
        <v>24</v>
      </c>
      <c r="H353" s="1" t="s">
        <v>594</v>
      </c>
      <c r="I353" s="1" t="s">
        <v>595</v>
      </c>
      <c r="J353" s="1" t="s">
        <v>596</v>
      </c>
    </row>
    <row r="354" ht="15.75" customHeight="1">
      <c r="A354" s="2">
        <v>353.0</v>
      </c>
      <c r="B354" s="1" t="s">
        <v>1069</v>
      </c>
      <c r="C354" s="1" t="s">
        <v>1070</v>
      </c>
      <c r="D354" s="1" t="s">
        <v>1058</v>
      </c>
      <c r="E354" s="2">
        <v>5.70038353795E11</v>
      </c>
      <c r="F354" s="1" t="s">
        <v>1071</v>
      </c>
      <c r="G354" s="1" t="s">
        <v>24</v>
      </c>
      <c r="H354" s="1" t="s">
        <v>594</v>
      </c>
      <c r="I354" s="1" t="s">
        <v>595</v>
      </c>
      <c r="J354" s="1" t="s">
        <v>596</v>
      </c>
    </row>
    <row r="355" ht="15.75" customHeight="1">
      <c r="A355" s="2">
        <v>354.0</v>
      </c>
      <c r="B355" s="1" t="s">
        <v>1072</v>
      </c>
      <c r="C355" s="1" t="s">
        <v>1073</v>
      </c>
      <c r="D355" s="1" t="s">
        <v>1074</v>
      </c>
      <c r="E355" s="2">
        <v>5.70038353798E11</v>
      </c>
      <c r="F355" s="1" t="s">
        <v>1075</v>
      </c>
      <c r="G355" s="1" t="s">
        <v>24</v>
      </c>
      <c r="H355" s="1" t="s">
        <v>594</v>
      </c>
      <c r="I355" s="1" t="s">
        <v>595</v>
      </c>
      <c r="J355" s="1" t="s">
        <v>596</v>
      </c>
    </row>
    <row r="356" ht="15.75" customHeight="1">
      <c r="A356" s="2">
        <v>355.0</v>
      </c>
      <c r="B356" s="1" t="s">
        <v>1076</v>
      </c>
      <c r="C356" s="1" t="s">
        <v>1077</v>
      </c>
      <c r="D356" s="1" t="s">
        <v>103</v>
      </c>
      <c r="E356" s="2">
        <v>5.70038353799E11</v>
      </c>
      <c r="F356" s="1" t="s">
        <v>1078</v>
      </c>
      <c r="G356" s="1" t="s">
        <v>24</v>
      </c>
      <c r="H356" s="1" t="s">
        <v>594</v>
      </c>
      <c r="I356" s="1" t="s">
        <v>595</v>
      </c>
      <c r="J356" s="1" t="s">
        <v>596</v>
      </c>
    </row>
    <row r="357" ht="15.75" customHeight="1">
      <c r="A357" s="2">
        <v>356.0</v>
      </c>
      <c r="B357" s="1" t="s">
        <v>936</v>
      </c>
      <c r="C357" s="1" t="s">
        <v>1079</v>
      </c>
      <c r="D357" s="1" t="s">
        <v>1080</v>
      </c>
      <c r="E357" s="2">
        <v>5.70038353807E11</v>
      </c>
      <c r="F357" s="1" t="s">
        <v>1081</v>
      </c>
      <c r="G357" s="1" t="s">
        <v>24</v>
      </c>
      <c r="H357" s="1" t="s">
        <v>594</v>
      </c>
      <c r="I357" s="1" t="s">
        <v>595</v>
      </c>
      <c r="J357" s="1" t="s">
        <v>596</v>
      </c>
    </row>
    <row r="358" ht="15.75" customHeight="1">
      <c r="A358" s="2">
        <v>357.0</v>
      </c>
      <c r="B358" s="1" t="s">
        <v>1082</v>
      </c>
      <c r="C358" s="1" t="s">
        <v>1083</v>
      </c>
      <c r="D358" s="1" t="s">
        <v>1084</v>
      </c>
      <c r="E358" s="2">
        <v>5.70038353818E11</v>
      </c>
      <c r="F358" s="1" t="s">
        <v>1085</v>
      </c>
      <c r="G358" s="1" t="s">
        <v>24</v>
      </c>
      <c r="H358" s="1" t="s">
        <v>594</v>
      </c>
      <c r="I358" s="1" t="s">
        <v>595</v>
      </c>
      <c r="J358" s="1" t="s">
        <v>596</v>
      </c>
    </row>
    <row r="359" ht="15.75" customHeight="1">
      <c r="A359" s="2">
        <v>358.0</v>
      </c>
      <c r="B359" s="1" t="s">
        <v>1086</v>
      </c>
      <c r="C359" s="1" t="s">
        <v>166</v>
      </c>
      <c r="D359" s="1" t="s">
        <v>68</v>
      </c>
      <c r="E359" s="2">
        <v>5.70038353822E11</v>
      </c>
      <c r="F359" s="1" t="s">
        <v>1087</v>
      </c>
      <c r="G359" s="1" t="s">
        <v>18</v>
      </c>
      <c r="H359" s="1" t="s">
        <v>594</v>
      </c>
      <c r="I359" s="1" t="s">
        <v>595</v>
      </c>
      <c r="J359" s="1" t="s">
        <v>596</v>
      </c>
    </row>
    <row r="360" ht="15.75" customHeight="1">
      <c r="A360" s="2">
        <v>359.0</v>
      </c>
      <c r="B360" s="1" t="s">
        <v>1088</v>
      </c>
      <c r="C360" s="1" t="s">
        <v>1089</v>
      </c>
      <c r="D360" s="1" t="s">
        <v>1090</v>
      </c>
      <c r="E360" s="2">
        <v>5.70038353827E11</v>
      </c>
      <c r="F360" s="1" t="s">
        <v>1091</v>
      </c>
      <c r="G360" s="1" t="s">
        <v>38</v>
      </c>
      <c r="H360" s="1" t="s">
        <v>594</v>
      </c>
      <c r="I360" s="1" t="s">
        <v>595</v>
      </c>
      <c r="J360" s="1" t="s">
        <v>596</v>
      </c>
    </row>
    <row r="361" ht="15.75" customHeight="1">
      <c r="A361" s="2">
        <v>360.0</v>
      </c>
      <c r="B361" s="1" t="s">
        <v>1092</v>
      </c>
      <c r="C361" s="1" t="s">
        <v>1093</v>
      </c>
      <c r="D361" s="1" t="s">
        <v>1094</v>
      </c>
      <c r="E361" s="2">
        <v>5.7003835383E11</v>
      </c>
      <c r="F361" s="1" t="s">
        <v>1095</v>
      </c>
      <c r="G361" s="1" t="s">
        <v>38</v>
      </c>
      <c r="H361" s="1" t="s">
        <v>594</v>
      </c>
      <c r="I361" s="1" t="s">
        <v>595</v>
      </c>
      <c r="J361" s="1" t="s">
        <v>596</v>
      </c>
    </row>
    <row r="362" ht="15.75" customHeight="1">
      <c r="A362" s="2">
        <v>361.0</v>
      </c>
      <c r="B362" s="1" t="s">
        <v>1096</v>
      </c>
      <c r="C362" s="1" t="s">
        <v>1097</v>
      </c>
      <c r="D362" s="1" t="s">
        <v>1094</v>
      </c>
      <c r="E362" s="2">
        <v>5.70038353832E11</v>
      </c>
      <c r="F362" s="1" t="s">
        <v>1098</v>
      </c>
      <c r="G362" s="1" t="s">
        <v>24</v>
      </c>
      <c r="H362" s="1" t="s">
        <v>594</v>
      </c>
      <c r="I362" s="1" t="s">
        <v>595</v>
      </c>
      <c r="J362" s="1" t="s">
        <v>596</v>
      </c>
    </row>
    <row r="363" ht="15.75" customHeight="1">
      <c r="A363" s="2">
        <v>362.0</v>
      </c>
      <c r="B363" s="1" t="s">
        <v>1099</v>
      </c>
      <c r="C363" s="1" t="s">
        <v>1100</v>
      </c>
      <c r="D363" s="1" t="s">
        <v>1094</v>
      </c>
      <c r="E363" s="2">
        <v>5.70038353839E11</v>
      </c>
      <c r="F363" s="1" t="s">
        <v>1101</v>
      </c>
      <c r="G363" s="1" t="s">
        <v>24</v>
      </c>
      <c r="H363" s="1" t="s">
        <v>594</v>
      </c>
      <c r="I363" s="1" t="s">
        <v>595</v>
      </c>
      <c r="J363" s="1" t="s">
        <v>596</v>
      </c>
    </row>
    <row r="364" ht="15.75" customHeight="1">
      <c r="A364" s="2">
        <v>363.0</v>
      </c>
      <c r="B364" s="1" t="s">
        <v>656</v>
      </c>
      <c r="C364" s="1" t="s">
        <v>1097</v>
      </c>
      <c r="D364" s="1" t="s">
        <v>1102</v>
      </c>
      <c r="E364" s="2">
        <v>5.7003835384E11</v>
      </c>
      <c r="F364" s="1" t="s">
        <v>1103</v>
      </c>
      <c r="G364" s="1" t="s">
        <v>24</v>
      </c>
      <c r="H364" s="1" t="s">
        <v>594</v>
      </c>
      <c r="I364" s="1" t="s">
        <v>595</v>
      </c>
      <c r="J364" s="1" t="s">
        <v>596</v>
      </c>
    </row>
    <row r="365" ht="15.75" customHeight="1">
      <c r="A365" s="2">
        <v>364.0</v>
      </c>
      <c r="B365" s="1" t="s">
        <v>1104</v>
      </c>
      <c r="C365" s="1" t="s">
        <v>1105</v>
      </c>
      <c r="D365" s="1" t="s">
        <v>721</v>
      </c>
      <c r="E365" s="2">
        <v>5.70038353841E11</v>
      </c>
      <c r="F365" s="1" t="s">
        <v>124</v>
      </c>
      <c r="G365" s="1" t="s">
        <v>143</v>
      </c>
      <c r="H365" s="1" t="s">
        <v>594</v>
      </c>
      <c r="I365" s="1" t="s">
        <v>595</v>
      </c>
      <c r="J365" s="1" t="s">
        <v>596</v>
      </c>
    </row>
    <row r="366" ht="15.75" customHeight="1">
      <c r="A366" s="2">
        <v>365.0</v>
      </c>
      <c r="B366" s="1" t="s">
        <v>388</v>
      </c>
      <c r="C366" s="1" t="s">
        <v>1106</v>
      </c>
      <c r="D366" s="1" t="s">
        <v>1107</v>
      </c>
      <c r="E366" s="2">
        <v>5.70038353842E11</v>
      </c>
      <c r="F366" s="1" t="s">
        <v>1108</v>
      </c>
      <c r="G366" s="1" t="s">
        <v>24</v>
      </c>
      <c r="H366" s="1" t="s">
        <v>594</v>
      </c>
      <c r="I366" s="1" t="s">
        <v>595</v>
      </c>
      <c r="J366" s="1" t="s">
        <v>596</v>
      </c>
    </row>
    <row r="367" ht="15.75" customHeight="1">
      <c r="A367" s="2">
        <v>366.0</v>
      </c>
      <c r="B367" s="1" t="s">
        <v>1006</v>
      </c>
      <c r="C367" s="1" t="s">
        <v>1109</v>
      </c>
      <c r="D367" s="1" t="s">
        <v>1110</v>
      </c>
      <c r="E367" s="2">
        <v>5.70038353861E11</v>
      </c>
      <c r="F367" s="1" t="s">
        <v>1111</v>
      </c>
      <c r="G367" s="1" t="s">
        <v>38</v>
      </c>
      <c r="H367" s="1" t="s">
        <v>594</v>
      </c>
      <c r="I367" s="1" t="s">
        <v>595</v>
      </c>
      <c r="J367" s="1" t="s">
        <v>596</v>
      </c>
    </row>
    <row r="368" ht="15.75" customHeight="1">
      <c r="A368" s="2">
        <v>367.0</v>
      </c>
      <c r="B368" s="1" t="s">
        <v>1112</v>
      </c>
      <c r="C368" s="1" t="s">
        <v>740</v>
      </c>
      <c r="D368" s="1" t="s">
        <v>335</v>
      </c>
      <c r="E368" s="2">
        <v>5.70038353862E11</v>
      </c>
      <c r="F368" s="1" t="s">
        <v>1113</v>
      </c>
      <c r="G368" s="1" t="s">
        <v>38</v>
      </c>
      <c r="H368" s="1" t="s">
        <v>594</v>
      </c>
      <c r="I368" s="1" t="s">
        <v>595</v>
      </c>
      <c r="J368" s="1" t="s">
        <v>596</v>
      </c>
    </row>
    <row r="369" ht="15.75" customHeight="1">
      <c r="A369" s="2">
        <v>368.0</v>
      </c>
      <c r="B369" s="1" t="s">
        <v>223</v>
      </c>
      <c r="C369" s="1" t="s">
        <v>1114</v>
      </c>
      <c r="D369" s="1" t="s">
        <v>158</v>
      </c>
      <c r="E369" s="2">
        <v>5.70038353863E11</v>
      </c>
      <c r="F369" s="1" t="s">
        <v>1115</v>
      </c>
      <c r="G369" s="1" t="s">
        <v>24</v>
      </c>
      <c r="H369" s="1" t="s">
        <v>594</v>
      </c>
      <c r="I369" s="1" t="s">
        <v>595</v>
      </c>
      <c r="J369" s="1" t="s">
        <v>596</v>
      </c>
    </row>
    <row r="370" ht="15.75" customHeight="1">
      <c r="A370" s="2">
        <v>369.0</v>
      </c>
      <c r="B370" s="1" t="s">
        <v>1116</v>
      </c>
      <c r="C370" s="1" t="s">
        <v>344</v>
      </c>
      <c r="D370" s="1" t="s">
        <v>1117</v>
      </c>
      <c r="E370" s="2">
        <v>5.70038353871E11</v>
      </c>
      <c r="F370" s="1" t="s">
        <v>1118</v>
      </c>
      <c r="G370" s="1" t="s">
        <v>18</v>
      </c>
      <c r="H370" s="1" t="s">
        <v>594</v>
      </c>
      <c r="I370" s="1" t="s">
        <v>595</v>
      </c>
      <c r="J370" s="1" t="s">
        <v>596</v>
      </c>
    </row>
    <row r="371" ht="15.75" customHeight="1">
      <c r="A371" s="2">
        <v>370.0</v>
      </c>
      <c r="B371" s="1" t="s">
        <v>1119</v>
      </c>
      <c r="C371" s="1" t="s">
        <v>1120</v>
      </c>
      <c r="D371" s="1" t="s">
        <v>925</v>
      </c>
      <c r="E371" s="2">
        <v>5.70038353874E11</v>
      </c>
      <c r="F371" s="1" t="s">
        <v>1121</v>
      </c>
      <c r="G371" s="1" t="s">
        <v>980</v>
      </c>
      <c r="H371" s="1" t="s">
        <v>594</v>
      </c>
      <c r="I371" s="1" t="s">
        <v>595</v>
      </c>
      <c r="J371" s="1" t="s">
        <v>596</v>
      </c>
    </row>
    <row r="372" ht="15.75" customHeight="1">
      <c r="A372" s="2">
        <v>371.0</v>
      </c>
      <c r="B372" s="1" t="s">
        <v>191</v>
      </c>
      <c r="C372" s="1" t="s">
        <v>459</v>
      </c>
      <c r="D372" s="1" t="s">
        <v>1122</v>
      </c>
      <c r="E372" s="2">
        <v>5.70038353884E11</v>
      </c>
      <c r="F372" s="1" t="s">
        <v>1123</v>
      </c>
      <c r="G372" s="1" t="s">
        <v>38</v>
      </c>
      <c r="H372" s="1" t="s">
        <v>594</v>
      </c>
      <c r="I372" s="1" t="s">
        <v>595</v>
      </c>
      <c r="J372" s="1" t="s">
        <v>596</v>
      </c>
    </row>
    <row r="373" ht="15.75" customHeight="1">
      <c r="A373" s="2">
        <v>372.0</v>
      </c>
      <c r="B373" s="1" t="s">
        <v>827</v>
      </c>
      <c r="C373" s="1" t="s">
        <v>459</v>
      </c>
      <c r="D373" s="1" t="s">
        <v>1122</v>
      </c>
      <c r="E373" s="2">
        <v>5.70038353885E11</v>
      </c>
      <c r="F373" s="1" t="s">
        <v>1124</v>
      </c>
      <c r="G373" s="1" t="s">
        <v>980</v>
      </c>
      <c r="H373" s="1" t="s">
        <v>594</v>
      </c>
      <c r="I373" s="1" t="s">
        <v>595</v>
      </c>
      <c r="J373" s="1" t="s">
        <v>596</v>
      </c>
    </row>
    <row r="374" ht="15.75" customHeight="1">
      <c r="A374" s="2">
        <v>373.0</v>
      </c>
      <c r="B374" s="1" t="s">
        <v>1125</v>
      </c>
      <c r="C374" s="1" t="s">
        <v>1126</v>
      </c>
      <c r="D374" s="1" t="s">
        <v>1127</v>
      </c>
      <c r="E374" s="2">
        <v>5.70038353888E11</v>
      </c>
      <c r="F374" s="1" t="s">
        <v>1128</v>
      </c>
      <c r="G374" s="1" t="s">
        <v>24</v>
      </c>
      <c r="H374" s="1" t="s">
        <v>594</v>
      </c>
      <c r="I374" s="1" t="s">
        <v>595</v>
      </c>
      <c r="J374" s="1" t="s">
        <v>596</v>
      </c>
    </row>
    <row r="375" ht="15.75" customHeight="1">
      <c r="A375" s="2">
        <v>374.0</v>
      </c>
      <c r="B375" s="1" t="s">
        <v>1129</v>
      </c>
      <c r="C375" s="1" t="s">
        <v>1130</v>
      </c>
      <c r="D375" s="1" t="s">
        <v>1131</v>
      </c>
      <c r="E375" s="2">
        <v>5.70038353892E11</v>
      </c>
      <c r="F375" s="1" t="s">
        <v>1132</v>
      </c>
      <c r="G375" s="1" t="s">
        <v>980</v>
      </c>
      <c r="H375" s="1" t="s">
        <v>594</v>
      </c>
      <c r="I375" s="1" t="s">
        <v>595</v>
      </c>
      <c r="J375" s="1" t="s">
        <v>596</v>
      </c>
    </row>
    <row r="376" ht="15.75" customHeight="1">
      <c r="A376" s="2">
        <v>375.0</v>
      </c>
      <c r="B376" s="1" t="s">
        <v>1133</v>
      </c>
      <c r="C376" s="1" t="s">
        <v>1134</v>
      </c>
      <c r="D376" s="1" t="s">
        <v>1135</v>
      </c>
      <c r="E376" s="2">
        <v>5.70038353893E11</v>
      </c>
      <c r="F376" s="1" t="s">
        <v>1136</v>
      </c>
      <c r="G376" s="1" t="s">
        <v>980</v>
      </c>
      <c r="H376" s="1" t="s">
        <v>594</v>
      </c>
      <c r="I376" s="1" t="s">
        <v>595</v>
      </c>
      <c r="J376" s="1" t="s">
        <v>596</v>
      </c>
    </row>
    <row r="377" ht="15.75" customHeight="1">
      <c r="A377" s="2">
        <v>376.0</v>
      </c>
      <c r="B377" s="1" t="s">
        <v>559</v>
      </c>
      <c r="C377" s="1" t="s">
        <v>1137</v>
      </c>
      <c r="D377" s="1" t="s">
        <v>438</v>
      </c>
      <c r="E377" s="2">
        <v>5.70038353919E11</v>
      </c>
      <c r="F377" s="1" t="s">
        <v>1138</v>
      </c>
      <c r="G377" s="1" t="s">
        <v>38</v>
      </c>
      <c r="H377" s="3" t="s">
        <v>1139</v>
      </c>
      <c r="I377" s="1"/>
      <c r="J377" s="1"/>
    </row>
    <row r="378" ht="15.75" customHeight="1">
      <c r="A378" s="2">
        <v>377.0</v>
      </c>
      <c r="B378" s="1" t="s">
        <v>1140</v>
      </c>
      <c r="C378" s="1" t="s">
        <v>1141</v>
      </c>
      <c r="D378" s="1" t="s">
        <v>1142</v>
      </c>
      <c r="E378" s="2">
        <v>5.70038353901E11</v>
      </c>
      <c r="F378" s="1" t="s">
        <v>1143</v>
      </c>
      <c r="G378" s="1" t="s">
        <v>38</v>
      </c>
      <c r="H378" s="3" t="s">
        <v>1139</v>
      </c>
      <c r="I378" s="1"/>
    </row>
    <row r="379" ht="15.75" customHeight="1">
      <c r="A379" s="2">
        <v>378.0</v>
      </c>
      <c r="B379" s="1" t="s">
        <v>827</v>
      </c>
      <c r="C379" s="1" t="s">
        <v>1141</v>
      </c>
      <c r="D379" s="1" t="s">
        <v>1144</v>
      </c>
      <c r="E379" s="2">
        <v>5.70038353905E11</v>
      </c>
      <c r="F379" s="1" t="s">
        <v>1145</v>
      </c>
      <c r="G379" s="1" t="s">
        <v>24</v>
      </c>
      <c r="H379" s="3" t="s">
        <v>1139</v>
      </c>
      <c r="I379" s="1"/>
    </row>
    <row r="380" ht="15.75" customHeight="1">
      <c r="A380" s="2">
        <v>379.0</v>
      </c>
      <c r="B380" s="1" t="s">
        <v>1146</v>
      </c>
      <c r="C380" s="1" t="s">
        <v>1141</v>
      </c>
      <c r="D380" s="1" t="s">
        <v>1144</v>
      </c>
      <c r="E380" s="2">
        <v>5.70038353906E11</v>
      </c>
      <c r="F380" s="1" t="s">
        <v>1147</v>
      </c>
      <c r="G380" s="1" t="s">
        <v>24</v>
      </c>
      <c r="H380" s="3" t="s">
        <v>1139</v>
      </c>
      <c r="I380" s="1"/>
    </row>
    <row r="381" ht="15.75" customHeight="1">
      <c r="A381" s="2">
        <v>380.0</v>
      </c>
      <c r="B381" s="1" t="s">
        <v>340</v>
      </c>
      <c r="C381" s="1" t="s">
        <v>1148</v>
      </c>
      <c r="D381" s="1" t="s">
        <v>103</v>
      </c>
      <c r="E381" s="2">
        <v>5.7003835391E11</v>
      </c>
      <c r="F381" s="1" t="s">
        <v>1149</v>
      </c>
      <c r="G381" s="1" t="s">
        <v>24</v>
      </c>
      <c r="H381" s="3" t="s">
        <v>1139</v>
      </c>
      <c r="I381" s="1"/>
    </row>
    <row r="382" ht="15.75" customHeight="1">
      <c r="A382" s="2">
        <v>381.0</v>
      </c>
      <c r="B382" s="1" t="s">
        <v>1150</v>
      </c>
      <c r="C382" s="1" t="s">
        <v>1141</v>
      </c>
      <c r="D382" s="1" t="s">
        <v>1144</v>
      </c>
      <c r="E382" s="2">
        <v>5.70038353912E11</v>
      </c>
      <c r="F382" s="1" t="s">
        <v>1151</v>
      </c>
      <c r="G382" s="1" t="s">
        <v>24</v>
      </c>
      <c r="H382" s="3" t="s">
        <v>1139</v>
      </c>
      <c r="I382" s="1"/>
    </row>
    <row r="383" ht="15.75" customHeight="1">
      <c r="A383" s="2">
        <v>382.0</v>
      </c>
      <c r="B383" s="1" t="s">
        <v>388</v>
      </c>
      <c r="C383" s="1" t="s">
        <v>1141</v>
      </c>
      <c r="D383" s="1" t="s">
        <v>1152</v>
      </c>
      <c r="E383" s="2">
        <v>5.70038353913E11</v>
      </c>
      <c r="F383" s="1" t="s">
        <v>1153</v>
      </c>
      <c r="G383" s="1" t="s">
        <v>38</v>
      </c>
      <c r="H383" s="3" t="s">
        <v>1139</v>
      </c>
      <c r="I383" s="1"/>
    </row>
    <row r="384" ht="15.75" customHeight="1">
      <c r="A384" s="2">
        <v>383.0</v>
      </c>
      <c r="B384" s="1" t="s">
        <v>1154</v>
      </c>
      <c r="C384" s="1" t="s">
        <v>1155</v>
      </c>
      <c r="D384" s="1" t="s">
        <v>721</v>
      </c>
      <c r="E384" s="2">
        <v>5.70038353915E11</v>
      </c>
      <c r="F384" s="1" t="s">
        <v>1156</v>
      </c>
      <c r="G384" s="1" t="s">
        <v>24</v>
      </c>
      <c r="H384" s="3" t="s">
        <v>1139</v>
      </c>
      <c r="I384" s="1"/>
    </row>
    <row r="385" ht="15.75" customHeight="1">
      <c r="A385" s="2">
        <v>384.0</v>
      </c>
      <c r="B385" s="1" t="s">
        <v>1157</v>
      </c>
      <c r="C385" s="1" t="s">
        <v>1158</v>
      </c>
      <c r="D385" s="1" t="s">
        <v>324</v>
      </c>
      <c r="E385" s="2">
        <v>5.7003835392E11</v>
      </c>
      <c r="F385" s="1" t="s">
        <v>1159</v>
      </c>
      <c r="G385" s="1" t="s">
        <v>24</v>
      </c>
      <c r="H385" s="3" t="s">
        <v>1139</v>
      </c>
      <c r="I385" s="1"/>
    </row>
    <row r="386" ht="15.75" customHeight="1">
      <c r="A386" s="2">
        <v>385.0</v>
      </c>
      <c r="B386" s="1" t="s">
        <v>106</v>
      </c>
      <c r="C386" s="1" t="s">
        <v>1157</v>
      </c>
      <c r="D386" s="1" t="s">
        <v>10</v>
      </c>
      <c r="E386" s="2">
        <v>5.70038353924E11</v>
      </c>
      <c r="F386" s="1" t="s">
        <v>1160</v>
      </c>
      <c r="G386" s="1" t="s">
        <v>121</v>
      </c>
      <c r="H386" s="3" t="s">
        <v>1139</v>
      </c>
      <c r="I386" s="1"/>
    </row>
    <row r="387" ht="15.75" customHeight="1">
      <c r="A387" s="2">
        <v>386.0</v>
      </c>
      <c r="B387" s="1" t="s">
        <v>1161</v>
      </c>
      <c r="C387" s="1" t="s">
        <v>1162</v>
      </c>
      <c r="D387" s="1" t="s">
        <v>1163</v>
      </c>
      <c r="E387" s="2">
        <v>5.70038353925E11</v>
      </c>
      <c r="F387" s="1" t="s">
        <v>1164</v>
      </c>
      <c r="G387" s="1" t="s">
        <v>24</v>
      </c>
      <c r="H387" s="3" t="s">
        <v>1139</v>
      </c>
      <c r="I387" s="1"/>
    </row>
    <row r="388" ht="15.75" customHeight="1">
      <c r="A388" s="2">
        <v>387.0</v>
      </c>
      <c r="B388" s="1" t="s">
        <v>459</v>
      </c>
      <c r="C388" s="1" t="s">
        <v>1165</v>
      </c>
      <c r="D388" s="1" t="s">
        <v>324</v>
      </c>
      <c r="E388" s="2">
        <v>5.70038353926E11</v>
      </c>
      <c r="F388" s="1" t="s">
        <v>1166</v>
      </c>
      <c r="G388" s="1" t="s">
        <v>24</v>
      </c>
      <c r="H388" s="3" t="s">
        <v>1139</v>
      </c>
      <c r="I388" s="1"/>
    </row>
    <row r="389" ht="15.75" customHeight="1">
      <c r="A389" s="2">
        <v>388.0</v>
      </c>
      <c r="B389" s="1" t="s">
        <v>1167</v>
      </c>
      <c r="C389" s="1" t="s">
        <v>1165</v>
      </c>
      <c r="D389" s="1" t="s">
        <v>324</v>
      </c>
      <c r="E389" s="2">
        <v>5.70038353931E11</v>
      </c>
      <c r="F389" s="1" t="s">
        <v>1168</v>
      </c>
      <c r="G389" s="1" t="s">
        <v>24</v>
      </c>
      <c r="H389" s="3" t="s">
        <v>1139</v>
      </c>
      <c r="I389" s="1"/>
    </row>
    <row r="390" ht="15.75" customHeight="1">
      <c r="A390" s="2">
        <v>389.0</v>
      </c>
      <c r="B390" s="1" t="s">
        <v>1169</v>
      </c>
      <c r="C390" s="1" t="s">
        <v>827</v>
      </c>
      <c r="D390" s="1" t="s">
        <v>955</v>
      </c>
      <c r="E390" s="2">
        <v>5.70038353933E11</v>
      </c>
      <c r="F390" s="1" t="s">
        <v>1170</v>
      </c>
      <c r="G390" s="1" t="s">
        <v>24</v>
      </c>
      <c r="H390" s="3" t="s">
        <v>1139</v>
      </c>
      <c r="I390" s="1"/>
    </row>
    <row r="391" ht="15.75" customHeight="1">
      <c r="A391" s="2">
        <v>390.0</v>
      </c>
      <c r="B391" s="1" t="s">
        <v>1171</v>
      </c>
      <c r="C391" s="1" t="s">
        <v>1172</v>
      </c>
      <c r="D391" s="1" t="s">
        <v>1173</v>
      </c>
      <c r="E391" s="2">
        <v>5.70038353934E11</v>
      </c>
      <c r="F391" s="1" t="s">
        <v>1174</v>
      </c>
      <c r="G391" s="1" t="s">
        <v>38</v>
      </c>
      <c r="H391" s="3" t="s">
        <v>1139</v>
      </c>
      <c r="I391" s="1"/>
    </row>
    <row r="392" ht="15.75" customHeight="1">
      <c r="A392" s="2">
        <v>391.0</v>
      </c>
      <c r="B392" s="1" t="s">
        <v>1175</v>
      </c>
      <c r="C392" s="1" t="s">
        <v>496</v>
      </c>
      <c r="D392" s="1" t="s">
        <v>1176</v>
      </c>
      <c r="E392" s="2">
        <v>5.70038353936E11</v>
      </c>
      <c r="F392" s="1" t="s">
        <v>1177</v>
      </c>
      <c r="G392" s="1" t="s">
        <v>24</v>
      </c>
      <c r="H392" s="3" t="s">
        <v>1139</v>
      </c>
      <c r="I392" s="1"/>
    </row>
    <row r="393" ht="15.75" customHeight="1">
      <c r="A393" s="2">
        <v>392.0</v>
      </c>
      <c r="B393" s="1" t="s">
        <v>254</v>
      </c>
      <c r="C393" s="1" t="s">
        <v>123</v>
      </c>
      <c r="D393" s="1" t="s">
        <v>1178</v>
      </c>
      <c r="E393" s="2">
        <v>5.70038353947E11</v>
      </c>
      <c r="F393" s="1" t="s">
        <v>1179</v>
      </c>
      <c r="G393" s="1" t="s">
        <v>24</v>
      </c>
      <c r="H393" s="3" t="s">
        <v>1139</v>
      </c>
      <c r="I393" s="1"/>
    </row>
    <row r="394" ht="15.75" customHeight="1">
      <c r="A394" s="2">
        <v>393.0</v>
      </c>
      <c r="B394" s="1" t="s">
        <v>1180</v>
      </c>
      <c r="C394" s="1" t="s">
        <v>1181</v>
      </c>
      <c r="D394" s="1" t="s">
        <v>62</v>
      </c>
      <c r="E394" s="2">
        <v>5.70038353948E11</v>
      </c>
      <c r="F394" s="1" t="s">
        <v>1182</v>
      </c>
      <c r="G394" s="1" t="s">
        <v>24</v>
      </c>
      <c r="H394" s="3" t="s">
        <v>1139</v>
      </c>
      <c r="I394" s="1"/>
    </row>
    <row r="395" ht="15.75" customHeight="1">
      <c r="A395" s="2">
        <v>394.0</v>
      </c>
      <c r="B395" s="1" t="s">
        <v>1183</v>
      </c>
      <c r="C395" s="1" t="s">
        <v>254</v>
      </c>
      <c r="D395" s="1" t="s">
        <v>62</v>
      </c>
      <c r="E395" s="2">
        <v>5.7003835395E11</v>
      </c>
      <c r="F395" s="1" t="s">
        <v>1184</v>
      </c>
      <c r="G395" s="1" t="s">
        <v>121</v>
      </c>
      <c r="H395" s="3" t="s">
        <v>1139</v>
      </c>
      <c r="I395" s="1"/>
    </row>
    <row r="396" ht="15.75" customHeight="1">
      <c r="A396" s="2">
        <v>395.0</v>
      </c>
      <c r="B396" s="1" t="s">
        <v>654</v>
      </c>
      <c r="C396" s="1" t="s">
        <v>1185</v>
      </c>
      <c r="D396" s="1" t="s">
        <v>1186</v>
      </c>
      <c r="E396" s="2">
        <v>5.70038353951E11</v>
      </c>
      <c r="F396" s="1" t="s">
        <v>1187</v>
      </c>
      <c r="G396" s="1" t="s">
        <v>38</v>
      </c>
      <c r="H396" s="3" t="s">
        <v>1139</v>
      </c>
      <c r="I396" s="1"/>
    </row>
    <row r="397" ht="15.75" customHeight="1">
      <c r="A397" s="2">
        <v>396.0</v>
      </c>
      <c r="B397" s="1" t="s">
        <v>97</v>
      </c>
      <c r="C397" s="1" t="s">
        <v>1188</v>
      </c>
      <c r="D397" s="1" t="s">
        <v>1189</v>
      </c>
      <c r="E397" s="2">
        <v>5.70038353953E11</v>
      </c>
      <c r="F397" s="1" t="s">
        <v>1190</v>
      </c>
      <c r="G397" s="1" t="s">
        <v>38</v>
      </c>
      <c r="H397" s="3" t="s">
        <v>1139</v>
      </c>
      <c r="I397" s="1"/>
    </row>
    <row r="398" ht="15.75" customHeight="1">
      <c r="A398" s="2">
        <v>397.0</v>
      </c>
      <c r="B398" s="1" t="s">
        <v>1191</v>
      </c>
      <c r="C398" s="1" t="s">
        <v>1192</v>
      </c>
      <c r="D398" s="1" t="s">
        <v>10</v>
      </c>
      <c r="E398" s="2">
        <v>5.70038353954E11</v>
      </c>
      <c r="F398" s="1" t="s">
        <v>1193</v>
      </c>
      <c r="G398" s="1" t="s">
        <v>24</v>
      </c>
      <c r="H398" s="3" t="s">
        <v>1139</v>
      </c>
      <c r="I398" s="1"/>
    </row>
    <row r="399" ht="15.75" customHeight="1">
      <c r="A399" s="2">
        <v>398.0</v>
      </c>
      <c r="B399" s="1" t="s">
        <v>263</v>
      </c>
      <c r="C399" s="1" t="s">
        <v>912</v>
      </c>
      <c r="D399" s="1" t="s">
        <v>1194</v>
      </c>
      <c r="E399" s="2">
        <v>5.70038353957E11</v>
      </c>
      <c r="F399" s="1" t="s">
        <v>678</v>
      </c>
      <c r="G399" s="1" t="s">
        <v>18</v>
      </c>
      <c r="H399" s="3" t="s">
        <v>1139</v>
      </c>
      <c r="I399" s="1"/>
    </row>
    <row r="400" ht="15.75" customHeight="1">
      <c r="A400" s="2">
        <v>399.0</v>
      </c>
      <c r="B400" s="1" t="s">
        <v>323</v>
      </c>
      <c r="C400" s="1" t="s">
        <v>1195</v>
      </c>
      <c r="D400" s="1" t="s">
        <v>335</v>
      </c>
      <c r="E400" s="2">
        <v>5.70038353959E11</v>
      </c>
      <c r="F400" s="1" t="s">
        <v>1196</v>
      </c>
      <c r="G400" s="1" t="s">
        <v>18</v>
      </c>
      <c r="H400" s="3" t="s">
        <v>1139</v>
      </c>
      <c r="I400" s="1"/>
    </row>
    <row r="401" ht="15.75" customHeight="1">
      <c r="A401" s="2">
        <v>400.0</v>
      </c>
      <c r="B401" s="1" t="s">
        <v>323</v>
      </c>
      <c r="C401" s="1" t="s">
        <v>1197</v>
      </c>
      <c r="D401" s="1" t="s">
        <v>1198</v>
      </c>
      <c r="E401" s="2">
        <v>5.70038353963E11</v>
      </c>
      <c r="F401" s="1" t="s">
        <v>1199</v>
      </c>
      <c r="G401" s="1" t="s">
        <v>18</v>
      </c>
      <c r="H401" s="3" t="s">
        <v>1139</v>
      </c>
      <c r="I401" s="1"/>
    </row>
    <row r="402" ht="15.75" customHeight="1">
      <c r="A402" s="2">
        <v>401.0</v>
      </c>
      <c r="B402" s="1" t="s">
        <v>555</v>
      </c>
      <c r="C402" s="1" t="s">
        <v>323</v>
      </c>
      <c r="D402" s="1" t="s">
        <v>1200</v>
      </c>
      <c r="E402" s="2">
        <v>5.70038353965E11</v>
      </c>
      <c r="F402" s="1" t="s">
        <v>1201</v>
      </c>
      <c r="G402" s="1" t="s">
        <v>18</v>
      </c>
      <c r="H402" s="3" t="s">
        <v>1139</v>
      </c>
      <c r="I402" s="1"/>
    </row>
    <row r="403" ht="15.75" customHeight="1">
      <c r="A403" s="2">
        <v>402.0</v>
      </c>
      <c r="B403" s="1" t="s">
        <v>1202</v>
      </c>
      <c r="C403" s="1" t="s">
        <v>912</v>
      </c>
      <c r="D403" s="1" t="s">
        <v>1203</v>
      </c>
      <c r="E403" s="2">
        <v>5.70038353972E11</v>
      </c>
      <c r="F403" s="1" t="s">
        <v>1204</v>
      </c>
      <c r="G403" s="1" t="s">
        <v>24</v>
      </c>
      <c r="H403" s="3" t="s">
        <v>1139</v>
      </c>
      <c r="I403" s="1"/>
    </row>
    <row r="404" ht="15.75" customHeight="1">
      <c r="A404" s="2">
        <v>403.0</v>
      </c>
      <c r="B404" s="1" t="s">
        <v>1205</v>
      </c>
      <c r="C404" s="1" t="s">
        <v>1206</v>
      </c>
      <c r="D404" s="1" t="s">
        <v>1207</v>
      </c>
      <c r="E404" s="2">
        <v>5.70038353977E11</v>
      </c>
      <c r="F404" s="1" t="s">
        <v>1208</v>
      </c>
      <c r="G404" s="1" t="s">
        <v>24</v>
      </c>
      <c r="H404" s="3" t="s">
        <v>1139</v>
      </c>
      <c r="I404" s="1"/>
    </row>
    <row r="405" ht="15.75" customHeight="1">
      <c r="A405" s="2">
        <v>404.0</v>
      </c>
      <c r="B405" s="1" t="s">
        <v>223</v>
      </c>
      <c r="C405" s="1" t="s">
        <v>1205</v>
      </c>
      <c r="D405" s="1" t="s">
        <v>1209</v>
      </c>
      <c r="E405" s="2">
        <v>5.70038353978E11</v>
      </c>
      <c r="F405" s="1" t="s">
        <v>1210</v>
      </c>
      <c r="G405" s="1" t="s">
        <v>121</v>
      </c>
      <c r="H405" s="3" t="s">
        <v>1139</v>
      </c>
      <c r="I405" s="1"/>
    </row>
    <row r="406" ht="15.75" customHeight="1">
      <c r="A406" s="2">
        <v>405.0</v>
      </c>
      <c r="B406" s="1" t="s">
        <v>827</v>
      </c>
      <c r="C406" s="1" t="s">
        <v>1211</v>
      </c>
      <c r="D406" s="1" t="s">
        <v>1212</v>
      </c>
      <c r="E406" s="2">
        <v>5.70038353982E11</v>
      </c>
      <c r="F406" s="1" t="s">
        <v>1213</v>
      </c>
      <c r="G406" s="1" t="s">
        <v>24</v>
      </c>
      <c r="H406" s="3" t="s">
        <v>1139</v>
      </c>
      <c r="I406" s="1"/>
    </row>
    <row r="407" ht="15.75" customHeight="1">
      <c r="A407" s="2">
        <v>406.0</v>
      </c>
      <c r="B407" s="1" t="s">
        <v>1214</v>
      </c>
      <c r="C407" s="1" t="s">
        <v>1215</v>
      </c>
      <c r="D407" s="1" t="s">
        <v>1216</v>
      </c>
      <c r="E407" s="2">
        <v>5.70038353985E11</v>
      </c>
      <c r="F407" s="1" t="s">
        <v>1217</v>
      </c>
      <c r="G407" s="1" t="s">
        <v>18</v>
      </c>
      <c r="H407" s="3" t="s">
        <v>1139</v>
      </c>
      <c r="I407" s="1"/>
    </row>
    <row r="408" ht="15.75" customHeight="1">
      <c r="A408" s="2">
        <v>407.0</v>
      </c>
      <c r="B408" s="1" t="s">
        <v>1218</v>
      </c>
      <c r="C408" s="1" t="s">
        <v>1219</v>
      </c>
      <c r="D408" s="1" t="s">
        <v>1220</v>
      </c>
      <c r="E408" s="2">
        <v>5.70038353994E11</v>
      </c>
      <c r="F408" s="1" t="s">
        <v>1221</v>
      </c>
      <c r="G408" s="1" t="s">
        <v>38</v>
      </c>
      <c r="H408" s="3" t="s">
        <v>1139</v>
      </c>
      <c r="I408" s="1"/>
    </row>
    <row r="409" ht="15.75" customHeight="1">
      <c r="A409" s="2">
        <v>408.0</v>
      </c>
      <c r="B409" s="1" t="s">
        <v>445</v>
      </c>
      <c r="C409" s="1" t="s">
        <v>1222</v>
      </c>
      <c r="D409" s="1" t="s">
        <v>1223</v>
      </c>
      <c r="E409" s="2">
        <v>5.70038353997E11</v>
      </c>
      <c r="F409" s="1" t="s">
        <v>1224</v>
      </c>
      <c r="G409" s="1" t="s">
        <v>24</v>
      </c>
      <c r="H409" s="3" t="s">
        <v>1139</v>
      </c>
      <c r="I409" s="1"/>
    </row>
    <row r="410" ht="15.75" customHeight="1">
      <c r="A410" s="2">
        <v>409.0</v>
      </c>
      <c r="B410" s="1" t="s">
        <v>64</v>
      </c>
      <c r="C410" s="1" t="s">
        <v>1225</v>
      </c>
      <c r="D410" s="1" t="s">
        <v>1226</v>
      </c>
      <c r="E410" s="2">
        <v>5.70038353998E11</v>
      </c>
      <c r="F410" s="1" t="s">
        <v>1227</v>
      </c>
      <c r="G410" s="1" t="s">
        <v>24</v>
      </c>
      <c r="H410" s="3" t="s">
        <v>1139</v>
      </c>
      <c r="I410" s="1"/>
    </row>
    <row r="411" ht="15.75" customHeight="1">
      <c r="A411" s="2">
        <v>410.0</v>
      </c>
      <c r="B411" s="1" t="s">
        <v>1228</v>
      </c>
      <c r="C411" s="1" t="s">
        <v>123</v>
      </c>
      <c r="D411" s="1" t="s">
        <v>1178</v>
      </c>
      <c r="E411" s="2">
        <v>5.70038353999E11</v>
      </c>
      <c r="F411" s="1" t="s">
        <v>50</v>
      </c>
      <c r="G411" s="1" t="s">
        <v>24</v>
      </c>
      <c r="H411" s="3" t="s">
        <v>1139</v>
      </c>
      <c r="I411" s="1"/>
    </row>
    <row r="412" ht="15.75" customHeight="1">
      <c r="A412" s="2">
        <v>411.0</v>
      </c>
      <c r="B412" s="1" t="s">
        <v>1229</v>
      </c>
      <c r="C412" s="1" t="s">
        <v>1230</v>
      </c>
      <c r="D412" s="1" t="s">
        <v>904</v>
      </c>
      <c r="E412" s="2">
        <v>5.70038354E11</v>
      </c>
      <c r="F412" s="1" t="s">
        <v>1231</v>
      </c>
      <c r="G412" s="1" t="s">
        <v>18</v>
      </c>
      <c r="H412" s="3" t="s">
        <v>1139</v>
      </c>
      <c r="I412" s="1"/>
    </row>
    <row r="413" ht="15.75" customHeight="1">
      <c r="A413" s="2">
        <v>412.0</v>
      </c>
      <c r="B413" s="1" t="s">
        <v>1232</v>
      </c>
      <c r="C413" s="1" t="s">
        <v>1233</v>
      </c>
      <c r="D413" s="1" t="s">
        <v>231</v>
      </c>
      <c r="E413" s="2">
        <v>5.70038354001E11</v>
      </c>
      <c r="F413" s="1" t="s">
        <v>1234</v>
      </c>
      <c r="G413" s="1" t="s">
        <v>38</v>
      </c>
      <c r="H413" s="3" t="s">
        <v>1139</v>
      </c>
      <c r="I413" s="1"/>
    </row>
    <row r="414" ht="15.75" customHeight="1">
      <c r="A414" s="2">
        <v>413.0</v>
      </c>
      <c r="B414" s="1" t="s">
        <v>1235</v>
      </c>
      <c r="C414" s="1" t="s">
        <v>1236</v>
      </c>
      <c r="D414" s="1" t="s">
        <v>231</v>
      </c>
      <c r="E414" s="2">
        <v>5.70038354002E11</v>
      </c>
      <c r="F414" s="1" t="s">
        <v>1237</v>
      </c>
      <c r="G414" s="1" t="s">
        <v>18</v>
      </c>
      <c r="H414" s="3" t="s">
        <v>1139</v>
      </c>
      <c r="I414" s="1"/>
    </row>
    <row r="415" ht="15.75" customHeight="1">
      <c r="A415" s="2">
        <v>414.0</v>
      </c>
      <c r="B415" s="1" t="s">
        <v>257</v>
      </c>
      <c r="C415" s="1" t="s">
        <v>323</v>
      </c>
      <c r="D415" s="1" t="s">
        <v>1238</v>
      </c>
      <c r="E415" s="2">
        <v>5.70038354003E11</v>
      </c>
      <c r="F415" s="1" t="s">
        <v>1239</v>
      </c>
      <c r="G415" s="1" t="s">
        <v>18</v>
      </c>
      <c r="H415" s="3" t="s">
        <v>1139</v>
      </c>
      <c r="I415" s="1"/>
    </row>
    <row r="416" ht="15.75" customHeight="1">
      <c r="A416" s="2">
        <v>415.0</v>
      </c>
      <c r="B416" s="1" t="s">
        <v>1240</v>
      </c>
      <c r="C416" s="1" t="s">
        <v>1241</v>
      </c>
      <c r="D416" s="1" t="s">
        <v>1242</v>
      </c>
      <c r="E416" s="2">
        <v>5.70038354004E11</v>
      </c>
      <c r="F416" s="1" t="s">
        <v>1243</v>
      </c>
      <c r="G416" s="1" t="s">
        <v>18</v>
      </c>
      <c r="H416" s="3" t="s">
        <v>1139</v>
      </c>
      <c r="I416" s="1"/>
    </row>
    <row r="417" ht="15.75" customHeight="1">
      <c r="A417" s="2">
        <v>416.0</v>
      </c>
      <c r="B417" s="1" t="s">
        <v>514</v>
      </c>
      <c r="C417" s="1" t="s">
        <v>323</v>
      </c>
      <c r="D417" s="1" t="s">
        <v>1238</v>
      </c>
      <c r="E417" s="2">
        <v>5.70038354005E11</v>
      </c>
      <c r="F417" s="1" t="s">
        <v>1244</v>
      </c>
      <c r="G417" s="1" t="s">
        <v>18</v>
      </c>
      <c r="H417" s="3" t="s">
        <v>1139</v>
      </c>
      <c r="I417" s="1"/>
    </row>
    <row r="418" ht="15.75" customHeight="1">
      <c r="A418" s="2">
        <v>417.0</v>
      </c>
      <c r="B418" s="1" t="s">
        <v>403</v>
      </c>
      <c r="C418" s="1" t="s">
        <v>1245</v>
      </c>
      <c r="D418" s="1" t="s">
        <v>225</v>
      </c>
      <c r="E418" s="2">
        <v>5.70038354006E11</v>
      </c>
      <c r="F418" s="1" t="s">
        <v>1246</v>
      </c>
      <c r="G418" s="1" t="s">
        <v>18</v>
      </c>
      <c r="H418" s="3" t="s">
        <v>1139</v>
      </c>
      <c r="I418" s="1"/>
    </row>
    <row r="419" ht="15.75" customHeight="1">
      <c r="A419" s="2">
        <v>418.0</v>
      </c>
      <c r="B419" s="1" t="s">
        <v>1247</v>
      </c>
      <c r="C419" s="1" t="s">
        <v>1202</v>
      </c>
      <c r="D419" s="1" t="s">
        <v>324</v>
      </c>
      <c r="E419" s="2">
        <v>5.70038354007E11</v>
      </c>
      <c r="F419" s="1" t="s">
        <v>1248</v>
      </c>
      <c r="G419" s="1" t="s">
        <v>24</v>
      </c>
      <c r="H419" s="3" t="s">
        <v>1139</v>
      </c>
      <c r="I419" s="1"/>
    </row>
    <row r="420" ht="15.75" customHeight="1">
      <c r="A420" s="2">
        <v>419.0</v>
      </c>
      <c r="B420" s="1" t="s">
        <v>1249</v>
      </c>
      <c r="C420" s="1" t="s">
        <v>1211</v>
      </c>
      <c r="D420" s="1" t="s">
        <v>1212</v>
      </c>
      <c r="E420" s="2">
        <v>5.70038354008E11</v>
      </c>
      <c r="F420" s="1" t="s">
        <v>175</v>
      </c>
      <c r="G420" s="1" t="s">
        <v>24</v>
      </c>
      <c r="H420" s="3" t="s">
        <v>1139</v>
      </c>
      <c r="I420" s="1"/>
    </row>
    <row r="421" ht="15.75" customHeight="1">
      <c r="A421" s="2">
        <v>420.0</v>
      </c>
      <c r="B421" s="1" t="s">
        <v>1250</v>
      </c>
      <c r="C421" s="1" t="s">
        <v>1251</v>
      </c>
      <c r="D421" s="1" t="s">
        <v>904</v>
      </c>
      <c r="E421" s="2">
        <v>5.70038354011E11</v>
      </c>
      <c r="F421" s="1" t="s">
        <v>1252</v>
      </c>
      <c r="G421" s="1" t="s">
        <v>24</v>
      </c>
      <c r="H421" s="3" t="s">
        <v>1139</v>
      </c>
      <c r="I421" s="1"/>
    </row>
    <row r="422" ht="15.75" customHeight="1">
      <c r="A422" s="2">
        <v>421.0</v>
      </c>
      <c r="B422" s="1" t="s">
        <v>1253</v>
      </c>
      <c r="C422" s="1" t="s">
        <v>388</v>
      </c>
      <c r="D422" s="1" t="s">
        <v>1254</v>
      </c>
      <c r="E422" s="2">
        <v>5.70038354013E11</v>
      </c>
      <c r="F422" s="1" t="s">
        <v>1255</v>
      </c>
      <c r="G422" s="1" t="s">
        <v>24</v>
      </c>
      <c r="H422" s="3" t="s">
        <v>1139</v>
      </c>
      <c r="I422" s="1"/>
    </row>
    <row r="423" ht="15.75" customHeight="1">
      <c r="A423" s="2">
        <v>422.0</v>
      </c>
      <c r="B423" s="1" t="s">
        <v>1256</v>
      </c>
      <c r="C423" s="1" t="s">
        <v>1211</v>
      </c>
      <c r="D423" s="1" t="s">
        <v>1212</v>
      </c>
      <c r="E423" s="2">
        <v>5.70038354014E11</v>
      </c>
      <c r="F423" s="1" t="s">
        <v>1257</v>
      </c>
      <c r="G423" s="1" t="s">
        <v>24</v>
      </c>
      <c r="H423" s="3" t="s">
        <v>1139</v>
      </c>
      <c r="I423" s="1"/>
    </row>
    <row r="424" ht="15.75" customHeight="1">
      <c r="A424" s="2">
        <v>423.0</v>
      </c>
      <c r="B424" s="1" t="s">
        <v>1258</v>
      </c>
      <c r="C424" s="1" t="s">
        <v>1259</v>
      </c>
      <c r="D424" s="1" t="s">
        <v>1260</v>
      </c>
      <c r="E424" s="2">
        <v>5.70038354015E11</v>
      </c>
      <c r="F424" s="1" t="s">
        <v>1261</v>
      </c>
      <c r="G424" s="1" t="s">
        <v>18</v>
      </c>
      <c r="H424" s="3" t="s">
        <v>1139</v>
      </c>
      <c r="I424" s="1"/>
    </row>
    <row r="425" ht="15.75" customHeight="1">
      <c r="A425" s="2">
        <v>424.0</v>
      </c>
      <c r="B425" s="1" t="s">
        <v>1262</v>
      </c>
      <c r="C425" s="1" t="s">
        <v>1134</v>
      </c>
      <c r="D425" s="1" t="s">
        <v>309</v>
      </c>
      <c r="E425" s="2">
        <v>5.70038354016E11</v>
      </c>
      <c r="F425" s="1" t="s">
        <v>1263</v>
      </c>
      <c r="G425" s="1" t="s">
        <v>18</v>
      </c>
      <c r="H425" s="3" t="s">
        <v>1139</v>
      </c>
      <c r="I425" s="1"/>
    </row>
    <row r="426" ht="15.75" customHeight="1">
      <c r="A426" s="2">
        <v>425.0</v>
      </c>
      <c r="B426" s="1" t="s">
        <v>1134</v>
      </c>
      <c r="C426" s="1" t="s">
        <v>1264</v>
      </c>
      <c r="D426" s="1" t="s">
        <v>1265</v>
      </c>
      <c r="E426" s="2">
        <v>5.70038354017E11</v>
      </c>
      <c r="F426" s="1" t="s">
        <v>1266</v>
      </c>
      <c r="G426" s="1" t="s">
        <v>18</v>
      </c>
      <c r="H426" s="3" t="s">
        <v>1139</v>
      </c>
      <c r="I426" s="1"/>
    </row>
    <row r="427" ht="15.75" customHeight="1">
      <c r="A427" s="2">
        <v>426.0</v>
      </c>
      <c r="B427" s="1" t="s">
        <v>79</v>
      </c>
      <c r="C427" s="1" t="s">
        <v>1229</v>
      </c>
      <c r="D427" s="1" t="s">
        <v>1267</v>
      </c>
      <c r="E427" s="2">
        <v>5.70038354018E11</v>
      </c>
      <c r="F427" s="1" t="s">
        <v>1268</v>
      </c>
      <c r="G427" s="1" t="s">
        <v>24</v>
      </c>
      <c r="H427" s="3" t="s">
        <v>1139</v>
      </c>
      <c r="I427" s="1"/>
    </row>
    <row r="428" ht="15.75" customHeight="1">
      <c r="A428" s="2">
        <v>427.0</v>
      </c>
      <c r="B428" s="1" t="s">
        <v>361</v>
      </c>
      <c r="C428" s="1" t="s">
        <v>1269</v>
      </c>
      <c r="D428" s="1" t="s">
        <v>1270</v>
      </c>
      <c r="E428" s="2">
        <v>5.7003835402E11</v>
      </c>
      <c r="F428" s="1" t="s">
        <v>1271</v>
      </c>
      <c r="G428" s="1" t="s">
        <v>24</v>
      </c>
      <c r="H428" s="3" t="s">
        <v>1139</v>
      </c>
      <c r="I428" s="1"/>
    </row>
    <row r="429" ht="15.75" customHeight="1">
      <c r="A429" s="2">
        <v>428.0</v>
      </c>
      <c r="B429" s="1" t="s">
        <v>1272</v>
      </c>
      <c r="C429" s="1" t="s">
        <v>1269</v>
      </c>
      <c r="D429" s="1" t="s">
        <v>1270</v>
      </c>
      <c r="E429" s="2">
        <v>5.70038354021E11</v>
      </c>
      <c r="F429" s="1" t="s">
        <v>1273</v>
      </c>
      <c r="G429" s="1" t="s">
        <v>24</v>
      </c>
      <c r="H429" s="3" t="s">
        <v>1139</v>
      </c>
      <c r="I429" s="1"/>
    </row>
    <row r="430" ht="15.75" customHeight="1">
      <c r="A430" s="2">
        <v>429.0</v>
      </c>
      <c r="B430" s="1" t="s">
        <v>762</v>
      </c>
      <c r="C430" s="1" t="s">
        <v>245</v>
      </c>
      <c r="D430" s="1" t="s">
        <v>1274</v>
      </c>
      <c r="E430" s="2">
        <v>5.70038354023E11</v>
      </c>
      <c r="F430" s="1" t="s">
        <v>1275</v>
      </c>
      <c r="G430" s="1" t="s">
        <v>24</v>
      </c>
      <c r="H430" s="3" t="s">
        <v>1139</v>
      </c>
      <c r="I430" s="1"/>
    </row>
    <row r="431" ht="15.75" customHeight="1">
      <c r="A431" s="2">
        <v>430.0</v>
      </c>
      <c r="B431" s="1" t="s">
        <v>1276</v>
      </c>
      <c r="C431" s="1" t="s">
        <v>1277</v>
      </c>
      <c r="D431" s="1" t="s">
        <v>1278</v>
      </c>
      <c r="E431" s="2">
        <v>5.70038354024E11</v>
      </c>
      <c r="F431" s="1" t="s">
        <v>1279</v>
      </c>
      <c r="G431" s="1" t="s">
        <v>38</v>
      </c>
      <c r="H431" s="3" t="s">
        <v>1139</v>
      </c>
      <c r="I431" s="1"/>
    </row>
    <row r="432" ht="15.75" customHeight="1">
      <c r="A432" s="2">
        <v>431.0</v>
      </c>
      <c r="B432" s="1" t="s">
        <v>118</v>
      </c>
      <c r="C432" s="1" t="s">
        <v>1280</v>
      </c>
      <c r="D432" s="1" t="s">
        <v>1281</v>
      </c>
      <c r="E432" s="2">
        <v>5.70038354026E11</v>
      </c>
      <c r="F432" s="1" t="s">
        <v>1282</v>
      </c>
      <c r="G432" s="1" t="s">
        <v>38</v>
      </c>
      <c r="H432" s="3" t="s">
        <v>1139</v>
      </c>
      <c r="I432" s="1"/>
    </row>
    <row r="433" ht="15.75" customHeight="1">
      <c r="A433" s="2">
        <v>432.0</v>
      </c>
      <c r="B433" s="1" t="s">
        <v>1283</v>
      </c>
      <c r="C433" s="1" t="s">
        <v>1284</v>
      </c>
      <c r="D433" s="1" t="s">
        <v>1285</v>
      </c>
      <c r="E433" s="2">
        <v>5.70038354027E11</v>
      </c>
      <c r="F433" s="1" t="s">
        <v>1286</v>
      </c>
      <c r="G433" s="1" t="s">
        <v>18</v>
      </c>
      <c r="H433" s="3" t="s">
        <v>1139</v>
      </c>
      <c r="I433" s="1"/>
    </row>
    <row r="434" ht="15.75" customHeight="1">
      <c r="A434" s="2">
        <v>433.0</v>
      </c>
      <c r="B434" s="1" t="s">
        <v>1287</v>
      </c>
      <c r="C434" s="1" t="s">
        <v>1256</v>
      </c>
      <c r="D434" s="1" t="s">
        <v>1288</v>
      </c>
      <c r="E434" s="2">
        <v>5.70038354028E11</v>
      </c>
      <c r="F434" s="1" t="s">
        <v>1289</v>
      </c>
      <c r="G434" s="1" t="s">
        <v>121</v>
      </c>
      <c r="H434" s="3" t="s">
        <v>1139</v>
      </c>
      <c r="I434" s="1"/>
    </row>
    <row r="435" ht="15.75" customHeight="1">
      <c r="A435" s="2">
        <v>434.0</v>
      </c>
      <c r="B435" s="1" t="s">
        <v>66</v>
      </c>
      <c r="C435" s="1" t="s">
        <v>245</v>
      </c>
      <c r="D435" s="1" t="s">
        <v>1290</v>
      </c>
      <c r="E435" s="2">
        <v>5.70038354031E11</v>
      </c>
      <c r="F435" s="1" t="s">
        <v>1291</v>
      </c>
      <c r="G435" s="1" t="s">
        <v>383</v>
      </c>
      <c r="H435" s="3" t="s">
        <v>1139</v>
      </c>
      <c r="I435" s="1"/>
    </row>
    <row r="436" ht="15.75" customHeight="1">
      <c r="A436" s="2">
        <v>435.0</v>
      </c>
      <c r="B436" s="1" t="s">
        <v>1292</v>
      </c>
      <c r="C436" s="1" t="s">
        <v>1277</v>
      </c>
      <c r="D436" s="1" t="s">
        <v>1293</v>
      </c>
      <c r="E436" s="2">
        <v>5.70038354039E11</v>
      </c>
      <c r="F436" s="1" t="s">
        <v>1294</v>
      </c>
      <c r="G436" s="1" t="s">
        <v>24</v>
      </c>
      <c r="H436" s="3" t="s">
        <v>1139</v>
      </c>
      <c r="I436" s="1"/>
    </row>
    <row r="437" ht="15.75" customHeight="1">
      <c r="A437" s="2">
        <v>436.0</v>
      </c>
      <c r="B437" s="1" t="s">
        <v>1295</v>
      </c>
      <c r="C437" s="1" t="s">
        <v>1259</v>
      </c>
      <c r="D437" s="1" t="s">
        <v>1186</v>
      </c>
      <c r="E437" s="2">
        <v>5.70038354051E11</v>
      </c>
      <c r="F437" s="1" t="s">
        <v>689</v>
      </c>
      <c r="G437" s="1" t="s">
        <v>24</v>
      </c>
      <c r="H437" s="3" t="s">
        <v>1139</v>
      </c>
      <c r="I437" s="1"/>
    </row>
    <row r="438" ht="15.75" customHeight="1">
      <c r="A438" s="2">
        <v>437.0</v>
      </c>
      <c r="B438" s="1" t="s">
        <v>1296</v>
      </c>
      <c r="C438" s="1" t="s">
        <v>1297</v>
      </c>
      <c r="D438" s="1" t="s">
        <v>291</v>
      </c>
      <c r="E438" s="2">
        <v>5.70038354052E11</v>
      </c>
      <c r="F438" s="1" t="s">
        <v>1298</v>
      </c>
      <c r="G438" s="1" t="s">
        <v>143</v>
      </c>
      <c r="H438" s="3" t="s">
        <v>1139</v>
      </c>
      <c r="I438" s="1"/>
    </row>
    <row r="439" ht="15.75" customHeight="1">
      <c r="A439" s="2">
        <v>438.0</v>
      </c>
      <c r="B439" s="1" t="s">
        <v>559</v>
      </c>
      <c r="C439" s="1" t="s">
        <v>1299</v>
      </c>
      <c r="D439" s="1" t="s">
        <v>1260</v>
      </c>
      <c r="E439" s="2">
        <v>5.70038354054E11</v>
      </c>
      <c r="F439" s="1" t="s">
        <v>1300</v>
      </c>
      <c r="G439" s="1" t="s">
        <v>24</v>
      </c>
      <c r="H439" s="3" t="s">
        <v>1139</v>
      </c>
      <c r="I439" s="1"/>
    </row>
    <row r="440" ht="15.75" customHeight="1">
      <c r="A440" s="2">
        <v>439.0</v>
      </c>
      <c r="B440" s="1" t="s">
        <v>105</v>
      </c>
      <c r="C440" s="1" t="s">
        <v>1301</v>
      </c>
      <c r="D440" s="1" t="s">
        <v>1302</v>
      </c>
      <c r="E440" s="2">
        <v>5.70038354057E11</v>
      </c>
      <c r="F440" s="1" t="s">
        <v>1303</v>
      </c>
      <c r="G440" s="1" t="s">
        <v>24</v>
      </c>
      <c r="H440" s="3" t="s">
        <v>1139</v>
      </c>
      <c r="I440" s="1"/>
    </row>
    <row r="441" ht="15.75" customHeight="1">
      <c r="A441" s="2">
        <v>440.0</v>
      </c>
      <c r="B441" s="1" t="s">
        <v>1304</v>
      </c>
      <c r="C441" s="1" t="s">
        <v>1259</v>
      </c>
      <c r="D441" s="1" t="s">
        <v>1260</v>
      </c>
      <c r="E441" s="2">
        <v>5.70038354058E11</v>
      </c>
      <c r="F441" s="1" t="s">
        <v>1305</v>
      </c>
      <c r="G441" s="1" t="s">
        <v>24</v>
      </c>
      <c r="H441" s="3" t="s">
        <v>1139</v>
      </c>
      <c r="I441" s="1"/>
    </row>
    <row r="442" ht="15.75" customHeight="1">
      <c r="A442" s="2">
        <v>441.0</v>
      </c>
      <c r="B442" s="1" t="s">
        <v>1306</v>
      </c>
      <c r="C442" s="1" t="s">
        <v>1256</v>
      </c>
      <c r="D442" s="1" t="s">
        <v>1288</v>
      </c>
      <c r="E442" s="2">
        <v>5.70038354059E11</v>
      </c>
      <c r="F442" s="1" t="s">
        <v>1307</v>
      </c>
      <c r="G442" s="1" t="s">
        <v>24</v>
      </c>
      <c r="H442" s="3" t="s">
        <v>1139</v>
      </c>
      <c r="I442" s="1"/>
    </row>
    <row r="443" ht="15.75" customHeight="1">
      <c r="A443" s="2">
        <v>442.0</v>
      </c>
      <c r="B443" s="1" t="s">
        <v>1308</v>
      </c>
      <c r="C443" s="1" t="s">
        <v>1309</v>
      </c>
      <c r="D443" s="1" t="s">
        <v>291</v>
      </c>
      <c r="E443" s="2">
        <v>5.7003835406E11</v>
      </c>
      <c r="F443" s="1" t="s">
        <v>1310</v>
      </c>
      <c r="G443" s="1" t="s">
        <v>24</v>
      </c>
      <c r="H443" s="3" t="s">
        <v>1139</v>
      </c>
      <c r="I443" s="1"/>
    </row>
    <row r="444" ht="15.75" customHeight="1">
      <c r="A444" s="2">
        <v>443.0</v>
      </c>
      <c r="B444" s="1" t="s">
        <v>936</v>
      </c>
      <c r="C444" s="1" t="s">
        <v>1202</v>
      </c>
      <c r="D444" s="1" t="s">
        <v>324</v>
      </c>
      <c r="E444" s="2">
        <v>5.70038354062E11</v>
      </c>
      <c r="F444" s="1" t="s">
        <v>1311</v>
      </c>
      <c r="G444" s="1" t="s">
        <v>24</v>
      </c>
      <c r="H444" s="3" t="s">
        <v>1139</v>
      </c>
      <c r="I444" s="1"/>
    </row>
    <row r="445" ht="15.75" customHeight="1">
      <c r="A445" s="2">
        <v>444.0</v>
      </c>
      <c r="B445" s="1" t="s">
        <v>1312</v>
      </c>
      <c r="C445" s="1" t="s">
        <v>1313</v>
      </c>
      <c r="D445" s="1" t="s">
        <v>1186</v>
      </c>
      <c r="E445" s="2">
        <v>5.70038354066E11</v>
      </c>
      <c r="F445" s="1" t="s">
        <v>1314</v>
      </c>
      <c r="G445" s="1" t="s">
        <v>24</v>
      </c>
      <c r="H445" s="3" t="s">
        <v>1139</v>
      </c>
      <c r="I445" s="1"/>
    </row>
    <row r="446" ht="15.75" customHeight="1">
      <c r="A446" s="2">
        <v>445.0</v>
      </c>
      <c r="B446" s="1" t="s">
        <v>1315</v>
      </c>
      <c r="C446" s="1" t="s">
        <v>1001</v>
      </c>
      <c r="D446" s="1" t="s">
        <v>1316</v>
      </c>
      <c r="E446" s="2">
        <v>5.70038354067E11</v>
      </c>
      <c r="F446" s="1" t="s">
        <v>1317</v>
      </c>
      <c r="G446" s="1" t="s">
        <v>18</v>
      </c>
      <c r="H446" s="3" t="s">
        <v>1139</v>
      </c>
      <c r="I446" s="1"/>
    </row>
    <row r="447" ht="15.75" customHeight="1">
      <c r="A447" s="2">
        <v>446.0</v>
      </c>
      <c r="B447" s="1" t="s">
        <v>1188</v>
      </c>
      <c r="C447" s="1" t="s">
        <v>1318</v>
      </c>
      <c r="D447" s="1" t="s">
        <v>540</v>
      </c>
      <c r="E447" s="2">
        <v>5.70038354068E11</v>
      </c>
      <c r="F447" s="1" t="s">
        <v>1319</v>
      </c>
      <c r="G447" s="1" t="s">
        <v>18</v>
      </c>
      <c r="H447" s="3" t="s">
        <v>1139</v>
      </c>
      <c r="I447" s="1"/>
    </row>
    <row r="448" ht="15.75" customHeight="1">
      <c r="A448" s="2">
        <v>447.0</v>
      </c>
      <c r="B448" s="1" t="s">
        <v>639</v>
      </c>
      <c r="C448" s="1" t="s">
        <v>1320</v>
      </c>
      <c r="D448" s="1" t="s">
        <v>1321</v>
      </c>
      <c r="E448" s="2">
        <v>5.70038354071E11</v>
      </c>
      <c r="F448" s="1" t="s">
        <v>1322</v>
      </c>
      <c r="G448" s="1" t="s">
        <v>18</v>
      </c>
      <c r="H448" s="3" t="s">
        <v>1139</v>
      </c>
      <c r="I448" s="1"/>
    </row>
    <row r="449" ht="15.75" customHeight="1">
      <c r="A449" s="2">
        <v>448.0</v>
      </c>
      <c r="B449" s="1" t="s">
        <v>130</v>
      </c>
      <c r="C449" s="1" t="s">
        <v>1323</v>
      </c>
      <c r="D449" s="1" t="s">
        <v>1324</v>
      </c>
      <c r="E449" s="2">
        <v>5.70038354073E11</v>
      </c>
      <c r="F449" s="1" t="s">
        <v>1325</v>
      </c>
      <c r="G449" s="1" t="s">
        <v>18</v>
      </c>
      <c r="H449" s="3" t="s">
        <v>1139</v>
      </c>
      <c r="I449" s="1"/>
    </row>
    <row r="450" ht="15.75" customHeight="1">
      <c r="A450" s="2">
        <v>449.0</v>
      </c>
      <c r="B450" s="1" t="s">
        <v>1326</v>
      </c>
      <c r="C450" s="1" t="s">
        <v>1276</v>
      </c>
      <c r="D450" s="1" t="s">
        <v>1327</v>
      </c>
      <c r="E450" s="2">
        <v>5.70038354075E11</v>
      </c>
      <c r="F450" s="1" t="s">
        <v>1328</v>
      </c>
      <c r="G450" s="1" t="s">
        <v>38</v>
      </c>
      <c r="H450" s="3" t="s">
        <v>1139</v>
      </c>
      <c r="I450" s="1"/>
    </row>
    <row r="451" ht="15.75" customHeight="1">
      <c r="A451" s="2">
        <v>450.0</v>
      </c>
      <c r="B451" s="1" t="s">
        <v>1329</v>
      </c>
      <c r="C451" s="1" t="s">
        <v>1330</v>
      </c>
      <c r="D451" s="1" t="s">
        <v>1331</v>
      </c>
      <c r="E451" s="2">
        <v>5.70038354079E11</v>
      </c>
      <c r="F451" s="1" t="s">
        <v>1332</v>
      </c>
      <c r="G451" s="1" t="s">
        <v>18</v>
      </c>
      <c r="H451" s="3" t="s">
        <v>1139</v>
      </c>
      <c r="I451" s="1"/>
    </row>
    <row r="452" ht="15.75" customHeight="1">
      <c r="A452" s="2">
        <v>451.0</v>
      </c>
      <c r="B452" s="1" t="s">
        <v>1333</v>
      </c>
      <c r="C452" s="1" t="s">
        <v>1334</v>
      </c>
      <c r="D452" s="1" t="s">
        <v>231</v>
      </c>
      <c r="E452" s="2">
        <v>5.7003835408E11</v>
      </c>
      <c r="F452" s="1" t="s">
        <v>1335</v>
      </c>
      <c r="G452" s="1" t="s">
        <v>18</v>
      </c>
      <c r="H452" s="3" t="s">
        <v>1139</v>
      </c>
      <c r="I452" s="1"/>
    </row>
    <row r="453" ht="15.75" customHeight="1">
      <c r="A453" s="2">
        <v>452.0</v>
      </c>
      <c r="B453" s="1" t="s">
        <v>656</v>
      </c>
      <c r="C453" s="1" t="s">
        <v>1336</v>
      </c>
      <c r="D453" s="1" t="s">
        <v>1337</v>
      </c>
      <c r="E453" s="2">
        <v>5.70038354082E11</v>
      </c>
      <c r="F453" s="1" t="s">
        <v>1338</v>
      </c>
      <c r="G453" s="1" t="s">
        <v>38</v>
      </c>
      <c r="H453" s="3" t="s">
        <v>1139</v>
      </c>
      <c r="I453" s="1"/>
    </row>
    <row r="454" ht="15.75" customHeight="1">
      <c r="A454" s="2">
        <v>453.0</v>
      </c>
      <c r="B454" s="1" t="s">
        <v>1339</v>
      </c>
      <c r="C454" s="1" t="s">
        <v>1340</v>
      </c>
      <c r="D454" s="1" t="s">
        <v>1341</v>
      </c>
      <c r="E454" s="2">
        <v>5.70038354085E11</v>
      </c>
      <c r="F454" s="1" t="s">
        <v>1342</v>
      </c>
      <c r="G454" s="1" t="s">
        <v>24</v>
      </c>
      <c r="H454" s="3" t="s">
        <v>1139</v>
      </c>
      <c r="I454" s="1"/>
    </row>
    <row r="455" ht="15.75" customHeight="1">
      <c r="A455" s="2">
        <v>454.0</v>
      </c>
      <c r="B455" s="1" t="s">
        <v>1253</v>
      </c>
      <c r="C455" s="1" t="s">
        <v>1343</v>
      </c>
      <c r="D455" s="1" t="s">
        <v>1344</v>
      </c>
      <c r="E455" s="2">
        <v>5.70038354089E11</v>
      </c>
      <c r="F455" s="1" t="s">
        <v>1345</v>
      </c>
      <c r="G455" s="1" t="s">
        <v>38</v>
      </c>
      <c r="H455" s="3" t="s">
        <v>1139</v>
      </c>
      <c r="I455" s="1"/>
    </row>
    <row r="456" ht="15.75" customHeight="1">
      <c r="A456" s="2">
        <v>455.0</v>
      </c>
      <c r="B456" s="1" t="s">
        <v>1346</v>
      </c>
      <c r="C456" s="1" t="s">
        <v>1347</v>
      </c>
      <c r="D456" s="1" t="s">
        <v>1348</v>
      </c>
      <c r="E456" s="2">
        <v>5.70038354091E11</v>
      </c>
      <c r="F456" s="1" t="s">
        <v>1349</v>
      </c>
      <c r="G456" s="1" t="s">
        <v>24</v>
      </c>
      <c r="H456" s="3" t="s">
        <v>1139</v>
      </c>
      <c r="I456" s="1"/>
    </row>
    <row r="457" ht="15.75" customHeight="1">
      <c r="A457" s="2">
        <v>456.0</v>
      </c>
      <c r="B457" s="1" t="s">
        <v>1350</v>
      </c>
      <c r="C457" s="1" t="s">
        <v>1351</v>
      </c>
      <c r="D457" s="1" t="s">
        <v>381</v>
      </c>
      <c r="E457" s="2">
        <v>5.70038354093E11</v>
      </c>
      <c r="F457" s="1" t="s">
        <v>1352</v>
      </c>
      <c r="G457" s="1" t="s">
        <v>24</v>
      </c>
      <c r="H457" s="3" t="s">
        <v>1139</v>
      </c>
      <c r="I457" s="1"/>
    </row>
    <row r="458" ht="15.75" customHeight="1">
      <c r="A458" s="2">
        <v>457.0</v>
      </c>
      <c r="B458" s="1" t="s">
        <v>993</v>
      </c>
      <c r="C458" s="1" t="s">
        <v>1353</v>
      </c>
      <c r="D458" s="1" t="s">
        <v>1107</v>
      </c>
      <c r="E458" s="2">
        <v>5.70038354095E11</v>
      </c>
      <c r="F458" s="1" t="s">
        <v>1354</v>
      </c>
      <c r="G458" s="1" t="s">
        <v>24</v>
      </c>
      <c r="H458" s="3" t="s">
        <v>1139</v>
      </c>
      <c r="I458" s="1"/>
    </row>
    <row r="459" ht="15.75" customHeight="1">
      <c r="A459" s="2">
        <v>458.0</v>
      </c>
      <c r="B459" s="1" t="s">
        <v>1355</v>
      </c>
      <c r="C459" s="1" t="s">
        <v>1356</v>
      </c>
      <c r="D459" s="1" t="s">
        <v>135</v>
      </c>
      <c r="E459" s="2">
        <v>5.70038354098E11</v>
      </c>
      <c r="F459" s="1" t="s">
        <v>1357</v>
      </c>
      <c r="G459" s="1" t="s">
        <v>24</v>
      </c>
      <c r="H459" s="3" t="s">
        <v>1139</v>
      </c>
      <c r="I459" s="1"/>
    </row>
    <row r="460" ht="15.75" customHeight="1">
      <c r="A460" s="2">
        <v>459.0</v>
      </c>
      <c r="B460" s="1" t="s">
        <v>1358</v>
      </c>
      <c r="C460" s="1" t="s">
        <v>1359</v>
      </c>
      <c r="D460" s="1" t="s">
        <v>1360</v>
      </c>
      <c r="E460" s="2">
        <v>5.70038354099E11</v>
      </c>
      <c r="F460" s="1" t="s">
        <v>523</v>
      </c>
      <c r="G460" s="1" t="s">
        <v>38</v>
      </c>
      <c r="H460" s="3" t="s">
        <v>1139</v>
      </c>
      <c r="I460" s="1"/>
    </row>
    <row r="461" ht="15.75" customHeight="1">
      <c r="A461" s="2">
        <v>460.0</v>
      </c>
      <c r="B461" s="1" t="s">
        <v>762</v>
      </c>
      <c r="C461" s="1" t="s">
        <v>1211</v>
      </c>
      <c r="D461" s="1" t="s">
        <v>73</v>
      </c>
      <c r="E461" s="2">
        <v>5.70038354101E11</v>
      </c>
      <c r="F461" s="1" t="s">
        <v>1361</v>
      </c>
      <c r="G461" s="1" t="s">
        <v>18</v>
      </c>
      <c r="H461" s="3" t="s">
        <v>1139</v>
      </c>
      <c r="I461" s="1"/>
    </row>
    <row r="462" ht="15.75" customHeight="1">
      <c r="A462" s="2">
        <v>461.0</v>
      </c>
      <c r="B462" s="1" t="s">
        <v>1358</v>
      </c>
      <c r="C462" s="1" t="s">
        <v>1269</v>
      </c>
      <c r="D462" s="1" t="s">
        <v>1362</v>
      </c>
      <c r="E462" s="2">
        <v>5.70038354102E11</v>
      </c>
      <c r="F462" s="1" t="s">
        <v>1363</v>
      </c>
      <c r="G462" s="1" t="s">
        <v>24</v>
      </c>
      <c r="H462" s="3" t="s">
        <v>1139</v>
      </c>
      <c r="I462" s="1"/>
    </row>
    <row r="463" ht="15.75" customHeight="1">
      <c r="A463" s="2">
        <v>462.0</v>
      </c>
      <c r="B463" s="1" t="s">
        <v>639</v>
      </c>
      <c r="C463" s="1" t="s">
        <v>1364</v>
      </c>
      <c r="D463" s="1" t="s">
        <v>1365</v>
      </c>
      <c r="E463" s="2">
        <v>5.70038354103E11</v>
      </c>
      <c r="F463" s="1" t="s">
        <v>1366</v>
      </c>
      <c r="G463" s="1" t="s">
        <v>18</v>
      </c>
      <c r="H463" s="3" t="s">
        <v>1139</v>
      </c>
      <c r="I463" s="1"/>
    </row>
    <row r="464" ht="15.75" customHeight="1">
      <c r="A464" s="2">
        <v>463.0</v>
      </c>
      <c r="B464" s="1" t="s">
        <v>1367</v>
      </c>
      <c r="C464" s="1" t="s">
        <v>1368</v>
      </c>
      <c r="D464" s="1" t="s">
        <v>1369</v>
      </c>
      <c r="E464" s="2">
        <v>5.70038354104E11</v>
      </c>
      <c r="F464" s="1" t="s">
        <v>1370</v>
      </c>
      <c r="G464" s="1" t="s">
        <v>18</v>
      </c>
      <c r="H464" s="3" t="s">
        <v>1139</v>
      </c>
      <c r="I464" s="1"/>
    </row>
    <row r="465" ht="15.75" customHeight="1">
      <c r="A465" s="2">
        <v>464.0</v>
      </c>
      <c r="B465" s="1" t="s">
        <v>223</v>
      </c>
      <c r="C465" s="1" t="s">
        <v>1371</v>
      </c>
      <c r="D465" s="1" t="s">
        <v>242</v>
      </c>
      <c r="E465" s="2">
        <v>5.70038354105E11</v>
      </c>
      <c r="F465" s="1" t="s">
        <v>1372</v>
      </c>
      <c r="G465" s="1" t="s">
        <v>38</v>
      </c>
      <c r="H465" s="3" t="s">
        <v>1139</v>
      </c>
      <c r="I465" s="1"/>
    </row>
    <row r="466" ht="15.75" customHeight="1">
      <c r="A466" s="2">
        <v>465.0</v>
      </c>
      <c r="B466" s="1" t="s">
        <v>1373</v>
      </c>
      <c r="C466" s="1" t="s">
        <v>1374</v>
      </c>
      <c r="D466" s="1" t="s">
        <v>1375</v>
      </c>
      <c r="E466" s="2">
        <v>5.70038354106E11</v>
      </c>
      <c r="F466" s="1" t="s">
        <v>1376</v>
      </c>
      <c r="G466" s="1" t="s">
        <v>24</v>
      </c>
      <c r="H466" s="3" t="s">
        <v>1139</v>
      </c>
      <c r="I466" s="1"/>
    </row>
    <row r="467" ht="15.75" customHeight="1">
      <c r="A467" s="2">
        <v>466.0</v>
      </c>
      <c r="B467" s="1" t="s">
        <v>276</v>
      </c>
      <c r="C467" s="1" t="s">
        <v>1377</v>
      </c>
      <c r="D467" s="1" t="s">
        <v>10</v>
      </c>
      <c r="E467" s="2">
        <v>5.70038354107E11</v>
      </c>
      <c r="F467" s="1" t="s">
        <v>1378</v>
      </c>
      <c r="G467" s="1" t="s">
        <v>18</v>
      </c>
      <c r="H467" s="3" t="s">
        <v>1139</v>
      </c>
      <c r="I467" s="1"/>
    </row>
    <row r="468" ht="15.75" customHeight="1">
      <c r="A468" s="2">
        <v>467.0</v>
      </c>
      <c r="B468" s="1" t="s">
        <v>1379</v>
      </c>
      <c r="C468" s="1" t="s">
        <v>1380</v>
      </c>
      <c r="D468" s="1" t="s">
        <v>1381</v>
      </c>
      <c r="E468" s="2">
        <v>5.70038354108E11</v>
      </c>
      <c r="F468" s="1" t="s">
        <v>1382</v>
      </c>
      <c r="G468" s="1" t="s">
        <v>24</v>
      </c>
      <c r="H468" s="3" t="s">
        <v>1139</v>
      </c>
      <c r="I468" s="1"/>
    </row>
    <row r="469" ht="15.75" customHeight="1">
      <c r="A469" s="2">
        <v>468.0</v>
      </c>
      <c r="B469" s="1" t="s">
        <v>66</v>
      </c>
      <c r="C469" s="1" t="s">
        <v>1383</v>
      </c>
      <c r="D469" s="1" t="s">
        <v>1384</v>
      </c>
      <c r="E469" s="2">
        <v>5.70038354109E11</v>
      </c>
      <c r="F469" s="1" t="s">
        <v>1385</v>
      </c>
      <c r="G469" s="1" t="s">
        <v>24</v>
      </c>
      <c r="H469" s="3" t="s">
        <v>1139</v>
      </c>
      <c r="I469" s="1"/>
    </row>
    <row r="470" ht="15.75" customHeight="1">
      <c r="A470" s="2">
        <v>469.0</v>
      </c>
      <c r="B470" s="1" t="s">
        <v>72</v>
      </c>
      <c r="C470" s="1" t="s">
        <v>981</v>
      </c>
      <c r="D470" s="1" t="s">
        <v>536</v>
      </c>
      <c r="E470" s="2">
        <v>5.7003835411E11</v>
      </c>
      <c r="F470" s="1" t="s">
        <v>1386</v>
      </c>
      <c r="G470" s="1" t="s">
        <v>18</v>
      </c>
      <c r="H470" s="3" t="s">
        <v>1139</v>
      </c>
      <c r="I470" s="1"/>
    </row>
    <row r="471" ht="15.75" customHeight="1">
      <c r="A471" s="2">
        <v>470.0</v>
      </c>
      <c r="B471" s="1" t="s">
        <v>1269</v>
      </c>
      <c r="C471" s="1" t="s">
        <v>586</v>
      </c>
      <c r="D471" s="1" t="s">
        <v>587</v>
      </c>
      <c r="E471" s="2">
        <v>5.70038354111E11</v>
      </c>
      <c r="F471" s="1" t="s">
        <v>1387</v>
      </c>
      <c r="G471" s="1" t="s">
        <v>38</v>
      </c>
      <c r="H471" s="3" t="s">
        <v>1139</v>
      </c>
      <c r="I471" s="1"/>
    </row>
    <row r="472" ht="15.75" customHeight="1">
      <c r="A472" s="2">
        <v>471.0</v>
      </c>
      <c r="B472" s="1" t="s">
        <v>1388</v>
      </c>
      <c r="C472" s="1" t="s">
        <v>1374</v>
      </c>
      <c r="D472" s="1" t="s">
        <v>1389</v>
      </c>
      <c r="E472" s="2">
        <v>5.70038354113E11</v>
      </c>
      <c r="F472" s="1" t="s">
        <v>1390</v>
      </c>
      <c r="G472" s="1" t="s">
        <v>24</v>
      </c>
      <c r="H472" s="3" t="s">
        <v>1139</v>
      </c>
      <c r="I472" s="1"/>
    </row>
    <row r="473" ht="15.75" customHeight="1">
      <c r="A473" s="2">
        <v>472.0</v>
      </c>
      <c r="B473" s="1" t="s">
        <v>25</v>
      </c>
      <c r="C473" s="1" t="s">
        <v>1391</v>
      </c>
      <c r="D473" s="1" t="s">
        <v>1392</v>
      </c>
      <c r="E473" s="2">
        <v>5.70038354114E11</v>
      </c>
      <c r="F473" s="1" t="s">
        <v>1393</v>
      </c>
      <c r="G473" s="1" t="s">
        <v>38</v>
      </c>
      <c r="H473" s="3" t="s">
        <v>1139</v>
      </c>
      <c r="I473" s="1"/>
    </row>
    <row r="474" ht="15.75" customHeight="1">
      <c r="A474" s="2">
        <v>473.0</v>
      </c>
      <c r="B474" s="1" t="s">
        <v>209</v>
      </c>
      <c r="C474" s="1" t="s">
        <v>1394</v>
      </c>
      <c r="D474" s="1" t="s">
        <v>193</v>
      </c>
      <c r="E474" s="2">
        <v>5.70038354118E11</v>
      </c>
      <c r="F474" s="1" t="s">
        <v>1395</v>
      </c>
      <c r="G474" s="1" t="s">
        <v>38</v>
      </c>
      <c r="H474" s="3" t="s">
        <v>1139</v>
      </c>
      <c r="I474" s="1"/>
    </row>
    <row r="475" ht="15.75" customHeight="1">
      <c r="A475" s="2">
        <v>474.0</v>
      </c>
      <c r="B475" s="1" t="s">
        <v>848</v>
      </c>
      <c r="C475" s="1" t="s">
        <v>1205</v>
      </c>
      <c r="D475" s="1" t="s">
        <v>1209</v>
      </c>
      <c r="E475" s="2">
        <v>5.70038354122E11</v>
      </c>
      <c r="F475" s="1" t="s">
        <v>1396</v>
      </c>
      <c r="G475" s="1" t="s">
        <v>24</v>
      </c>
      <c r="H475" s="3" t="s">
        <v>1139</v>
      </c>
      <c r="I475" s="1"/>
    </row>
    <row r="476" ht="15.75" customHeight="1">
      <c r="A476" s="2">
        <v>475.0</v>
      </c>
      <c r="B476" s="1" t="s">
        <v>1397</v>
      </c>
      <c r="C476" s="1" t="s">
        <v>330</v>
      </c>
      <c r="D476" s="1" t="s">
        <v>1398</v>
      </c>
      <c r="E476" s="2">
        <v>5.70038354127E11</v>
      </c>
      <c r="F476" s="1" t="s">
        <v>1399</v>
      </c>
      <c r="G476" s="1" t="s">
        <v>121</v>
      </c>
      <c r="H476" s="3" t="s">
        <v>1139</v>
      </c>
      <c r="I476" s="1"/>
    </row>
    <row r="477" ht="15.75" customHeight="1">
      <c r="A477" s="2">
        <v>476.0</v>
      </c>
      <c r="B477" s="1" t="s">
        <v>340</v>
      </c>
      <c r="C477" s="1" t="s">
        <v>1400</v>
      </c>
      <c r="D477" s="1" t="s">
        <v>1401</v>
      </c>
      <c r="E477" s="2">
        <v>5.70038354128E11</v>
      </c>
      <c r="F477" s="1" t="s">
        <v>409</v>
      </c>
      <c r="G477" s="1" t="s">
        <v>38</v>
      </c>
      <c r="H477" s="3" t="s">
        <v>1139</v>
      </c>
      <c r="I477" s="1"/>
    </row>
    <row r="478" ht="15.75" customHeight="1">
      <c r="A478" s="2">
        <v>477.0</v>
      </c>
      <c r="B478" s="1" t="s">
        <v>1402</v>
      </c>
      <c r="C478" s="1" t="s">
        <v>1403</v>
      </c>
      <c r="D478" s="1" t="s">
        <v>736</v>
      </c>
      <c r="E478" s="2">
        <v>5.7003835413E11</v>
      </c>
      <c r="F478" s="1" t="s">
        <v>1404</v>
      </c>
      <c r="G478" s="1" t="s">
        <v>18</v>
      </c>
      <c r="H478" s="3" t="s">
        <v>1139</v>
      </c>
      <c r="I478" s="1"/>
    </row>
    <row r="479" ht="15.75" customHeight="1">
      <c r="A479" s="2">
        <v>478.0</v>
      </c>
      <c r="B479" s="1" t="s">
        <v>1405</v>
      </c>
      <c r="C479" s="1" t="s">
        <v>130</v>
      </c>
      <c r="D479" s="1" t="s">
        <v>1406</v>
      </c>
      <c r="E479" s="2">
        <v>5.70038354131E11</v>
      </c>
      <c r="F479" s="1" t="s">
        <v>1407</v>
      </c>
      <c r="G479" s="1" t="s">
        <v>18</v>
      </c>
      <c r="H479" s="3" t="s">
        <v>1139</v>
      </c>
      <c r="I479" s="1"/>
    </row>
    <row r="480" ht="15.75" customHeight="1">
      <c r="A480" s="2">
        <v>479.0</v>
      </c>
      <c r="B480" s="1" t="s">
        <v>1408</v>
      </c>
      <c r="C480" s="1" t="s">
        <v>1409</v>
      </c>
      <c r="D480" s="1" t="s">
        <v>1410</v>
      </c>
      <c r="E480" s="2">
        <v>5.70038354133E11</v>
      </c>
      <c r="F480" s="1" t="s">
        <v>1411</v>
      </c>
      <c r="G480" s="1" t="s">
        <v>24</v>
      </c>
      <c r="H480" s="3" t="s">
        <v>1139</v>
      </c>
      <c r="I480" s="1"/>
    </row>
    <row r="481" ht="15.75" customHeight="1">
      <c r="A481" s="2">
        <v>480.0</v>
      </c>
      <c r="B481" s="1" t="s">
        <v>1065</v>
      </c>
      <c r="C481" s="1" t="s">
        <v>1412</v>
      </c>
      <c r="D481" s="1" t="s">
        <v>161</v>
      </c>
      <c r="E481" s="2">
        <v>5.70038354137E11</v>
      </c>
      <c r="F481" s="1" t="s">
        <v>1413</v>
      </c>
      <c r="G481" s="1" t="s">
        <v>18</v>
      </c>
      <c r="H481" s="3" t="s">
        <v>1139</v>
      </c>
      <c r="I481" s="1"/>
    </row>
    <row r="482" ht="15.75" customHeight="1">
      <c r="A482" s="2">
        <v>481.0</v>
      </c>
      <c r="B482" s="1" t="s">
        <v>1414</v>
      </c>
      <c r="C482" s="1" t="s">
        <v>612</v>
      </c>
      <c r="D482" s="1" t="s">
        <v>119</v>
      </c>
      <c r="E482" s="2">
        <v>5.70038354138E11</v>
      </c>
      <c r="F482" s="1" t="s">
        <v>1415</v>
      </c>
      <c r="G482" s="1" t="s">
        <v>18</v>
      </c>
      <c r="H482" s="3" t="s">
        <v>1139</v>
      </c>
      <c r="I482" s="1"/>
    </row>
    <row r="483" ht="15.75" customHeight="1">
      <c r="A483" s="2">
        <v>482.0</v>
      </c>
      <c r="B483" s="1" t="s">
        <v>1416</v>
      </c>
      <c r="C483" s="1" t="s">
        <v>1417</v>
      </c>
      <c r="D483" s="1" t="s">
        <v>196</v>
      </c>
      <c r="E483" s="2">
        <v>5.70038354142E11</v>
      </c>
      <c r="F483" s="1" t="s">
        <v>1418</v>
      </c>
      <c r="G483" s="1" t="s">
        <v>38</v>
      </c>
      <c r="H483" s="3" t="s">
        <v>1139</v>
      </c>
      <c r="I483" s="1"/>
    </row>
    <row r="484" ht="15.75" customHeight="1">
      <c r="A484" s="2">
        <v>483.0</v>
      </c>
      <c r="B484" s="1" t="s">
        <v>66</v>
      </c>
      <c r="C484" s="1" t="s">
        <v>1419</v>
      </c>
      <c r="D484" s="1" t="s">
        <v>1420</v>
      </c>
      <c r="E484" s="2">
        <v>5.70038354146E11</v>
      </c>
      <c r="F484" s="1" t="s">
        <v>1421</v>
      </c>
      <c r="G484" s="1" t="s">
        <v>980</v>
      </c>
      <c r="H484" s="3" t="s">
        <v>1139</v>
      </c>
      <c r="I484" s="1"/>
    </row>
    <row r="485" ht="15.75" customHeight="1">
      <c r="A485" s="2">
        <v>484.0</v>
      </c>
      <c r="B485" s="1" t="s">
        <v>1422</v>
      </c>
      <c r="C485" s="1" t="s">
        <v>434</v>
      </c>
      <c r="D485" s="1" t="s">
        <v>1423</v>
      </c>
      <c r="E485" s="2">
        <v>5.70038354149E11</v>
      </c>
      <c r="F485" s="1" t="s">
        <v>1424</v>
      </c>
      <c r="G485" s="1" t="s">
        <v>24</v>
      </c>
      <c r="H485" s="3" t="s">
        <v>1139</v>
      </c>
      <c r="I485" s="1"/>
    </row>
    <row r="486" ht="15.75" customHeight="1">
      <c r="A486" s="2">
        <v>485.0</v>
      </c>
      <c r="B486" s="1" t="s">
        <v>72</v>
      </c>
      <c r="C486" s="1" t="s">
        <v>713</v>
      </c>
      <c r="D486" s="1" t="s">
        <v>62</v>
      </c>
      <c r="E486" s="2">
        <v>5.70038354203E11</v>
      </c>
      <c r="F486" s="1" t="s">
        <v>1425</v>
      </c>
      <c r="G486" s="1" t="s">
        <v>38</v>
      </c>
      <c r="H486" s="3" t="s">
        <v>1139</v>
      </c>
      <c r="I486" s="1"/>
    </row>
    <row r="487" ht="15.75" customHeight="1">
      <c r="A487" s="2">
        <v>486.0</v>
      </c>
      <c r="B487" s="1" t="s">
        <v>897</v>
      </c>
      <c r="C487" s="1" t="s">
        <v>1426</v>
      </c>
      <c r="D487" s="1" t="s">
        <v>1427</v>
      </c>
      <c r="E487" s="2">
        <v>5.70038354205E11</v>
      </c>
      <c r="F487" s="1" t="s">
        <v>1428</v>
      </c>
      <c r="G487" s="1" t="s">
        <v>38</v>
      </c>
      <c r="H487" s="3" t="s">
        <v>1139</v>
      </c>
      <c r="I487" s="1"/>
    </row>
    <row r="488" ht="15.75" customHeight="1">
      <c r="A488" s="2">
        <v>487.0</v>
      </c>
      <c r="B488" s="1" t="s">
        <v>1429</v>
      </c>
      <c r="C488" s="1" t="s">
        <v>1430</v>
      </c>
      <c r="D488" s="1" t="s">
        <v>1427</v>
      </c>
      <c r="E488" s="2">
        <v>5.70038354207E11</v>
      </c>
      <c r="F488" s="1" t="s">
        <v>1431</v>
      </c>
      <c r="G488" s="1" t="s">
        <v>24</v>
      </c>
      <c r="H488" s="3" t="s">
        <v>1139</v>
      </c>
      <c r="I488" s="1"/>
    </row>
    <row r="489" ht="15.75" customHeight="1">
      <c r="A489" s="2">
        <v>488.0</v>
      </c>
      <c r="B489" s="1" t="s">
        <v>1432</v>
      </c>
      <c r="C489" s="1" t="s">
        <v>1433</v>
      </c>
      <c r="D489" s="1" t="s">
        <v>1427</v>
      </c>
      <c r="E489" s="2">
        <v>5.70038354208E11</v>
      </c>
      <c r="F489" s="1" t="s">
        <v>712</v>
      </c>
      <c r="G489" s="1" t="s">
        <v>24</v>
      </c>
      <c r="H489" s="3" t="s">
        <v>1139</v>
      </c>
      <c r="I489" s="1"/>
    </row>
    <row r="490" ht="15.75" customHeight="1">
      <c r="A490" s="2">
        <v>489.0</v>
      </c>
      <c r="B490" s="1" t="s">
        <v>1434</v>
      </c>
      <c r="C490" s="1" t="s">
        <v>1426</v>
      </c>
      <c r="D490" s="1" t="s">
        <v>1427</v>
      </c>
      <c r="E490" s="2">
        <v>5.70038354209E11</v>
      </c>
      <c r="F490" s="1" t="s">
        <v>1435</v>
      </c>
      <c r="G490" s="1" t="s">
        <v>24</v>
      </c>
      <c r="H490" s="3" t="s">
        <v>1139</v>
      </c>
      <c r="I490" s="1"/>
    </row>
    <row r="491" ht="15.75" customHeight="1">
      <c r="A491" s="2">
        <v>490.0</v>
      </c>
      <c r="B491" s="1" t="s">
        <v>762</v>
      </c>
      <c r="C491" s="1" t="s">
        <v>1429</v>
      </c>
      <c r="D491" s="1" t="s">
        <v>1436</v>
      </c>
      <c r="E491" s="2">
        <v>5.70038354211E11</v>
      </c>
      <c r="F491" s="1" t="s">
        <v>1437</v>
      </c>
      <c r="G491" s="1" t="s">
        <v>24</v>
      </c>
      <c r="H491" s="3" t="s">
        <v>1139</v>
      </c>
      <c r="I491" s="1"/>
    </row>
    <row r="492" ht="15.75" customHeight="1">
      <c r="A492" s="2">
        <v>491.0</v>
      </c>
      <c r="B492" s="1" t="s">
        <v>1438</v>
      </c>
      <c r="C492" s="1" t="s">
        <v>798</v>
      </c>
      <c r="D492" s="1" t="s">
        <v>770</v>
      </c>
      <c r="E492" s="2">
        <v>5.70038354213E11</v>
      </c>
      <c r="F492" s="1" t="s">
        <v>1439</v>
      </c>
      <c r="G492" s="1" t="s">
        <v>24</v>
      </c>
      <c r="H492" s="3" t="s">
        <v>1139</v>
      </c>
      <c r="I492" s="1"/>
    </row>
    <row r="493" ht="15.75" customHeight="1">
      <c r="A493" s="2">
        <v>492.0</v>
      </c>
      <c r="B493" s="1" t="s">
        <v>798</v>
      </c>
      <c r="C493" s="1" t="s">
        <v>1440</v>
      </c>
      <c r="D493" s="1" t="s">
        <v>1441</v>
      </c>
      <c r="E493" s="2">
        <v>5.70038354215E11</v>
      </c>
      <c r="F493" s="1" t="s">
        <v>1442</v>
      </c>
      <c r="G493" s="1" t="s">
        <v>24</v>
      </c>
      <c r="H493" s="3" t="s">
        <v>1139</v>
      </c>
      <c r="I493" s="1"/>
    </row>
    <row r="494" ht="15.75" customHeight="1">
      <c r="A494" s="2">
        <v>493.0</v>
      </c>
      <c r="B494" s="1" t="s">
        <v>852</v>
      </c>
      <c r="C494" s="1" t="s">
        <v>798</v>
      </c>
      <c r="D494" s="1" t="s">
        <v>770</v>
      </c>
      <c r="E494" s="2">
        <v>5.70038354217E11</v>
      </c>
      <c r="F494" s="1" t="s">
        <v>1443</v>
      </c>
      <c r="G494" s="1" t="s">
        <v>24</v>
      </c>
      <c r="H494" s="3" t="s">
        <v>1139</v>
      </c>
      <c r="I494" s="1"/>
    </row>
    <row r="495" ht="15.75" customHeight="1">
      <c r="A495" s="2">
        <v>494.0</v>
      </c>
      <c r="B495" s="1" t="s">
        <v>43</v>
      </c>
      <c r="C495" s="1" t="s">
        <v>798</v>
      </c>
      <c r="D495" s="1" t="s">
        <v>770</v>
      </c>
      <c r="E495" s="2">
        <v>5.70038354218E11</v>
      </c>
      <c r="F495" s="1" t="s">
        <v>1444</v>
      </c>
      <c r="G495" s="1" t="s">
        <v>121</v>
      </c>
      <c r="H495" s="3" t="s">
        <v>1139</v>
      </c>
      <c r="I495" s="1"/>
    </row>
    <row r="496" ht="15.75" customHeight="1">
      <c r="A496" s="2">
        <v>495.0</v>
      </c>
      <c r="B496" s="1" t="s">
        <v>51</v>
      </c>
      <c r="C496" s="1" t="s">
        <v>72</v>
      </c>
      <c r="D496" s="1" t="s">
        <v>1423</v>
      </c>
      <c r="E496" s="2">
        <v>5.70038354223E11</v>
      </c>
      <c r="F496" s="1" t="s">
        <v>1445</v>
      </c>
      <c r="G496" s="1" t="s">
        <v>18</v>
      </c>
      <c r="H496" s="3" t="s">
        <v>1139</v>
      </c>
      <c r="I496" s="1"/>
    </row>
    <row r="497" ht="15.75" customHeight="1">
      <c r="A497" s="2">
        <v>496.0</v>
      </c>
      <c r="B497" s="1" t="s">
        <v>1379</v>
      </c>
      <c r="C497" s="1" t="s">
        <v>97</v>
      </c>
      <c r="D497" s="1" t="s">
        <v>331</v>
      </c>
      <c r="E497" s="2">
        <v>5.70038354225E11</v>
      </c>
      <c r="F497" s="1" t="s">
        <v>1446</v>
      </c>
      <c r="G497" s="1" t="s">
        <v>90</v>
      </c>
      <c r="H497" s="3" t="s">
        <v>1139</v>
      </c>
      <c r="I497" s="1"/>
    </row>
    <row r="498" ht="15.75" customHeight="1">
      <c r="A498" s="2">
        <v>497.0</v>
      </c>
      <c r="B498" s="1" t="s">
        <v>97</v>
      </c>
      <c r="C498" s="1" t="s">
        <v>1447</v>
      </c>
      <c r="D498" s="1" t="s">
        <v>1448</v>
      </c>
      <c r="E498" s="2">
        <v>5.70038354227E11</v>
      </c>
      <c r="F498" s="1" t="s">
        <v>1449</v>
      </c>
      <c r="G498" s="1" t="s">
        <v>90</v>
      </c>
      <c r="H498" s="3" t="s">
        <v>1139</v>
      </c>
      <c r="I498" s="1"/>
    </row>
    <row r="499" ht="15.75" customHeight="1">
      <c r="A499" s="2">
        <v>498.0</v>
      </c>
      <c r="B499" s="1" t="s">
        <v>1450</v>
      </c>
      <c r="C499" s="1" t="s">
        <v>987</v>
      </c>
      <c r="D499" s="1" t="s">
        <v>1451</v>
      </c>
      <c r="E499" s="2">
        <v>5.70038354233E11</v>
      </c>
      <c r="F499" s="1" t="s">
        <v>1452</v>
      </c>
      <c r="G499" s="1" t="s">
        <v>24</v>
      </c>
      <c r="H499" s="3" t="s">
        <v>1139</v>
      </c>
      <c r="I499" s="1"/>
    </row>
    <row r="500" ht="15.75" customHeight="1">
      <c r="A500" s="2">
        <v>499.0</v>
      </c>
      <c r="B500" s="1" t="s">
        <v>1453</v>
      </c>
      <c r="C500" s="1" t="s">
        <v>1454</v>
      </c>
      <c r="D500" s="1" t="s">
        <v>1455</v>
      </c>
      <c r="E500" s="2">
        <v>5.70038354237E11</v>
      </c>
      <c r="F500" s="1" t="s">
        <v>1456</v>
      </c>
      <c r="G500" s="1" t="s">
        <v>18</v>
      </c>
      <c r="H500" s="3" t="s">
        <v>1139</v>
      </c>
      <c r="I500" s="1"/>
    </row>
    <row r="501" ht="15.75" customHeight="1">
      <c r="A501" s="2">
        <v>500.0</v>
      </c>
      <c r="B501" s="1" t="s">
        <v>180</v>
      </c>
      <c r="C501" s="1" t="s">
        <v>1457</v>
      </c>
      <c r="D501" s="1" t="s">
        <v>1458</v>
      </c>
      <c r="E501" s="2">
        <v>5.70038354238E11</v>
      </c>
      <c r="F501" s="1" t="s">
        <v>1459</v>
      </c>
      <c r="G501" s="1" t="s">
        <v>24</v>
      </c>
      <c r="H501" s="3" t="s">
        <v>1139</v>
      </c>
      <c r="I501" s="1"/>
    </row>
    <row r="502" ht="15.75" customHeight="1">
      <c r="A502" s="2">
        <v>501.0</v>
      </c>
      <c r="B502" s="1" t="s">
        <v>1460</v>
      </c>
      <c r="C502" s="1" t="s">
        <v>1429</v>
      </c>
      <c r="D502" s="1" t="s">
        <v>1436</v>
      </c>
      <c r="E502" s="2">
        <v>5.7003835424E11</v>
      </c>
      <c r="F502" s="1" t="s">
        <v>1461</v>
      </c>
      <c r="G502" s="1" t="s">
        <v>24</v>
      </c>
      <c r="H502" s="3" t="s">
        <v>1139</v>
      </c>
      <c r="I502" s="1"/>
    </row>
    <row r="503" ht="15.75" customHeight="1">
      <c r="A503" s="2">
        <v>502.0</v>
      </c>
      <c r="B503" s="1" t="s">
        <v>1462</v>
      </c>
      <c r="C503" s="1" t="s">
        <v>388</v>
      </c>
      <c r="D503" s="1" t="s">
        <v>1463</v>
      </c>
      <c r="E503" s="2">
        <v>5.70038354242E11</v>
      </c>
      <c r="F503" s="1" t="s">
        <v>1464</v>
      </c>
      <c r="G503" s="1" t="s">
        <v>24</v>
      </c>
      <c r="H503" s="3" t="s">
        <v>1139</v>
      </c>
      <c r="I503" s="1"/>
    </row>
    <row r="504" ht="15.75" customHeight="1">
      <c r="A504" s="2">
        <v>503.0</v>
      </c>
      <c r="B504" s="1" t="s">
        <v>43</v>
      </c>
      <c r="C504" s="1" t="s">
        <v>1465</v>
      </c>
      <c r="D504" s="1" t="s">
        <v>1466</v>
      </c>
      <c r="E504" s="2">
        <v>5.70038354248E11</v>
      </c>
      <c r="F504" s="1" t="s">
        <v>1467</v>
      </c>
      <c r="G504" s="1" t="s">
        <v>90</v>
      </c>
      <c r="H504" s="3" t="s">
        <v>1139</v>
      </c>
      <c r="I504" s="1"/>
    </row>
    <row r="505" ht="15.75" customHeight="1">
      <c r="A505" s="2">
        <v>504.0</v>
      </c>
      <c r="B505" s="1" t="s">
        <v>1468</v>
      </c>
      <c r="C505" s="1" t="s">
        <v>1469</v>
      </c>
      <c r="D505" s="1" t="s">
        <v>1470</v>
      </c>
      <c r="E505" s="2">
        <v>5.7003835425E11</v>
      </c>
      <c r="F505" s="1" t="s">
        <v>575</v>
      </c>
      <c r="G505" s="1" t="s">
        <v>90</v>
      </c>
      <c r="H505" s="3" t="s">
        <v>1139</v>
      </c>
      <c r="I505" s="1"/>
    </row>
    <row r="506" ht="15.75" customHeight="1">
      <c r="A506" s="2">
        <v>505.0</v>
      </c>
      <c r="B506" s="1" t="s">
        <v>1471</v>
      </c>
      <c r="C506" s="1" t="s">
        <v>1465</v>
      </c>
      <c r="D506" s="1" t="s">
        <v>1472</v>
      </c>
      <c r="E506" s="2">
        <v>5.70038354251E11</v>
      </c>
      <c r="F506" s="1" t="s">
        <v>1473</v>
      </c>
      <c r="G506" s="1" t="s">
        <v>90</v>
      </c>
      <c r="H506" s="3" t="s">
        <v>1139</v>
      </c>
      <c r="I506" s="1"/>
    </row>
    <row r="507" ht="15.75" customHeight="1">
      <c r="A507" s="2">
        <v>506.0</v>
      </c>
      <c r="B507" s="1" t="s">
        <v>1474</v>
      </c>
      <c r="C507" s="1" t="s">
        <v>1475</v>
      </c>
      <c r="D507" s="1" t="s">
        <v>1476</v>
      </c>
      <c r="E507" s="2">
        <v>5.70038354257E11</v>
      </c>
      <c r="F507" s="1" t="s">
        <v>1477</v>
      </c>
      <c r="G507" s="1" t="s">
        <v>90</v>
      </c>
      <c r="H507" s="3" t="s">
        <v>1139</v>
      </c>
      <c r="I507" s="1"/>
    </row>
    <row r="508" ht="15.75" customHeight="1">
      <c r="A508" s="2">
        <v>507.0</v>
      </c>
      <c r="B508" s="1" t="s">
        <v>1478</v>
      </c>
      <c r="C508" s="1" t="s">
        <v>1468</v>
      </c>
      <c r="D508" s="1" t="s">
        <v>1479</v>
      </c>
      <c r="E508" s="2">
        <v>5.70038354258E11</v>
      </c>
      <c r="F508" s="1" t="s">
        <v>1480</v>
      </c>
      <c r="G508" s="1" t="s">
        <v>18</v>
      </c>
      <c r="H508" s="3" t="s">
        <v>1139</v>
      </c>
      <c r="I508" s="1"/>
    </row>
    <row r="509" ht="15.75" customHeight="1">
      <c r="A509" s="2">
        <v>508.0</v>
      </c>
      <c r="B509" s="1" t="s">
        <v>79</v>
      </c>
      <c r="C509" s="1" t="s">
        <v>1468</v>
      </c>
      <c r="D509" s="1" t="s">
        <v>1479</v>
      </c>
      <c r="E509" s="2">
        <v>5.70038354259E11</v>
      </c>
      <c r="F509" s="1" t="s">
        <v>1481</v>
      </c>
      <c r="G509" s="1" t="s">
        <v>90</v>
      </c>
      <c r="H509" s="3" t="s">
        <v>1139</v>
      </c>
      <c r="I509" s="1"/>
    </row>
    <row r="510" ht="15.75" customHeight="1">
      <c r="A510" s="2">
        <v>509.0</v>
      </c>
      <c r="B510" s="1" t="s">
        <v>1482</v>
      </c>
      <c r="C510" s="1" t="s">
        <v>323</v>
      </c>
      <c r="D510" s="1" t="s">
        <v>801</v>
      </c>
      <c r="E510" s="2">
        <v>5.70038354263E11</v>
      </c>
      <c r="F510" s="1" t="s">
        <v>1483</v>
      </c>
      <c r="G510" s="1" t="s">
        <v>24</v>
      </c>
      <c r="H510" s="3" t="s">
        <v>1139</v>
      </c>
      <c r="I510" s="1"/>
    </row>
    <row r="511" ht="15.75" customHeight="1">
      <c r="A511" s="2">
        <v>510.0</v>
      </c>
      <c r="B511" s="1" t="s">
        <v>1484</v>
      </c>
      <c r="C511" s="1" t="s">
        <v>1485</v>
      </c>
      <c r="D511" s="1" t="s">
        <v>1486</v>
      </c>
      <c r="E511" s="2">
        <v>5.70038354265E11</v>
      </c>
      <c r="F511" s="1" t="s">
        <v>1487</v>
      </c>
      <c r="G511" s="1" t="s">
        <v>24</v>
      </c>
      <c r="H511" s="3" t="s">
        <v>1139</v>
      </c>
      <c r="I511" s="1"/>
    </row>
    <row r="512" ht="15.75" customHeight="1">
      <c r="A512" s="2">
        <v>511.0</v>
      </c>
      <c r="B512" s="1" t="s">
        <v>542</v>
      </c>
      <c r="C512" s="1" t="s">
        <v>1488</v>
      </c>
      <c r="D512" s="1" t="s">
        <v>1489</v>
      </c>
      <c r="E512" s="2">
        <v>5.70038354267E11</v>
      </c>
      <c r="F512" s="1" t="s">
        <v>1490</v>
      </c>
      <c r="G512" s="1" t="s">
        <v>24</v>
      </c>
      <c r="H512" s="3" t="s">
        <v>1139</v>
      </c>
      <c r="I512" s="1"/>
    </row>
    <row r="513" ht="15.75" customHeight="1">
      <c r="A513" s="2">
        <v>512.0</v>
      </c>
      <c r="B513" s="1" t="s">
        <v>1491</v>
      </c>
      <c r="C513" s="1" t="s">
        <v>215</v>
      </c>
      <c r="D513" s="1" t="s">
        <v>955</v>
      </c>
      <c r="E513" s="2">
        <v>5.70038354271E11</v>
      </c>
      <c r="F513" s="1" t="s">
        <v>1492</v>
      </c>
      <c r="G513" s="1" t="s">
        <v>24</v>
      </c>
      <c r="H513" s="3" t="s">
        <v>1139</v>
      </c>
      <c r="I513" s="1"/>
    </row>
    <row r="514" ht="15.75" customHeight="1">
      <c r="A514" s="2">
        <v>513.0</v>
      </c>
      <c r="B514" s="1" t="s">
        <v>1493</v>
      </c>
      <c r="C514" s="1" t="s">
        <v>1494</v>
      </c>
      <c r="D514" s="1" t="s">
        <v>1495</v>
      </c>
      <c r="E514" s="2">
        <v>5.70038354277E11</v>
      </c>
      <c r="F514" s="1" t="s">
        <v>1496</v>
      </c>
      <c r="G514" s="1" t="s">
        <v>24</v>
      </c>
      <c r="H514" s="3" t="s">
        <v>1139</v>
      </c>
      <c r="I514" s="1"/>
    </row>
    <row r="515" ht="15.75" customHeight="1">
      <c r="A515" s="2">
        <v>514.0</v>
      </c>
      <c r="B515" s="1" t="s">
        <v>827</v>
      </c>
      <c r="C515" s="1" t="s">
        <v>1497</v>
      </c>
      <c r="D515" s="1" t="s">
        <v>1498</v>
      </c>
      <c r="E515" s="2">
        <v>5.70038354279E11</v>
      </c>
      <c r="F515" s="1" t="s">
        <v>1499</v>
      </c>
      <c r="G515" s="1" t="s">
        <v>38</v>
      </c>
      <c r="H515" s="3" t="s">
        <v>1139</v>
      </c>
      <c r="I515" s="1"/>
    </row>
    <row r="516" ht="15.75" customHeight="1">
      <c r="A516" s="2">
        <v>515.0</v>
      </c>
      <c r="B516" s="1" t="s">
        <v>165</v>
      </c>
      <c r="C516" s="1" t="s">
        <v>215</v>
      </c>
      <c r="D516" s="1" t="s">
        <v>955</v>
      </c>
      <c r="E516" s="2">
        <v>5.7003835428E11</v>
      </c>
      <c r="F516" s="1" t="s">
        <v>1500</v>
      </c>
      <c r="G516" s="1" t="s">
        <v>24</v>
      </c>
      <c r="H516" s="3" t="s">
        <v>1139</v>
      </c>
      <c r="I516" s="1"/>
    </row>
    <row r="517" ht="15.75" customHeight="1">
      <c r="A517" s="2">
        <v>516.0</v>
      </c>
      <c r="B517" s="1" t="s">
        <v>1501</v>
      </c>
      <c r="C517" s="1" t="s">
        <v>1502</v>
      </c>
      <c r="D517" s="1" t="s">
        <v>475</v>
      </c>
      <c r="E517" s="2">
        <v>5.70038354281E11</v>
      </c>
      <c r="F517" s="1" t="s">
        <v>1503</v>
      </c>
      <c r="G517" s="1" t="s">
        <v>24</v>
      </c>
      <c r="H517" s="3" t="s">
        <v>1139</v>
      </c>
      <c r="I517" s="1"/>
    </row>
    <row r="518" ht="15.75" customHeight="1">
      <c r="A518" s="2">
        <v>517.0</v>
      </c>
      <c r="B518" s="1" t="s">
        <v>257</v>
      </c>
      <c r="C518" s="1" t="s">
        <v>264</v>
      </c>
      <c r="D518" s="1" t="s">
        <v>509</v>
      </c>
      <c r="E518" s="2">
        <v>5.70038354282E11</v>
      </c>
      <c r="F518" s="1" t="s">
        <v>1461</v>
      </c>
      <c r="G518" s="1" t="s">
        <v>90</v>
      </c>
      <c r="H518" s="3" t="s">
        <v>1139</v>
      </c>
      <c r="I518" s="1"/>
    </row>
    <row r="519" ht="15.75" customHeight="1">
      <c r="A519" s="2">
        <v>518.0</v>
      </c>
      <c r="B519" s="1" t="s">
        <v>1504</v>
      </c>
      <c r="C519" s="1" t="s">
        <v>1505</v>
      </c>
      <c r="D519" s="1" t="s">
        <v>1495</v>
      </c>
      <c r="E519" s="2">
        <v>5.70038354283E11</v>
      </c>
      <c r="F519" s="1" t="s">
        <v>1506</v>
      </c>
      <c r="G519" s="1" t="s">
        <v>18</v>
      </c>
      <c r="H519" s="3" t="s">
        <v>1139</v>
      </c>
      <c r="I519" s="1"/>
    </row>
    <row r="520" ht="15.75" customHeight="1">
      <c r="A520" s="2">
        <v>519.0</v>
      </c>
      <c r="B520" s="1" t="s">
        <v>1507</v>
      </c>
      <c r="C520" s="1" t="s">
        <v>1508</v>
      </c>
      <c r="D520" s="1" t="s">
        <v>103</v>
      </c>
      <c r="E520" s="2">
        <v>5.70038354284E11</v>
      </c>
      <c r="F520" s="1" t="s">
        <v>1509</v>
      </c>
      <c r="G520" s="1" t="s">
        <v>90</v>
      </c>
      <c r="H520" s="3" t="s">
        <v>1139</v>
      </c>
      <c r="I520" s="1"/>
    </row>
    <row r="521" ht="15.75" customHeight="1">
      <c r="A521" s="2">
        <v>520.0</v>
      </c>
      <c r="B521" s="1" t="s">
        <v>1510</v>
      </c>
      <c r="C521" s="1" t="s">
        <v>1511</v>
      </c>
      <c r="D521" s="1" t="s">
        <v>58</v>
      </c>
      <c r="E521" s="2">
        <v>5.70038354285E11</v>
      </c>
      <c r="F521" s="1" t="s">
        <v>1512</v>
      </c>
      <c r="G521" s="1" t="s">
        <v>90</v>
      </c>
      <c r="H521" s="3" t="s">
        <v>1139</v>
      </c>
      <c r="I521" s="1"/>
    </row>
    <row r="522" ht="15.75" customHeight="1">
      <c r="A522" s="2">
        <v>521.0</v>
      </c>
      <c r="B522" s="1" t="s">
        <v>1513</v>
      </c>
      <c r="C522" s="1" t="s">
        <v>1514</v>
      </c>
      <c r="D522" s="1" t="s">
        <v>1515</v>
      </c>
      <c r="E522" s="2">
        <v>5.70038354288E11</v>
      </c>
      <c r="F522" s="1" t="s">
        <v>1516</v>
      </c>
      <c r="G522" s="1" t="s">
        <v>90</v>
      </c>
      <c r="H522" s="3" t="s">
        <v>1139</v>
      </c>
      <c r="I522" s="1"/>
    </row>
    <row r="523" ht="15.75" customHeight="1">
      <c r="A523" s="2">
        <v>522.0</v>
      </c>
      <c r="B523" s="1" t="s">
        <v>1517</v>
      </c>
      <c r="C523" s="1" t="s">
        <v>1518</v>
      </c>
      <c r="D523" s="1" t="s">
        <v>1519</v>
      </c>
      <c r="E523" s="2">
        <v>5.70038354289E11</v>
      </c>
      <c r="F523" s="1" t="s">
        <v>1520</v>
      </c>
      <c r="G523" s="1" t="s">
        <v>18</v>
      </c>
      <c r="H523" s="3" t="s">
        <v>1139</v>
      </c>
      <c r="I523" s="1"/>
    </row>
    <row r="524" ht="15.75" customHeight="1">
      <c r="A524" s="2">
        <v>523.0</v>
      </c>
      <c r="B524" s="1" t="s">
        <v>1518</v>
      </c>
      <c r="C524" s="1" t="s">
        <v>388</v>
      </c>
      <c r="D524" s="1" t="s">
        <v>1521</v>
      </c>
      <c r="E524" s="2">
        <v>5.7003835429E11</v>
      </c>
      <c r="F524" s="1" t="s">
        <v>1522</v>
      </c>
      <c r="G524" s="1" t="s">
        <v>18</v>
      </c>
      <c r="H524" s="3" t="s">
        <v>1139</v>
      </c>
      <c r="I524" s="1"/>
    </row>
    <row r="525" ht="15.75" customHeight="1">
      <c r="A525" s="2">
        <v>524.0</v>
      </c>
      <c r="B525" s="1" t="s">
        <v>1523</v>
      </c>
      <c r="C525" s="1" t="s">
        <v>388</v>
      </c>
      <c r="D525" s="1" t="s">
        <v>475</v>
      </c>
      <c r="E525" s="2">
        <v>5.70038354291E11</v>
      </c>
      <c r="F525" s="1" t="s">
        <v>1524</v>
      </c>
      <c r="G525" s="1" t="s">
        <v>24</v>
      </c>
      <c r="H525" s="3" t="s">
        <v>1139</v>
      </c>
      <c r="I525" s="1"/>
    </row>
    <row r="526" ht="15.75" customHeight="1">
      <c r="A526" s="2">
        <v>525.0</v>
      </c>
      <c r="B526" s="1" t="s">
        <v>1525</v>
      </c>
      <c r="C526" s="1" t="s">
        <v>1001</v>
      </c>
      <c r="D526" s="1" t="s">
        <v>1526</v>
      </c>
      <c r="E526" s="2">
        <v>5.70038354292E11</v>
      </c>
      <c r="F526" s="1" t="s">
        <v>1527</v>
      </c>
      <c r="G526" s="1" t="s">
        <v>47</v>
      </c>
      <c r="H526" s="3" t="s">
        <v>1139</v>
      </c>
      <c r="I526" s="1"/>
    </row>
    <row r="527" ht="15.75" customHeight="1">
      <c r="A527" s="2">
        <v>526.0</v>
      </c>
      <c r="B527" s="1" t="s">
        <v>1228</v>
      </c>
      <c r="C527" s="1" t="s">
        <v>1528</v>
      </c>
      <c r="D527" s="1" t="s">
        <v>1529</v>
      </c>
      <c r="E527" s="2">
        <v>5.70038354307E11</v>
      </c>
      <c r="F527" s="1" t="s">
        <v>1530</v>
      </c>
      <c r="G527" s="1" t="s">
        <v>18</v>
      </c>
      <c r="H527" s="3" t="s">
        <v>1139</v>
      </c>
      <c r="I527" s="1"/>
    </row>
    <row r="528" ht="15.75" customHeight="1">
      <c r="A528" s="2">
        <v>527.0</v>
      </c>
      <c r="B528" s="1" t="s">
        <v>1531</v>
      </c>
      <c r="C528" s="1" t="s">
        <v>1532</v>
      </c>
      <c r="D528" s="1" t="s">
        <v>1533</v>
      </c>
      <c r="E528" s="2">
        <v>5.70038354309E11</v>
      </c>
      <c r="F528" s="1" t="s">
        <v>1534</v>
      </c>
      <c r="G528" s="1" t="s">
        <v>24</v>
      </c>
      <c r="H528" s="3" t="s">
        <v>1139</v>
      </c>
      <c r="I528" s="1"/>
    </row>
    <row r="529" ht="15.75" customHeight="1">
      <c r="A529" s="2">
        <v>528.0</v>
      </c>
      <c r="B529" s="1" t="s">
        <v>1535</v>
      </c>
      <c r="C529" s="1" t="s">
        <v>1536</v>
      </c>
      <c r="D529" s="1" t="s">
        <v>1537</v>
      </c>
      <c r="E529" s="2">
        <v>5.70038354311E11</v>
      </c>
      <c r="F529" s="1" t="s">
        <v>1538</v>
      </c>
      <c r="G529" s="1" t="s">
        <v>24</v>
      </c>
      <c r="H529" s="3" t="s">
        <v>1139</v>
      </c>
      <c r="I529" s="1"/>
    </row>
    <row r="530" ht="15.75" customHeight="1">
      <c r="A530" s="2">
        <v>529.0</v>
      </c>
      <c r="B530" s="1" t="s">
        <v>1304</v>
      </c>
      <c r="C530" s="1" t="s">
        <v>1539</v>
      </c>
      <c r="D530" s="1" t="s">
        <v>1540</v>
      </c>
      <c r="E530" s="2">
        <v>5.70038354317E11</v>
      </c>
      <c r="F530" s="1" t="s">
        <v>1541</v>
      </c>
      <c r="G530" s="1" t="s">
        <v>90</v>
      </c>
      <c r="H530" s="3" t="s">
        <v>1139</v>
      </c>
      <c r="I530" s="1"/>
    </row>
    <row r="531" ht="15.75" customHeight="1">
      <c r="A531" s="2">
        <v>530.0</v>
      </c>
      <c r="B531" s="1" t="s">
        <v>1542</v>
      </c>
      <c r="C531" s="1" t="s">
        <v>1543</v>
      </c>
      <c r="D531" s="1" t="s">
        <v>1102</v>
      </c>
      <c r="E531" s="2">
        <v>5.70038354318E11</v>
      </c>
      <c r="F531" s="1" t="s">
        <v>1544</v>
      </c>
      <c r="G531" s="1" t="s">
        <v>24</v>
      </c>
      <c r="H531" s="3" t="s">
        <v>1139</v>
      </c>
      <c r="I531" s="1"/>
    </row>
    <row r="532" ht="15.75" customHeight="1">
      <c r="A532" s="2">
        <v>531.0</v>
      </c>
      <c r="B532" s="1" t="s">
        <v>1545</v>
      </c>
      <c r="C532" s="1" t="s">
        <v>489</v>
      </c>
      <c r="D532" s="1" t="s">
        <v>1546</v>
      </c>
      <c r="E532" s="2">
        <v>5.70038354321E11</v>
      </c>
      <c r="F532" s="1" t="s">
        <v>1547</v>
      </c>
      <c r="G532" s="1" t="s">
        <v>90</v>
      </c>
      <c r="H532" s="3" t="s">
        <v>1139</v>
      </c>
      <c r="I532" s="1"/>
    </row>
    <row r="533" ht="15.75" customHeight="1">
      <c r="A533" s="2">
        <v>532.0</v>
      </c>
      <c r="B533" s="1" t="s">
        <v>173</v>
      </c>
      <c r="C533" s="1" t="s">
        <v>1548</v>
      </c>
      <c r="D533" s="1" t="s">
        <v>1549</v>
      </c>
      <c r="E533" s="2">
        <v>5.70038354322E11</v>
      </c>
      <c r="F533" s="1" t="s">
        <v>1550</v>
      </c>
      <c r="G533" s="1" t="s">
        <v>90</v>
      </c>
      <c r="H533" s="3" t="s">
        <v>1139</v>
      </c>
      <c r="I533" s="1"/>
    </row>
    <row r="534" ht="15.75" customHeight="1">
      <c r="A534" s="2">
        <v>533.0</v>
      </c>
      <c r="B534" s="1" t="s">
        <v>1551</v>
      </c>
      <c r="C534" s="1" t="s">
        <v>542</v>
      </c>
      <c r="D534" s="1" t="s">
        <v>255</v>
      </c>
      <c r="E534" s="2">
        <v>5.70038354324E11</v>
      </c>
      <c r="F534" s="1" t="s">
        <v>1552</v>
      </c>
      <c r="G534" s="1" t="s">
        <v>90</v>
      </c>
      <c r="H534" s="3" t="s">
        <v>1139</v>
      </c>
      <c r="I534" s="1"/>
    </row>
    <row r="535" ht="15.75" customHeight="1">
      <c r="A535" s="2">
        <v>534.0</v>
      </c>
      <c r="B535" s="1" t="s">
        <v>549</v>
      </c>
      <c r="C535" s="1" t="s">
        <v>1553</v>
      </c>
      <c r="D535" s="1" t="s">
        <v>1554</v>
      </c>
      <c r="E535" s="2">
        <v>5.70038354325E11</v>
      </c>
      <c r="F535" s="1" t="s">
        <v>1555</v>
      </c>
      <c r="G535" s="1" t="s">
        <v>90</v>
      </c>
      <c r="H535" s="3" t="s">
        <v>1139</v>
      </c>
      <c r="I535" s="1"/>
    </row>
    <row r="536" ht="15.75" customHeight="1">
      <c r="A536" s="2">
        <v>535.0</v>
      </c>
      <c r="B536" s="1" t="s">
        <v>1556</v>
      </c>
      <c r="C536" s="1" t="s">
        <v>1557</v>
      </c>
      <c r="D536" s="1" t="s">
        <v>1558</v>
      </c>
      <c r="E536" s="2">
        <v>5.70038354326E11</v>
      </c>
      <c r="F536" s="1" t="s">
        <v>1559</v>
      </c>
      <c r="G536" s="1" t="s">
        <v>90</v>
      </c>
      <c r="H536" s="3" t="s">
        <v>1139</v>
      </c>
      <c r="I536" s="1"/>
    </row>
    <row r="537" ht="15.75" customHeight="1">
      <c r="A537" s="2">
        <v>536.0</v>
      </c>
      <c r="B537" s="1" t="s">
        <v>39</v>
      </c>
      <c r="C537" s="1" t="s">
        <v>130</v>
      </c>
      <c r="D537" s="1" t="s">
        <v>1560</v>
      </c>
      <c r="E537" s="2">
        <v>5.70038354327E11</v>
      </c>
      <c r="F537" s="1" t="s">
        <v>1561</v>
      </c>
      <c r="G537" s="1" t="s">
        <v>90</v>
      </c>
      <c r="H537" s="3" t="s">
        <v>1139</v>
      </c>
      <c r="I537" s="1"/>
    </row>
    <row r="538" ht="15.75" customHeight="1">
      <c r="A538" s="2">
        <v>537.0</v>
      </c>
      <c r="B538" s="1" t="s">
        <v>1014</v>
      </c>
      <c r="C538" s="1" t="s">
        <v>1562</v>
      </c>
      <c r="D538" s="1" t="s">
        <v>1563</v>
      </c>
      <c r="E538" s="2">
        <v>5.70038354328E11</v>
      </c>
      <c r="F538" s="1" t="s">
        <v>1564</v>
      </c>
      <c r="G538" s="1" t="s">
        <v>121</v>
      </c>
      <c r="H538" s="3" t="s">
        <v>1139</v>
      </c>
      <c r="I538" s="1"/>
    </row>
    <row r="539" ht="15.75" customHeight="1">
      <c r="A539" s="2">
        <v>538.0</v>
      </c>
      <c r="B539" s="1" t="s">
        <v>1565</v>
      </c>
      <c r="C539" s="1" t="s">
        <v>1562</v>
      </c>
      <c r="D539" s="1" t="s">
        <v>1563</v>
      </c>
      <c r="E539" s="2">
        <v>5.70038354329E11</v>
      </c>
      <c r="F539" s="1" t="s">
        <v>1566</v>
      </c>
      <c r="G539" s="1" t="s">
        <v>12</v>
      </c>
      <c r="H539" s="3" t="s">
        <v>1139</v>
      </c>
      <c r="I539" s="1"/>
    </row>
    <row r="540" ht="15.75" customHeight="1">
      <c r="A540" s="2">
        <v>539.0</v>
      </c>
      <c r="B540" s="1" t="s">
        <v>1482</v>
      </c>
      <c r="C540" s="1" t="s">
        <v>1562</v>
      </c>
      <c r="D540" s="1" t="s">
        <v>1563</v>
      </c>
      <c r="E540" s="2">
        <v>5.7003835433E11</v>
      </c>
      <c r="F540" s="1" t="s">
        <v>1567</v>
      </c>
      <c r="G540" s="1" t="s">
        <v>383</v>
      </c>
      <c r="H540" s="3" t="s">
        <v>1139</v>
      </c>
      <c r="I540" s="1"/>
    </row>
    <row r="541" ht="15.75" customHeight="1">
      <c r="A541" s="2">
        <v>540.0</v>
      </c>
      <c r="B541" s="1" t="s">
        <v>654</v>
      </c>
      <c r="C541" s="1" t="s">
        <v>615</v>
      </c>
      <c r="D541" s="1" t="s">
        <v>77</v>
      </c>
      <c r="E541" s="2">
        <v>5.70038354331E11</v>
      </c>
      <c r="F541" s="1" t="s">
        <v>1568</v>
      </c>
      <c r="G541" s="1" t="s">
        <v>24</v>
      </c>
      <c r="H541" s="3" t="s">
        <v>1139</v>
      </c>
      <c r="I541" s="1"/>
    </row>
    <row r="542" ht="15.75" customHeight="1">
      <c r="A542" s="2">
        <v>541.0</v>
      </c>
      <c r="B542" s="1" t="s">
        <v>1569</v>
      </c>
      <c r="C542" s="1" t="s">
        <v>615</v>
      </c>
      <c r="D542" s="1" t="s">
        <v>77</v>
      </c>
      <c r="E542" s="2">
        <v>5.70038354334E11</v>
      </c>
      <c r="F542" s="1" t="s">
        <v>894</v>
      </c>
      <c r="G542" s="1" t="s">
        <v>24</v>
      </c>
      <c r="H542" s="3" t="s">
        <v>1139</v>
      </c>
      <c r="I542" s="1"/>
    </row>
    <row r="543" ht="15.75" customHeight="1">
      <c r="A543" s="2">
        <v>542.0</v>
      </c>
      <c r="B543" s="1" t="s">
        <v>597</v>
      </c>
      <c r="C543" s="1" t="s">
        <v>1570</v>
      </c>
      <c r="D543" s="1" t="s">
        <v>909</v>
      </c>
      <c r="E543" s="2">
        <v>5.70038354335E11</v>
      </c>
      <c r="F543" s="1" t="s">
        <v>138</v>
      </c>
      <c r="G543" s="1" t="s">
        <v>24</v>
      </c>
      <c r="H543" s="3" t="s">
        <v>1139</v>
      </c>
      <c r="I543" s="1"/>
    </row>
    <row r="544" ht="15.75" customHeight="1">
      <c r="A544" s="2">
        <v>543.0</v>
      </c>
      <c r="B544" s="1" t="s">
        <v>730</v>
      </c>
      <c r="C544" s="1" t="s">
        <v>1571</v>
      </c>
      <c r="D544" s="1" t="s">
        <v>1572</v>
      </c>
      <c r="E544" s="2">
        <v>5.7003835434E11</v>
      </c>
      <c r="F544" s="1" t="s">
        <v>1573</v>
      </c>
      <c r="G544" s="1" t="s">
        <v>24</v>
      </c>
      <c r="H544" s="3" t="s">
        <v>1139</v>
      </c>
      <c r="I544" s="1"/>
    </row>
    <row r="545" ht="15.75" customHeight="1">
      <c r="A545" s="4">
        <v>544.0</v>
      </c>
      <c r="B545" s="1"/>
      <c r="C545" s="1"/>
      <c r="D545" s="1"/>
      <c r="E545" s="2"/>
      <c r="F545" s="1"/>
      <c r="G545" s="1"/>
      <c r="H545" s="3"/>
      <c r="I545" s="1"/>
    </row>
    <row r="546" ht="15.75" customHeight="1">
      <c r="A546" s="2">
        <v>545.0</v>
      </c>
      <c r="B546" s="1" t="s">
        <v>1574</v>
      </c>
      <c r="C546" s="1" t="s">
        <v>97</v>
      </c>
      <c r="D546" s="1" t="s">
        <v>1575</v>
      </c>
      <c r="E546" s="2">
        <v>5.7003835435E11</v>
      </c>
      <c r="F546" s="1" t="s">
        <v>1411</v>
      </c>
      <c r="G546" s="1" t="s">
        <v>90</v>
      </c>
      <c r="H546" s="3" t="s">
        <v>1139</v>
      </c>
      <c r="I546" s="1"/>
    </row>
    <row r="547" ht="15.75" customHeight="1">
      <c r="A547" s="2">
        <v>546.0</v>
      </c>
      <c r="B547" s="1" t="s">
        <v>1350</v>
      </c>
      <c r="C547" s="1" t="s">
        <v>1513</v>
      </c>
      <c r="D547" s="1" t="s">
        <v>295</v>
      </c>
      <c r="E547" s="2">
        <v>5.70038354351E11</v>
      </c>
      <c r="F547" s="1" t="s">
        <v>124</v>
      </c>
      <c r="G547" s="1" t="s">
        <v>18</v>
      </c>
      <c r="H547" s="3" t="s">
        <v>1139</v>
      </c>
      <c r="I547" s="1"/>
    </row>
    <row r="548" ht="15.75" customHeight="1">
      <c r="A548" s="2">
        <v>547.0</v>
      </c>
      <c r="B548" s="1" t="s">
        <v>323</v>
      </c>
      <c r="C548" s="1" t="s">
        <v>1576</v>
      </c>
      <c r="D548" s="1" t="s">
        <v>922</v>
      </c>
      <c r="E548" s="2">
        <v>5.70038354353E11</v>
      </c>
      <c r="F548" s="1" t="s">
        <v>1577</v>
      </c>
      <c r="G548" s="1" t="s">
        <v>24</v>
      </c>
      <c r="H548" s="3" t="s">
        <v>1139</v>
      </c>
      <c r="I548" s="1"/>
    </row>
    <row r="549" ht="15.75" customHeight="1">
      <c r="A549" s="2">
        <v>548.0</v>
      </c>
      <c r="B549" s="1" t="s">
        <v>1578</v>
      </c>
      <c r="C549" s="1" t="s">
        <v>1579</v>
      </c>
      <c r="D549" s="1" t="s">
        <v>291</v>
      </c>
      <c r="E549" s="2">
        <v>5.70038354354E11</v>
      </c>
      <c r="F549" s="1" t="s">
        <v>1580</v>
      </c>
      <c r="G549" s="1" t="s">
        <v>24</v>
      </c>
      <c r="H549" s="3" t="s">
        <v>1139</v>
      </c>
      <c r="I549" s="1"/>
    </row>
    <row r="550" ht="15.75" customHeight="1">
      <c r="A550" s="2">
        <v>549.0</v>
      </c>
      <c r="B550" s="1" t="s">
        <v>1581</v>
      </c>
      <c r="C550" s="1" t="s">
        <v>1582</v>
      </c>
      <c r="D550" s="1" t="s">
        <v>1583</v>
      </c>
      <c r="E550" s="2">
        <v>5.70038354356E11</v>
      </c>
      <c r="F550" s="1" t="s">
        <v>1527</v>
      </c>
      <c r="G550" s="1" t="s">
        <v>90</v>
      </c>
      <c r="H550" s="3" t="s">
        <v>1139</v>
      </c>
      <c r="I550" s="1"/>
    </row>
    <row r="551" ht="15.75" customHeight="1">
      <c r="A551" s="2">
        <v>550.0</v>
      </c>
      <c r="B551" s="1" t="s">
        <v>1584</v>
      </c>
      <c r="C551" s="1" t="s">
        <v>1585</v>
      </c>
      <c r="D551" s="1" t="s">
        <v>1586</v>
      </c>
      <c r="E551" s="2">
        <v>5.70038354357E11</v>
      </c>
      <c r="F551" s="1" t="s">
        <v>1587</v>
      </c>
      <c r="G551" s="1" t="s">
        <v>90</v>
      </c>
      <c r="H551" s="3" t="s">
        <v>1139</v>
      </c>
      <c r="I551" s="1"/>
    </row>
    <row r="552" ht="15.75" customHeight="1">
      <c r="A552" s="2">
        <v>551.0</v>
      </c>
      <c r="B552" s="1" t="s">
        <v>1588</v>
      </c>
      <c r="C552" s="1" t="s">
        <v>1589</v>
      </c>
      <c r="D552" s="1" t="s">
        <v>1590</v>
      </c>
      <c r="E552" s="2">
        <v>5.70038354358E11</v>
      </c>
      <c r="F552" s="1" t="s">
        <v>1591</v>
      </c>
      <c r="G552" s="1" t="s">
        <v>24</v>
      </c>
      <c r="H552" s="3" t="s">
        <v>1139</v>
      </c>
      <c r="I552" s="1"/>
    </row>
    <row r="553" ht="15.75" customHeight="1">
      <c r="A553" s="2">
        <v>552.0</v>
      </c>
      <c r="B553" s="1" t="s">
        <v>1592</v>
      </c>
      <c r="C553" s="1" t="s">
        <v>1593</v>
      </c>
      <c r="D553" s="1" t="s">
        <v>1594</v>
      </c>
      <c r="E553" s="2">
        <v>5.7003835436E11</v>
      </c>
      <c r="F553" s="1" t="s">
        <v>1382</v>
      </c>
      <c r="G553" s="1" t="s">
        <v>24</v>
      </c>
      <c r="H553" s="3" t="s">
        <v>1139</v>
      </c>
      <c r="I553" s="1"/>
    </row>
    <row r="554" ht="15.75" customHeight="1">
      <c r="A554" s="2">
        <v>553.0</v>
      </c>
      <c r="B554" s="1" t="s">
        <v>503</v>
      </c>
      <c r="C554" s="1" t="s">
        <v>1595</v>
      </c>
      <c r="D554" s="1" t="s">
        <v>1596</v>
      </c>
      <c r="E554" s="2">
        <v>5.70038354365E11</v>
      </c>
      <c r="F554" s="1" t="s">
        <v>1597</v>
      </c>
      <c r="G554" s="1" t="s">
        <v>90</v>
      </c>
      <c r="H554" s="3" t="s">
        <v>1139</v>
      </c>
      <c r="I554" s="1"/>
    </row>
    <row r="555" ht="15.75" customHeight="1">
      <c r="A555" s="2">
        <v>554.0</v>
      </c>
      <c r="B555" s="1" t="s">
        <v>682</v>
      </c>
      <c r="C555" s="1" t="s">
        <v>1598</v>
      </c>
      <c r="D555" s="1" t="s">
        <v>1599</v>
      </c>
      <c r="E555" s="2">
        <v>5.7003835437E11</v>
      </c>
      <c r="F555" s="1" t="s">
        <v>253</v>
      </c>
      <c r="G555" s="1" t="s">
        <v>90</v>
      </c>
      <c r="H555" s="3" t="s">
        <v>1139</v>
      </c>
      <c r="I555" s="1"/>
    </row>
    <row r="556" ht="15.75" customHeight="1">
      <c r="A556" s="2">
        <v>555.0</v>
      </c>
      <c r="B556" s="1" t="s">
        <v>1276</v>
      </c>
      <c r="C556" s="1" t="s">
        <v>1600</v>
      </c>
      <c r="D556" s="1" t="s">
        <v>909</v>
      </c>
      <c r="E556" s="2">
        <v>5.70038354372E11</v>
      </c>
      <c r="F556" s="1" t="s">
        <v>1601</v>
      </c>
      <c r="G556" s="1" t="s">
        <v>90</v>
      </c>
      <c r="H556" s="3" t="s">
        <v>1139</v>
      </c>
      <c r="I556" s="1"/>
    </row>
    <row r="557" ht="15.75" customHeight="1">
      <c r="A557" s="2">
        <v>556.0</v>
      </c>
      <c r="B557" s="1" t="s">
        <v>1602</v>
      </c>
      <c r="C557" s="1" t="s">
        <v>1603</v>
      </c>
      <c r="D557" s="1" t="s">
        <v>1604</v>
      </c>
      <c r="E557" s="2">
        <v>5.70038354377E11</v>
      </c>
      <c r="F557" s="1" t="s">
        <v>1605</v>
      </c>
      <c r="G557" s="1" t="s">
        <v>24</v>
      </c>
      <c r="H557" s="3" t="s">
        <v>1139</v>
      </c>
      <c r="I557" s="1"/>
    </row>
    <row r="558" ht="15.75" customHeight="1">
      <c r="A558" s="2">
        <v>557.0</v>
      </c>
      <c r="B558" s="1" t="s">
        <v>1606</v>
      </c>
      <c r="C558" s="1" t="s">
        <v>1607</v>
      </c>
      <c r="D558" s="1" t="s">
        <v>711</v>
      </c>
      <c r="E558" s="2">
        <v>5.70038354378E11</v>
      </c>
      <c r="F558" s="1" t="s">
        <v>1608</v>
      </c>
      <c r="G558" s="1" t="s">
        <v>24</v>
      </c>
      <c r="H558" s="3" t="s">
        <v>1139</v>
      </c>
      <c r="I558" s="1"/>
    </row>
    <row r="559" ht="15.75" customHeight="1">
      <c r="A559" s="2">
        <v>558.0</v>
      </c>
      <c r="B559" s="1" t="s">
        <v>445</v>
      </c>
      <c r="C559" s="1" t="s">
        <v>609</v>
      </c>
      <c r="D559" s="1" t="s">
        <v>1609</v>
      </c>
      <c r="E559" s="2">
        <v>5.70038354386E11</v>
      </c>
      <c r="F559" s="1" t="s">
        <v>1610</v>
      </c>
      <c r="G559" s="1" t="s">
        <v>24</v>
      </c>
      <c r="H559" s="3" t="s">
        <v>1139</v>
      </c>
      <c r="I559" s="1"/>
    </row>
    <row r="560" ht="15.75" customHeight="1">
      <c r="A560" s="2">
        <v>559.0</v>
      </c>
      <c r="B560" s="1" t="s">
        <v>1611</v>
      </c>
      <c r="C560" s="1" t="s">
        <v>1612</v>
      </c>
      <c r="D560" s="1" t="s">
        <v>1613</v>
      </c>
      <c r="E560" s="2">
        <v>5.70038354391E11</v>
      </c>
      <c r="F560" s="1" t="s">
        <v>1614</v>
      </c>
      <c r="G560" s="1" t="s">
        <v>24</v>
      </c>
      <c r="H560" s="3" t="s">
        <v>1139</v>
      </c>
      <c r="I560" s="1"/>
    </row>
    <row r="561" ht="15.75" customHeight="1">
      <c r="A561" s="2">
        <v>560.0</v>
      </c>
      <c r="B561" s="1" t="s">
        <v>1615</v>
      </c>
      <c r="C561" s="1" t="s">
        <v>1616</v>
      </c>
      <c r="D561" s="1" t="s">
        <v>1617</v>
      </c>
      <c r="E561" s="2">
        <v>5.70038354401E11</v>
      </c>
      <c r="F561" s="1" t="s">
        <v>1618</v>
      </c>
      <c r="G561" s="1" t="s">
        <v>18</v>
      </c>
      <c r="H561" s="3" t="s">
        <v>1139</v>
      </c>
      <c r="I561" s="1"/>
    </row>
    <row r="562" ht="15.75" customHeight="1">
      <c r="A562" s="2">
        <v>561.0</v>
      </c>
      <c r="B562" s="1" t="s">
        <v>1619</v>
      </c>
      <c r="C562" s="1" t="s">
        <v>1620</v>
      </c>
      <c r="D562" s="1" t="s">
        <v>1621</v>
      </c>
      <c r="E562" s="2">
        <v>5.70038354404E11</v>
      </c>
      <c r="F562" s="1" t="s">
        <v>1622</v>
      </c>
      <c r="G562" s="1" t="s">
        <v>24</v>
      </c>
      <c r="H562" s="3" t="s">
        <v>1139</v>
      </c>
      <c r="I562" s="1"/>
    </row>
    <row r="563" ht="15.75" customHeight="1">
      <c r="A563" s="2">
        <v>562.0</v>
      </c>
      <c r="B563" s="1" t="s">
        <v>130</v>
      </c>
      <c r="C563" s="1" t="s">
        <v>1623</v>
      </c>
      <c r="D563" s="1" t="s">
        <v>1624</v>
      </c>
      <c r="E563" s="2">
        <v>5.70038354406E11</v>
      </c>
      <c r="F563" s="1" t="s">
        <v>1625</v>
      </c>
      <c r="G563" s="1" t="s">
        <v>18</v>
      </c>
      <c r="H563" s="3" t="s">
        <v>1139</v>
      </c>
      <c r="I563" s="1"/>
    </row>
    <row r="564" ht="15.75" customHeight="1">
      <c r="A564" s="2">
        <v>563.0</v>
      </c>
      <c r="B564" s="1" t="s">
        <v>1626</v>
      </c>
      <c r="C564" s="1" t="s">
        <v>1627</v>
      </c>
      <c r="D564" s="1" t="s">
        <v>1628</v>
      </c>
      <c r="E564" s="2">
        <v>5.70038354407E11</v>
      </c>
      <c r="F564" s="1" t="s">
        <v>1629</v>
      </c>
      <c r="G564" s="1" t="s">
        <v>90</v>
      </c>
      <c r="H564" s="3" t="s">
        <v>1139</v>
      </c>
      <c r="I564" s="1"/>
    </row>
    <row r="565" ht="15.75" customHeight="1">
      <c r="A565" s="2">
        <v>564.0</v>
      </c>
      <c r="B565" s="1" t="s">
        <v>1240</v>
      </c>
      <c r="C565" s="1" t="s">
        <v>1630</v>
      </c>
      <c r="D565" s="1" t="s">
        <v>1519</v>
      </c>
      <c r="E565" s="2">
        <v>5.70038354408E11</v>
      </c>
      <c r="F565" s="1" t="s">
        <v>1631</v>
      </c>
      <c r="G565" s="1" t="s">
        <v>18</v>
      </c>
      <c r="H565" s="3" t="s">
        <v>1139</v>
      </c>
      <c r="I565" s="1"/>
    </row>
    <row r="566" ht="15.75" customHeight="1">
      <c r="A566" s="2">
        <v>565.0</v>
      </c>
      <c r="B566" s="1" t="s">
        <v>1632</v>
      </c>
      <c r="C566" s="1" t="s">
        <v>1513</v>
      </c>
      <c r="D566" s="1" t="s">
        <v>295</v>
      </c>
      <c r="E566" s="2">
        <v>5.70038354409E11</v>
      </c>
      <c r="F566" s="1" t="s">
        <v>1633</v>
      </c>
      <c r="G566" s="1" t="s">
        <v>90</v>
      </c>
      <c r="H566" s="3" t="s">
        <v>1139</v>
      </c>
      <c r="I566" s="1"/>
    </row>
    <row r="567" ht="15.75" customHeight="1">
      <c r="A567" s="2">
        <v>566.0</v>
      </c>
      <c r="B567" s="1" t="s">
        <v>1634</v>
      </c>
      <c r="C567" s="1" t="s">
        <v>1432</v>
      </c>
      <c r="D567" s="1" t="s">
        <v>1635</v>
      </c>
      <c r="E567" s="2">
        <v>5.7003835441E11</v>
      </c>
      <c r="F567" s="1" t="s">
        <v>1636</v>
      </c>
      <c r="G567" s="1" t="s">
        <v>121</v>
      </c>
      <c r="H567" s="3" t="s">
        <v>1139</v>
      </c>
      <c r="I567" s="1"/>
    </row>
    <row r="568" ht="15.75" customHeight="1">
      <c r="A568" s="2">
        <v>567.0</v>
      </c>
      <c r="B568" s="1" t="s">
        <v>1637</v>
      </c>
      <c r="C568" s="1" t="s">
        <v>1065</v>
      </c>
      <c r="D568" s="1" t="s">
        <v>196</v>
      </c>
      <c r="E568" s="2">
        <v>5.70038354421E11</v>
      </c>
      <c r="F568" s="1" t="s">
        <v>1638</v>
      </c>
      <c r="G568" s="1" t="s">
        <v>143</v>
      </c>
      <c r="H568" s="3" t="s">
        <v>1139</v>
      </c>
      <c r="I568" s="1"/>
    </row>
    <row r="569" ht="15.75" customHeight="1">
      <c r="A569" s="2">
        <v>568.0</v>
      </c>
      <c r="B569" s="1" t="s">
        <v>1639</v>
      </c>
      <c r="C569" s="1" t="s">
        <v>1640</v>
      </c>
      <c r="D569" s="1" t="s">
        <v>1641</v>
      </c>
      <c r="E569" s="2">
        <v>5.70038354422E11</v>
      </c>
      <c r="F569" s="1" t="s">
        <v>1642</v>
      </c>
      <c r="G569" s="1" t="s">
        <v>18</v>
      </c>
      <c r="H569" s="3" t="s">
        <v>1139</v>
      </c>
      <c r="I569" s="1"/>
    </row>
    <row r="570" ht="15.75" customHeight="1">
      <c r="A570" s="2">
        <v>569.0</v>
      </c>
      <c r="B570" s="1" t="s">
        <v>1643</v>
      </c>
      <c r="C570" s="1" t="s">
        <v>39</v>
      </c>
      <c r="D570" s="1" t="s">
        <v>309</v>
      </c>
      <c r="E570" s="2">
        <v>5.70038354424E11</v>
      </c>
      <c r="F570" s="1" t="s">
        <v>1644</v>
      </c>
      <c r="G570" s="1" t="s">
        <v>38</v>
      </c>
      <c r="H570" s="3" t="s">
        <v>1139</v>
      </c>
      <c r="I570" s="1"/>
    </row>
    <row r="571" ht="15.75" customHeight="1">
      <c r="A571" s="2">
        <v>570.0</v>
      </c>
      <c r="B571" s="1" t="s">
        <v>195</v>
      </c>
      <c r="C571" s="1" t="s">
        <v>666</v>
      </c>
      <c r="D571" s="1" t="s">
        <v>335</v>
      </c>
      <c r="E571" s="2">
        <v>5.70038354425E11</v>
      </c>
      <c r="F571" s="1" t="s">
        <v>1645</v>
      </c>
      <c r="G571" s="1" t="s">
        <v>38</v>
      </c>
      <c r="H571" s="3" t="s">
        <v>1139</v>
      </c>
      <c r="I571" s="1"/>
    </row>
    <row r="572" ht="15.75" customHeight="1">
      <c r="A572" s="2">
        <v>571.0</v>
      </c>
      <c r="B572" s="1" t="s">
        <v>1646</v>
      </c>
      <c r="C572" s="1" t="s">
        <v>1647</v>
      </c>
      <c r="D572" s="1" t="s">
        <v>115</v>
      </c>
      <c r="E572" s="2">
        <v>5.70038354432E11</v>
      </c>
      <c r="F572" s="1" t="s">
        <v>1648</v>
      </c>
      <c r="G572" s="1" t="s">
        <v>383</v>
      </c>
      <c r="H572" s="3" t="s">
        <v>1139</v>
      </c>
      <c r="I572" s="1"/>
    </row>
    <row r="573" ht="15.75" customHeight="1">
      <c r="A573" s="2">
        <v>572.0</v>
      </c>
      <c r="B573" s="1" t="s">
        <v>954</v>
      </c>
      <c r="C573" s="1" t="s">
        <v>1649</v>
      </c>
      <c r="D573" s="1" t="s">
        <v>295</v>
      </c>
      <c r="E573" s="2">
        <v>5.70038354434E11</v>
      </c>
      <c r="F573" s="1" t="s">
        <v>1413</v>
      </c>
      <c r="G573" s="1" t="s">
        <v>24</v>
      </c>
      <c r="H573" s="3" t="s">
        <v>1139</v>
      </c>
      <c r="I573" s="1"/>
    </row>
    <row r="574" ht="15.75" customHeight="1">
      <c r="A574" s="2">
        <v>573.0</v>
      </c>
      <c r="B574" s="1" t="s">
        <v>184</v>
      </c>
      <c r="C574" s="1" t="s">
        <v>1468</v>
      </c>
      <c r="D574" s="1" t="s">
        <v>1650</v>
      </c>
      <c r="E574" s="2">
        <v>5.70038354436E11</v>
      </c>
      <c r="F574" s="1" t="s">
        <v>1651</v>
      </c>
      <c r="G574" s="1" t="s">
        <v>18</v>
      </c>
      <c r="H574" s="3" t="s">
        <v>1139</v>
      </c>
      <c r="I574" s="1"/>
    </row>
    <row r="575" ht="15.75" customHeight="1">
      <c r="A575" s="2">
        <v>574.0</v>
      </c>
      <c r="B575" s="1" t="s">
        <v>1652</v>
      </c>
      <c r="C575" s="1" t="s">
        <v>1653</v>
      </c>
      <c r="D575" s="1" t="s">
        <v>667</v>
      </c>
      <c r="E575" s="2">
        <v>5.70038354437E11</v>
      </c>
      <c r="F575" s="1" t="s">
        <v>1500</v>
      </c>
      <c r="G575" s="1" t="s">
        <v>38</v>
      </c>
      <c r="H575" s="1" t="s">
        <v>1654</v>
      </c>
      <c r="I575" s="1" t="s">
        <v>595</v>
      </c>
      <c r="J575" s="1" t="s">
        <v>596</v>
      </c>
    </row>
    <row r="576" ht="15.75" customHeight="1">
      <c r="A576" s="2">
        <v>575.0</v>
      </c>
      <c r="B576" s="1" t="s">
        <v>1655</v>
      </c>
      <c r="C576" s="1" t="s">
        <v>859</v>
      </c>
      <c r="D576" s="1" t="s">
        <v>587</v>
      </c>
      <c r="E576" s="2">
        <v>5.70038354441E11</v>
      </c>
      <c r="F576" s="1" t="s">
        <v>1656</v>
      </c>
      <c r="G576" s="1" t="s">
        <v>383</v>
      </c>
      <c r="H576" s="1" t="s">
        <v>1654</v>
      </c>
      <c r="I576" s="1" t="s">
        <v>595</v>
      </c>
      <c r="J576" s="1" t="s">
        <v>596</v>
      </c>
    </row>
    <row r="577" ht="15.75" customHeight="1">
      <c r="A577" s="2">
        <v>576.0</v>
      </c>
      <c r="B577" s="1" t="s">
        <v>39</v>
      </c>
      <c r="C577" s="1" t="s">
        <v>1647</v>
      </c>
      <c r="D577" s="1" t="s">
        <v>115</v>
      </c>
      <c r="E577" s="2">
        <v>5.70038354442E11</v>
      </c>
      <c r="F577" s="1" t="s">
        <v>1657</v>
      </c>
      <c r="G577" s="1" t="s">
        <v>24</v>
      </c>
      <c r="H577" s="1" t="s">
        <v>1654</v>
      </c>
      <c r="I577" s="1" t="s">
        <v>595</v>
      </c>
      <c r="J577" s="1" t="s">
        <v>596</v>
      </c>
    </row>
    <row r="578" ht="15.75" customHeight="1">
      <c r="A578" s="2">
        <v>577.0</v>
      </c>
      <c r="B578" s="1" t="s">
        <v>192</v>
      </c>
      <c r="C578" s="1" t="s">
        <v>1658</v>
      </c>
      <c r="D578" s="1" t="s">
        <v>561</v>
      </c>
      <c r="E578" s="2">
        <v>5.70038354445E11</v>
      </c>
      <c r="F578" s="1" t="s">
        <v>1659</v>
      </c>
      <c r="G578" s="1" t="s">
        <v>38</v>
      </c>
      <c r="H578" s="1" t="s">
        <v>1654</v>
      </c>
      <c r="I578" s="1" t="s">
        <v>595</v>
      </c>
      <c r="J578" s="1" t="s">
        <v>596</v>
      </c>
    </row>
    <row r="579" ht="15.75" customHeight="1">
      <c r="A579" s="2">
        <v>578.0</v>
      </c>
      <c r="B579" s="1" t="s">
        <v>1660</v>
      </c>
      <c r="C579" s="1" t="s">
        <v>1661</v>
      </c>
      <c r="D579" s="1" t="s">
        <v>1662</v>
      </c>
      <c r="E579" s="2">
        <v>5.70038354447E11</v>
      </c>
      <c r="F579" s="1" t="s">
        <v>104</v>
      </c>
      <c r="G579" s="1" t="s">
        <v>1663</v>
      </c>
      <c r="H579" s="1" t="s">
        <v>1654</v>
      </c>
      <c r="I579" s="1" t="s">
        <v>595</v>
      </c>
      <c r="J579" s="1" t="s">
        <v>596</v>
      </c>
    </row>
    <row r="580" ht="15.75" customHeight="1">
      <c r="A580" s="2">
        <v>579.0</v>
      </c>
      <c r="B580" s="1" t="s">
        <v>1664</v>
      </c>
      <c r="C580" s="1" t="s">
        <v>1665</v>
      </c>
      <c r="D580" s="1" t="s">
        <v>1666</v>
      </c>
      <c r="E580" s="2">
        <v>5.70038354448E11</v>
      </c>
      <c r="F580" s="1" t="s">
        <v>1667</v>
      </c>
      <c r="G580" s="1" t="s">
        <v>38</v>
      </c>
      <c r="H580" s="1" t="s">
        <v>1654</v>
      </c>
      <c r="I580" s="1" t="s">
        <v>595</v>
      </c>
      <c r="J580" s="1" t="s">
        <v>596</v>
      </c>
    </row>
    <row r="581" ht="15.75" customHeight="1">
      <c r="A581" s="2">
        <v>580.0</v>
      </c>
      <c r="B581" s="1" t="s">
        <v>1668</v>
      </c>
      <c r="C581" s="1" t="s">
        <v>1134</v>
      </c>
      <c r="D581" s="1" t="s">
        <v>1669</v>
      </c>
      <c r="E581" s="2">
        <v>5.70038354449E11</v>
      </c>
      <c r="F581" s="1" t="s">
        <v>1670</v>
      </c>
      <c r="G581" s="1" t="s">
        <v>143</v>
      </c>
      <c r="H581" s="1" t="s">
        <v>1654</v>
      </c>
      <c r="I581" s="1" t="s">
        <v>595</v>
      </c>
      <c r="J581" s="1" t="s">
        <v>596</v>
      </c>
    </row>
    <row r="582" ht="15.75" customHeight="1">
      <c r="A582" s="2">
        <v>581.0</v>
      </c>
      <c r="B582" s="1" t="s">
        <v>1671</v>
      </c>
      <c r="C582" s="1" t="s">
        <v>1672</v>
      </c>
      <c r="D582" s="1" t="s">
        <v>1673</v>
      </c>
      <c r="E582" s="2">
        <v>5.70038354451E11</v>
      </c>
      <c r="F582" s="1" t="s">
        <v>1674</v>
      </c>
      <c r="G582" s="1" t="s">
        <v>1675</v>
      </c>
      <c r="H582" s="1" t="s">
        <v>1654</v>
      </c>
      <c r="I582" s="1" t="s">
        <v>595</v>
      </c>
      <c r="J582" s="1" t="s">
        <v>596</v>
      </c>
    </row>
    <row r="583" ht="15.75" customHeight="1">
      <c r="A583" s="2">
        <v>582.0</v>
      </c>
      <c r="B583" s="1" t="s">
        <v>1676</v>
      </c>
      <c r="C583" s="1" t="s">
        <v>1400</v>
      </c>
      <c r="D583" s="1" t="s">
        <v>1677</v>
      </c>
      <c r="E583" s="2">
        <v>5.70038354452E11</v>
      </c>
      <c r="F583" s="1" t="s">
        <v>1678</v>
      </c>
      <c r="G583" s="1" t="s">
        <v>18</v>
      </c>
      <c r="H583" s="1" t="s">
        <v>1654</v>
      </c>
      <c r="I583" s="1" t="s">
        <v>595</v>
      </c>
      <c r="J583" s="1" t="s">
        <v>596</v>
      </c>
    </row>
    <row r="584" ht="15.75" customHeight="1">
      <c r="A584" s="2">
        <v>583.0</v>
      </c>
      <c r="B584" s="1" t="s">
        <v>1679</v>
      </c>
      <c r="C584" s="1" t="s">
        <v>1680</v>
      </c>
      <c r="D584" s="1" t="s">
        <v>1186</v>
      </c>
      <c r="E584" s="2">
        <v>5.70038354453E11</v>
      </c>
      <c r="F584" s="1" t="s">
        <v>1681</v>
      </c>
      <c r="G584" s="1" t="s">
        <v>18</v>
      </c>
      <c r="H584" s="1" t="s">
        <v>1654</v>
      </c>
      <c r="I584" s="1" t="s">
        <v>595</v>
      </c>
      <c r="J584" s="1" t="s">
        <v>596</v>
      </c>
    </row>
    <row r="585" ht="15.75" customHeight="1">
      <c r="A585" s="2">
        <v>584.0</v>
      </c>
      <c r="B585" s="1" t="s">
        <v>1517</v>
      </c>
      <c r="C585" s="1" t="s">
        <v>630</v>
      </c>
      <c r="D585" s="1" t="s">
        <v>1682</v>
      </c>
      <c r="E585" s="2">
        <v>5.70038354455E11</v>
      </c>
      <c r="F585" s="1" t="s">
        <v>1683</v>
      </c>
      <c r="G585" s="1" t="s">
        <v>24</v>
      </c>
      <c r="H585" s="1" t="s">
        <v>1654</v>
      </c>
      <c r="I585" s="1" t="s">
        <v>595</v>
      </c>
      <c r="J585" s="1" t="s">
        <v>596</v>
      </c>
    </row>
    <row r="586" ht="15.75" customHeight="1">
      <c r="A586" s="2">
        <v>585.0</v>
      </c>
      <c r="B586" s="1" t="s">
        <v>1684</v>
      </c>
      <c r="C586" s="1" t="s">
        <v>1685</v>
      </c>
      <c r="D586" s="1" t="s">
        <v>68</v>
      </c>
      <c r="E586" s="2">
        <v>5.70038354457E11</v>
      </c>
      <c r="F586" s="1" t="s">
        <v>1686</v>
      </c>
      <c r="G586" s="1" t="s">
        <v>38</v>
      </c>
      <c r="H586" s="1" t="s">
        <v>1654</v>
      </c>
      <c r="I586" s="1" t="s">
        <v>595</v>
      </c>
      <c r="J586" s="1" t="s">
        <v>596</v>
      </c>
    </row>
    <row r="587" ht="15.75" customHeight="1">
      <c r="A587" s="2">
        <v>586.0</v>
      </c>
      <c r="B587" s="1" t="s">
        <v>1687</v>
      </c>
      <c r="C587" s="1" t="s">
        <v>1688</v>
      </c>
      <c r="D587" s="1" t="s">
        <v>1689</v>
      </c>
      <c r="E587" s="2">
        <v>5.70038354459E11</v>
      </c>
      <c r="F587" s="1" t="s">
        <v>1690</v>
      </c>
      <c r="G587" s="1" t="s">
        <v>24</v>
      </c>
      <c r="H587" s="1" t="s">
        <v>1654</v>
      </c>
      <c r="I587" s="1" t="s">
        <v>595</v>
      </c>
      <c r="J587" s="1" t="s">
        <v>596</v>
      </c>
    </row>
    <row r="588" ht="15.75" customHeight="1">
      <c r="A588" s="2">
        <v>587.0</v>
      </c>
      <c r="B588" s="1" t="s">
        <v>1691</v>
      </c>
      <c r="C588" s="1" t="s">
        <v>1692</v>
      </c>
      <c r="D588" s="1" t="s">
        <v>1693</v>
      </c>
      <c r="E588" s="2">
        <v>5.70038354462E11</v>
      </c>
      <c r="F588" s="1" t="s">
        <v>823</v>
      </c>
      <c r="G588" s="1" t="s">
        <v>24</v>
      </c>
      <c r="H588" s="1" t="s">
        <v>1654</v>
      </c>
      <c r="I588" s="1" t="s">
        <v>595</v>
      </c>
      <c r="J588" s="1" t="s">
        <v>596</v>
      </c>
    </row>
    <row r="589" ht="15.75" customHeight="1">
      <c r="A589" s="2">
        <v>588.0</v>
      </c>
      <c r="B589" s="1" t="s">
        <v>1694</v>
      </c>
      <c r="C589" s="1" t="s">
        <v>1695</v>
      </c>
      <c r="D589" s="1" t="s">
        <v>724</v>
      </c>
      <c r="E589" s="2">
        <v>5.70038354463E11</v>
      </c>
      <c r="F589" s="1" t="s">
        <v>1696</v>
      </c>
      <c r="G589" s="1" t="s">
        <v>90</v>
      </c>
      <c r="H589" s="1" t="s">
        <v>1654</v>
      </c>
      <c r="I589" s="1" t="s">
        <v>595</v>
      </c>
      <c r="J589" s="1" t="s">
        <v>596</v>
      </c>
    </row>
    <row r="590" ht="15.75" customHeight="1">
      <c r="A590" s="2">
        <v>589.0</v>
      </c>
      <c r="B590" s="1" t="s">
        <v>1697</v>
      </c>
      <c r="C590" s="1" t="s">
        <v>762</v>
      </c>
      <c r="D590" s="1" t="s">
        <v>324</v>
      </c>
      <c r="E590" s="2">
        <v>5.70038354465E11</v>
      </c>
      <c r="F590" s="1" t="s">
        <v>1698</v>
      </c>
      <c r="G590" s="1" t="s">
        <v>24</v>
      </c>
      <c r="H590" s="1" t="s">
        <v>1654</v>
      </c>
      <c r="I590" s="1" t="s">
        <v>595</v>
      </c>
      <c r="J590" s="1" t="s">
        <v>596</v>
      </c>
    </row>
    <row r="591" ht="15.75" customHeight="1">
      <c r="A591" s="2">
        <v>590.0</v>
      </c>
      <c r="B591" s="1" t="s">
        <v>1699</v>
      </c>
      <c r="C591" s="1" t="s">
        <v>254</v>
      </c>
      <c r="D591" s="1" t="s">
        <v>217</v>
      </c>
      <c r="E591" s="2">
        <v>5.70038354467E11</v>
      </c>
      <c r="F591" s="1" t="s">
        <v>465</v>
      </c>
      <c r="G591" s="1" t="s">
        <v>143</v>
      </c>
      <c r="H591" s="1" t="s">
        <v>1654</v>
      </c>
      <c r="I591" s="1" t="s">
        <v>595</v>
      </c>
      <c r="J591" s="1" t="s">
        <v>596</v>
      </c>
    </row>
    <row r="592" ht="15.75" customHeight="1">
      <c r="A592" s="2">
        <v>591.0</v>
      </c>
      <c r="B592" s="1" t="s">
        <v>1700</v>
      </c>
      <c r="C592" s="1" t="s">
        <v>1701</v>
      </c>
      <c r="D592" s="1" t="s">
        <v>1590</v>
      </c>
      <c r="E592" s="2">
        <v>5.70038354487E11</v>
      </c>
      <c r="F592" s="1" t="s">
        <v>1702</v>
      </c>
      <c r="G592" s="1" t="s">
        <v>18</v>
      </c>
      <c r="H592" s="1" t="s">
        <v>1654</v>
      </c>
      <c r="I592" s="1" t="s">
        <v>595</v>
      </c>
      <c r="J592" s="1" t="s">
        <v>596</v>
      </c>
    </row>
    <row r="593" ht="15.75" customHeight="1">
      <c r="A593" s="2">
        <v>592.0</v>
      </c>
      <c r="B593" s="1" t="s">
        <v>1703</v>
      </c>
      <c r="C593" s="1" t="s">
        <v>1704</v>
      </c>
      <c r="D593" s="1" t="s">
        <v>1705</v>
      </c>
      <c r="E593" s="2">
        <v>5.70038354489E11</v>
      </c>
      <c r="F593" s="1" t="s">
        <v>1706</v>
      </c>
      <c r="G593" s="1" t="s">
        <v>18</v>
      </c>
      <c r="H593" s="1" t="s">
        <v>1654</v>
      </c>
      <c r="I593" s="1" t="s">
        <v>595</v>
      </c>
      <c r="J593" s="1" t="s">
        <v>596</v>
      </c>
    </row>
    <row r="594" ht="15.75" customHeight="1">
      <c r="A594" s="2">
        <v>593.0</v>
      </c>
      <c r="B594" s="1" t="s">
        <v>1707</v>
      </c>
      <c r="C594" s="1" t="s">
        <v>1708</v>
      </c>
      <c r="D594" s="1" t="s">
        <v>1709</v>
      </c>
      <c r="E594" s="2">
        <v>5.7003835449E11</v>
      </c>
      <c r="F594" s="1" t="s">
        <v>1710</v>
      </c>
      <c r="G594" s="1" t="s">
        <v>18</v>
      </c>
      <c r="H594" s="1" t="s">
        <v>1654</v>
      </c>
      <c r="I594" s="1" t="s">
        <v>595</v>
      </c>
      <c r="J594" s="1" t="s">
        <v>596</v>
      </c>
    </row>
    <row r="595" ht="15.75" customHeight="1">
      <c r="A595" s="2">
        <v>594.0</v>
      </c>
      <c r="B595" s="1" t="s">
        <v>79</v>
      </c>
      <c r="C595" s="1" t="s">
        <v>1711</v>
      </c>
      <c r="D595" s="1" t="s">
        <v>1712</v>
      </c>
      <c r="E595" s="2">
        <v>5.70038354504E11</v>
      </c>
      <c r="F595" s="1" t="s">
        <v>1713</v>
      </c>
      <c r="G595" s="1" t="s">
        <v>18</v>
      </c>
      <c r="H595" s="1" t="s">
        <v>1654</v>
      </c>
      <c r="I595" s="1" t="s">
        <v>595</v>
      </c>
      <c r="J595" s="1" t="s">
        <v>596</v>
      </c>
    </row>
    <row r="596" ht="15.75" customHeight="1">
      <c r="A596" s="2">
        <v>595.0</v>
      </c>
      <c r="B596" s="1" t="s">
        <v>1714</v>
      </c>
      <c r="C596" s="1" t="s">
        <v>549</v>
      </c>
      <c r="D596" s="1" t="s">
        <v>1715</v>
      </c>
      <c r="E596" s="2">
        <v>5.70038354505E11</v>
      </c>
      <c r="F596" s="1" t="s">
        <v>1716</v>
      </c>
      <c r="G596" s="1" t="s">
        <v>24</v>
      </c>
      <c r="H596" s="1" t="s">
        <v>1654</v>
      </c>
      <c r="I596" s="1" t="s">
        <v>595</v>
      </c>
      <c r="J596" s="1" t="s">
        <v>596</v>
      </c>
    </row>
    <row r="597" ht="15.75" customHeight="1">
      <c r="A597" s="2">
        <v>596.0</v>
      </c>
      <c r="B597" s="1" t="s">
        <v>1717</v>
      </c>
      <c r="C597" s="1" t="s">
        <v>1718</v>
      </c>
      <c r="D597" s="1" t="s">
        <v>1719</v>
      </c>
      <c r="E597" s="2">
        <v>5.70038354509E11</v>
      </c>
      <c r="F597" s="1" t="s">
        <v>1720</v>
      </c>
      <c r="G597" s="1" t="s">
        <v>24</v>
      </c>
      <c r="H597" s="1" t="s">
        <v>1654</v>
      </c>
      <c r="I597" s="1" t="s">
        <v>595</v>
      </c>
      <c r="J597" s="1" t="s">
        <v>596</v>
      </c>
    </row>
    <row r="598" ht="15.75" customHeight="1">
      <c r="A598" s="2">
        <v>597.0</v>
      </c>
      <c r="B598" s="1" t="s">
        <v>223</v>
      </c>
      <c r="C598" s="1" t="s">
        <v>1718</v>
      </c>
      <c r="D598" s="1" t="s">
        <v>1719</v>
      </c>
      <c r="E598" s="2">
        <v>5.70038354511E11</v>
      </c>
      <c r="F598" s="1" t="s">
        <v>1721</v>
      </c>
      <c r="G598" s="1" t="s">
        <v>18</v>
      </c>
      <c r="H598" s="1" t="s">
        <v>1654</v>
      </c>
      <c r="I598" s="1" t="s">
        <v>595</v>
      </c>
      <c r="J598" s="1" t="s">
        <v>596</v>
      </c>
    </row>
    <row r="599" ht="15.75" customHeight="1">
      <c r="A599" s="2">
        <v>598.0</v>
      </c>
      <c r="B599" s="1" t="s">
        <v>1722</v>
      </c>
      <c r="C599" s="1" t="s">
        <v>1708</v>
      </c>
      <c r="D599" s="1" t="s">
        <v>1723</v>
      </c>
      <c r="E599" s="2">
        <v>5.70038354522E11</v>
      </c>
      <c r="F599" s="1" t="s">
        <v>1724</v>
      </c>
      <c r="G599" s="1" t="s">
        <v>38</v>
      </c>
      <c r="H599" s="1" t="s">
        <v>1654</v>
      </c>
      <c r="I599" s="1" t="s">
        <v>595</v>
      </c>
      <c r="J599" s="1" t="s">
        <v>596</v>
      </c>
    </row>
    <row r="600" ht="15.75" customHeight="1">
      <c r="A600" s="2">
        <v>599.0</v>
      </c>
      <c r="B600" s="1" t="s">
        <v>1119</v>
      </c>
      <c r="C600" s="1" t="s">
        <v>1725</v>
      </c>
      <c r="D600" s="1" t="s">
        <v>1723</v>
      </c>
      <c r="E600" s="2">
        <v>5.70038354523E11</v>
      </c>
      <c r="F600" s="1" t="s">
        <v>1726</v>
      </c>
      <c r="G600" s="1" t="s">
        <v>38</v>
      </c>
      <c r="H600" s="1" t="s">
        <v>1654</v>
      </c>
      <c r="I600" s="1" t="s">
        <v>595</v>
      </c>
      <c r="J600" s="1" t="s">
        <v>596</v>
      </c>
    </row>
    <row r="601" ht="15.75" customHeight="1">
      <c r="A601" s="2">
        <v>600.0</v>
      </c>
      <c r="B601" s="1" t="s">
        <v>1727</v>
      </c>
      <c r="C601" s="1" t="s">
        <v>1728</v>
      </c>
      <c r="D601" s="1" t="s">
        <v>494</v>
      </c>
      <c r="E601" s="2">
        <v>5.70038354527E11</v>
      </c>
      <c r="F601" s="1" t="s">
        <v>1456</v>
      </c>
      <c r="G601" s="1" t="s">
        <v>38</v>
      </c>
      <c r="H601" s="1" t="s">
        <v>1654</v>
      </c>
      <c r="I601" s="1" t="s">
        <v>595</v>
      </c>
      <c r="J601" s="1" t="s">
        <v>596</v>
      </c>
    </row>
    <row r="602" ht="15.75" customHeight="1">
      <c r="A602" s="2">
        <v>601.0</v>
      </c>
      <c r="B602" s="1" t="s">
        <v>1729</v>
      </c>
      <c r="C602" s="1" t="s">
        <v>1730</v>
      </c>
      <c r="D602" s="1" t="s">
        <v>494</v>
      </c>
      <c r="E602" s="2">
        <v>5.70038354528E11</v>
      </c>
      <c r="F602" s="1" t="s">
        <v>1731</v>
      </c>
      <c r="G602" s="1" t="s">
        <v>38</v>
      </c>
      <c r="H602" s="1" t="s">
        <v>1654</v>
      </c>
      <c r="I602" s="1" t="s">
        <v>595</v>
      </c>
      <c r="J602" s="1" t="s">
        <v>596</v>
      </c>
    </row>
    <row r="603" ht="15.75" customHeight="1">
      <c r="A603" s="2">
        <v>602.0</v>
      </c>
      <c r="B603" s="1" t="s">
        <v>1732</v>
      </c>
      <c r="C603" s="1" t="s">
        <v>1733</v>
      </c>
      <c r="D603" s="1" t="s">
        <v>10</v>
      </c>
      <c r="E603" s="2">
        <v>5.70038354529E11</v>
      </c>
      <c r="F603" s="1" t="s">
        <v>1734</v>
      </c>
      <c r="G603" s="1" t="s">
        <v>1675</v>
      </c>
      <c r="H603" s="1" t="s">
        <v>1654</v>
      </c>
      <c r="I603" s="1" t="s">
        <v>595</v>
      </c>
      <c r="J603" s="1" t="s">
        <v>596</v>
      </c>
    </row>
    <row r="604" ht="15.75" customHeight="1">
      <c r="A604" s="2">
        <v>603.0</v>
      </c>
      <c r="B604" s="1" t="s">
        <v>1735</v>
      </c>
      <c r="C604" s="1" t="s">
        <v>1736</v>
      </c>
      <c r="D604" s="1" t="s">
        <v>1737</v>
      </c>
      <c r="E604" s="2">
        <v>5.7003835453E11</v>
      </c>
      <c r="F604" s="1" t="s">
        <v>1738</v>
      </c>
      <c r="G604" s="1" t="s">
        <v>18</v>
      </c>
      <c r="H604" s="1" t="s">
        <v>1654</v>
      </c>
      <c r="I604" s="1" t="s">
        <v>595</v>
      </c>
      <c r="J604" s="1" t="s">
        <v>596</v>
      </c>
    </row>
    <row r="605" ht="15.75" customHeight="1">
      <c r="A605" s="2">
        <v>604.0</v>
      </c>
      <c r="B605" s="1" t="s">
        <v>1739</v>
      </c>
      <c r="C605" s="1" t="s">
        <v>25</v>
      </c>
      <c r="D605" s="1" t="s">
        <v>1740</v>
      </c>
      <c r="E605" s="2">
        <v>5.70038354538E11</v>
      </c>
      <c r="F605" s="1" t="s">
        <v>1741</v>
      </c>
      <c r="G605" s="1" t="s">
        <v>18</v>
      </c>
      <c r="H605" s="1" t="s">
        <v>1654</v>
      </c>
      <c r="I605" s="1" t="s">
        <v>595</v>
      </c>
      <c r="J605" s="1" t="s">
        <v>596</v>
      </c>
    </row>
    <row r="606" ht="15.75" customHeight="1">
      <c r="A606" s="2">
        <v>605.0</v>
      </c>
      <c r="B606" s="1" t="s">
        <v>1742</v>
      </c>
      <c r="C606" s="1" t="s">
        <v>1743</v>
      </c>
      <c r="D606" s="1" t="s">
        <v>1744</v>
      </c>
      <c r="E606" s="2">
        <v>5.70038354545E11</v>
      </c>
      <c r="F606" s="1" t="s">
        <v>1310</v>
      </c>
      <c r="G606" s="1" t="s">
        <v>18</v>
      </c>
      <c r="H606" s="1" t="s">
        <v>1654</v>
      </c>
      <c r="I606" s="1" t="s">
        <v>595</v>
      </c>
      <c r="J606" s="1" t="s">
        <v>596</v>
      </c>
    </row>
    <row r="607" ht="15.75" customHeight="1">
      <c r="A607" s="2">
        <v>606.0</v>
      </c>
      <c r="B607" s="1" t="s">
        <v>902</v>
      </c>
      <c r="C607" s="1" t="s">
        <v>1745</v>
      </c>
      <c r="D607" s="1" t="s">
        <v>1746</v>
      </c>
      <c r="E607" s="2">
        <v>5.70038354547E11</v>
      </c>
      <c r="F607" s="1" t="s">
        <v>1747</v>
      </c>
      <c r="G607" s="1" t="s">
        <v>18</v>
      </c>
      <c r="H607" s="1" t="s">
        <v>1654</v>
      </c>
      <c r="I607" s="1" t="s">
        <v>595</v>
      </c>
      <c r="J607" s="1" t="s">
        <v>596</v>
      </c>
    </row>
    <row r="608" ht="15.75" customHeight="1">
      <c r="A608" s="2">
        <v>607.0</v>
      </c>
      <c r="B608" s="1" t="s">
        <v>488</v>
      </c>
      <c r="C608" s="1" t="s">
        <v>1748</v>
      </c>
      <c r="D608" s="1" t="s">
        <v>1749</v>
      </c>
      <c r="E608" s="2">
        <v>5.7003835455E11</v>
      </c>
      <c r="F608" s="1" t="s">
        <v>1750</v>
      </c>
      <c r="G608" s="1" t="s">
        <v>1751</v>
      </c>
      <c r="H608" s="1" t="s">
        <v>1654</v>
      </c>
      <c r="I608" s="1" t="s">
        <v>595</v>
      </c>
      <c r="J608" s="1" t="s">
        <v>596</v>
      </c>
    </row>
    <row r="609" ht="15.75" customHeight="1">
      <c r="A609" s="2">
        <v>608.0</v>
      </c>
      <c r="B609" s="1" t="s">
        <v>1752</v>
      </c>
      <c r="C609" s="1" t="s">
        <v>66</v>
      </c>
      <c r="D609" s="1" t="s">
        <v>207</v>
      </c>
      <c r="E609" s="2">
        <v>5.70038354553E11</v>
      </c>
      <c r="F609" s="1" t="s">
        <v>1753</v>
      </c>
      <c r="G609" s="1" t="s">
        <v>18</v>
      </c>
      <c r="H609" s="1" t="s">
        <v>1654</v>
      </c>
      <c r="I609" s="1" t="s">
        <v>595</v>
      </c>
      <c r="J609" s="1" t="s">
        <v>596</v>
      </c>
    </row>
    <row r="610" ht="15.75" customHeight="1">
      <c r="A610" s="2">
        <v>609.0</v>
      </c>
      <c r="B610" s="1" t="s">
        <v>1754</v>
      </c>
      <c r="C610" s="1" t="s">
        <v>1755</v>
      </c>
      <c r="D610" s="1" t="s">
        <v>1756</v>
      </c>
      <c r="E610" s="2">
        <v>5.70038354555E11</v>
      </c>
      <c r="F610" s="1" t="s">
        <v>1757</v>
      </c>
      <c r="G610" s="1" t="s">
        <v>38</v>
      </c>
      <c r="H610" s="1" t="s">
        <v>1654</v>
      </c>
      <c r="I610" s="1" t="s">
        <v>595</v>
      </c>
      <c r="J610" s="1" t="s">
        <v>596</v>
      </c>
    </row>
    <row r="611" ht="15.75" customHeight="1">
      <c r="A611" s="2">
        <v>610.0</v>
      </c>
      <c r="B611" s="1" t="s">
        <v>1133</v>
      </c>
      <c r="C611" s="1" t="s">
        <v>1758</v>
      </c>
      <c r="D611" s="1" t="s">
        <v>576</v>
      </c>
      <c r="E611" s="2">
        <v>5.70038354558E11</v>
      </c>
      <c r="F611" s="1" t="s">
        <v>1759</v>
      </c>
      <c r="G611" s="1" t="s">
        <v>38</v>
      </c>
      <c r="H611" s="1" t="s">
        <v>1654</v>
      </c>
      <c r="I611" s="1" t="s">
        <v>595</v>
      </c>
      <c r="J611" s="1" t="s">
        <v>596</v>
      </c>
    </row>
    <row r="612" ht="15.75" customHeight="1">
      <c r="A612" s="2">
        <v>611.0</v>
      </c>
      <c r="B612" s="1" t="s">
        <v>1760</v>
      </c>
      <c r="C612" s="1" t="s">
        <v>1761</v>
      </c>
      <c r="D612" s="1" t="s">
        <v>1762</v>
      </c>
      <c r="E612" s="2">
        <v>5.70038354561E11</v>
      </c>
      <c r="F612" s="1" t="s">
        <v>1763</v>
      </c>
      <c r="G612" s="1" t="s">
        <v>38</v>
      </c>
      <c r="H612" s="1" t="s">
        <v>1654</v>
      </c>
      <c r="I612" s="1" t="s">
        <v>595</v>
      </c>
      <c r="J612" s="1" t="s">
        <v>596</v>
      </c>
    </row>
    <row r="613" ht="15.75" customHeight="1">
      <c r="A613" s="2">
        <v>612.0</v>
      </c>
      <c r="B613" s="1" t="s">
        <v>1764</v>
      </c>
      <c r="C613" s="1" t="s">
        <v>1765</v>
      </c>
      <c r="D613" s="1" t="s">
        <v>1766</v>
      </c>
      <c r="E613" s="2">
        <v>5.70038354568E11</v>
      </c>
      <c r="F613" s="1" t="s">
        <v>1767</v>
      </c>
      <c r="G613" s="1" t="s">
        <v>24</v>
      </c>
      <c r="H613" s="1" t="s">
        <v>1654</v>
      </c>
      <c r="I613" s="1" t="s">
        <v>595</v>
      </c>
      <c r="J613" s="1" t="s">
        <v>596</v>
      </c>
    </row>
    <row r="614" ht="15.75" customHeight="1">
      <c r="A614" s="2">
        <v>613.0</v>
      </c>
      <c r="B614" s="1" t="s">
        <v>1768</v>
      </c>
      <c r="C614" s="1" t="s">
        <v>1769</v>
      </c>
      <c r="D614" s="1" t="s">
        <v>1766</v>
      </c>
      <c r="E614" s="2">
        <v>5.70038354569E11</v>
      </c>
      <c r="F614" s="1" t="s">
        <v>1770</v>
      </c>
      <c r="G614" s="1" t="s">
        <v>24</v>
      </c>
      <c r="H614" s="1" t="s">
        <v>1654</v>
      </c>
      <c r="I614" s="1" t="s">
        <v>595</v>
      </c>
      <c r="J614" s="1" t="s">
        <v>596</v>
      </c>
    </row>
    <row r="615" ht="15.75" customHeight="1">
      <c r="A615" s="2">
        <v>614.0</v>
      </c>
      <c r="B615" s="1" t="s">
        <v>682</v>
      </c>
      <c r="C615" s="1" t="s">
        <v>1771</v>
      </c>
      <c r="D615" s="1" t="s">
        <v>1772</v>
      </c>
      <c r="E615" s="2">
        <v>5.70038354573E11</v>
      </c>
      <c r="F615" s="1" t="s">
        <v>1773</v>
      </c>
      <c r="G615" s="1" t="s">
        <v>24</v>
      </c>
      <c r="H615" s="1" t="s">
        <v>1654</v>
      </c>
      <c r="I615" s="1" t="s">
        <v>595</v>
      </c>
      <c r="J615" s="1" t="s">
        <v>596</v>
      </c>
    </row>
    <row r="616" ht="15.75" customHeight="1">
      <c r="A616" s="2">
        <v>615.0</v>
      </c>
      <c r="B616" s="1" t="s">
        <v>656</v>
      </c>
      <c r="C616" s="1" t="s">
        <v>1774</v>
      </c>
      <c r="D616" s="1" t="s">
        <v>68</v>
      </c>
      <c r="E616" s="2">
        <v>5.70038354576E11</v>
      </c>
      <c r="F616" s="1" t="s">
        <v>1775</v>
      </c>
      <c r="G616" s="1" t="s">
        <v>90</v>
      </c>
      <c r="H616" s="1" t="s">
        <v>1654</v>
      </c>
      <c r="I616" s="1" t="s">
        <v>595</v>
      </c>
      <c r="J616" s="1" t="s">
        <v>596</v>
      </c>
    </row>
    <row r="617" ht="15.75" customHeight="1">
      <c r="A617" s="2">
        <v>616.0</v>
      </c>
      <c r="B617" s="1" t="s">
        <v>1776</v>
      </c>
      <c r="C617" s="1" t="s">
        <v>1777</v>
      </c>
      <c r="D617" s="1" t="s">
        <v>359</v>
      </c>
      <c r="E617" s="2">
        <v>5.70038354581E11</v>
      </c>
      <c r="F617" s="1" t="s">
        <v>1778</v>
      </c>
      <c r="G617" s="1" t="s">
        <v>24</v>
      </c>
      <c r="H617" s="1" t="s">
        <v>1654</v>
      </c>
      <c r="I617" s="1" t="s">
        <v>595</v>
      </c>
      <c r="J617" s="1" t="s">
        <v>596</v>
      </c>
    </row>
    <row r="618" ht="15.75" customHeight="1">
      <c r="A618" s="2">
        <v>617.0</v>
      </c>
      <c r="B618" s="1" t="s">
        <v>1779</v>
      </c>
      <c r="C618" s="1" t="s">
        <v>845</v>
      </c>
      <c r="D618" s="1" t="s">
        <v>1780</v>
      </c>
      <c r="E618" s="2">
        <v>5.70038354583E11</v>
      </c>
      <c r="F618" s="1" t="s">
        <v>1781</v>
      </c>
      <c r="G618" s="1" t="s">
        <v>24</v>
      </c>
      <c r="H618" s="1" t="s">
        <v>1654</v>
      </c>
      <c r="I618" s="1" t="s">
        <v>595</v>
      </c>
      <c r="J618" s="1" t="s">
        <v>596</v>
      </c>
    </row>
    <row r="619" ht="15.75" customHeight="1">
      <c r="A619" s="2">
        <v>618.0</v>
      </c>
      <c r="B619" s="1" t="s">
        <v>254</v>
      </c>
      <c r="C619" s="1" t="s">
        <v>1777</v>
      </c>
      <c r="D619" s="1" t="s">
        <v>359</v>
      </c>
      <c r="E619" s="2">
        <v>5.70038354585E11</v>
      </c>
      <c r="F619" s="1" t="s">
        <v>1782</v>
      </c>
      <c r="G619" s="1" t="s">
        <v>38</v>
      </c>
      <c r="H619" s="1" t="s">
        <v>1654</v>
      </c>
      <c r="I619" s="1" t="s">
        <v>595</v>
      </c>
      <c r="J619" s="1" t="s">
        <v>596</v>
      </c>
    </row>
    <row r="620" ht="15.75" customHeight="1">
      <c r="A620" s="2">
        <v>619.0</v>
      </c>
      <c r="B620" s="1" t="s">
        <v>1783</v>
      </c>
      <c r="C620" s="1" t="s">
        <v>1784</v>
      </c>
      <c r="D620" s="1" t="s">
        <v>1575</v>
      </c>
      <c r="E620" s="2">
        <v>5.70038354586E11</v>
      </c>
      <c r="F620" s="1" t="s">
        <v>1785</v>
      </c>
      <c r="G620" s="1" t="s">
        <v>24</v>
      </c>
      <c r="H620" s="1" t="s">
        <v>1654</v>
      </c>
      <c r="I620" s="1" t="s">
        <v>595</v>
      </c>
      <c r="J620" s="1" t="s">
        <v>596</v>
      </c>
    </row>
    <row r="621" ht="15.75" customHeight="1">
      <c r="A621" s="2">
        <v>620.0</v>
      </c>
      <c r="B621" s="1" t="s">
        <v>1517</v>
      </c>
      <c r="C621" s="1" t="s">
        <v>330</v>
      </c>
      <c r="D621" s="1" t="s">
        <v>1786</v>
      </c>
      <c r="E621" s="2">
        <v>5.70038354587E11</v>
      </c>
      <c r="F621" s="1" t="s">
        <v>1787</v>
      </c>
      <c r="G621" s="1" t="s">
        <v>38</v>
      </c>
      <c r="H621" s="1" t="s">
        <v>1654</v>
      </c>
      <c r="I621" s="1" t="s">
        <v>595</v>
      </c>
      <c r="J621" s="1" t="s">
        <v>596</v>
      </c>
    </row>
    <row r="622" ht="15.75" customHeight="1">
      <c r="A622" s="2">
        <v>621.0</v>
      </c>
      <c r="B622" s="1" t="s">
        <v>1788</v>
      </c>
      <c r="C622" s="1" t="s">
        <v>1789</v>
      </c>
      <c r="D622" s="1" t="s">
        <v>1790</v>
      </c>
      <c r="E622" s="2">
        <v>5.70038354589E11</v>
      </c>
      <c r="F622" s="1" t="s">
        <v>1791</v>
      </c>
      <c r="G622" s="1" t="s">
        <v>24</v>
      </c>
      <c r="H622" s="1" t="s">
        <v>1792</v>
      </c>
      <c r="I622" s="1" t="s">
        <v>595</v>
      </c>
      <c r="J622" s="1" t="s">
        <v>596</v>
      </c>
    </row>
    <row r="623" ht="15.75" customHeight="1">
      <c r="A623" s="2">
        <v>622.0</v>
      </c>
      <c r="B623" s="1" t="s">
        <v>1793</v>
      </c>
      <c r="C623" s="1" t="s">
        <v>1794</v>
      </c>
      <c r="D623" s="1" t="s">
        <v>1795</v>
      </c>
      <c r="E623" s="2">
        <v>5.7003835459E11</v>
      </c>
      <c r="F623" s="1" t="s">
        <v>1796</v>
      </c>
      <c r="G623" s="1" t="s">
        <v>24</v>
      </c>
      <c r="H623" s="1" t="s">
        <v>1654</v>
      </c>
      <c r="I623" s="1" t="s">
        <v>595</v>
      </c>
      <c r="J623" s="1" t="s">
        <v>596</v>
      </c>
    </row>
    <row r="624" ht="15.75" customHeight="1">
      <c r="A624" s="2">
        <v>623.0</v>
      </c>
      <c r="B624" s="1" t="s">
        <v>1797</v>
      </c>
      <c r="C624" s="1" t="s">
        <v>54</v>
      </c>
      <c r="D624" s="1" t="s">
        <v>1798</v>
      </c>
      <c r="E624" s="2">
        <v>5.70038354593E11</v>
      </c>
      <c r="F624" s="1" t="s">
        <v>920</v>
      </c>
      <c r="G624" s="1" t="s">
        <v>383</v>
      </c>
      <c r="H624" s="1" t="s">
        <v>1654</v>
      </c>
      <c r="I624" s="1" t="s">
        <v>595</v>
      </c>
      <c r="J624" s="1" t="s">
        <v>596</v>
      </c>
    </row>
    <row r="625" ht="15.75" customHeight="1">
      <c r="A625" s="2">
        <v>624.0</v>
      </c>
      <c r="B625" s="1" t="s">
        <v>54</v>
      </c>
      <c r="C625" s="1" t="s">
        <v>1799</v>
      </c>
      <c r="D625" s="1" t="s">
        <v>478</v>
      </c>
      <c r="E625" s="2">
        <v>5.70038354594E11</v>
      </c>
      <c r="F625" s="1" t="s">
        <v>1800</v>
      </c>
      <c r="G625" s="1" t="s">
        <v>24</v>
      </c>
      <c r="H625" s="1" t="s">
        <v>1654</v>
      </c>
      <c r="I625" s="1" t="s">
        <v>595</v>
      </c>
      <c r="J625" s="1" t="s">
        <v>596</v>
      </c>
    </row>
    <row r="626" ht="15.75" customHeight="1">
      <c r="A626" s="2">
        <v>625.0</v>
      </c>
      <c r="B626" s="1" t="s">
        <v>1801</v>
      </c>
      <c r="C626" s="1" t="s">
        <v>1802</v>
      </c>
      <c r="D626" s="1" t="s">
        <v>1423</v>
      </c>
      <c r="E626" s="2">
        <v>5.70038354596E11</v>
      </c>
      <c r="F626" s="1" t="s">
        <v>1803</v>
      </c>
      <c r="G626" s="1" t="s">
        <v>18</v>
      </c>
      <c r="H626" s="1" t="s">
        <v>1654</v>
      </c>
      <c r="I626" s="1" t="s">
        <v>595</v>
      </c>
      <c r="J626" s="1" t="s">
        <v>596</v>
      </c>
    </row>
    <row r="627" ht="15.75" customHeight="1">
      <c r="A627" s="2">
        <v>626.0</v>
      </c>
      <c r="B627" s="1" t="s">
        <v>1804</v>
      </c>
      <c r="C627" s="1" t="s">
        <v>1802</v>
      </c>
      <c r="D627" s="1" t="s">
        <v>1423</v>
      </c>
      <c r="E627" s="2">
        <v>5.70038354597E11</v>
      </c>
      <c r="F627" s="1" t="s">
        <v>1805</v>
      </c>
      <c r="G627" s="1" t="s">
        <v>24</v>
      </c>
      <c r="H627" s="1" t="s">
        <v>1654</v>
      </c>
      <c r="I627" s="1" t="s">
        <v>595</v>
      </c>
      <c r="J627" s="1" t="s">
        <v>596</v>
      </c>
    </row>
    <row r="628" ht="15.75" customHeight="1">
      <c r="A628" s="2">
        <v>627.0</v>
      </c>
      <c r="B628" s="1" t="s">
        <v>1806</v>
      </c>
      <c r="C628" s="1" t="s">
        <v>1807</v>
      </c>
      <c r="D628" s="1" t="s">
        <v>1808</v>
      </c>
      <c r="E628" s="2">
        <v>5.70038354602E11</v>
      </c>
      <c r="F628" s="1" t="s">
        <v>1809</v>
      </c>
      <c r="G628" s="1" t="s">
        <v>1663</v>
      </c>
      <c r="H628" s="1" t="s">
        <v>1654</v>
      </c>
      <c r="I628" s="1" t="s">
        <v>595</v>
      </c>
      <c r="J628" s="1" t="s">
        <v>596</v>
      </c>
    </row>
    <row r="629" ht="15.75" customHeight="1">
      <c r="A629" s="2">
        <v>628.0</v>
      </c>
      <c r="B629" s="1" t="s">
        <v>1065</v>
      </c>
      <c r="C629" s="1" t="s">
        <v>1810</v>
      </c>
      <c r="D629" s="1" t="s">
        <v>1811</v>
      </c>
      <c r="E629" s="2">
        <v>5.70038354605E11</v>
      </c>
      <c r="F629" s="1" t="s">
        <v>1812</v>
      </c>
      <c r="G629" s="1" t="s">
        <v>1813</v>
      </c>
      <c r="H629" s="1" t="s">
        <v>1654</v>
      </c>
      <c r="I629" s="1" t="s">
        <v>595</v>
      </c>
      <c r="J629" s="1" t="s">
        <v>596</v>
      </c>
    </row>
    <row r="630" ht="15.75" customHeight="1">
      <c r="A630" s="2">
        <v>629.0</v>
      </c>
      <c r="B630" s="1" t="s">
        <v>1814</v>
      </c>
      <c r="C630" s="1" t="s">
        <v>1815</v>
      </c>
      <c r="D630" s="1" t="s">
        <v>1816</v>
      </c>
      <c r="E630" s="2">
        <v>5.70038354608E11</v>
      </c>
      <c r="F630" s="1" t="s">
        <v>1817</v>
      </c>
      <c r="G630" s="1" t="s">
        <v>383</v>
      </c>
      <c r="H630" s="1" t="s">
        <v>1654</v>
      </c>
      <c r="I630" s="1" t="s">
        <v>595</v>
      </c>
      <c r="J630" s="1" t="s">
        <v>596</v>
      </c>
    </row>
    <row r="631" ht="15.75" customHeight="1">
      <c r="A631" s="2">
        <v>630.0</v>
      </c>
      <c r="B631" s="1" t="s">
        <v>1818</v>
      </c>
      <c r="C631" s="1" t="s">
        <v>1819</v>
      </c>
      <c r="D631" s="1" t="s">
        <v>1811</v>
      </c>
      <c r="E631" s="2">
        <v>5.70038354612E11</v>
      </c>
      <c r="F631" s="1" t="s">
        <v>1820</v>
      </c>
      <c r="G631" s="1" t="s">
        <v>24</v>
      </c>
      <c r="H631" s="1" t="s">
        <v>1654</v>
      </c>
      <c r="I631" s="1" t="s">
        <v>595</v>
      </c>
      <c r="J631" s="1" t="s">
        <v>596</v>
      </c>
    </row>
    <row r="632" ht="15.75" customHeight="1">
      <c r="A632" s="2">
        <v>631.0</v>
      </c>
      <c r="B632" s="1" t="s">
        <v>209</v>
      </c>
      <c r="C632" s="1" t="s">
        <v>1821</v>
      </c>
      <c r="D632" s="1" t="s">
        <v>850</v>
      </c>
      <c r="E632" s="2">
        <v>5.70038354613E11</v>
      </c>
      <c r="F632" s="1" t="s">
        <v>1822</v>
      </c>
      <c r="G632" s="1" t="s">
        <v>121</v>
      </c>
      <c r="H632" s="1" t="s">
        <v>1654</v>
      </c>
      <c r="I632" s="1" t="s">
        <v>595</v>
      </c>
      <c r="J632" s="1" t="s">
        <v>596</v>
      </c>
    </row>
    <row r="633" ht="15.75" customHeight="1">
      <c r="A633" s="2">
        <v>632.0</v>
      </c>
      <c r="B633" s="1" t="s">
        <v>361</v>
      </c>
      <c r="C633" s="1" t="s">
        <v>1823</v>
      </c>
      <c r="D633" s="1" t="s">
        <v>1519</v>
      </c>
      <c r="E633" s="2">
        <v>5.70038354615E11</v>
      </c>
      <c r="F633" s="1" t="s">
        <v>1824</v>
      </c>
      <c r="G633" s="1" t="s">
        <v>38</v>
      </c>
      <c r="H633" s="1" t="s">
        <v>1654</v>
      </c>
      <c r="I633" s="1" t="s">
        <v>595</v>
      </c>
      <c r="J633" s="1" t="s">
        <v>596</v>
      </c>
    </row>
    <row r="634" ht="15.75" customHeight="1">
      <c r="A634" s="2">
        <v>633.0</v>
      </c>
      <c r="B634" s="1" t="s">
        <v>1825</v>
      </c>
      <c r="C634" s="1" t="s">
        <v>1826</v>
      </c>
      <c r="D634" s="1" t="s">
        <v>255</v>
      </c>
      <c r="E634" s="2">
        <v>5.70038354616E11</v>
      </c>
      <c r="F634" s="1" t="s">
        <v>1827</v>
      </c>
      <c r="G634" s="1" t="s">
        <v>593</v>
      </c>
      <c r="H634" s="1" t="s">
        <v>1654</v>
      </c>
      <c r="I634" s="1" t="s">
        <v>595</v>
      </c>
      <c r="J634" s="1" t="s">
        <v>596</v>
      </c>
    </row>
    <row r="635" ht="15.75" customHeight="1">
      <c r="A635" s="2">
        <v>634.0</v>
      </c>
      <c r="B635" s="1" t="s">
        <v>1828</v>
      </c>
      <c r="C635" s="1" t="s">
        <v>1829</v>
      </c>
      <c r="D635" s="1" t="s">
        <v>1830</v>
      </c>
      <c r="E635" s="2">
        <v>5.70038354617E11</v>
      </c>
      <c r="F635" s="1" t="s">
        <v>1831</v>
      </c>
      <c r="G635" s="1" t="s">
        <v>24</v>
      </c>
      <c r="H635" s="1" t="s">
        <v>1654</v>
      </c>
      <c r="I635" s="1" t="s">
        <v>595</v>
      </c>
      <c r="J635" s="1" t="s">
        <v>596</v>
      </c>
    </row>
    <row r="636" ht="15.75" customHeight="1">
      <c r="A636" s="2">
        <v>635.0</v>
      </c>
      <c r="B636" s="1" t="s">
        <v>1065</v>
      </c>
      <c r="C636" s="1" t="s">
        <v>1832</v>
      </c>
      <c r="D636" s="1" t="s">
        <v>324</v>
      </c>
      <c r="E636" s="2">
        <v>5.70038354619E11</v>
      </c>
      <c r="F636" s="1" t="s">
        <v>1833</v>
      </c>
      <c r="G636" s="1" t="s">
        <v>121</v>
      </c>
      <c r="H636" s="1" t="s">
        <v>1654</v>
      </c>
      <c r="I636" s="1" t="s">
        <v>595</v>
      </c>
      <c r="J636" s="1" t="s">
        <v>596</v>
      </c>
    </row>
    <row r="637" ht="15.75" customHeight="1">
      <c r="A637" s="2">
        <v>636.0</v>
      </c>
      <c r="B637" s="1" t="s">
        <v>32</v>
      </c>
      <c r="C637" s="1" t="s">
        <v>1834</v>
      </c>
      <c r="D637" s="1" t="s">
        <v>1835</v>
      </c>
      <c r="E637" s="2">
        <v>5.70038354621E11</v>
      </c>
      <c r="F637" s="1" t="s">
        <v>1836</v>
      </c>
      <c r="G637" s="1" t="s">
        <v>24</v>
      </c>
      <c r="H637" s="1" t="s">
        <v>1654</v>
      </c>
      <c r="I637" s="1" t="s">
        <v>595</v>
      </c>
      <c r="J637" s="1" t="s">
        <v>596</v>
      </c>
    </row>
    <row r="638" ht="15.75" customHeight="1">
      <c r="A638" s="2">
        <v>637.0</v>
      </c>
      <c r="B638" s="1" t="s">
        <v>72</v>
      </c>
      <c r="C638" s="1" t="s">
        <v>1837</v>
      </c>
      <c r="D638" s="1" t="s">
        <v>1838</v>
      </c>
      <c r="E638" s="2">
        <v>5.70038354622E11</v>
      </c>
      <c r="F638" s="1" t="s">
        <v>1839</v>
      </c>
      <c r="G638" s="1" t="s">
        <v>24</v>
      </c>
      <c r="H638" s="1" t="s">
        <v>1654</v>
      </c>
      <c r="I638" s="1" t="s">
        <v>595</v>
      </c>
      <c r="J638" s="1" t="s">
        <v>596</v>
      </c>
    </row>
    <row r="639" ht="15.75" customHeight="1">
      <c r="A639" s="2">
        <v>638.0</v>
      </c>
      <c r="B639" s="1" t="s">
        <v>1840</v>
      </c>
      <c r="C639" s="1" t="s">
        <v>1718</v>
      </c>
      <c r="D639" s="1" t="s">
        <v>1841</v>
      </c>
      <c r="E639" s="2">
        <v>5.70038354629E11</v>
      </c>
      <c r="F639" s="1" t="s">
        <v>1842</v>
      </c>
      <c r="G639" s="1" t="s">
        <v>24</v>
      </c>
      <c r="H639" s="1" t="s">
        <v>1654</v>
      </c>
      <c r="I639" s="1" t="s">
        <v>595</v>
      </c>
      <c r="J639" s="1" t="s">
        <v>596</v>
      </c>
    </row>
    <row r="640" ht="15.75" customHeight="1">
      <c r="A640" s="2">
        <v>639.0</v>
      </c>
      <c r="B640" s="1" t="s">
        <v>118</v>
      </c>
      <c r="C640" s="1" t="s">
        <v>1843</v>
      </c>
      <c r="D640" s="1" t="s">
        <v>438</v>
      </c>
      <c r="E640" s="2">
        <v>5.70038354631E11</v>
      </c>
      <c r="F640" s="1" t="s">
        <v>1844</v>
      </c>
      <c r="G640" s="1" t="s">
        <v>38</v>
      </c>
      <c r="H640" s="1" t="s">
        <v>1654</v>
      </c>
      <c r="I640" s="1" t="s">
        <v>595</v>
      </c>
      <c r="J640" s="1" t="s">
        <v>596</v>
      </c>
    </row>
    <row r="641" ht="15.75" customHeight="1">
      <c r="A641" s="2">
        <v>640.0</v>
      </c>
      <c r="B641" s="1" t="s">
        <v>1845</v>
      </c>
      <c r="C641" s="1" t="s">
        <v>1846</v>
      </c>
      <c r="D641" s="1" t="s">
        <v>1847</v>
      </c>
      <c r="E641" s="2">
        <v>5.70038354632E11</v>
      </c>
      <c r="F641" s="1" t="s">
        <v>1848</v>
      </c>
      <c r="G641" s="1" t="s">
        <v>18</v>
      </c>
      <c r="H641" s="1" t="s">
        <v>1654</v>
      </c>
      <c r="I641" s="1" t="s">
        <v>595</v>
      </c>
      <c r="J641" s="1" t="s">
        <v>596</v>
      </c>
    </row>
    <row r="642" ht="15.75" customHeight="1">
      <c r="A642" s="2">
        <v>641.0</v>
      </c>
      <c r="B642" s="1" t="s">
        <v>39</v>
      </c>
      <c r="C642" s="1" t="s">
        <v>1849</v>
      </c>
      <c r="D642" s="1" t="s">
        <v>1850</v>
      </c>
      <c r="E642" s="2">
        <v>5.70038354633E11</v>
      </c>
      <c r="F642" s="1" t="s">
        <v>1851</v>
      </c>
      <c r="G642" s="1" t="s">
        <v>18</v>
      </c>
      <c r="H642" s="1" t="s">
        <v>1654</v>
      </c>
      <c r="I642" s="1" t="s">
        <v>595</v>
      </c>
      <c r="J642" s="1" t="s">
        <v>596</v>
      </c>
    </row>
    <row r="643" ht="15.75" customHeight="1">
      <c r="A643" s="2">
        <v>642.0</v>
      </c>
      <c r="B643" s="1" t="s">
        <v>1685</v>
      </c>
      <c r="C643" s="1" t="s">
        <v>1852</v>
      </c>
      <c r="D643" s="1" t="s">
        <v>217</v>
      </c>
      <c r="E643" s="2">
        <v>5.70038354634E11</v>
      </c>
      <c r="F643" s="1" t="s">
        <v>1853</v>
      </c>
      <c r="G643" s="1" t="s">
        <v>18</v>
      </c>
      <c r="H643" s="1" t="s">
        <v>1654</v>
      </c>
      <c r="I643" s="1" t="s">
        <v>595</v>
      </c>
      <c r="J643" s="1" t="s">
        <v>596</v>
      </c>
    </row>
    <row r="644" ht="15.75" customHeight="1">
      <c r="A644" s="2">
        <v>643.0</v>
      </c>
      <c r="B644" s="1" t="s">
        <v>79</v>
      </c>
      <c r="C644" s="1" t="s">
        <v>1854</v>
      </c>
      <c r="D644" s="1" t="s">
        <v>939</v>
      </c>
      <c r="E644" s="2">
        <v>5.7003835464E11</v>
      </c>
      <c r="F644" s="1" t="s">
        <v>1855</v>
      </c>
      <c r="G644" s="1" t="s">
        <v>18</v>
      </c>
      <c r="H644" s="1" t="s">
        <v>1654</v>
      </c>
      <c r="I644" s="1" t="s">
        <v>595</v>
      </c>
      <c r="J644" s="1" t="s">
        <v>596</v>
      </c>
    </row>
    <row r="645" ht="15.75" customHeight="1">
      <c r="A645" s="2">
        <v>644.0</v>
      </c>
      <c r="B645" s="1" t="s">
        <v>1856</v>
      </c>
      <c r="C645" s="1" t="s">
        <v>1708</v>
      </c>
      <c r="D645" s="1" t="s">
        <v>1857</v>
      </c>
      <c r="E645" s="2">
        <v>5.70038354645E11</v>
      </c>
      <c r="F645" s="1" t="s">
        <v>1858</v>
      </c>
      <c r="G645" s="1" t="s">
        <v>24</v>
      </c>
      <c r="H645" s="1" t="s">
        <v>1654</v>
      </c>
      <c r="I645" s="1" t="s">
        <v>595</v>
      </c>
      <c r="J645" s="1" t="s">
        <v>596</v>
      </c>
    </row>
    <row r="646" ht="15.75" customHeight="1">
      <c r="A646" s="2">
        <v>645.0</v>
      </c>
      <c r="B646" s="1" t="s">
        <v>1859</v>
      </c>
      <c r="C646" s="1" t="s">
        <v>1860</v>
      </c>
      <c r="D646" s="1" t="s">
        <v>494</v>
      </c>
      <c r="E646" s="2">
        <v>5.70038354646E11</v>
      </c>
      <c r="F646" s="1" t="s">
        <v>1861</v>
      </c>
      <c r="G646" s="1" t="s">
        <v>18</v>
      </c>
      <c r="H646" s="1" t="s">
        <v>1654</v>
      </c>
      <c r="I646" s="1" t="s">
        <v>595</v>
      </c>
      <c r="J646" s="1" t="s">
        <v>596</v>
      </c>
    </row>
    <row r="647" ht="15.75" customHeight="1">
      <c r="A647" s="2">
        <v>646.0</v>
      </c>
      <c r="B647" s="1" t="s">
        <v>1862</v>
      </c>
      <c r="C647" s="1" t="s">
        <v>1863</v>
      </c>
      <c r="D647" s="1" t="s">
        <v>939</v>
      </c>
      <c r="E647" s="2">
        <v>5.7003835465E11</v>
      </c>
      <c r="F647" s="1" t="s">
        <v>1864</v>
      </c>
      <c r="G647" s="1" t="s">
        <v>47</v>
      </c>
      <c r="H647" s="1" t="s">
        <v>1654</v>
      </c>
      <c r="I647" s="1" t="s">
        <v>595</v>
      </c>
      <c r="J647" s="1" t="s">
        <v>596</v>
      </c>
    </row>
    <row r="648" ht="15.75" customHeight="1">
      <c r="A648" s="2">
        <v>647.0</v>
      </c>
      <c r="B648" s="1" t="s">
        <v>1865</v>
      </c>
      <c r="C648" s="1" t="s">
        <v>591</v>
      </c>
      <c r="D648" s="1" t="s">
        <v>1866</v>
      </c>
      <c r="E648" s="2">
        <v>5.70038354651E11</v>
      </c>
      <c r="F648" s="1" t="s">
        <v>1867</v>
      </c>
      <c r="G648" s="1" t="s">
        <v>24</v>
      </c>
      <c r="H648" s="1" t="s">
        <v>1654</v>
      </c>
      <c r="I648" s="1" t="s">
        <v>595</v>
      </c>
      <c r="J648" s="1" t="s">
        <v>596</v>
      </c>
    </row>
    <row r="649" ht="15.75" customHeight="1">
      <c r="A649" s="2">
        <v>648.0</v>
      </c>
      <c r="B649" s="1" t="s">
        <v>1868</v>
      </c>
      <c r="C649" s="1" t="s">
        <v>591</v>
      </c>
      <c r="D649" s="1" t="s">
        <v>975</v>
      </c>
      <c r="E649" s="2">
        <v>5.70038354655E11</v>
      </c>
      <c r="F649" s="1" t="s">
        <v>1869</v>
      </c>
      <c r="G649" s="1" t="s">
        <v>38</v>
      </c>
      <c r="H649" s="1" t="s">
        <v>1654</v>
      </c>
      <c r="I649" s="1" t="s">
        <v>595</v>
      </c>
      <c r="J649" s="1" t="s">
        <v>596</v>
      </c>
    </row>
    <row r="650" ht="15.75" customHeight="1">
      <c r="A650" s="2">
        <v>649.0</v>
      </c>
      <c r="B650" s="1" t="s">
        <v>333</v>
      </c>
      <c r="C650" s="1" t="s">
        <v>591</v>
      </c>
      <c r="D650" s="1" t="s">
        <v>1689</v>
      </c>
      <c r="E650" s="2">
        <v>5.70038354659E11</v>
      </c>
      <c r="F650" s="1" t="s">
        <v>1870</v>
      </c>
      <c r="G650" s="1" t="s">
        <v>38</v>
      </c>
      <c r="H650" s="1" t="s">
        <v>1654</v>
      </c>
      <c r="I650" s="1" t="s">
        <v>595</v>
      </c>
      <c r="J650" s="1" t="s">
        <v>596</v>
      </c>
    </row>
    <row r="651" ht="15.75" customHeight="1">
      <c r="A651" s="2">
        <v>650.0</v>
      </c>
      <c r="B651" s="1" t="s">
        <v>106</v>
      </c>
      <c r="C651" s="1" t="s">
        <v>1871</v>
      </c>
      <c r="D651" s="1" t="s">
        <v>1872</v>
      </c>
      <c r="E651" s="2">
        <v>5.70038354661E11</v>
      </c>
      <c r="F651" s="1" t="s">
        <v>1873</v>
      </c>
      <c r="G651" s="1" t="s">
        <v>38</v>
      </c>
      <c r="H651" s="1" t="s">
        <v>1654</v>
      </c>
      <c r="I651" s="1" t="s">
        <v>595</v>
      </c>
      <c r="J651" s="1" t="s">
        <v>596</v>
      </c>
    </row>
    <row r="652" ht="15.75" customHeight="1">
      <c r="A652" s="2">
        <v>651.0</v>
      </c>
      <c r="B652" s="1" t="s">
        <v>1874</v>
      </c>
      <c r="C652" s="1" t="s">
        <v>1875</v>
      </c>
      <c r="D652" s="1" t="s">
        <v>1876</v>
      </c>
      <c r="E652" s="2">
        <v>5.70038354662E11</v>
      </c>
      <c r="F652" s="1" t="s">
        <v>1877</v>
      </c>
      <c r="G652" s="1" t="s">
        <v>18</v>
      </c>
      <c r="H652" s="1" t="s">
        <v>1654</v>
      </c>
      <c r="I652" s="1" t="s">
        <v>595</v>
      </c>
      <c r="J652" s="1" t="s">
        <v>596</v>
      </c>
    </row>
    <row r="653" ht="15.75" customHeight="1">
      <c r="A653" s="2">
        <v>652.0</v>
      </c>
      <c r="B653" s="1" t="s">
        <v>1878</v>
      </c>
      <c r="C653" s="1" t="s">
        <v>1879</v>
      </c>
      <c r="D653" s="1" t="s">
        <v>1880</v>
      </c>
      <c r="E653" s="2">
        <v>5.70038354663E11</v>
      </c>
      <c r="F653" s="1" t="s">
        <v>1881</v>
      </c>
      <c r="G653" s="1" t="s">
        <v>38</v>
      </c>
      <c r="H653" s="1" t="s">
        <v>1654</v>
      </c>
      <c r="I653" s="1" t="s">
        <v>595</v>
      </c>
      <c r="J653" s="1" t="s">
        <v>596</v>
      </c>
    </row>
    <row r="654" ht="15.75" customHeight="1">
      <c r="A654" s="2">
        <v>653.0</v>
      </c>
      <c r="B654" s="1" t="s">
        <v>1882</v>
      </c>
      <c r="C654" s="1" t="s">
        <v>1883</v>
      </c>
      <c r="D654" s="1" t="s">
        <v>1884</v>
      </c>
      <c r="E654" s="2">
        <v>5.70038354664E11</v>
      </c>
      <c r="F654" s="1" t="s">
        <v>1885</v>
      </c>
      <c r="G654" s="1" t="s">
        <v>1886</v>
      </c>
      <c r="H654" s="1" t="s">
        <v>1654</v>
      </c>
      <c r="I654" s="1" t="s">
        <v>595</v>
      </c>
      <c r="J654" s="1" t="s">
        <v>596</v>
      </c>
    </row>
    <row r="655" ht="15.75" customHeight="1">
      <c r="A655" s="2">
        <v>654.0</v>
      </c>
      <c r="B655" s="1" t="s">
        <v>165</v>
      </c>
      <c r="C655" s="1" t="s">
        <v>1887</v>
      </c>
      <c r="D655" s="1" t="s">
        <v>335</v>
      </c>
      <c r="E655" s="2">
        <v>5.70038354665E11</v>
      </c>
      <c r="F655" s="1" t="s">
        <v>1888</v>
      </c>
      <c r="G655" s="1" t="s">
        <v>24</v>
      </c>
      <c r="H655" s="1" t="s">
        <v>1654</v>
      </c>
      <c r="I655" s="1" t="s">
        <v>595</v>
      </c>
      <c r="J655" s="1" t="s">
        <v>596</v>
      </c>
    </row>
    <row r="656" ht="15.75" customHeight="1">
      <c r="A656" s="2">
        <v>655.0</v>
      </c>
      <c r="B656" s="1" t="s">
        <v>1889</v>
      </c>
      <c r="C656" s="1" t="s">
        <v>165</v>
      </c>
      <c r="D656" s="1" t="s">
        <v>1890</v>
      </c>
      <c r="E656" s="2">
        <v>5.70038354668E11</v>
      </c>
      <c r="F656" s="1" t="s">
        <v>1891</v>
      </c>
      <c r="G656" s="1" t="s">
        <v>24</v>
      </c>
      <c r="H656" s="1" t="s">
        <v>1654</v>
      </c>
      <c r="I656" s="1" t="s">
        <v>595</v>
      </c>
      <c r="J656" s="1" t="s">
        <v>596</v>
      </c>
    </row>
    <row r="657" ht="15.75" customHeight="1">
      <c r="A657" s="2">
        <v>656.0</v>
      </c>
      <c r="B657" s="1" t="s">
        <v>165</v>
      </c>
      <c r="C657" s="1" t="s">
        <v>1892</v>
      </c>
      <c r="D657" s="1" t="s">
        <v>1893</v>
      </c>
      <c r="E657" s="2">
        <v>5.70038354669E11</v>
      </c>
      <c r="F657" s="1" t="s">
        <v>1894</v>
      </c>
      <c r="G657" s="1" t="s">
        <v>24</v>
      </c>
      <c r="H657" s="1" t="s">
        <v>1654</v>
      </c>
      <c r="I657" s="1" t="s">
        <v>595</v>
      </c>
      <c r="J657" s="1" t="s">
        <v>596</v>
      </c>
    </row>
    <row r="658" ht="15.75" customHeight="1">
      <c r="A658" s="2">
        <v>657.0</v>
      </c>
      <c r="B658" s="1" t="s">
        <v>1304</v>
      </c>
      <c r="C658" s="1" t="s">
        <v>1895</v>
      </c>
      <c r="D658" s="1" t="s">
        <v>1689</v>
      </c>
      <c r="E658" s="2">
        <v>5.7003835467E11</v>
      </c>
      <c r="F658" s="1" t="s">
        <v>1896</v>
      </c>
      <c r="G658" s="1" t="s">
        <v>24</v>
      </c>
      <c r="H658" s="1" t="s">
        <v>1654</v>
      </c>
      <c r="I658" s="1" t="s">
        <v>595</v>
      </c>
      <c r="J658" s="1" t="s">
        <v>596</v>
      </c>
    </row>
    <row r="659" ht="15.75" customHeight="1">
      <c r="A659" s="2">
        <v>658.0</v>
      </c>
      <c r="B659" s="1" t="s">
        <v>66</v>
      </c>
      <c r="C659" s="1" t="s">
        <v>1895</v>
      </c>
      <c r="D659" s="1" t="s">
        <v>1897</v>
      </c>
      <c r="E659" s="2">
        <v>5.70038354672E11</v>
      </c>
      <c r="F659" s="1" t="s">
        <v>1898</v>
      </c>
      <c r="G659" s="1" t="s">
        <v>24</v>
      </c>
      <c r="H659" s="1" t="s">
        <v>1654</v>
      </c>
      <c r="I659" s="1" t="s">
        <v>595</v>
      </c>
      <c r="J659" s="1" t="s">
        <v>596</v>
      </c>
    </row>
    <row r="660" ht="15.75" customHeight="1">
      <c r="A660" s="2">
        <v>659.0</v>
      </c>
      <c r="B660" s="1" t="s">
        <v>1052</v>
      </c>
      <c r="C660" s="1" t="s">
        <v>1895</v>
      </c>
      <c r="D660" s="1" t="s">
        <v>1689</v>
      </c>
      <c r="E660" s="2">
        <v>5.70038354674E11</v>
      </c>
      <c r="F660" s="1" t="s">
        <v>1899</v>
      </c>
      <c r="G660" s="1" t="s">
        <v>24</v>
      </c>
      <c r="H660" s="1" t="s">
        <v>1654</v>
      </c>
      <c r="I660" s="1" t="s">
        <v>595</v>
      </c>
      <c r="J660" s="1" t="s">
        <v>596</v>
      </c>
    </row>
    <row r="661" ht="15.75" customHeight="1">
      <c r="A661" s="2">
        <v>660.0</v>
      </c>
      <c r="B661" s="1" t="s">
        <v>1900</v>
      </c>
      <c r="C661" s="1" t="s">
        <v>1901</v>
      </c>
      <c r="D661" s="1" t="s">
        <v>1902</v>
      </c>
      <c r="E661" s="2">
        <v>5.70038354678E11</v>
      </c>
      <c r="F661" s="1" t="s">
        <v>1903</v>
      </c>
      <c r="G661" s="1" t="s">
        <v>24</v>
      </c>
      <c r="H661" s="1" t="s">
        <v>1654</v>
      </c>
      <c r="I661" s="1" t="s">
        <v>595</v>
      </c>
      <c r="J661" s="1" t="s">
        <v>596</v>
      </c>
    </row>
    <row r="662" ht="15.75" customHeight="1">
      <c r="A662" s="2">
        <v>661.0</v>
      </c>
      <c r="B662" s="1" t="s">
        <v>1904</v>
      </c>
      <c r="C662" s="1" t="s">
        <v>1905</v>
      </c>
      <c r="D662" s="1" t="s">
        <v>1519</v>
      </c>
      <c r="E662" s="2">
        <v>5.70038354681E11</v>
      </c>
      <c r="F662" s="1" t="s">
        <v>1906</v>
      </c>
      <c r="G662" s="1" t="s">
        <v>18</v>
      </c>
      <c r="H662" s="1" t="s">
        <v>1654</v>
      </c>
      <c r="I662" s="1" t="s">
        <v>595</v>
      </c>
      <c r="J662" s="1" t="s">
        <v>596</v>
      </c>
    </row>
    <row r="663" ht="15.75" customHeight="1">
      <c r="A663" s="2">
        <v>662.0</v>
      </c>
      <c r="B663" s="1" t="s">
        <v>682</v>
      </c>
      <c r="C663" s="1" t="s">
        <v>1545</v>
      </c>
      <c r="D663" s="1" t="s">
        <v>1907</v>
      </c>
      <c r="E663" s="2">
        <v>5.70038354682E11</v>
      </c>
      <c r="F663" s="1" t="s">
        <v>1908</v>
      </c>
      <c r="G663" s="1" t="s">
        <v>38</v>
      </c>
      <c r="H663" s="1" t="s">
        <v>1654</v>
      </c>
      <c r="I663" s="1" t="s">
        <v>595</v>
      </c>
      <c r="J663" s="1" t="s">
        <v>596</v>
      </c>
    </row>
    <row r="664" ht="15.75" customHeight="1">
      <c r="A664" s="2">
        <v>663.0</v>
      </c>
      <c r="B664" s="1" t="s">
        <v>1339</v>
      </c>
      <c r="C664" s="1" t="s">
        <v>1909</v>
      </c>
      <c r="D664" s="1" t="s">
        <v>1910</v>
      </c>
      <c r="E664" s="2">
        <v>5.70038354683E11</v>
      </c>
      <c r="F664" s="1" t="s">
        <v>1911</v>
      </c>
      <c r="G664" s="1" t="s">
        <v>24</v>
      </c>
      <c r="H664" s="1" t="s">
        <v>1654</v>
      </c>
      <c r="I664" s="1" t="s">
        <v>595</v>
      </c>
      <c r="J664" s="1" t="s">
        <v>596</v>
      </c>
    </row>
    <row r="665" ht="15.75" customHeight="1">
      <c r="A665" s="2">
        <v>664.0</v>
      </c>
      <c r="B665" s="1" t="s">
        <v>1912</v>
      </c>
      <c r="C665" s="1" t="s">
        <v>1913</v>
      </c>
      <c r="D665" s="1" t="s">
        <v>1914</v>
      </c>
      <c r="E665" s="2">
        <v>5.70038354684E11</v>
      </c>
      <c r="F665" s="1" t="s">
        <v>1915</v>
      </c>
      <c r="G665" s="1" t="s">
        <v>38</v>
      </c>
      <c r="H665" s="1" t="s">
        <v>1654</v>
      </c>
      <c r="I665" s="1" t="s">
        <v>595</v>
      </c>
      <c r="J665" s="1" t="s">
        <v>596</v>
      </c>
    </row>
    <row r="666" ht="15.75" customHeight="1">
      <c r="A666" s="2">
        <v>655.0</v>
      </c>
      <c r="B666" s="1" t="s">
        <v>1916</v>
      </c>
      <c r="C666" s="1" t="s">
        <v>1917</v>
      </c>
      <c r="D666" s="1" t="s">
        <v>1918</v>
      </c>
      <c r="E666" s="2">
        <v>5.70038354685E11</v>
      </c>
      <c r="F666" s="1" t="s">
        <v>1919</v>
      </c>
      <c r="G666" s="1" t="s">
        <v>38</v>
      </c>
      <c r="H666" s="1" t="s">
        <v>1654</v>
      </c>
      <c r="I666" s="1" t="s">
        <v>595</v>
      </c>
      <c r="J666" s="1" t="s">
        <v>596</v>
      </c>
    </row>
    <row r="667" ht="15.75" customHeight="1">
      <c r="A667" s="2">
        <v>666.0</v>
      </c>
      <c r="B667" s="1" t="s">
        <v>1247</v>
      </c>
      <c r="C667" s="1" t="s">
        <v>1920</v>
      </c>
      <c r="D667" s="1" t="s">
        <v>73</v>
      </c>
      <c r="E667" s="2">
        <v>5.70038354686E11</v>
      </c>
      <c r="F667" s="1" t="s">
        <v>1921</v>
      </c>
      <c r="G667" s="1" t="s">
        <v>38</v>
      </c>
      <c r="H667" s="1" t="s">
        <v>1654</v>
      </c>
      <c r="I667" s="1" t="s">
        <v>595</v>
      </c>
      <c r="J667" s="1" t="s">
        <v>596</v>
      </c>
    </row>
    <row r="668" ht="15.75" customHeight="1">
      <c r="A668" s="2">
        <v>667.0</v>
      </c>
      <c r="B668" s="1" t="s">
        <v>1922</v>
      </c>
      <c r="C668" s="1" t="s">
        <v>66</v>
      </c>
      <c r="D668" s="1" t="s">
        <v>1923</v>
      </c>
      <c r="E668" s="2">
        <v>5.70038354688E11</v>
      </c>
      <c r="F668" s="1" t="s">
        <v>1924</v>
      </c>
      <c r="G668" s="1" t="s">
        <v>18</v>
      </c>
      <c r="H668" s="1" t="s">
        <v>1654</v>
      </c>
      <c r="I668" s="1" t="s">
        <v>595</v>
      </c>
      <c r="J668" s="1" t="s">
        <v>596</v>
      </c>
    </row>
    <row r="669" ht="15.75" customHeight="1">
      <c r="A669" s="2">
        <v>668.0</v>
      </c>
      <c r="B669" s="1" t="s">
        <v>1925</v>
      </c>
      <c r="C669" s="1" t="s">
        <v>1926</v>
      </c>
      <c r="D669" s="1" t="s">
        <v>1927</v>
      </c>
      <c r="E669" s="2">
        <v>5.70038354689E11</v>
      </c>
      <c r="F669" s="1" t="s">
        <v>734</v>
      </c>
      <c r="G669" s="1" t="s">
        <v>38</v>
      </c>
      <c r="H669" s="1" t="s">
        <v>1654</v>
      </c>
      <c r="I669" s="1" t="s">
        <v>595</v>
      </c>
      <c r="J669" s="1" t="s">
        <v>596</v>
      </c>
    </row>
    <row r="670" ht="15.75" customHeight="1">
      <c r="A670" s="2">
        <v>669.0</v>
      </c>
      <c r="B670" s="1" t="s">
        <v>1928</v>
      </c>
      <c r="C670" s="1" t="s">
        <v>1926</v>
      </c>
      <c r="D670" s="1" t="s">
        <v>1927</v>
      </c>
      <c r="E670" s="2">
        <v>5.7003835469E11</v>
      </c>
      <c r="F670" s="1" t="s">
        <v>1929</v>
      </c>
      <c r="G670" s="1" t="s">
        <v>143</v>
      </c>
      <c r="H670" s="1" t="s">
        <v>1654</v>
      </c>
      <c r="I670" s="1" t="s">
        <v>595</v>
      </c>
      <c r="J670" s="1" t="s">
        <v>596</v>
      </c>
    </row>
    <row r="671" ht="15.75" customHeight="1">
      <c r="A671" s="2">
        <v>670.0</v>
      </c>
      <c r="B671" s="1" t="s">
        <v>117</v>
      </c>
      <c r="C671" s="1" t="s">
        <v>1926</v>
      </c>
      <c r="D671" s="1" t="s">
        <v>1927</v>
      </c>
      <c r="E671" s="2">
        <v>5.70038354691E11</v>
      </c>
      <c r="F671" s="1" t="s">
        <v>1930</v>
      </c>
      <c r="G671" s="1" t="s">
        <v>12</v>
      </c>
      <c r="H671" s="1" t="s">
        <v>1654</v>
      </c>
      <c r="I671" s="1" t="s">
        <v>595</v>
      </c>
      <c r="J671" s="1" t="s">
        <v>596</v>
      </c>
    </row>
    <row r="672" ht="15.75" customHeight="1">
      <c r="A672" s="2">
        <v>671.0</v>
      </c>
      <c r="B672" s="1" t="s">
        <v>1931</v>
      </c>
      <c r="C672" s="1" t="s">
        <v>1926</v>
      </c>
      <c r="D672" s="1" t="s">
        <v>1932</v>
      </c>
      <c r="E672" s="2">
        <v>5.70038354694E11</v>
      </c>
      <c r="F672" s="1" t="s">
        <v>1933</v>
      </c>
      <c r="G672" s="1" t="s">
        <v>12</v>
      </c>
      <c r="H672" s="1" t="s">
        <v>1654</v>
      </c>
      <c r="I672" s="1" t="s">
        <v>595</v>
      </c>
      <c r="J672" s="1" t="s">
        <v>596</v>
      </c>
    </row>
    <row r="673" ht="15.75" customHeight="1">
      <c r="A673" s="2">
        <v>672.0</v>
      </c>
      <c r="B673" s="1" t="s">
        <v>612</v>
      </c>
      <c r="C673" s="1" t="s">
        <v>1934</v>
      </c>
      <c r="D673" s="1" t="s">
        <v>62</v>
      </c>
      <c r="E673" s="2">
        <v>5.70038354697E11</v>
      </c>
      <c r="F673" s="1" t="s">
        <v>1935</v>
      </c>
      <c r="G673" s="1" t="s">
        <v>24</v>
      </c>
      <c r="H673" s="1" t="s">
        <v>1654</v>
      </c>
      <c r="I673" s="1" t="s">
        <v>595</v>
      </c>
      <c r="J673" s="1" t="s">
        <v>596</v>
      </c>
    </row>
    <row r="674" ht="15.75" customHeight="1">
      <c r="A674" s="2">
        <v>673.0</v>
      </c>
      <c r="B674" s="1" t="s">
        <v>1936</v>
      </c>
      <c r="C674" s="1" t="s">
        <v>1937</v>
      </c>
      <c r="D674" s="1" t="s">
        <v>1209</v>
      </c>
      <c r="E674" s="2">
        <v>5.70038354698E11</v>
      </c>
      <c r="F674" s="1" t="s">
        <v>1938</v>
      </c>
      <c r="G674" s="1" t="s">
        <v>121</v>
      </c>
      <c r="H674" s="1" t="s">
        <v>1654</v>
      </c>
      <c r="I674" s="1" t="s">
        <v>595</v>
      </c>
      <c r="J674" s="1" t="s">
        <v>596</v>
      </c>
    </row>
    <row r="675" ht="15.75" customHeight="1">
      <c r="A675" s="2">
        <v>674.0</v>
      </c>
      <c r="B675" s="1" t="s">
        <v>665</v>
      </c>
      <c r="C675" s="1" t="s">
        <v>1939</v>
      </c>
      <c r="D675" s="1" t="s">
        <v>1940</v>
      </c>
      <c r="E675" s="2">
        <v>5.70038354706E11</v>
      </c>
      <c r="F675" s="1" t="s">
        <v>1941</v>
      </c>
      <c r="G675" s="1" t="s">
        <v>143</v>
      </c>
      <c r="H675" s="1" t="s">
        <v>1654</v>
      </c>
      <c r="I675" s="1" t="s">
        <v>595</v>
      </c>
      <c r="J675" s="1" t="s">
        <v>596</v>
      </c>
    </row>
    <row r="676" ht="15.75" customHeight="1">
      <c r="A676" s="2">
        <v>675.0</v>
      </c>
      <c r="B676" s="1" t="s">
        <v>153</v>
      </c>
      <c r="C676" s="1" t="s">
        <v>1157</v>
      </c>
      <c r="D676" s="1" t="s">
        <v>1942</v>
      </c>
      <c r="E676" s="2">
        <v>5.70038354709E11</v>
      </c>
      <c r="F676" s="1" t="s">
        <v>1943</v>
      </c>
      <c r="G676" s="1" t="s">
        <v>143</v>
      </c>
      <c r="H676" s="1" t="s">
        <v>1654</v>
      </c>
      <c r="I676" s="1" t="s">
        <v>595</v>
      </c>
      <c r="J676" s="1" t="s">
        <v>596</v>
      </c>
    </row>
    <row r="677" ht="15.75" customHeight="1">
      <c r="A677" s="2">
        <v>676.0</v>
      </c>
      <c r="B677" s="1" t="s">
        <v>1944</v>
      </c>
      <c r="C677" s="1" t="s">
        <v>1945</v>
      </c>
      <c r="D677" s="1" t="s">
        <v>1914</v>
      </c>
      <c r="E677" s="2">
        <v>5.7003835471E11</v>
      </c>
      <c r="F677" s="1" t="s">
        <v>1946</v>
      </c>
      <c r="G677" s="1" t="s">
        <v>18</v>
      </c>
      <c r="H677" s="1" t="s">
        <v>1654</v>
      </c>
      <c r="I677" s="1" t="s">
        <v>595</v>
      </c>
      <c r="J677" s="1" t="s">
        <v>596</v>
      </c>
    </row>
    <row r="678" ht="15.75" customHeight="1">
      <c r="A678" s="2">
        <v>677.0</v>
      </c>
      <c r="B678" s="1" t="s">
        <v>1875</v>
      </c>
      <c r="C678" s="1" t="s">
        <v>1947</v>
      </c>
      <c r="D678" s="1" t="s">
        <v>1948</v>
      </c>
      <c r="E678" s="2">
        <v>5.70038354711E11</v>
      </c>
      <c r="F678" s="1" t="s">
        <v>1949</v>
      </c>
      <c r="G678" s="1" t="s">
        <v>18</v>
      </c>
      <c r="H678" s="1" t="s">
        <v>1654</v>
      </c>
      <c r="I678" s="1" t="s">
        <v>595</v>
      </c>
      <c r="J678" s="1" t="s">
        <v>596</v>
      </c>
    </row>
    <row r="679" ht="15.75" customHeight="1">
      <c r="A679" s="2">
        <v>678.0</v>
      </c>
      <c r="B679" s="1" t="s">
        <v>97</v>
      </c>
      <c r="C679" s="1" t="s">
        <v>1947</v>
      </c>
      <c r="D679" s="1" t="s">
        <v>1948</v>
      </c>
      <c r="E679" s="2">
        <v>5.70038354712E11</v>
      </c>
      <c r="F679" s="1" t="s">
        <v>1950</v>
      </c>
      <c r="G679" s="1" t="s">
        <v>18</v>
      </c>
      <c r="H679" s="1" t="s">
        <v>1654</v>
      </c>
      <c r="I679" s="1" t="s">
        <v>595</v>
      </c>
      <c r="J679" s="1" t="s">
        <v>596</v>
      </c>
    </row>
    <row r="680" ht="15.75" customHeight="1">
      <c r="A680" s="2">
        <v>679.0</v>
      </c>
      <c r="B680" s="1" t="s">
        <v>1951</v>
      </c>
      <c r="C680" s="1" t="s">
        <v>66</v>
      </c>
      <c r="D680" s="1" t="s">
        <v>1923</v>
      </c>
      <c r="E680" s="2">
        <v>5.70038354713E11</v>
      </c>
      <c r="F680" s="1" t="s">
        <v>1354</v>
      </c>
      <c r="G680" s="1" t="s">
        <v>18</v>
      </c>
      <c r="H680" s="1" t="s">
        <v>1654</v>
      </c>
      <c r="I680" s="1" t="s">
        <v>595</v>
      </c>
      <c r="J680" s="1" t="s">
        <v>596</v>
      </c>
    </row>
    <row r="681" ht="15.75" customHeight="1">
      <c r="A681" s="2">
        <v>680.0</v>
      </c>
      <c r="B681" s="1" t="s">
        <v>1952</v>
      </c>
      <c r="C681" s="1" t="s">
        <v>1157</v>
      </c>
      <c r="D681" s="1" t="s">
        <v>1953</v>
      </c>
      <c r="E681" s="2">
        <v>5.70038354715E11</v>
      </c>
      <c r="F681" s="1" t="s">
        <v>1954</v>
      </c>
      <c r="G681" s="1" t="s">
        <v>24</v>
      </c>
      <c r="H681" s="1" t="s">
        <v>1654</v>
      </c>
      <c r="I681" s="1" t="s">
        <v>595</v>
      </c>
      <c r="J681" s="1" t="s">
        <v>596</v>
      </c>
    </row>
    <row r="682" ht="15.75" customHeight="1">
      <c r="A682" s="2">
        <v>681.0</v>
      </c>
      <c r="B682" s="1" t="s">
        <v>117</v>
      </c>
      <c r="C682" s="1" t="s">
        <v>1879</v>
      </c>
      <c r="D682" s="1" t="s">
        <v>1880</v>
      </c>
      <c r="E682" s="2">
        <v>5.70038354717E11</v>
      </c>
      <c r="F682" s="1" t="s">
        <v>1955</v>
      </c>
      <c r="G682" s="1" t="s">
        <v>143</v>
      </c>
      <c r="H682" s="1" t="s">
        <v>1654</v>
      </c>
      <c r="I682" s="1" t="s">
        <v>595</v>
      </c>
      <c r="J682" s="1" t="s">
        <v>596</v>
      </c>
    </row>
    <row r="683" ht="15.75" customHeight="1">
      <c r="A683" s="2">
        <v>682.0</v>
      </c>
      <c r="B683" s="1" t="s">
        <v>612</v>
      </c>
      <c r="C683" s="1" t="s">
        <v>1879</v>
      </c>
      <c r="D683" s="1" t="s">
        <v>1880</v>
      </c>
      <c r="E683" s="2">
        <v>5.70038354718E11</v>
      </c>
      <c r="F683" s="1" t="s">
        <v>1538</v>
      </c>
      <c r="G683" s="1" t="s">
        <v>38</v>
      </c>
      <c r="H683" s="1" t="s">
        <v>1654</v>
      </c>
      <c r="I683" s="1" t="s">
        <v>595</v>
      </c>
      <c r="J683" s="1" t="s">
        <v>596</v>
      </c>
    </row>
    <row r="684" ht="15.75" customHeight="1">
      <c r="A684" s="2">
        <v>683.0</v>
      </c>
      <c r="B684" s="1" t="s">
        <v>1956</v>
      </c>
      <c r="C684" s="1" t="s">
        <v>1879</v>
      </c>
      <c r="D684" s="1" t="s">
        <v>1880</v>
      </c>
      <c r="E684" s="2">
        <v>5.70038354719E11</v>
      </c>
      <c r="F684" s="1" t="s">
        <v>1957</v>
      </c>
      <c r="G684" s="1" t="s">
        <v>24</v>
      </c>
      <c r="H684" s="1" t="s">
        <v>1654</v>
      </c>
      <c r="I684" s="1" t="s">
        <v>595</v>
      </c>
      <c r="J684" s="1" t="s">
        <v>596</v>
      </c>
    </row>
    <row r="685" ht="15.75" customHeight="1">
      <c r="A685" s="2">
        <v>684.0</v>
      </c>
      <c r="B685" s="1" t="s">
        <v>549</v>
      </c>
      <c r="C685" s="1" t="s">
        <v>1958</v>
      </c>
      <c r="D685" s="1" t="s">
        <v>1959</v>
      </c>
      <c r="E685" s="2">
        <v>5.7003835472E11</v>
      </c>
      <c r="F685" s="1" t="s">
        <v>1960</v>
      </c>
      <c r="G685" s="1" t="s">
        <v>18</v>
      </c>
      <c r="H685" s="1" t="s">
        <v>1654</v>
      </c>
      <c r="I685" s="1" t="s">
        <v>595</v>
      </c>
      <c r="J685" s="1" t="s">
        <v>596</v>
      </c>
    </row>
    <row r="686" ht="15.75" customHeight="1">
      <c r="A686" s="2">
        <v>685.0</v>
      </c>
      <c r="B686" s="1" t="s">
        <v>254</v>
      </c>
      <c r="C686" s="1" t="s">
        <v>285</v>
      </c>
      <c r="D686" s="1" t="s">
        <v>1961</v>
      </c>
      <c r="E686" s="2">
        <v>5.70038354724E11</v>
      </c>
      <c r="F686" s="1" t="s">
        <v>1962</v>
      </c>
      <c r="G686" s="1" t="s">
        <v>38</v>
      </c>
      <c r="H686" s="1" t="s">
        <v>1654</v>
      </c>
      <c r="I686" s="1" t="s">
        <v>595</v>
      </c>
      <c r="J686" s="1" t="s">
        <v>596</v>
      </c>
    </row>
    <row r="687" ht="15.75" customHeight="1">
      <c r="A687" s="2">
        <v>686.0</v>
      </c>
      <c r="B687" s="1" t="s">
        <v>333</v>
      </c>
      <c r="C687" s="1" t="s">
        <v>1963</v>
      </c>
      <c r="D687" s="1" t="s">
        <v>1964</v>
      </c>
      <c r="E687" s="2">
        <v>5.70038354725E11</v>
      </c>
      <c r="F687" s="1" t="s">
        <v>1965</v>
      </c>
      <c r="G687" s="1" t="s">
        <v>38</v>
      </c>
      <c r="H687" s="1" t="s">
        <v>1654</v>
      </c>
      <c r="I687" s="1" t="s">
        <v>595</v>
      </c>
      <c r="J687" s="1" t="s">
        <v>596</v>
      </c>
    </row>
    <row r="688" ht="15.75" customHeight="1">
      <c r="A688" s="2">
        <v>687.0</v>
      </c>
      <c r="B688" s="1" t="s">
        <v>66</v>
      </c>
      <c r="C688" s="1" t="s">
        <v>1920</v>
      </c>
      <c r="D688" s="1" t="s">
        <v>73</v>
      </c>
      <c r="E688" s="2">
        <v>5.70038354726E11</v>
      </c>
      <c r="F688" s="1" t="s">
        <v>1966</v>
      </c>
      <c r="G688" s="1" t="s">
        <v>18</v>
      </c>
      <c r="H688" s="1" t="s">
        <v>1654</v>
      </c>
      <c r="I688" s="1" t="s">
        <v>595</v>
      </c>
      <c r="J688" s="1" t="s">
        <v>596</v>
      </c>
    </row>
    <row r="689" ht="15.75" customHeight="1">
      <c r="A689" s="2">
        <v>688.0</v>
      </c>
      <c r="B689" s="1" t="s">
        <v>637</v>
      </c>
      <c r="C689" s="1" t="s">
        <v>1920</v>
      </c>
      <c r="D689" s="1" t="s">
        <v>1964</v>
      </c>
      <c r="E689" s="2">
        <v>5.70038354727E11</v>
      </c>
      <c r="F689" s="1" t="s">
        <v>1967</v>
      </c>
      <c r="G689" s="1" t="s">
        <v>24</v>
      </c>
      <c r="H689" s="1" t="s">
        <v>1654</v>
      </c>
      <c r="I689" s="1" t="s">
        <v>595</v>
      </c>
      <c r="J689" s="1" t="s">
        <v>596</v>
      </c>
    </row>
    <row r="690" ht="15.75" customHeight="1">
      <c r="A690" s="2">
        <v>689.0</v>
      </c>
      <c r="B690" s="1" t="s">
        <v>223</v>
      </c>
      <c r="C690" s="1" t="s">
        <v>1920</v>
      </c>
      <c r="D690" s="1" t="s">
        <v>1968</v>
      </c>
      <c r="E690" s="2">
        <v>5.70038354728E11</v>
      </c>
      <c r="F690" s="1" t="s">
        <v>1969</v>
      </c>
      <c r="G690" s="1" t="s">
        <v>18</v>
      </c>
      <c r="H690" s="1" t="s">
        <v>1654</v>
      </c>
      <c r="I690" s="1" t="s">
        <v>595</v>
      </c>
      <c r="J690" s="1" t="s">
        <v>596</v>
      </c>
    </row>
    <row r="691" ht="15.75" customHeight="1">
      <c r="A691" s="2">
        <v>690.0</v>
      </c>
      <c r="B691" s="1" t="s">
        <v>1660</v>
      </c>
      <c r="C691" s="1" t="s">
        <v>1970</v>
      </c>
      <c r="D691" s="1" t="s">
        <v>1971</v>
      </c>
      <c r="E691" s="2">
        <v>5.70038354738E11</v>
      </c>
      <c r="F691" s="1" t="s">
        <v>310</v>
      </c>
      <c r="G691" s="1" t="s">
        <v>18</v>
      </c>
      <c r="H691" s="1" t="s">
        <v>1654</v>
      </c>
      <c r="I691" s="1" t="s">
        <v>595</v>
      </c>
      <c r="J691" s="1" t="s">
        <v>596</v>
      </c>
    </row>
    <row r="692" ht="15.75" customHeight="1">
      <c r="A692" s="2">
        <v>691.0</v>
      </c>
      <c r="B692" s="1" t="s">
        <v>1972</v>
      </c>
      <c r="C692" s="1" t="s">
        <v>1917</v>
      </c>
      <c r="D692" s="1" t="s">
        <v>1918</v>
      </c>
      <c r="E692" s="2">
        <v>5.70038354739E11</v>
      </c>
      <c r="F692" s="1" t="s">
        <v>1973</v>
      </c>
      <c r="G692" s="1" t="s">
        <v>38</v>
      </c>
      <c r="H692" s="1" t="s">
        <v>1654</v>
      </c>
      <c r="I692" s="1" t="s">
        <v>595</v>
      </c>
      <c r="J692" s="1" t="s">
        <v>596</v>
      </c>
    </row>
    <row r="693" ht="15.75" customHeight="1">
      <c r="A693" s="2">
        <v>692.0</v>
      </c>
      <c r="B693" s="1" t="s">
        <v>173</v>
      </c>
      <c r="C693" s="1" t="s">
        <v>1974</v>
      </c>
      <c r="D693" s="1" t="s">
        <v>1975</v>
      </c>
      <c r="E693" s="2">
        <v>5.70038354744E11</v>
      </c>
      <c r="F693" s="1" t="s">
        <v>1464</v>
      </c>
      <c r="G693" s="1" t="s">
        <v>38</v>
      </c>
      <c r="H693" s="1" t="s">
        <v>1654</v>
      </c>
      <c r="I693" s="1" t="s">
        <v>595</v>
      </c>
      <c r="J693" s="1" t="s">
        <v>596</v>
      </c>
    </row>
    <row r="694" ht="15.75" customHeight="1">
      <c r="A694" s="2">
        <v>693.0</v>
      </c>
      <c r="B694" s="1" t="s">
        <v>1976</v>
      </c>
      <c r="C694" s="1" t="s">
        <v>1977</v>
      </c>
      <c r="D694" s="1" t="s">
        <v>1978</v>
      </c>
      <c r="E694" s="2">
        <v>5.70038354745E11</v>
      </c>
      <c r="F694" s="1" t="s">
        <v>872</v>
      </c>
      <c r="G694" s="1" t="s">
        <v>38</v>
      </c>
      <c r="H694" s="1" t="s">
        <v>1654</v>
      </c>
      <c r="I694" s="1" t="s">
        <v>595</v>
      </c>
      <c r="J694" s="1" t="s">
        <v>596</v>
      </c>
    </row>
    <row r="695" ht="15.75" customHeight="1">
      <c r="A695" s="2">
        <v>694.0</v>
      </c>
      <c r="B695" s="1" t="s">
        <v>106</v>
      </c>
      <c r="C695" s="1" t="s">
        <v>1979</v>
      </c>
      <c r="D695" s="1" t="s">
        <v>1980</v>
      </c>
      <c r="E695" s="2">
        <v>5.70038354752E11</v>
      </c>
      <c r="F695" s="1" t="s">
        <v>1981</v>
      </c>
      <c r="G695" s="1" t="s">
        <v>90</v>
      </c>
      <c r="H695" s="1" t="s">
        <v>1654</v>
      </c>
      <c r="I695" s="1" t="s">
        <v>595</v>
      </c>
      <c r="J695" s="1" t="s">
        <v>596</v>
      </c>
    </row>
    <row r="696" ht="15.75" customHeight="1">
      <c r="A696" s="2">
        <v>695.0</v>
      </c>
      <c r="B696" s="1" t="s">
        <v>1982</v>
      </c>
      <c r="C696" s="1" t="s">
        <v>1134</v>
      </c>
      <c r="D696" s="1" t="s">
        <v>335</v>
      </c>
      <c r="E696" s="2">
        <v>5.70038354754E11</v>
      </c>
      <c r="F696" s="1" t="s">
        <v>1983</v>
      </c>
      <c r="G696" s="1" t="s">
        <v>90</v>
      </c>
      <c r="H696" s="1" t="s">
        <v>1654</v>
      </c>
      <c r="I696" s="1" t="s">
        <v>595</v>
      </c>
      <c r="J696" s="1" t="s">
        <v>596</v>
      </c>
    </row>
    <row r="697" ht="15.75" customHeight="1">
      <c r="A697" s="2">
        <v>696.0</v>
      </c>
      <c r="B697" s="1" t="s">
        <v>1984</v>
      </c>
      <c r="C697" s="1" t="s">
        <v>106</v>
      </c>
      <c r="D697" s="1" t="s">
        <v>1519</v>
      </c>
      <c r="E697" s="2">
        <v>5.70038354756E11</v>
      </c>
      <c r="F697" s="1" t="s">
        <v>623</v>
      </c>
      <c r="G697" s="1" t="s">
        <v>90</v>
      </c>
      <c r="H697" s="1" t="s">
        <v>1654</v>
      </c>
      <c r="I697" s="1" t="s">
        <v>595</v>
      </c>
      <c r="J697" s="1" t="s">
        <v>596</v>
      </c>
    </row>
    <row r="698" ht="15.75" customHeight="1">
      <c r="A698" s="2">
        <v>697.0</v>
      </c>
      <c r="B698" s="1" t="s">
        <v>195</v>
      </c>
      <c r="C698" s="1" t="s">
        <v>1985</v>
      </c>
      <c r="D698" s="1" t="s">
        <v>1986</v>
      </c>
      <c r="E698" s="2">
        <v>5.70038354758E11</v>
      </c>
      <c r="F698" s="1" t="s">
        <v>1987</v>
      </c>
      <c r="G698" s="1" t="s">
        <v>24</v>
      </c>
      <c r="H698" s="1" t="s">
        <v>1654</v>
      </c>
      <c r="I698" s="1" t="s">
        <v>595</v>
      </c>
      <c r="J698" s="1" t="s">
        <v>596</v>
      </c>
    </row>
    <row r="699" ht="15.75" customHeight="1">
      <c r="A699" s="2">
        <v>698.0</v>
      </c>
      <c r="B699" s="1" t="s">
        <v>1988</v>
      </c>
      <c r="C699" s="1" t="s">
        <v>1985</v>
      </c>
      <c r="D699" s="1" t="s">
        <v>1986</v>
      </c>
      <c r="E699" s="2">
        <v>5.7003835476E11</v>
      </c>
      <c r="F699" s="1" t="s">
        <v>1989</v>
      </c>
      <c r="G699" s="1" t="s">
        <v>90</v>
      </c>
      <c r="H699" s="1" t="s">
        <v>1654</v>
      </c>
      <c r="I699" s="1" t="s">
        <v>595</v>
      </c>
      <c r="J699" s="1" t="s">
        <v>596</v>
      </c>
    </row>
    <row r="700" ht="15.75" customHeight="1">
      <c r="A700" s="2">
        <v>699.0</v>
      </c>
      <c r="B700" s="1" t="s">
        <v>1990</v>
      </c>
      <c r="C700" s="1" t="s">
        <v>1991</v>
      </c>
      <c r="D700" s="1" t="s">
        <v>1992</v>
      </c>
      <c r="E700" s="2">
        <v>5.70038354762E11</v>
      </c>
      <c r="F700" s="1" t="s">
        <v>1993</v>
      </c>
      <c r="G700" s="1" t="s">
        <v>90</v>
      </c>
      <c r="H700" s="1" t="s">
        <v>1654</v>
      </c>
      <c r="I700" s="1" t="s">
        <v>595</v>
      </c>
      <c r="J700" s="1" t="s">
        <v>596</v>
      </c>
    </row>
    <row r="701" ht="15.75" customHeight="1">
      <c r="A701" s="2">
        <v>700.0</v>
      </c>
      <c r="B701" s="1" t="s">
        <v>361</v>
      </c>
      <c r="C701" s="1" t="s">
        <v>1994</v>
      </c>
      <c r="D701" s="1" t="s">
        <v>1995</v>
      </c>
      <c r="E701" s="2">
        <v>5.70038354765E11</v>
      </c>
      <c r="F701" s="1" t="s">
        <v>1503</v>
      </c>
      <c r="G701" s="1" t="s">
        <v>90</v>
      </c>
      <c r="H701" s="1" t="s">
        <v>1654</v>
      </c>
      <c r="I701" s="1" t="s">
        <v>595</v>
      </c>
      <c r="J701" s="1" t="s">
        <v>596</v>
      </c>
    </row>
    <row r="702" ht="15.75" customHeight="1">
      <c r="A702" s="2">
        <v>701.0</v>
      </c>
      <c r="B702" s="1" t="s">
        <v>1996</v>
      </c>
      <c r="C702" s="1" t="s">
        <v>1997</v>
      </c>
      <c r="D702" s="1" t="s">
        <v>1890</v>
      </c>
      <c r="E702" s="2">
        <v>5.70038354767E11</v>
      </c>
      <c r="F702" s="1" t="s">
        <v>1998</v>
      </c>
      <c r="G702" s="1" t="s">
        <v>24</v>
      </c>
      <c r="H702" s="1" t="s">
        <v>1654</v>
      </c>
      <c r="I702" s="1" t="s">
        <v>595</v>
      </c>
      <c r="J702" s="1" t="s">
        <v>596</v>
      </c>
    </row>
    <row r="703" ht="15.75" customHeight="1">
      <c r="A703" s="2">
        <v>702.0</v>
      </c>
      <c r="B703" s="1" t="s">
        <v>1999</v>
      </c>
      <c r="C703" s="1" t="s">
        <v>1997</v>
      </c>
      <c r="D703" s="1" t="s">
        <v>1890</v>
      </c>
      <c r="E703" s="2">
        <v>5.70038354771E11</v>
      </c>
      <c r="F703" s="1" t="s">
        <v>2000</v>
      </c>
      <c r="G703" s="1" t="s">
        <v>90</v>
      </c>
      <c r="H703" s="1" t="s">
        <v>1654</v>
      </c>
      <c r="I703" s="1" t="s">
        <v>595</v>
      </c>
      <c r="J703" s="1" t="s">
        <v>596</v>
      </c>
    </row>
    <row r="704" ht="15.75" customHeight="1">
      <c r="A704" s="2">
        <v>703.0</v>
      </c>
      <c r="B704" s="1" t="s">
        <v>140</v>
      </c>
      <c r="C704" s="1" t="s">
        <v>2001</v>
      </c>
      <c r="D704" s="1" t="s">
        <v>68</v>
      </c>
      <c r="E704" s="2">
        <v>5.70038354775E11</v>
      </c>
      <c r="F704" s="1" t="s">
        <v>2002</v>
      </c>
      <c r="G704" s="1" t="s">
        <v>90</v>
      </c>
      <c r="H704" s="1" t="s">
        <v>1654</v>
      </c>
      <c r="I704" s="1" t="s">
        <v>595</v>
      </c>
      <c r="J704" s="1" t="s">
        <v>596</v>
      </c>
    </row>
    <row r="705" ht="15.75" customHeight="1">
      <c r="A705" s="2">
        <v>704.0</v>
      </c>
      <c r="B705" s="1" t="s">
        <v>713</v>
      </c>
      <c r="C705" s="1" t="s">
        <v>2003</v>
      </c>
      <c r="D705" s="1" t="s">
        <v>2004</v>
      </c>
      <c r="E705" s="2">
        <v>5.7003835478E11</v>
      </c>
      <c r="F705" s="1" t="s">
        <v>2005</v>
      </c>
      <c r="G705" s="1" t="s">
        <v>38</v>
      </c>
      <c r="H705" s="1" t="s">
        <v>1654</v>
      </c>
      <c r="I705" s="1" t="s">
        <v>595</v>
      </c>
      <c r="J705" s="1" t="s">
        <v>596</v>
      </c>
    </row>
    <row r="706" ht="15.75" customHeight="1">
      <c r="A706" s="2">
        <v>705.0</v>
      </c>
      <c r="B706" s="1" t="s">
        <v>2006</v>
      </c>
      <c r="C706" s="1" t="s">
        <v>713</v>
      </c>
      <c r="D706" s="1" t="s">
        <v>335</v>
      </c>
      <c r="E706" s="2">
        <v>5.70038354782E11</v>
      </c>
      <c r="F706" s="1" t="s">
        <v>2007</v>
      </c>
      <c r="G706" s="1" t="s">
        <v>90</v>
      </c>
      <c r="H706" s="1" t="s">
        <v>1654</v>
      </c>
      <c r="I706" s="1" t="s">
        <v>595</v>
      </c>
      <c r="J706" s="1" t="s">
        <v>596</v>
      </c>
    </row>
    <row r="707" ht="15.75" customHeight="1">
      <c r="A707" s="2">
        <v>706.0</v>
      </c>
      <c r="B707" s="1" t="s">
        <v>604</v>
      </c>
      <c r="C707" s="1" t="s">
        <v>2008</v>
      </c>
      <c r="D707" s="1" t="s">
        <v>2009</v>
      </c>
      <c r="E707" s="2">
        <v>5.70038354783E11</v>
      </c>
      <c r="F707" s="1" t="s">
        <v>2010</v>
      </c>
      <c r="G707" s="1" t="s">
        <v>90</v>
      </c>
      <c r="H707" s="1" t="s">
        <v>1654</v>
      </c>
      <c r="I707" s="1" t="s">
        <v>595</v>
      </c>
      <c r="J707" s="1" t="s">
        <v>596</v>
      </c>
    </row>
    <row r="708" ht="15.75" customHeight="1">
      <c r="A708" s="2">
        <v>707.0</v>
      </c>
      <c r="B708" s="1" t="s">
        <v>2011</v>
      </c>
      <c r="C708" s="1" t="s">
        <v>2012</v>
      </c>
      <c r="D708" s="1" t="s">
        <v>2013</v>
      </c>
      <c r="E708" s="2">
        <v>5.70038354785E11</v>
      </c>
      <c r="F708" s="1" t="s">
        <v>2014</v>
      </c>
      <c r="G708" s="1" t="s">
        <v>12</v>
      </c>
      <c r="H708" s="1" t="s">
        <v>1654</v>
      </c>
      <c r="I708" s="1" t="s">
        <v>595</v>
      </c>
      <c r="J708" s="1" t="s">
        <v>596</v>
      </c>
    </row>
    <row r="709" ht="15.75" customHeight="1">
      <c r="A709" s="2">
        <v>708.0</v>
      </c>
      <c r="B709" s="1" t="s">
        <v>2015</v>
      </c>
      <c r="C709" s="1" t="s">
        <v>2016</v>
      </c>
      <c r="D709" s="1" t="s">
        <v>1479</v>
      </c>
      <c r="E709" s="2">
        <v>5.70038354789E11</v>
      </c>
      <c r="F709" s="1" t="s">
        <v>2017</v>
      </c>
      <c r="G709" s="1" t="s">
        <v>24</v>
      </c>
      <c r="H709" s="1" t="s">
        <v>1654</v>
      </c>
      <c r="I709" s="1" t="s">
        <v>595</v>
      </c>
      <c r="J709" s="1" t="s">
        <v>596</v>
      </c>
    </row>
    <row r="710" ht="15.75" customHeight="1">
      <c r="A710" s="2">
        <v>709.0</v>
      </c>
      <c r="B710" s="1" t="s">
        <v>2018</v>
      </c>
      <c r="C710" s="1" t="s">
        <v>2019</v>
      </c>
      <c r="D710" s="1" t="s">
        <v>1749</v>
      </c>
      <c r="E710" s="2">
        <v>5.70038354792E11</v>
      </c>
      <c r="F710" s="1" t="s">
        <v>1063</v>
      </c>
      <c r="G710" s="1" t="s">
        <v>90</v>
      </c>
      <c r="H710" s="1" t="s">
        <v>1654</v>
      </c>
      <c r="I710" s="1" t="s">
        <v>595</v>
      </c>
      <c r="J710" s="1" t="s">
        <v>596</v>
      </c>
    </row>
    <row r="711" ht="15.75" customHeight="1">
      <c r="A711" s="2">
        <v>710.0</v>
      </c>
      <c r="B711" s="1" t="s">
        <v>1856</v>
      </c>
      <c r="C711" s="1" t="s">
        <v>2020</v>
      </c>
      <c r="D711" s="1" t="s">
        <v>1178</v>
      </c>
      <c r="E711" s="2">
        <v>5.70038354799E11</v>
      </c>
      <c r="F711" s="1" t="s">
        <v>1885</v>
      </c>
      <c r="G711" s="1" t="s">
        <v>90</v>
      </c>
      <c r="H711" s="1" t="s">
        <v>1654</v>
      </c>
      <c r="I711" s="1" t="s">
        <v>595</v>
      </c>
      <c r="J711" s="1" t="s">
        <v>596</v>
      </c>
    </row>
    <row r="712" ht="15.75" customHeight="1">
      <c r="A712" s="2">
        <v>711.0</v>
      </c>
      <c r="B712" s="1" t="s">
        <v>1865</v>
      </c>
      <c r="C712" s="1" t="s">
        <v>2020</v>
      </c>
      <c r="D712" s="1" t="s">
        <v>1178</v>
      </c>
      <c r="E712" s="2">
        <v>5.70038354801E11</v>
      </c>
      <c r="F712" s="1" t="s">
        <v>571</v>
      </c>
      <c r="G712" s="1" t="s">
        <v>90</v>
      </c>
      <c r="H712" s="1" t="s">
        <v>1654</v>
      </c>
      <c r="I712" s="1" t="s">
        <v>595</v>
      </c>
      <c r="J712" s="1" t="s">
        <v>596</v>
      </c>
    </row>
    <row r="713" ht="15.75" customHeight="1">
      <c r="A713" s="2">
        <v>712.0</v>
      </c>
      <c r="B713" s="1" t="s">
        <v>2021</v>
      </c>
      <c r="C713" s="1" t="s">
        <v>2020</v>
      </c>
      <c r="D713" s="1" t="s">
        <v>1178</v>
      </c>
      <c r="E713" s="2">
        <v>5.70038354803E11</v>
      </c>
      <c r="F713" s="1" t="s">
        <v>2022</v>
      </c>
      <c r="G713" s="1" t="s">
        <v>90</v>
      </c>
      <c r="H713" s="1" t="s">
        <v>1654</v>
      </c>
      <c r="I713" s="1" t="s">
        <v>595</v>
      </c>
      <c r="J713" s="1" t="s">
        <v>596</v>
      </c>
    </row>
    <row r="714" ht="15.75" customHeight="1">
      <c r="A714" s="2">
        <v>713.0</v>
      </c>
      <c r="B714" s="1" t="s">
        <v>2023</v>
      </c>
      <c r="C714" s="1" t="s">
        <v>2024</v>
      </c>
      <c r="D714" s="1" t="s">
        <v>2025</v>
      </c>
      <c r="E714" s="2">
        <v>5.70038354804E11</v>
      </c>
      <c r="F714" s="1" t="s">
        <v>2026</v>
      </c>
      <c r="G714" s="1" t="s">
        <v>90</v>
      </c>
      <c r="H714" s="1" t="s">
        <v>1654</v>
      </c>
      <c r="I714" s="1" t="s">
        <v>595</v>
      </c>
      <c r="J714" s="1" t="s">
        <v>596</v>
      </c>
    </row>
    <row r="715" ht="15.75" customHeight="1">
      <c r="A715" s="2">
        <v>714.0</v>
      </c>
      <c r="B715" s="1" t="s">
        <v>1120</v>
      </c>
      <c r="C715" s="1" t="s">
        <v>2024</v>
      </c>
      <c r="D715" s="1" t="s">
        <v>2027</v>
      </c>
      <c r="E715" s="2">
        <v>5.70038354806E11</v>
      </c>
      <c r="F715" s="1" t="s">
        <v>2028</v>
      </c>
      <c r="G715" s="1" t="s">
        <v>90</v>
      </c>
      <c r="H715" s="1" t="s">
        <v>1654</v>
      </c>
      <c r="I715" s="1" t="s">
        <v>595</v>
      </c>
      <c r="J715" s="1" t="s">
        <v>596</v>
      </c>
    </row>
    <row r="716" ht="15.75" customHeight="1">
      <c r="A716" s="2">
        <v>715.0</v>
      </c>
      <c r="B716" s="1" t="s">
        <v>2029</v>
      </c>
      <c r="C716" s="1" t="s">
        <v>2030</v>
      </c>
      <c r="D716" s="1" t="s">
        <v>2031</v>
      </c>
      <c r="E716" s="2">
        <v>5.70038354809E11</v>
      </c>
      <c r="F716" s="1" t="s">
        <v>2032</v>
      </c>
      <c r="G716" s="1" t="s">
        <v>90</v>
      </c>
      <c r="H716" s="1" t="s">
        <v>1654</v>
      </c>
      <c r="I716" s="1" t="s">
        <v>595</v>
      </c>
      <c r="J716" s="1" t="s">
        <v>596</v>
      </c>
    </row>
    <row r="717" ht="15.75" customHeight="1">
      <c r="A717" s="2">
        <v>716.0</v>
      </c>
      <c r="B717" s="1" t="s">
        <v>2033</v>
      </c>
      <c r="C717" s="1" t="s">
        <v>2024</v>
      </c>
      <c r="D717" s="1" t="s">
        <v>2034</v>
      </c>
      <c r="E717" s="2">
        <v>5.70038354811E11</v>
      </c>
      <c r="F717" s="1" t="s">
        <v>2035</v>
      </c>
      <c r="G717" s="1" t="s">
        <v>90</v>
      </c>
      <c r="H717" s="1" t="s">
        <v>1654</v>
      </c>
      <c r="I717" s="1" t="s">
        <v>595</v>
      </c>
      <c r="J717" s="1" t="s">
        <v>596</v>
      </c>
    </row>
    <row r="718" ht="15.75" customHeight="1">
      <c r="A718" s="2">
        <v>717.0</v>
      </c>
      <c r="B718" s="1" t="s">
        <v>1951</v>
      </c>
      <c r="C718" s="1" t="s">
        <v>2036</v>
      </c>
      <c r="D718" s="1" t="s">
        <v>2037</v>
      </c>
      <c r="E718" s="2">
        <v>5.70038354813E11</v>
      </c>
      <c r="F718" s="1" t="s">
        <v>2038</v>
      </c>
      <c r="G718" s="1" t="s">
        <v>90</v>
      </c>
      <c r="H718" s="1" t="s">
        <v>1654</v>
      </c>
      <c r="I718" s="1" t="s">
        <v>595</v>
      </c>
      <c r="J718" s="1" t="s">
        <v>596</v>
      </c>
    </row>
    <row r="719" ht="15.75" customHeight="1">
      <c r="A719" s="2">
        <v>718.0</v>
      </c>
      <c r="B719" s="1" t="s">
        <v>1367</v>
      </c>
      <c r="C719" s="1" t="s">
        <v>1951</v>
      </c>
      <c r="D719" s="1" t="s">
        <v>685</v>
      </c>
      <c r="E719" s="2">
        <v>5.70038354816E11</v>
      </c>
      <c r="F719" s="1" t="s">
        <v>2039</v>
      </c>
      <c r="G719" s="1" t="s">
        <v>90</v>
      </c>
      <c r="H719" s="1" t="s">
        <v>1654</v>
      </c>
      <c r="I719" s="1" t="s">
        <v>595</v>
      </c>
      <c r="J719" s="1" t="s">
        <v>596</v>
      </c>
    </row>
    <row r="720" ht="15.75" customHeight="1">
      <c r="A720" s="2">
        <v>719.0</v>
      </c>
      <c r="B720" s="1" t="s">
        <v>2040</v>
      </c>
      <c r="C720" s="1" t="s">
        <v>2041</v>
      </c>
      <c r="D720" s="1" t="s">
        <v>2042</v>
      </c>
      <c r="E720" s="2">
        <v>5.7003835482E11</v>
      </c>
      <c r="F720" s="1" t="s">
        <v>2043</v>
      </c>
      <c r="G720" s="1" t="s">
        <v>18</v>
      </c>
      <c r="H720" s="1" t="s">
        <v>1654</v>
      </c>
      <c r="I720" s="1" t="s">
        <v>595</v>
      </c>
      <c r="J720" s="1" t="s">
        <v>596</v>
      </c>
    </row>
    <row r="721" ht="15.75" customHeight="1">
      <c r="A721" s="2">
        <v>720.0</v>
      </c>
      <c r="B721" s="1" t="s">
        <v>2044</v>
      </c>
      <c r="C721" s="1" t="s">
        <v>2045</v>
      </c>
      <c r="D721" s="1" t="s">
        <v>2046</v>
      </c>
      <c r="E721" s="2">
        <v>5.70038354823E11</v>
      </c>
      <c r="F721" s="1" t="s">
        <v>2047</v>
      </c>
      <c r="G721" s="1" t="s">
        <v>18</v>
      </c>
      <c r="H721" s="1" t="s">
        <v>1654</v>
      </c>
      <c r="I721" s="1" t="s">
        <v>595</v>
      </c>
      <c r="J721" s="1" t="s">
        <v>596</v>
      </c>
    </row>
    <row r="722" ht="15.75" customHeight="1">
      <c r="A722" s="2">
        <v>721.0</v>
      </c>
      <c r="B722" s="1" t="s">
        <v>1501</v>
      </c>
      <c r="C722" s="1" t="s">
        <v>2044</v>
      </c>
      <c r="D722" s="1" t="s">
        <v>381</v>
      </c>
      <c r="E722" s="2">
        <v>5.70038354825E11</v>
      </c>
      <c r="F722" s="1" t="s">
        <v>623</v>
      </c>
      <c r="G722" s="1" t="s">
        <v>90</v>
      </c>
      <c r="H722" s="1" t="s">
        <v>1654</v>
      </c>
      <c r="I722" s="1" t="s">
        <v>595</v>
      </c>
      <c r="J722" s="1" t="s">
        <v>596</v>
      </c>
    </row>
    <row r="723" ht="15.75" customHeight="1">
      <c r="A723" s="2">
        <v>722.0</v>
      </c>
      <c r="B723" s="1" t="s">
        <v>2048</v>
      </c>
      <c r="C723" s="1" t="s">
        <v>2049</v>
      </c>
      <c r="D723" s="1" t="s">
        <v>2050</v>
      </c>
      <c r="E723" s="2">
        <v>5.7003835483E11</v>
      </c>
      <c r="F723" s="1" t="s">
        <v>2051</v>
      </c>
      <c r="G723" s="1" t="s">
        <v>90</v>
      </c>
      <c r="H723" s="1" t="s">
        <v>1654</v>
      </c>
      <c r="I723" s="1" t="s">
        <v>595</v>
      </c>
      <c r="J723" s="1" t="s">
        <v>596</v>
      </c>
    </row>
    <row r="724" ht="15.75" customHeight="1">
      <c r="A724" s="2">
        <v>723.0</v>
      </c>
      <c r="B724" s="1" t="s">
        <v>1652</v>
      </c>
      <c r="C724" s="1" t="s">
        <v>2052</v>
      </c>
      <c r="D724" s="1" t="s">
        <v>246</v>
      </c>
      <c r="E724" s="2">
        <v>5.70038354832E11</v>
      </c>
      <c r="F724" s="1" t="s">
        <v>2053</v>
      </c>
      <c r="G724" s="1" t="s">
        <v>90</v>
      </c>
      <c r="H724" s="1" t="s">
        <v>1654</v>
      </c>
      <c r="I724" s="1" t="s">
        <v>595</v>
      </c>
      <c r="J724" s="1" t="s">
        <v>596</v>
      </c>
    </row>
    <row r="725" ht="15.75" customHeight="1">
      <c r="A725" s="2">
        <v>724.0</v>
      </c>
      <c r="B725" s="1" t="s">
        <v>2054</v>
      </c>
      <c r="C725" s="1" t="s">
        <v>815</v>
      </c>
      <c r="D725" s="1" t="s">
        <v>246</v>
      </c>
      <c r="E725" s="2">
        <v>5.70038354834E11</v>
      </c>
      <c r="F725" s="1" t="s">
        <v>2055</v>
      </c>
      <c r="G725" s="1" t="s">
        <v>90</v>
      </c>
      <c r="H725" s="1" t="s">
        <v>1654</v>
      </c>
      <c r="I725" s="1" t="s">
        <v>595</v>
      </c>
      <c r="J725" s="1" t="s">
        <v>596</v>
      </c>
    </row>
    <row r="726" ht="15.75" customHeight="1">
      <c r="A726" s="2">
        <v>725.0</v>
      </c>
      <c r="B726" s="1" t="s">
        <v>2056</v>
      </c>
      <c r="C726" s="1" t="s">
        <v>1304</v>
      </c>
      <c r="D726" s="1" t="s">
        <v>2057</v>
      </c>
      <c r="E726" s="2">
        <v>5.70038354838E11</v>
      </c>
      <c r="F726" s="1" t="s">
        <v>2058</v>
      </c>
      <c r="G726" s="1" t="s">
        <v>90</v>
      </c>
      <c r="H726" s="1" t="s">
        <v>1654</v>
      </c>
      <c r="I726" s="1" t="s">
        <v>595</v>
      </c>
      <c r="J726" s="1" t="s">
        <v>596</v>
      </c>
    </row>
    <row r="727" ht="15.75" customHeight="1">
      <c r="A727" s="2">
        <v>726.0</v>
      </c>
      <c r="B727" s="1" t="s">
        <v>2059</v>
      </c>
      <c r="C727" s="1" t="s">
        <v>2060</v>
      </c>
      <c r="D727" s="1" t="s">
        <v>1876</v>
      </c>
      <c r="E727" s="2">
        <v>5.7003835484E11</v>
      </c>
      <c r="F727" s="1" t="s">
        <v>2061</v>
      </c>
      <c r="G727" s="1" t="s">
        <v>90</v>
      </c>
      <c r="H727" s="1" t="s">
        <v>1654</v>
      </c>
      <c r="I727" s="1" t="s">
        <v>595</v>
      </c>
      <c r="J727" s="1" t="s">
        <v>596</v>
      </c>
    </row>
    <row r="728" ht="15.75" customHeight="1">
      <c r="A728" s="2">
        <v>727.0</v>
      </c>
      <c r="B728" s="1" t="s">
        <v>1865</v>
      </c>
      <c r="C728" s="1" t="s">
        <v>2060</v>
      </c>
      <c r="D728" s="1" t="s">
        <v>2062</v>
      </c>
      <c r="E728" s="2">
        <v>5.70038354844E11</v>
      </c>
      <c r="F728" s="1" t="s">
        <v>2063</v>
      </c>
      <c r="G728" s="1" t="s">
        <v>90</v>
      </c>
      <c r="H728" s="1" t="s">
        <v>1654</v>
      </c>
      <c r="I728" s="1" t="s">
        <v>595</v>
      </c>
      <c r="J728" s="1" t="s">
        <v>596</v>
      </c>
    </row>
    <row r="729" ht="15.75" customHeight="1">
      <c r="A729" s="2">
        <v>728.0</v>
      </c>
      <c r="B729" s="1" t="s">
        <v>444</v>
      </c>
      <c r="C729" s="1" t="s">
        <v>2060</v>
      </c>
      <c r="D729" s="1" t="s">
        <v>1876</v>
      </c>
      <c r="E729" s="2">
        <v>5.70038354845E11</v>
      </c>
      <c r="F729" s="1" t="s">
        <v>2064</v>
      </c>
      <c r="G729" s="1" t="s">
        <v>90</v>
      </c>
      <c r="H729" s="1" t="s">
        <v>1654</v>
      </c>
      <c r="I729" s="1" t="s">
        <v>595</v>
      </c>
      <c r="J729" s="1" t="s">
        <v>596</v>
      </c>
    </row>
    <row r="730" ht="15.75" customHeight="1">
      <c r="A730" s="2">
        <v>729.0</v>
      </c>
      <c r="B730" s="1" t="s">
        <v>1157</v>
      </c>
      <c r="C730" s="1" t="s">
        <v>2065</v>
      </c>
      <c r="D730" s="1" t="s">
        <v>955</v>
      </c>
      <c r="E730" s="2">
        <v>5.70038354846E11</v>
      </c>
      <c r="F730" s="1" t="s">
        <v>2066</v>
      </c>
      <c r="G730" s="1" t="s">
        <v>90</v>
      </c>
      <c r="H730" s="1" t="s">
        <v>1654</v>
      </c>
      <c r="I730" s="1" t="s">
        <v>595</v>
      </c>
      <c r="J730" s="1" t="s">
        <v>596</v>
      </c>
    </row>
    <row r="731" ht="15.75" customHeight="1">
      <c r="A731" s="2">
        <v>730.0</v>
      </c>
      <c r="B731" s="1" t="s">
        <v>1350</v>
      </c>
      <c r="C731" s="1" t="s">
        <v>1065</v>
      </c>
      <c r="D731" s="1" t="s">
        <v>2067</v>
      </c>
      <c r="E731" s="2">
        <v>5.7003835485E11</v>
      </c>
      <c r="F731" s="1" t="s">
        <v>2068</v>
      </c>
      <c r="G731" s="1" t="s">
        <v>18</v>
      </c>
      <c r="H731" s="1" t="s">
        <v>1654</v>
      </c>
      <c r="I731" s="1" t="s">
        <v>595</v>
      </c>
      <c r="J731" s="1" t="s">
        <v>596</v>
      </c>
    </row>
    <row r="732" ht="15.75" customHeight="1">
      <c r="A732" s="2">
        <v>731.0</v>
      </c>
      <c r="B732" s="1" t="s">
        <v>165</v>
      </c>
      <c r="C732" s="1" t="s">
        <v>2069</v>
      </c>
      <c r="D732" s="1" t="s">
        <v>610</v>
      </c>
      <c r="E732" s="2">
        <v>5.70038354852E11</v>
      </c>
      <c r="F732" s="1" t="s">
        <v>2070</v>
      </c>
      <c r="G732" s="1" t="s">
        <v>90</v>
      </c>
      <c r="H732" s="1" t="s">
        <v>1654</v>
      </c>
      <c r="I732" s="1" t="s">
        <v>595</v>
      </c>
      <c r="J732" s="1" t="s">
        <v>596</v>
      </c>
    </row>
    <row r="733" ht="15.75" customHeight="1">
      <c r="A733" s="2">
        <v>732.0</v>
      </c>
      <c r="B733" s="1" t="s">
        <v>2071</v>
      </c>
      <c r="C733" s="1" t="s">
        <v>165</v>
      </c>
      <c r="D733" s="1" t="s">
        <v>2072</v>
      </c>
      <c r="E733" s="2">
        <v>5.70038354854E11</v>
      </c>
      <c r="F733" s="1" t="s">
        <v>2073</v>
      </c>
      <c r="G733" s="1" t="s">
        <v>90</v>
      </c>
      <c r="H733" s="1" t="s">
        <v>1654</v>
      </c>
      <c r="I733" s="1" t="s">
        <v>595</v>
      </c>
      <c r="J733" s="1" t="s">
        <v>596</v>
      </c>
    </row>
    <row r="734" ht="15.75" customHeight="1">
      <c r="A734" s="2">
        <v>733.0</v>
      </c>
      <c r="B734" s="1" t="s">
        <v>2074</v>
      </c>
      <c r="C734" s="1" t="s">
        <v>2075</v>
      </c>
      <c r="D734" s="1" t="s">
        <v>494</v>
      </c>
      <c r="E734" s="2">
        <v>5.70038354855E11</v>
      </c>
      <c r="F734" s="1" t="s">
        <v>2076</v>
      </c>
      <c r="G734" s="1" t="s">
        <v>1813</v>
      </c>
      <c r="H734" s="1" t="s">
        <v>1654</v>
      </c>
      <c r="I734" s="1" t="s">
        <v>595</v>
      </c>
      <c r="J734" s="1" t="s">
        <v>596</v>
      </c>
    </row>
    <row r="735" ht="15.75" customHeight="1">
      <c r="A735" s="2">
        <v>734.0</v>
      </c>
      <c r="B735" s="1" t="s">
        <v>2077</v>
      </c>
      <c r="C735" s="1" t="s">
        <v>2074</v>
      </c>
      <c r="D735" s="1" t="s">
        <v>68</v>
      </c>
      <c r="E735" s="2">
        <v>5.70038354858E11</v>
      </c>
      <c r="F735" s="1" t="s">
        <v>2078</v>
      </c>
      <c r="G735" s="1" t="s">
        <v>24</v>
      </c>
      <c r="H735" s="1" t="s">
        <v>1654</v>
      </c>
      <c r="I735" s="1" t="s">
        <v>595</v>
      </c>
      <c r="J735" s="1" t="s">
        <v>596</v>
      </c>
    </row>
    <row r="736" ht="15.75" customHeight="1">
      <c r="A736" s="2">
        <v>735.0</v>
      </c>
      <c r="B736" s="1" t="s">
        <v>2079</v>
      </c>
      <c r="C736" s="1" t="s">
        <v>2074</v>
      </c>
      <c r="D736" s="1" t="s">
        <v>68</v>
      </c>
      <c r="E736" s="2">
        <v>5.7003835486E11</v>
      </c>
      <c r="F736" s="1" t="s">
        <v>2080</v>
      </c>
      <c r="G736" s="1" t="s">
        <v>121</v>
      </c>
      <c r="H736" s="1" t="s">
        <v>1654</v>
      </c>
      <c r="I736" s="1" t="s">
        <v>595</v>
      </c>
      <c r="J736" s="1" t="s">
        <v>596</v>
      </c>
    </row>
    <row r="737" ht="15.75" customHeight="1">
      <c r="A737" s="2">
        <v>736.0</v>
      </c>
      <c r="B737" s="1" t="s">
        <v>2081</v>
      </c>
      <c r="C737" s="1" t="s">
        <v>2082</v>
      </c>
      <c r="D737" s="1" t="s">
        <v>494</v>
      </c>
      <c r="E737" s="2">
        <v>5.70038354862E11</v>
      </c>
      <c r="F737" s="1" t="s">
        <v>1750</v>
      </c>
      <c r="G737" s="1" t="s">
        <v>24</v>
      </c>
      <c r="H737" s="1" t="s">
        <v>1654</v>
      </c>
      <c r="I737" s="1" t="s">
        <v>595</v>
      </c>
      <c r="J737" s="1" t="s">
        <v>596</v>
      </c>
    </row>
    <row r="738" ht="15.75" customHeight="1">
      <c r="A738" s="2">
        <v>737.0</v>
      </c>
      <c r="B738" s="1" t="s">
        <v>902</v>
      </c>
      <c r="C738" s="1" t="s">
        <v>2081</v>
      </c>
      <c r="D738" s="1" t="s">
        <v>2083</v>
      </c>
      <c r="E738" s="2">
        <v>5.70038354864E11</v>
      </c>
      <c r="F738" s="1" t="s">
        <v>2084</v>
      </c>
      <c r="G738" s="1" t="s">
        <v>24</v>
      </c>
      <c r="H738" s="1" t="s">
        <v>1654</v>
      </c>
      <c r="I738" s="1" t="s">
        <v>595</v>
      </c>
      <c r="J738" s="1" t="s">
        <v>596</v>
      </c>
    </row>
    <row r="739" ht="15.75" customHeight="1">
      <c r="A739" s="2">
        <v>738.0</v>
      </c>
      <c r="B739" s="1" t="s">
        <v>281</v>
      </c>
      <c r="C739" s="1" t="s">
        <v>2081</v>
      </c>
      <c r="D739" s="1" t="s">
        <v>2083</v>
      </c>
      <c r="E739" s="2">
        <v>5.70038354865E11</v>
      </c>
      <c r="F739" s="1" t="s">
        <v>2085</v>
      </c>
      <c r="G739" s="1" t="s">
        <v>24</v>
      </c>
      <c r="H739" s="1" t="s">
        <v>1654</v>
      </c>
      <c r="I739" s="1" t="s">
        <v>595</v>
      </c>
      <c r="J739" s="1" t="s">
        <v>596</v>
      </c>
    </row>
    <row r="740" ht="15.75" customHeight="1">
      <c r="A740" s="2">
        <v>739.0</v>
      </c>
      <c r="B740" s="1" t="s">
        <v>2086</v>
      </c>
      <c r="C740" s="1" t="s">
        <v>2081</v>
      </c>
      <c r="D740" s="1" t="s">
        <v>2083</v>
      </c>
      <c r="E740" s="2">
        <v>5.70038354866E11</v>
      </c>
      <c r="F740" s="1" t="s">
        <v>2087</v>
      </c>
      <c r="G740" s="1" t="s">
        <v>24</v>
      </c>
      <c r="H740" s="1" t="s">
        <v>1654</v>
      </c>
      <c r="I740" s="1" t="s">
        <v>595</v>
      </c>
      <c r="J740" s="1" t="s">
        <v>596</v>
      </c>
    </row>
    <row r="741" ht="15.75" customHeight="1">
      <c r="A741" s="2">
        <v>740.0</v>
      </c>
      <c r="B741" s="1" t="s">
        <v>2088</v>
      </c>
      <c r="C741" s="1" t="s">
        <v>2082</v>
      </c>
      <c r="D741" s="1" t="s">
        <v>494</v>
      </c>
      <c r="E741" s="2">
        <v>5.70038354868E11</v>
      </c>
      <c r="F741" s="1" t="s">
        <v>2089</v>
      </c>
      <c r="G741" s="1" t="s">
        <v>24</v>
      </c>
      <c r="H741" s="1" t="s">
        <v>1654</v>
      </c>
      <c r="I741" s="1" t="s">
        <v>595</v>
      </c>
      <c r="J741" s="1" t="s">
        <v>596</v>
      </c>
    </row>
    <row r="742" ht="15.75" customHeight="1">
      <c r="A742" s="2">
        <v>741.0</v>
      </c>
      <c r="B742" s="1" t="s">
        <v>2090</v>
      </c>
      <c r="C742" s="1" t="s">
        <v>2082</v>
      </c>
      <c r="D742" s="1" t="s">
        <v>494</v>
      </c>
      <c r="E742" s="2">
        <v>5.7003835487E11</v>
      </c>
      <c r="F742" s="1" t="s">
        <v>2091</v>
      </c>
      <c r="G742" s="1" t="s">
        <v>24</v>
      </c>
      <c r="H742" s="1" t="s">
        <v>1654</v>
      </c>
      <c r="I742" s="1" t="s">
        <v>595</v>
      </c>
      <c r="J742" s="1" t="s">
        <v>596</v>
      </c>
    </row>
    <row r="743" ht="15.75" customHeight="1">
      <c r="A743" s="2">
        <v>742.0</v>
      </c>
      <c r="B743" s="1" t="s">
        <v>2092</v>
      </c>
      <c r="C743" s="1" t="s">
        <v>2093</v>
      </c>
      <c r="D743" s="1" t="s">
        <v>2094</v>
      </c>
      <c r="E743" s="2">
        <v>5.70038354877E11</v>
      </c>
      <c r="F743" s="1" t="s">
        <v>2095</v>
      </c>
      <c r="G743" s="1" t="s">
        <v>90</v>
      </c>
      <c r="H743" s="1" t="s">
        <v>1654</v>
      </c>
      <c r="I743" s="1" t="s">
        <v>595</v>
      </c>
      <c r="J743" s="1" t="s">
        <v>596</v>
      </c>
    </row>
    <row r="744" ht="15.75" customHeight="1">
      <c r="A744" s="2">
        <v>743.0</v>
      </c>
      <c r="B744" s="1" t="s">
        <v>2096</v>
      </c>
      <c r="C744" s="1" t="s">
        <v>2097</v>
      </c>
      <c r="D744" s="1" t="s">
        <v>2098</v>
      </c>
      <c r="E744" s="2">
        <v>5.70038354883E11</v>
      </c>
      <c r="F744" s="1" t="s">
        <v>2099</v>
      </c>
      <c r="G744" s="1" t="s">
        <v>90</v>
      </c>
      <c r="H744" s="1" t="s">
        <v>1654</v>
      </c>
      <c r="I744" s="1" t="s">
        <v>595</v>
      </c>
      <c r="J744" s="1" t="s">
        <v>596</v>
      </c>
    </row>
    <row r="745" ht="15.75" customHeight="1">
      <c r="A745" s="2">
        <v>744.0</v>
      </c>
      <c r="B745" s="1" t="s">
        <v>2100</v>
      </c>
      <c r="C745" s="1" t="s">
        <v>2101</v>
      </c>
      <c r="D745" s="1" t="s">
        <v>2102</v>
      </c>
      <c r="E745" s="2">
        <v>5.70038354886E11</v>
      </c>
      <c r="F745" s="1" t="s">
        <v>2103</v>
      </c>
      <c r="G745" s="1" t="s">
        <v>38</v>
      </c>
      <c r="H745" s="1" t="s">
        <v>1654</v>
      </c>
      <c r="I745" s="1" t="s">
        <v>595</v>
      </c>
      <c r="J745" s="1" t="s">
        <v>596</v>
      </c>
    </row>
    <row r="746" ht="15.75" customHeight="1">
      <c r="A746" s="2">
        <v>745.0</v>
      </c>
      <c r="B746" s="1" t="s">
        <v>2104</v>
      </c>
      <c r="C746" s="1" t="s">
        <v>2100</v>
      </c>
      <c r="D746" s="1" t="s">
        <v>2105</v>
      </c>
      <c r="E746" s="2">
        <v>5.70038354888E11</v>
      </c>
      <c r="F746" s="1" t="s">
        <v>2106</v>
      </c>
      <c r="G746" s="1" t="s">
        <v>90</v>
      </c>
      <c r="H746" s="1" t="s">
        <v>1654</v>
      </c>
      <c r="I746" s="1" t="s">
        <v>595</v>
      </c>
      <c r="J746" s="1" t="s">
        <v>596</v>
      </c>
    </row>
    <row r="747" ht="15.75" customHeight="1">
      <c r="A747" s="2">
        <v>746.0</v>
      </c>
      <c r="B747" s="1" t="s">
        <v>2107</v>
      </c>
      <c r="C747" s="1" t="s">
        <v>2108</v>
      </c>
      <c r="D747" s="1" t="s">
        <v>2109</v>
      </c>
      <c r="E747" s="2">
        <v>5.70038354891E11</v>
      </c>
      <c r="F747" s="1" t="s">
        <v>2110</v>
      </c>
      <c r="G747" s="1" t="s">
        <v>90</v>
      </c>
      <c r="H747" s="1" t="s">
        <v>1654</v>
      </c>
      <c r="I747" s="1" t="s">
        <v>595</v>
      </c>
      <c r="J747" s="1" t="s">
        <v>596</v>
      </c>
    </row>
    <row r="748" ht="15.75" customHeight="1">
      <c r="A748" s="2">
        <v>747.0</v>
      </c>
      <c r="B748" s="1" t="s">
        <v>2111</v>
      </c>
      <c r="C748" s="1" t="s">
        <v>2112</v>
      </c>
      <c r="D748" s="1" t="s">
        <v>2109</v>
      </c>
      <c r="E748" s="2">
        <v>5.70038354893E11</v>
      </c>
      <c r="F748" s="1" t="s">
        <v>2113</v>
      </c>
      <c r="G748" s="1" t="s">
        <v>90</v>
      </c>
      <c r="H748" s="1" t="s">
        <v>1654</v>
      </c>
      <c r="I748" s="1" t="s">
        <v>595</v>
      </c>
      <c r="J748" s="1" t="s">
        <v>596</v>
      </c>
    </row>
    <row r="749" ht="15.75" customHeight="1">
      <c r="A749" s="2">
        <v>748.0</v>
      </c>
      <c r="B749" s="1" t="s">
        <v>2114</v>
      </c>
      <c r="C749" s="1" t="s">
        <v>2115</v>
      </c>
      <c r="D749" s="1" t="s">
        <v>2116</v>
      </c>
      <c r="E749" s="2">
        <v>5.70038354895E11</v>
      </c>
      <c r="F749" s="1" t="s">
        <v>2117</v>
      </c>
      <c r="G749" s="1" t="s">
        <v>38</v>
      </c>
      <c r="H749" s="1" t="s">
        <v>1654</v>
      </c>
      <c r="I749" s="1" t="s">
        <v>595</v>
      </c>
      <c r="J749" s="1" t="s">
        <v>596</v>
      </c>
    </row>
    <row r="750" ht="15.75" customHeight="1">
      <c r="A750" s="2">
        <v>749.0</v>
      </c>
      <c r="B750" s="1" t="s">
        <v>2118</v>
      </c>
      <c r="C750" s="1" t="s">
        <v>2119</v>
      </c>
      <c r="D750" s="1" t="s">
        <v>2120</v>
      </c>
      <c r="E750" s="2">
        <v>5.70038354897E11</v>
      </c>
      <c r="F750" s="1" t="s">
        <v>2121</v>
      </c>
      <c r="G750" s="1" t="s">
        <v>90</v>
      </c>
      <c r="H750" s="1" t="s">
        <v>1654</v>
      </c>
      <c r="I750" s="1" t="s">
        <v>595</v>
      </c>
      <c r="J750" s="1" t="s">
        <v>596</v>
      </c>
    </row>
    <row r="751" ht="15.75" customHeight="1">
      <c r="A751" s="2">
        <v>750.0</v>
      </c>
      <c r="B751" s="1" t="s">
        <v>2122</v>
      </c>
      <c r="C751" s="1" t="s">
        <v>815</v>
      </c>
      <c r="D751" s="1" t="s">
        <v>2123</v>
      </c>
      <c r="E751" s="2">
        <v>5.70038354899E11</v>
      </c>
      <c r="F751" s="1" t="s">
        <v>2124</v>
      </c>
      <c r="G751" s="1" t="s">
        <v>90</v>
      </c>
      <c r="H751" s="1" t="s">
        <v>1654</v>
      </c>
      <c r="I751" s="1" t="s">
        <v>595</v>
      </c>
      <c r="J751" s="1" t="s">
        <v>596</v>
      </c>
    </row>
    <row r="752" ht="15.75" customHeight="1">
      <c r="A752" s="2">
        <v>751.0</v>
      </c>
      <c r="B752" s="1" t="s">
        <v>2125</v>
      </c>
      <c r="C752" s="1" t="s">
        <v>2126</v>
      </c>
      <c r="D752" s="1" t="s">
        <v>2127</v>
      </c>
      <c r="E752" s="2">
        <v>5.70038354901E11</v>
      </c>
      <c r="F752" s="1" t="s">
        <v>2128</v>
      </c>
      <c r="G752" s="1" t="s">
        <v>90</v>
      </c>
      <c r="H752" s="1" t="s">
        <v>1654</v>
      </c>
      <c r="I752" s="1" t="s">
        <v>595</v>
      </c>
      <c r="J752" s="1" t="s">
        <v>596</v>
      </c>
    </row>
    <row r="753" ht="15.75" customHeight="1">
      <c r="A753" s="2">
        <v>752.0</v>
      </c>
      <c r="B753" s="1" t="s">
        <v>2129</v>
      </c>
      <c r="C753" s="1" t="s">
        <v>2130</v>
      </c>
      <c r="D753" s="1" t="s">
        <v>2131</v>
      </c>
      <c r="E753" s="2">
        <v>5.70038354905E11</v>
      </c>
      <c r="F753" s="1" t="s">
        <v>2132</v>
      </c>
      <c r="G753" s="1" t="s">
        <v>18</v>
      </c>
      <c r="H753" s="1" t="s">
        <v>1654</v>
      </c>
      <c r="I753" s="1" t="s">
        <v>595</v>
      </c>
      <c r="J753" s="1" t="s">
        <v>596</v>
      </c>
    </row>
    <row r="754" ht="15.75" customHeight="1">
      <c r="A754" s="2">
        <v>753.0</v>
      </c>
      <c r="B754" s="1" t="s">
        <v>2133</v>
      </c>
      <c r="C754" s="1" t="s">
        <v>2134</v>
      </c>
      <c r="D754" s="1" t="s">
        <v>2135</v>
      </c>
      <c r="E754" s="2">
        <v>5.70038354909E11</v>
      </c>
      <c r="F754" s="1" t="s">
        <v>2136</v>
      </c>
      <c r="G754" s="1" t="s">
        <v>24</v>
      </c>
      <c r="H754" s="1" t="s">
        <v>1654</v>
      </c>
      <c r="I754" s="1" t="s">
        <v>595</v>
      </c>
      <c r="J754" s="1" t="s">
        <v>596</v>
      </c>
    </row>
    <row r="755" ht="15.75" customHeight="1">
      <c r="A755" s="2">
        <v>754.0</v>
      </c>
      <c r="B755" s="1" t="s">
        <v>2137</v>
      </c>
      <c r="C755" s="1" t="s">
        <v>2138</v>
      </c>
      <c r="D755" s="1" t="s">
        <v>2139</v>
      </c>
      <c r="E755" s="2">
        <v>5.70038354911E11</v>
      </c>
      <c r="F755" s="1" t="s">
        <v>2140</v>
      </c>
      <c r="G755" s="1" t="s">
        <v>90</v>
      </c>
      <c r="H755" s="1" t="s">
        <v>1654</v>
      </c>
      <c r="I755" s="1" t="s">
        <v>595</v>
      </c>
      <c r="J755" s="1" t="s">
        <v>596</v>
      </c>
    </row>
    <row r="756" ht="15.75" customHeight="1">
      <c r="A756" s="2">
        <v>755.0</v>
      </c>
      <c r="B756" s="1" t="s">
        <v>2141</v>
      </c>
      <c r="C756" s="1" t="s">
        <v>2142</v>
      </c>
      <c r="D756" s="1" t="s">
        <v>939</v>
      </c>
      <c r="E756" s="2">
        <v>5.70038354912E11</v>
      </c>
      <c r="F756" s="1" t="s">
        <v>2143</v>
      </c>
      <c r="G756" s="1" t="s">
        <v>90</v>
      </c>
      <c r="H756" s="1" t="s">
        <v>1654</v>
      </c>
      <c r="I756" s="1" t="s">
        <v>595</v>
      </c>
      <c r="J756" s="1" t="s">
        <v>596</v>
      </c>
    </row>
    <row r="757" ht="15.75" customHeight="1">
      <c r="A757" s="2">
        <v>756.0</v>
      </c>
      <c r="B757" s="1" t="s">
        <v>2144</v>
      </c>
      <c r="C757" s="1" t="s">
        <v>2145</v>
      </c>
      <c r="D757" s="1" t="s">
        <v>2146</v>
      </c>
      <c r="E757" s="2">
        <v>5.70038354914E11</v>
      </c>
      <c r="F757" s="1" t="s">
        <v>1552</v>
      </c>
      <c r="G757" s="1" t="s">
        <v>90</v>
      </c>
      <c r="H757" s="1" t="s">
        <v>1654</v>
      </c>
      <c r="I757" s="1" t="s">
        <v>595</v>
      </c>
      <c r="J757" s="1" t="s">
        <v>596</v>
      </c>
    </row>
    <row r="758" ht="15.75" customHeight="1">
      <c r="A758" s="2">
        <v>757.0</v>
      </c>
      <c r="B758" s="1" t="s">
        <v>2147</v>
      </c>
      <c r="C758" s="1" t="s">
        <v>2148</v>
      </c>
      <c r="D758" s="1" t="s">
        <v>1876</v>
      </c>
      <c r="E758" s="2">
        <v>5.70038354916E11</v>
      </c>
      <c r="F758" s="1" t="s">
        <v>2149</v>
      </c>
      <c r="G758" s="1" t="s">
        <v>24</v>
      </c>
      <c r="H758" s="1" t="s">
        <v>1654</v>
      </c>
      <c r="I758" s="1" t="s">
        <v>595</v>
      </c>
      <c r="J758" s="1" t="s">
        <v>596</v>
      </c>
    </row>
    <row r="759" ht="15.75" customHeight="1">
      <c r="A759" s="2">
        <v>758.0</v>
      </c>
      <c r="B759" s="1" t="s">
        <v>2150</v>
      </c>
      <c r="C759" s="1" t="s">
        <v>2151</v>
      </c>
      <c r="D759" s="1" t="s">
        <v>2152</v>
      </c>
      <c r="E759" s="2">
        <v>5.70038354919E11</v>
      </c>
      <c r="F759" s="1" t="s">
        <v>2153</v>
      </c>
      <c r="G759" s="1" t="s">
        <v>24</v>
      </c>
      <c r="H759" s="1" t="s">
        <v>1654</v>
      </c>
      <c r="I759" s="1" t="s">
        <v>595</v>
      </c>
      <c r="J759" s="1" t="s">
        <v>596</v>
      </c>
    </row>
    <row r="760" ht="15.75" customHeight="1">
      <c r="A760" s="2">
        <v>759.0</v>
      </c>
      <c r="B760" s="1" t="s">
        <v>2154</v>
      </c>
      <c r="C760" s="1" t="s">
        <v>2155</v>
      </c>
      <c r="D760" s="1" t="s">
        <v>2156</v>
      </c>
      <c r="E760" s="2">
        <v>5.70038354922E11</v>
      </c>
      <c r="F760" s="1" t="s">
        <v>2157</v>
      </c>
      <c r="G760" s="1" t="s">
        <v>24</v>
      </c>
      <c r="H760" s="1" t="s">
        <v>1654</v>
      </c>
      <c r="I760" s="1" t="s">
        <v>595</v>
      </c>
      <c r="J760" s="1" t="s">
        <v>596</v>
      </c>
    </row>
    <row r="761" ht="15.75" customHeight="1">
      <c r="A761" s="2">
        <v>760.0</v>
      </c>
      <c r="B761" s="1" t="s">
        <v>215</v>
      </c>
      <c r="C761" s="1" t="s">
        <v>2158</v>
      </c>
      <c r="D761" s="1" t="s">
        <v>2159</v>
      </c>
      <c r="E761" s="2">
        <v>5.70038354924E11</v>
      </c>
      <c r="F761" s="1" t="s">
        <v>2160</v>
      </c>
      <c r="G761" s="1" t="s">
        <v>90</v>
      </c>
      <c r="H761" s="1" t="s">
        <v>1654</v>
      </c>
      <c r="I761" s="1" t="s">
        <v>595</v>
      </c>
      <c r="J761" s="1" t="s">
        <v>596</v>
      </c>
    </row>
    <row r="762" ht="15.75" customHeight="1">
      <c r="A762" s="2">
        <v>761.0</v>
      </c>
      <c r="B762" s="1" t="s">
        <v>1652</v>
      </c>
      <c r="C762" s="1" t="s">
        <v>2161</v>
      </c>
      <c r="D762" s="1" t="s">
        <v>978</v>
      </c>
      <c r="E762" s="2">
        <v>5.70038354925E11</v>
      </c>
      <c r="F762" s="1" t="s">
        <v>2162</v>
      </c>
      <c r="G762" s="1" t="s">
        <v>24</v>
      </c>
      <c r="H762" s="1" t="s">
        <v>1654</v>
      </c>
      <c r="I762" s="1" t="s">
        <v>595</v>
      </c>
      <c r="J762" s="1" t="s">
        <v>596</v>
      </c>
    </row>
    <row r="763" ht="15.75" customHeight="1">
      <c r="A763" s="2">
        <v>762.0</v>
      </c>
      <c r="B763" s="1" t="s">
        <v>2163</v>
      </c>
      <c r="C763" s="1" t="s">
        <v>1652</v>
      </c>
      <c r="D763" s="1" t="s">
        <v>2164</v>
      </c>
      <c r="E763" s="2">
        <v>5.70038354927E11</v>
      </c>
      <c r="F763" s="1" t="s">
        <v>2165</v>
      </c>
      <c r="G763" s="1" t="s">
        <v>90</v>
      </c>
      <c r="H763" s="1" t="s">
        <v>1654</v>
      </c>
      <c r="I763" s="1" t="s">
        <v>595</v>
      </c>
      <c r="J763" s="1" t="s">
        <v>596</v>
      </c>
    </row>
    <row r="764" ht="15.75" customHeight="1">
      <c r="A764" s="2">
        <v>763.0</v>
      </c>
      <c r="B764" s="1" t="s">
        <v>97</v>
      </c>
      <c r="C764" s="1" t="s">
        <v>2166</v>
      </c>
      <c r="D764" s="1" t="s">
        <v>2167</v>
      </c>
      <c r="E764" s="2">
        <v>5.70038354928E11</v>
      </c>
      <c r="F764" s="1" t="s">
        <v>2168</v>
      </c>
      <c r="G764" s="1" t="s">
        <v>90</v>
      </c>
      <c r="H764" s="1" t="s">
        <v>1654</v>
      </c>
      <c r="I764" s="1" t="s">
        <v>595</v>
      </c>
      <c r="J764" s="1" t="s">
        <v>596</v>
      </c>
    </row>
    <row r="765" ht="15.75" customHeight="1">
      <c r="A765" s="2">
        <v>764.0</v>
      </c>
      <c r="B765" s="1" t="s">
        <v>590</v>
      </c>
      <c r="C765" s="1" t="s">
        <v>2166</v>
      </c>
      <c r="D765" s="1" t="s">
        <v>2167</v>
      </c>
      <c r="E765" s="2">
        <v>5.7003835493E11</v>
      </c>
      <c r="F765" s="1" t="s">
        <v>2169</v>
      </c>
      <c r="G765" s="1" t="s">
        <v>90</v>
      </c>
      <c r="H765" s="1" t="s">
        <v>1654</v>
      </c>
      <c r="I765" s="1" t="s">
        <v>595</v>
      </c>
      <c r="J765" s="1" t="s">
        <v>596</v>
      </c>
    </row>
    <row r="766" ht="15.75" customHeight="1">
      <c r="A766" s="2">
        <v>765.0</v>
      </c>
      <c r="B766" s="1" t="s">
        <v>656</v>
      </c>
      <c r="C766" s="1" t="s">
        <v>2166</v>
      </c>
      <c r="D766" s="1" t="s">
        <v>2167</v>
      </c>
      <c r="E766" s="2">
        <v>5.70038354932E11</v>
      </c>
      <c r="F766" s="1" t="s">
        <v>2170</v>
      </c>
      <c r="G766" s="1" t="s">
        <v>90</v>
      </c>
      <c r="H766" s="1" t="s">
        <v>1654</v>
      </c>
      <c r="I766" s="1" t="s">
        <v>595</v>
      </c>
      <c r="J766" s="1" t="s">
        <v>596</v>
      </c>
    </row>
    <row r="767" ht="15.75" customHeight="1">
      <c r="A767" s="2">
        <v>766.0</v>
      </c>
      <c r="B767" s="1" t="s">
        <v>514</v>
      </c>
      <c r="C767" s="1" t="s">
        <v>2166</v>
      </c>
      <c r="D767" s="1" t="s">
        <v>2167</v>
      </c>
      <c r="E767" s="2">
        <v>5.70038354934E11</v>
      </c>
      <c r="F767" s="1" t="s">
        <v>2171</v>
      </c>
      <c r="G767" s="1" t="s">
        <v>90</v>
      </c>
      <c r="H767" s="1" t="s">
        <v>1654</v>
      </c>
      <c r="I767" s="1" t="s">
        <v>595</v>
      </c>
      <c r="J767" s="1" t="s">
        <v>596</v>
      </c>
    </row>
    <row r="768" ht="15.75" customHeight="1">
      <c r="A768" s="2">
        <v>767.0</v>
      </c>
      <c r="B768" s="1" t="s">
        <v>2172</v>
      </c>
      <c r="C768" s="1" t="s">
        <v>2173</v>
      </c>
      <c r="D768" s="1" t="s">
        <v>2174</v>
      </c>
      <c r="E768" s="2">
        <v>5.70038354938E11</v>
      </c>
      <c r="F768" s="1" t="s">
        <v>2175</v>
      </c>
      <c r="G768" s="1" t="s">
        <v>90</v>
      </c>
      <c r="H768" s="1" t="s">
        <v>1654</v>
      </c>
      <c r="I768" s="1" t="s">
        <v>595</v>
      </c>
      <c r="J768" s="1" t="s">
        <v>596</v>
      </c>
    </row>
    <row r="769" ht="15.75" customHeight="1">
      <c r="A769" s="2">
        <v>768.0</v>
      </c>
      <c r="B769" s="1" t="s">
        <v>2176</v>
      </c>
      <c r="C769" s="1" t="s">
        <v>2173</v>
      </c>
      <c r="D769" s="1" t="s">
        <v>2174</v>
      </c>
      <c r="E769" s="2">
        <v>5.7003835494E11</v>
      </c>
      <c r="F769" s="1" t="s">
        <v>2177</v>
      </c>
      <c r="G769" s="1" t="s">
        <v>90</v>
      </c>
      <c r="H769" s="1" t="s">
        <v>1654</v>
      </c>
      <c r="I769" s="1" t="s">
        <v>595</v>
      </c>
      <c r="J769" s="1" t="s">
        <v>596</v>
      </c>
    </row>
    <row r="770" ht="15.75" customHeight="1">
      <c r="A770" s="2">
        <v>769.0</v>
      </c>
      <c r="B770" s="1" t="s">
        <v>25</v>
      </c>
      <c r="C770" s="1" t="s">
        <v>2178</v>
      </c>
      <c r="D770" s="1" t="s">
        <v>2179</v>
      </c>
      <c r="E770" s="2">
        <v>5.70038354943E11</v>
      </c>
      <c r="F770" s="1" t="s">
        <v>2180</v>
      </c>
      <c r="G770" s="1" t="s">
        <v>90</v>
      </c>
      <c r="H770" s="1" t="s">
        <v>1654</v>
      </c>
      <c r="I770" s="1" t="s">
        <v>595</v>
      </c>
      <c r="J770" s="1" t="s">
        <v>596</v>
      </c>
    </row>
    <row r="771" ht="15.75" customHeight="1">
      <c r="A771" s="2">
        <v>770.0</v>
      </c>
      <c r="B771" s="1" t="s">
        <v>2181</v>
      </c>
      <c r="C771" s="1" t="s">
        <v>25</v>
      </c>
      <c r="D771" s="1" t="s">
        <v>2182</v>
      </c>
      <c r="E771" s="2">
        <v>5.70038354946E11</v>
      </c>
      <c r="F771" s="1" t="s">
        <v>2183</v>
      </c>
      <c r="G771" s="1" t="s">
        <v>90</v>
      </c>
      <c r="H771" s="1" t="s">
        <v>1654</v>
      </c>
      <c r="I771" s="1" t="s">
        <v>595</v>
      </c>
      <c r="J771" s="1" t="s">
        <v>596</v>
      </c>
    </row>
    <row r="772" ht="15.75" customHeight="1">
      <c r="A772" s="2">
        <v>771.0</v>
      </c>
      <c r="B772" s="1" t="s">
        <v>762</v>
      </c>
      <c r="C772" s="1" t="s">
        <v>25</v>
      </c>
      <c r="D772" s="1" t="s">
        <v>2182</v>
      </c>
      <c r="E772" s="2">
        <v>5.70038354948E11</v>
      </c>
      <c r="F772" s="1" t="s">
        <v>2184</v>
      </c>
      <c r="G772" s="1" t="s">
        <v>90</v>
      </c>
      <c r="H772" s="1" t="s">
        <v>1654</v>
      </c>
      <c r="I772" s="1" t="s">
        <v>595</v>
      </c>
      <c r="J772" s="1" t="s">
        <v>596</v>
      </c>
    </row>
    <row r="773" ht="15.75" customHeight="1">
      <c r="A773" s="1">
        <v>772.0</v>
      </c>
      <c r="B773" s="1" t="s">
        <v>496</v>
      </c>
      <c r="C773" s="1" t="s">
        <v>912</v>
      </c>
      <c r="D773" s="1" t="s">
        <v>2185</v>
      </c>
      <c r="E773" s="1">
        <v>5.7003835495E11</v>
      </c>
      <c r="F773" s="1" t="s">
        <v>2186</v>
      </c>
      <c r="G773" s="1" t="s">
        <v>90</v>
      </c>
      <c r="H773" s="1" t="s">
        <v>2187</v>
      </c>
      <c r="I773" s="1" t="s">
        <v>2188</v>
      </c>
      <c r="J773" s="1" t="s">
        <v>2189</v>
      </c>
    </row>
    <row r="774" ht="15.75" customHeight="1">
      <c r="A774" s="5">
        <v>773.0</v>
      </c>
      <c r="B774" s="5" t="s">
        <v>223</v>
      </c>
      <c r="C774" s="5" t="s">
        <v>2190</v>
      </c>
      <c r="D774" s="5" t="s">
        <v>2191</v>
      </c>
      <c r="E774" s="5">
        <v>5.70038354952E11</v>
      </c>
      <c r="F774" s="5" t="s">
        <v>2192</v>
      </c>
      <c r="G774" s="5" t="s">
        <v>90</v>
      </c>
      <c r="H774" s="5" t="s">
        <v>2187</v>
      </c>
      <c r="I774" s="5" t="s">
        <v>2188</v>
      </c>
      <c r="J774" s="5" t="s">
        <v>2189</v>
      </c>
    </row>
    <row r="775" ht="15.75" customHeight="1">
      <c r="A775" s="5">
        <v>774.0</v>
      </c>
      <c r="B775" s="5" t="s">
        <v>646</v>
      </c>
      <c r="C775" s="5" t="s">
        <v>912</v>
      </c>
      <c r="D775" s="5" t="s">
        <v>2193</v>
      </c>
      <c r="E775" s="5">
        <v>5.70038354954E11</v>
      </c>
      <c r="F775" s="5" t="s">
        <v>2194</v>
      </c>
      <c r="G775" s="5" t="s">
        <v>24</v>
      </c>
      <c r="H775" s="5" t="s">
        <v>2187</v>
      </c>
      <c r="I775" s="5" t="s">
        <v>2188</v>
      </c>
      <c r="J775" s="5" t="s">
        <v>2189</v>
      </c>
    </row>
    <row r="776" ht="15.75" customHeight="1">
      <c r="A776" s="5">
        <v>775.0</v>
      </c>
      <c r="B776" s="5" t="s">
        <v>2195</v>
      </c>
      <c r="C776" s="5" t="s">
        <v>912</v>
      </c>
      <c r="D776" s="5" t="s">
        <v>2185</v>
      </c>
      <c r="E776" s="5">
        <v>5.70038354956E11</v>
      </c>
      <c r="F776" s="5" t="s">
        <v>1534</v>
      </c>
      <c r="G776" s="5" t="s">
        <v>24</v>
      </c>
      <c r="H776" s="5" t="s">
        <v>2187</v>
      </c>
      <c r="I776" s="5" t="s">
        <v>2188</v>
      </c>
      <c r="J776" s="5" t="s">
        <v>2189</v>
      </c>
    </row>
    <row r="777" ht="15.75" customHeight="1">
      <c r="A777" s="5">
        <v>776.0</v>
      </c>
      <c r="B777" s="5" t="s">
        <v>2196</v>
      </c>
      <c r="C777" s="5" t="s">
        <v>2197</v>
      </c>
      <c r="D777" s="5" t="s">
        <v>2198</v>
      </c>
      <c r="E777" s="5">
        <v>5.70038354958E11</v>
      </c>
      <c r="F777" s="5" t="s">
        <v>2199</v>
      </c>
      <c r="G777" s="5" t="s">
        <v>90</v>
      </c>
      <c r="H777" s="5" t="s">
        <v>2187</v>
      </c>
      <c r="I777" s="5" t="s">
        <v>2188</v>
      </c>
      <c r="J777" s="5" t="s">
        <v>2189</v>
      </c>
    </row>
    <row r="778" ht="15.75" customHeight="1">
      <c r="A778" s="5">
        <v>777.0</v>
      </c>
      <c r="B778" s="5" t="s">
        <v>2200</v>
      </c>
      <c r="C778" s="5" t="s">
        <v>2201</v>
      </c>
      <c r="D778" s="5" t="s">
        <v>2202</v>
      </c>
      <c r="E778" s="5">
        <v>5.70038354965E11</v>
      </c>
      <c r="F778" s="5" t="s">
        <v>2203</v>
      </c>
      <c r="G778" s="5" t="s">
        <v>90</v>
      </c>
      <c r="H778" s="5" t="s">
        <v>2187</v>
      </c>
      <c r="I778" s="5" t="s">
        <v>2188</v>
      </c>
      <c r="J778" s="5" t="s">
        <v>2189</v>
      </c>
    </row>
    <row r="779" ht="15.75" customHeight="1">
      <c r="A779" s="5">
        <v>778.0</v>
      </c>
      <c r="B779" s="5" t="s">
        <v>2204</v>
      </c>
      <c r="C779" s="5" t="s">
        <v>2205</v>
      </c>
      <c r="D779" s="5" t="s">
        <v>2206</v>
      </c>
      <c r="E779" s="5">
        <v>5.70038354967E11</v>
      </c>
      <c r="F779" s="5" t="s">
        <v>2207</v>
      </c>
      <c r="G779" s="5" t="s">
        <v>18</v>
      </c>
      <c r="H779" s="5" t="s">
        <v>2187</v>
      </c>
      <c r="I779" s="5" t="s">
        <v>2188</v>
      </c>
      <c r="J779" s="5" t="s">
        <v>2189</v>
      </c>
    </row>
    <row r="780" ht="15.75" customHeight="1">
      <c r="A780" s="5">
        <v>779.0</v>
      </c>
      <c r="B780" s="5" t="s">
        <v>2020</v>
      </c>
      <c r="C780" s="5" t="s">
        <v>2208</v>
      </c>
      <c r="D780" s="5" t="s">
        <v>2209</v>
      </c>
      <c r="E780" s="5">
        <v>5.7003835497E11</v>
      </c>
      <c r="F780" s="5" t="s">
        <v>2210</v>
      </c>
      <c r="G780" s="5" t="s">
        <v>24</v>
      </c>
      <c r="H780" s="5" t="s">
        <v>2187</v>
      </c>
      <c r="I780" s="5" t="s">
        <v>2188</v>
      </c>
      <c r="J780" s="5" t="s">
        <v>2189</v>
      </c>
    </row>
    <row r="781" ht="15.75" customHeight="1">
      <c r="A781" s="5">
        <v>780.0</v>
      </c>
      <c r="B781" s="5" t="s">
        <v>191</v>
      </c>
      <c r="C781" s="5" t="s">
        <v>2125</v>
      </c>
      <c r="D781" s="5" t="s">
        <v>10</v>
      </c>
      <c r="E781" s="5">
        <v>5.70038354971E11</v>
      </c>
      <c r="F781" s="5" t="s">
        <v>2211</v>
      </c>
      <c r="G781" s="5" t="s">
        <v>90</v>
      </c>
      <c r="H781" s="5" t="s">
        <v>2187</v>
      </c>
      <c r="I781" s="5" t="s">
        <v>2188</v>
      </c>
      <c r="J781" s="5" t="s">
        <v>2189</v>
      </c>
    </row>
    <row r="782" ht="15.75" customHeight="1">
      <c r="A782" s="5">
        <v>781.0</v>
      </c>
      <c r="B782" s="5" t="s">
        <v>2212</v>
      </c>
      <c r="C782" s="5" t="s">
        <v>2213</v>
      </c>
      <c r="D782" s="5" t="s">
        <v>1260</v>
      </c>
      <c r="E782" s="5">
        <v>5.70038355012E11</v>
      </c>
      <c r="F782" s="5" t="s">
        <v>2214</v>
      </c>
      <c r="G782" s="5" t="s">
        <v>24</v>
      </c>
      <c r="H782" s="5" t="s">
        <v>2187</v>
      </c>
      <c r="I782" s="5" t="s">
        <v>2188</v>
      </c>
      <c r="J782" s="5" t="s">
        <v>2189</v>
      </c>
    </row>
    <row r="783" ht="15.75" customHeight="1">
      <c r="A783" s="5">
        <v>782.0</v>
      </c>
      <c r="B783" s="5" t="s">
        <v>39</v>
      </c>
      <c r="C783" s="5" t="s">
        <v>1471</v>
      </c>
      <c r="D783" s="5" t="s">
        <v>392</v>
      </c>
      <c r="E783" s="5">
        <v>5.70038355015E11</v>
      </c>
      <c r="F783" s="5" t="s">
        <v>2038</v>
      </c>
      <c r="G783" s="5" t="s">
        <v>143</v>
      </c>
      <c r="H783" s="5" t="s">
        <v>2187</v>
      </c>
      <c r="I783" s="5" t="s">
        <v>2188</v>
      </c>
      <c r="J783" s="5" t="s">
        <v>2189</v>
      </c>
    </row>
    <row r="784" ht="15.75" customHeight="1">
      <c r="A784" s="5">
        <v>783.0</v>
      </c>
      <c r="B784" s="5" t="s">
        <v>367</v>
      </c>
      <c r="C784" s="5" t="s">
        <v>2215</v>
      </c>
      <c r="D784" s="5" t="s">
        <v>335</v>
      </c>
      <c r="E784" s="5">
        <v>5.70038355017E11</v>
      </c>
      <c r="F784" s="5" t="s">
        <v>2216</v>
      </c>
      <c r="G784" s="5" t="s">
        <v>38</v>
      </c>
      <c r="H784" s="5" t="s">
        <v>2187</v>
      </c>
      <c r="I784" s="5" t="s">
        <v>2188</v>
      </c>
      <c r="J784" s="5" t="s">
        <v>2189</v>
      </c>
    </row>
    <row r="785" ht="15.75" customHeight="1">
      <c r="A785" s="5">
        <v>784.0</v>
      </c>
      <c r="B785" s="5" t="s">
        <v>2217</v>
      </c>
      <c r="C785" s="5" t="s">
        <v>2218</v>
      </c>
      <c r="D785" s="5" t="s">
        <v>207</v>
      </c>
      <c r="E785" s="5">
        <v>5.70038355025E11</v>
      </c>
      <c r="F785" s="5" t="s">
        <v>2219</v>
      </c>
      <c r="G785" s="5" t="s">
        <v>38</v>
      </c>
      <c r="H785" s="5" t="s">
        <v>2187</v>
      </c>
      <c r="I785" s="5" t="s">
        <v>2188</v>
      </c>
      <c r="J785" s="5" t="s">
        <v>2189</v>
      </c>
    </row>
    <row r="786" ht="15.75" customHeight="1">
      <c r="A786" s="5">
        <v>785.0</v>
      </c>
      <c r="B786" s="5" t="s">
        <v>2220</v>
      </c>
      <c r="C786" s="5" t="s">
        <v>2218</v>
      </c>
      <c r="D786" s="5" t="s">
        <v>207</v>
      </c>
      <c r="E786" s="5">
        <v>5.70038355028E11</v>
      </c>
      <c r="F786" s="5" t="s">
        <v>2221</v>
      </c>
      <c r="G786" s="5" t="s">
        <v>24</v>
      </c>
      <c r="H786" s="5" t="s">
        <v>2187</v>
      </c>
      <c r="I786" s="5" t="s">
        <v>2188</v>
      </c>
      <c r="J786" s="5" t="s">
        <v>2189</v>
      </c>
    </row>
    <row r="787" ht="15.75" customHeight="1">
      <c r="A787" s="5">
        <v>786.0</v>
      </c>
      <c r="B787" s="5" t="s">
        <v>2222</v>
      </c>
      <c r="C787" s="5" t="s">
        <v>2217</v>
      </c>
      <c r="D787" s="5" t="s">
        <v>2223</v>
      </c>
      <c r="E787" s="5">
        <v>5.7003835503E11</v>
      </c>
      <c r="F787" s="5" t="s">
        <v>2224</v>
      </c>
      <c r="G787" s="5" t="s">
        <v>38</v>
      </c>
      <c r="H787" s="5" t="s">
        <v>2187</v>
      </c>
      <c r="I787" s="5" t="s">
        <v>2188</v>
      </c>
      <c r="J787" s="5" t="s">
        <v>2189</v>
      </c>
    </row>
    <row r="788" ht="15.75" customHeight="1">
      <c r="A788" s="5">
        <v>787.0</v>
      </c>
      <c r="B788" s="5" t="s">
        <v>403</v>
      </c>
      <c r="C788" s="5" t="s">
        <v>961</v>
      </c>
      <c r="D788" s="5" t="s">
        <v>2225</v>
      </c>
      <c r="E788" s="5">
        <v>5.70038355035E11</v>
      </c>
      <c r="F788" s="5" t="s">
        <v>2226</v>
      </c>
      <c r="G788" s="5" t="s">
        <v>24</v>
      </c>
      <c r="H788" s="5" t="s">
        <v>2187</v>
      </c>
      <c r="I788" s="5" t="s">
        <v>2188</v>
      </c>
      <c r="J788" s="5" t="s">
        <v>2189</v>
      </c>
    </row>
    <row r="789" ht="15.75" customHeight="1">
      <c r="A789" s="5">
        <v>788.0</v>
      </c>
      <c r="B789" s="5" t="s">
        <v>165</v>
      </c>
      <c r="C789" s="5" t="s">
        <v>2227</v>
      </c>
      <c r="D789" s="5" t="s">
        <v>2228</v>
      </c>
      <c r="E789" s="5">
        <v>5.7003835504E11</v>
      </c>
      <c r="F789" s="5" t="s">
        <v>2229</v>
      </c>
      <c r="G789" s="5" t="s">
        <v>38</v>
      </c>
      <c r="H789" s="5" t="s">
        <v>2187</v>
      </c>
      <c r="I789" s="5" t="s">
        <v>2188</v>
      </c>
      <c r="J789" s="5" t="s">
        <v>2189</v>
      </c>
    </row>
    <row r="790" ht="15.75" customHeight="1">
      <c r="A790" s="5">
        <v>789.0</v>
      </c>
      <c r="B790" s="5" t="s">
        <v>106</v>
      </c>
      <c r="C790" s="5" t="s">
        <v>2230</v>
      </c>
      <c r="D790" s="5" t="s">
        <v>207</v>
      </c>
      <c r="E790" s="5">
        <v>5.70038355041E11</v>
      </c>
      <c r="F790" s="5" t="s">
        <v>2231</v>
      </c>
      <c r="G790" s="5" t="s">
        <v>38</v>
      </c>
      <c r="H790" s="5" t="s">
        <v>2187</v>
      </c>
      <c r="I790" s="5" t="s">
        <v>2188</v>
      </c>
      <c r="J790" s="5" t="s">
        <v>2189</v>
      </c>
    </row>
    <row r="791" ht="15.75" customHeight="1">
      <c r="A791" s="5">
        <v>790.0</v>
      </c>
      <c r="B791" s="5" t="s">
        <v>66</v>
      </c>
      <c r="C791" s="5" t="s">
        <v>2230</v>
      </c>
      <c r="D791" s="5" t="s">
        <v>207</v>
      </c>
      <c r="E791" s="5">
        <v>5.70038355042E11</v>
      </c>
      <c r="F791" s="5" t="s">
        <v>2232</v>
      </c>
      <c r="G791" s="5" t="s">
        <v>38</v>
      </c>
      <c r="H791" s="5" t="s">
        <v>2187</v>
      </c>
      <c r="I791" s="5" t="s">
        <v>2188</v>
      </c>
      <c r="J791" s="5" t="s">
        <v>2189</v>
      </c>
    </row>
    <row r="792" ht="15.75" customHeight="1">
      <c r="A792" s="5">
        <v>791.0</v>
      </c>
      <c r="B792" s="5" t="s">
        <v>2233</v>
      </c>
      <c r="C792" s="5" t="s">
        <v>2234</v>
      </c>
      <c r="D792" s="5" t="s">
        <v>2235</v>
      </c>
      <c r="E792" s="5">
        <v>5.70038355043E11</v>
      </c>
      <c r="F792" s="5" t="s">
        <v>2236</v>
      </c>
      <c r="G792" s="5" t="s">
        <v>24</v>
      </c>
      <c r="H792" s="5" t="s">
        <v>2187</v>
      </c>
      <c r="I792" s="5" t="s">
        <v>2188</v>
      </c>
      <c r="J792" s="5" t="s">
        <v>2189</v>
      </c>
    </row>
    <row r="793" ht="15.75" customHeight="1">
      <c r="A793" s="5">
        <v>792.0</v>
      </c>
      <c r="B793" s="5" t="s">
        <v>39</v>
      </c>
      <c r="C793" s="5" t="s">
        <v>961</v>
      </c>
      <c r="D793" s="5" t="s">
        <v>2225</v>
      </c>
      <c r="E793" s="5">
        <v>5.70038355044E11</v>
      </c>
      <c r="F793" s="5" t="s">
        <v>2237</v>
      </c>
      <c r="G793" s="5" t="s">
        <v>18</v>
      </c>
      <c r="H793" s="5" t="s">
        <v>2187</v>
      </c>
      <c r="I793" s="5" t="s">
        <v>2188</v>
      </c>
      <c r="J793" s="5" t="s">
        <v>2189</v>
      </c>
    </row>
    <row r="794" ht="15.75" customHeight="1">
      <c r="A794" s="5">
        <v>793.0</v>
      </c>
      <c r="B794" s="5" t="s">
        <v>612</v>
      </c>
      <c r="C794" s="5" t="s">
        <v>2238</v>
      </c>
      <c r="D794" s="5" t="s">
        <v>2239</v>
      </c>
      <c r="E794" s="5">
        <v>5.70038355046E11</v>
      </c>
      <c r="F794" s="5" t="s">
        <v>2240</v>
      </c>
      <c r="G794" s="5" t="s">
        <v>24</v>
      </c>
      <c r="H794" s="5" t="s">
        <v>2187</v>
      </c>
      <c r="I794" s="5" t="s">
        <v>2188</v>
      </c>
      <c r="J794" s="5" t="s">
        <v>2189</v>
      </c>
    </row>
    <row r="795" ht="15.75" customHeight="1">
      <c r="A795" s="5">
        <v>794.0</v>
      </c>
      <c r="B795" s="5" t="s">
        <v>597</v>
      </c>
      <c r="C795" s="5" t="s">
        <v>2241</v>
      </c>
      <c r="D795" s="5" t="s">
        <v>2242</v>
      </c>
      <c r="E795" s="5">
        <v>5.70038355054E11</v>
      </c>
      <c r="F795" s="5" t="s">
        <v>920</v>
      </c>
      <c r="G795" s="5" t="s">
        <v>38</v>
      </c>
      <c r="H795" s="5" t="s">
        <v>2187</v>
      </c>
      <c r="I795" s="5" t="s">
        <v>2188</v>
      </c>
      <c r="J795" s="5" t="s">
        <v>2189</v>
      </c>
    </row>
    <row r="796" ht="15.75" customHeight="1">
      <c r="A796" s="5">
        <v>795.0</v>
      </c>
      <c r="B796" s="5" t="s">
        <v>772</v>
      </c>
      <c r="C796" s="5" t="s">
        <v>2243</v>
      </c>
      <c r="D796" s="5" t="s">
        <v>103</v>
      </c>
      <c r="E796" s="5">
        <v>5.70038355055E11</v>
      </c>
      <c r="F796" s="5" t="s">
        <v>2244</v>
      </c>
      <c r="G796" s="5" t="s">
        <v>593</v>
      </c>
      <c r="H796" s="5" t="s">
        <v>2187</v>
      </c>
      <c r="I796" s="5" t="s">
        <v>2188</v>
      </c>
      <c r="J796" s="5" t="s">
        <v>2189</v>
      </c>
    </row>
    <row r="797" ht="15.75" customHeight="1">
      <c r="A797" s="5">
        <v>796.0</v>
      </c>
      <c r="B797" s="5" t="s">
        <v>2245</v>
      </c>
      <c r="C797" s="5" t="s">
        <v>2243</v>
      </c>
      <c r="D797" s="5" t="s">
        <v>103</v>
      </c>
      <c r="E797" s="5">
        <v>5.7003835506E11</v>
      </c>
      <c r="F797" s="5" t="s">
        <v>2246</v>
      </c>
      <c r="G797" s="5" t="s">
        <v>24</v>
      </c>
      <c r="H797" s="5" t="s">
        <v>2187</v>
      </c>
      <c r="I797" s="5" t="s">
        <v>2188</v>
      </c>
      <c r="J797" s="5" t="s">
        <v>2189</v>
      </c>
    </row>
    <row r="798" ht="15.75" customHeight="1">
      <c r="A798" s="5">
        <v>797.0</v>
      </c>
      <c r="B798" s="5" t="s">
        <v>2247</v>
      </c>
      <c r="C798" s="5" t="s">
        <v>1606</v>
      </c>
      <c r="D798" s="5" t="s">
        <v>2248</v>
      </c>
      <c r="E798" s="5">
        <v>5.70038355062E11</v>
      </c>
      <c r="F798" s="5" t="s">
        <v>2249</v>
      </c>
      <c r="G798" s="5" t="s">
        <v>121</v>
      </c>
      <c r="H798" s="5" t="s">
        <v>2187</v>
      </c>
      <c r="I798" s="5" t="s">
        <v>2188</v>
      </c>
      <c r="J798" s="5" t="s">
        <v>2189</v>
      </c>
    </row>
    <row r="799" ht="15.75" customHeight="1">
      <c r="A799" s="5">
        <v>798.0</v>
      </c>
      <c r="B799" s="5" t="s">
        <v>1339</v>
      </c>
      <c r="C799" s="5" t="s">
        <v>586</v>
      </c>
      <c r="D799" s="5" t="s">
        <v>2250</v>
      </c>
      <c r="E799" s="5">
        <v>5.70038355063E11</v>
      </c>
      <c r="F799" s="5" t="s">
        <v>2251</v>
      </c>
      <c r="G799" s="5" t="s">
        <v>24</v>
      </c>
      <c r="H799" s="5" t="s">
        <v>2187</v>
      </c>
      <c r="I799" s="5" t="s">
        <v>2188</v>
      </c>
      <c r="J799" s="5" t="s">
        <v>2189</v>
      </c>
    </row>
    <row r="800" ht="15.75" customHeight="1">
      <c r="A800" s="5">
        <v>799.0</v>
      </c>
      <c r="B800" s="5" t="s">
        <v>2252</v>
      </c>
      <c r="C800" s="5" t="s">
        <v>2218</v>
      </c>
      <c r="D800" s="5" t="s">
        <v>2098</v>
      </c>
      <c r="E800" s="5">
        <v>5.70038355066E11</v>
      </c>
      <c r="F800" s="5" t="s">
        <v>2253</v>
      </c>
      <c r="G800" s="5" t="s">
        <v>18</v>
      </c>
      <c r="H800" s="5" t="s">
        <v>2187</v>
      </c>
      <c r="I800" s="5" t="s">
        <v>2188</v>
      </c>
      <c r="J800" s="5" t="s">
        <v>2189</v>
      </c>
    </row>
    <row r="801" ht="15.75" customHeight="1">
      <c r="A801" s="5">
        <v>800.0</v>
      </c>
      <c r="B801" s="5" t="s">
        <v>2200</v>
      </c>
      <c r="C801" s="5" t="s">
        <v>1150</v>
      </c>
      <c r="D801" s="5" t="s">
        <v>196</v>
      </c>
      <c r="E801" s="5">
        <v>5.70038355069E11</v>
      </c>
      <c r="F801" s="5" t="s">
        <v>858</v>
      </c>
      <c r="G801" s="5" t="s">
        <v>38</v>
      </c>
      <c r="H801" s="5" t="s">
        <v>2187</v>
      </c>
      <c r="I801" s="5" t="s">
        <v>2188</v>
      </c>
      <c r="J801" s="5" t="s">
        <v>2189</v>
      </c>
    </row>
    <row r="802" ht="15.75" customHeight="1">
      <c r="A802" s="5">
        <v>801.0</v>
      </c>
      <c r="B802" s="5" t="s">
        <v>784</v>
      </c>
      <c r="C802" s="5" t="s">
        <v>2254</v>
      </c>
      <c r="D802" s="5" t="s">
        <v>2255</v>
      </c>
      <c r="E802" s="5">
        <v>5.70038355074E11</v>
      </c>
      <c r="F802" s="5" t="s">
        <v>2256</v>
      </c>
      <c r="G802" s="5" t="s">
        <v>24</v>
      </c>
      <c r="H802" s="5" t="s">
        <v>2187</v>
      </c>
      <c r="I802" s="5" t="s">
        <v>2188</v>
      </c>
      <c r="J802" s="5" t="s">
        <v>2189</v>
      </c>
    </row>
    <row r="803" ht="15.75" customHeight="1">
      <c r="A803" s="5">
        <v>802.0</v>
      </c>
      <c r="B803" s="5" t="s">
        <v>367</v>
      </c>
      <c r="C803" s="5" t="s">
        <v>784</v>
      </c>
      <c r="D803" s="5" t="s">
        <v>2257</v>
      </c>
      <c r="E803" s="5">
        <v>5.70038355076E11</v>
      </c>
      <c r="F803" s="5" t="s">
        <v>2258</v>
      </c>
      <c r="G803" s="5" t="s">
        <v>24</v>
      </c>
      <c r="H803" s="5" t="s">
        <v>2187</v>
      </c>
      <c r="I803" s="5" t="s">
        <v>2188</v>
      </c>
      <c r="J803" s="5" t="s">
        <v>2189</v>
      </c>
    </row>
    <row r="804" ht="15.75" customHeight="1">
      <c r="A804" s="5">
        <v>803.0</v>
      </c>
      <c r="B804" s="5" t="s">
        <v>2259</v>
      </c>
      <c r="C804" s="5" t="s">
        <v>2260</v>
      </c>
      <c r="D804" s="5" t="s">
        <v>536</v>
      </c>
      <c r="E804" s="5">
        <v>5.7003835508E11</v>
      </c>
      <c r="F804" s="5" t="s">
        <v>2261</v>
      </c>
      <c r="G804" s="5" t="s">
        <v>24</v>
      </c>
      <c r="H804" s="5" t="s">
        <v>2187</v>
      </c>
      <c r="I804" s="5" t="s">
        <v>2188</v>
      </c>
      <c r="J804" s="5" t="s">
        <v>2189</v>
      </c>
    </row>
    <row r="805" ht="15.75" customHeight="1">
      <c r="A805" s="5">
        <v>804.0</v>
      </c>
      <c r="B805" s="5" t="s">
        <v>315</v>
      </c>
      <c r="C805" s="5" t="s">
        <v>2260</v>
      </c>
      <c r="D805" s="5" t="s">
        <v>536</v>
      </c>
      <c r="E805" s="5">
        <v>5.70038355081E11</v>
      </c>
      <c r="F805" s="5" t="s">
        <v>2262</v>
      </c>
      <c r="G805" s="5" t="s">
        <v>24</v>
      </c>
      <c r="H805" s="5" t="s">
        <v>2187</v>
      </c>
      <c r="I805" s="5" t="s">
        <v>2188</v>
      </c>
      <c r="J805" s="5" t="s">
        <v>2189</v>
      </c>
    </row>
    <row r="806" ht="15.75" customHeight="1">
      <c r="A806" s="5">
        <v>805.0</v>
      </c>
      <c r="B806" s="5" t="s">
        <v>2263</v>
      </c>
      <c r="C806" s="5" t="s">
        <v>2003</v>
      </c>
      <c r="D806" s="5" t="s">
        <v>2264</v>
      </c>
      <c r="E806" s="5">
        <v>5.70038355085E11</v>
      </c>
      <c r="F806" s="5" t="s">
        <v>2265</v>
      </c>
      <c r="G806" s="5" t="s">
        <v>38</v>
      </c>
      <c r="H806" s="5" t="s">
        <v>2187</v>
      </c>
      <c r="I806" s="5" t="s">
        <v>2188</v>
      </c>
      <c r="J806" s="5" t="s">
        <v>2189</v>
      </c>
    </row>
    <row r="807" ht="15.75" customHeight="1">
      <c r="A807" s="5">
        <v>806.0</v>
      </c>
      <c r="B807" s="5" t="s">
        <v>646</v>
      </c>
      <c r="C807" s="5" t="s">
        <v>2227</v>
      </c>
      <c r="D807" s="5" t="s">
        <v>2228</v>
      </c>
      <c r="E807" s="5">
        <v>5.70038355087E11</v>
      </c>
      <c r="F807" s="5" t="s">
        <v>2266</v>
      </c>
      <c r="G807" s="5" t="s">
        <v>18</v>
      </c>
      <c r="H807" s="5" t="s">
        <v>2187</v>
      </c>
      <c r="I807" s="5" t="s">
        <v>2188</v>
      </c>
      <c r="J807" s="5" t="s">
        <v>2189</v>
      </c>
    </row>
    <row r="808" ht="15.75" customHeight="1">
      <c r="A808" s="5">
        <v>807.0</v>
      </c>
      <c r="B808" s="5" t="s">
        <v>762</v>
      </c>
      <c r="C808" s="5" t="s">
        <v>134</v>
      </c>
      <c r="D808" s="5" t="s">
        <v>422</v>
      </c>
      <c r="E808" s="5">
        <v>5.70038355088E11</v>
      </c>
      <c r="F808" s="5" t="s">
        <v>2267</v>
      </c>
      <c r="G808" s="5" t="s">
        <v>121</v>
      </c>
      <c r="H808" s="5" t="s">
        <v>2187</v>
      </c>
      <c r="I808" s="5" t="s">
        <v>2188</v>
      </c>
      <c r="J808" s="5" t="s">
        <v>2189</v>
      </c>
    </row>
    <row r="809" ht="15.75" customHeight="1">
      <c r="A809" s="5">
        <v>808.0</v>
      </c>
      <c r="B809" s="5" t="s">
        <v>2268</v>
      </c>
      <c r="C809" s="5" t="s">
        <v>1065</v>
      </c>
      <c r="D809" s="5" t="s">
        <v>2269</v>
      </c>
      <c r="E809" s="5">
        <v>5.70038355089E11</v>
      </c>
      <c r="F809" s="5" t="s">
        <v>2270</v>
      </c>
      <c r="G809" s="5" t="s">
        <v>121</v>
      </c>
      <c r="H809" s="5" t="s">
        <v>2187</v>
      </c>
      <c r="I809" s="5" t="s">
        <v>2188</v>
      </c>
      <c r="J809" s="5" t="s">
        <v>2189</v>
      </c>
    </row>
    <row r="810" ht="15.75" customHeight="1">
      <c r="A810" s="5">
        <v>809.0</v>
      </c>
      <c r="B810" s="5" t="s">
        <v>2271</v>
      </c>
      <c r="C810" s="5" t="s">
        <v>1799</v>
      </c>
      <c r="D810" s="5" t="s">
        <v>478</v>
      </c>
      <c r="E810" s="5">
        <v>5.7003835509E11</v>
      </c>
      <c r="F810" s="5" t="s">
        <v>2272</v>
      </c>
      <c r="G810" s="5" t="s">
        <v>24</v>
      </c>
      <c r="H810" s="5" t="s">
        <v>2187</v>
      </c>
      <c r="I810" s="5" t="s">
        <v>2188</v>
      </c>
      <c r="J810" s="5" t="s">
        <v>2189</v>
      </c>
    </row>
    <row r="811" ht="15.75" customHeight="1">
      <c r="A811" s="5">
        <v>810.0</v>
      </c>
      <c r="B811" s="5" t="s">
        <v>2273</v>
      </c>
      <c r="C811" s="5" t="s">
        <v>2274</v>
      </c>
      <c r="D811" s="5" t="s">
        <v>2275</v>
      </c>
      <c r="E811" s="5">
        <v>5.70038355092E11</v>
      </c>
      <c r="F811" s="5" t="s">
        <v>2276</v>
      </c>
      <c r="G811" s="5" t="s">
        <v>18</v>
      </c>
      <c r="H811" s="5" t="s">
        <v>2187</v>
      </c>
      <c r="I811" s="5" t="s">
        <v>2188</v>
      </c>
      <c r="J811" s="5" t="s">
        <v>2189</v>
      </c>
    </row>
    <row r="812" ht="15.75" customHeight="1">
      <c r="A812" s="5">
        <v>811.0</v>
      </c>
      <c r="B812" s="5" t="s">
        <v>2277</v>
      </c>
      <c r="C812" s="5" t="s">
        <v>2278</v>
      </c>
      <c r="D812" s="5" t="s">
        <v>1094</v>
      </c>
      <c r="E812" s="5">
        <v>5.70038355093E11</v>
      </c>
      <c r="F812" s="5" t="s">
        <v>2279</v>
      </c>
      <c r="G812" s="5" t="s">
        <v>18</v>
      </c>
      <c r="H812" s="5" t="s">
        <v>2187</v>
      </c>
      <c r="I812" s="5" t="s">
        <v>2188</v>
      </c>
      <c r="J812" s="5" t="s">
        <v>2189</v>
      </c>
    </row>
    <row r="813" ht="15.75" customHeight="1">
      <c r="A813" s="5">
        <v>812.0</v>
      </c>
      <c r="B813" s="5" t="s">
        <v>2280</v>
      </c>
      <c r="C813" s="5" t="s">
        <v>2213</v>
      </c>
      <c r="D813" s="5" t="s">
        <v>2281</v>
      </c>
      <c r="E813" s="5">
        <v>5.70038355094E11</v>
      </c>
      <c r="F813" s="5" t="s">
        <v>2282</v>
      </c>
      <c r="G813" s="5" t="s">
        <v>24</v>
      </c>
      <c r="H813" s="5" t="s">
        <v>2187</v>
      </c>
      <c r="I813" s="5" t="s">
        <v>2188</v>
      </c>
      <c r="J813" s="5" t="s">
        <v>2189</v>
      </c>
    </row>
    <row r="814" ht="15.75" customHeight="1">
      <c r="A814" s="5">
        <v>813.0</v>
      </c>
      <c r="B814" s="5" t="s">
        <v>2283</v>
      </c>
      <c r="C814" s="5" t="s">
        <v>39</v>
      </c>
      <c r="D814" s="5" t="s">
        <v>1746</v>
      </c>
      <c r="E814" s="5">
        <v>5.70038355097E11</v>
      </c>
      <c r="F814" s="5" t="s">
        <v>2284</v>
      </c>
      <c r="G814" s="5" t="s">
        <v>24</v>
      </c>
      <c r="H814" s="5" t="s">
        <v>2187</v>
      </c>
      <c r="I814" s="5" t="s">
        <v>2188</v>
      </c>
      <c r="J814" s="5" t="s">
        <v>2189</v>
      </c>
    </row>
    <row r="815" ht="15.75" customHeight="1">
      <c r="A815" s="5">
        <v>814.0</v>
      </c>
      <c r="B815" s="5" t="s">
        <v>2285</v>
      </c>
      <c r="C815" s="5" t="s">
        <v>2286</v>
      </c>
      <c r="D815" s="5" t="s">
        <v>2287</v>
      </c>
      <c r="E815" s="5">
        <v>5.70038355101E11</v>
      </c>
      <c r="F815" s="5" t="s">
        <v>2288</v>
      </c>
      <c r="G815" s="5" t="s">
        <v>38</v>
      </c>
      <c r="H815" s="5" t="s">
        <v>2187</v>
      </c>
      <c r="I815" s="5" t="s">
        <v>2188</v>
      </c>
      <c r="J815" s="5" t="s">
        <v>2189</v>
      </c>
    </row>
    <row r="816" ht="15.75" customHeight="1">
      <c r="A816" s="5">
        <v>815.0</v>
      </c>
      <c r="B816" s="5" t="s">
        <v>2289</v>
      </c>
      <c r="C816" s="5" t="s">
        <v>942</v>
      </c>
      <c r="D816" s="5" t="s">
        <v>2290</v>
      </c>
      <c r="E816" s="5">
        <v>5.70038355102E11</v>
      </c>
      <c r="F816" s="5" t="s">
        <v>2291</v>
      </c>
      <c r="G816" s="5" t="s">
        <v>38</v>
      </c>
      <c r="H816" s="5" t="s">
        <v>2187</v>
      </c>
      <c r="I816" s="5" t="s">
        <v>2188</v>
      </c>
      <c r="J816" s="5" t="s">
        <v>2189</v>
      </c>
    </row>
    <row r="817" ht="15.75" customHeight="1">
      <c r="A817" s="5">
        <v>816.0</v>
      </c>
      <c r="B817" s="5" t="s">
        <v>2292</v>
      </c>
      <c r="C817" s="5" t="s">
        <v>2293</v>
      </c>
      <c r="D817" s="5" t="s">
        <v>2294</v>
      </c>
      <c r="E817" s="5">
        <v>5.70038355103E11</v>
      </c>
      <c r="F817" s="5" t="s">
        <v>2295</v>
      </c>
      <c r="G817" s="5" t="s">
        <v>18</v>
      </c>
      <c r="H817" s="5" t="s">
        <v>2187</v>
      </c>
      <c r="I817" s="5" t="s">
        <v>2188</v>
      </c>
      <c r="J817" s="5" t="s">
        <v>2189</v>
      </c>
    </row>
    <row r="818" ht="15.75" customHeight="1">
      <c r="A818" s="5">
        <v>817.0</v>
      </c>
      <c r="B818" s="5" t="s">
        <v>897</v>
      </c>
      <c r="C818" s="5" t="s">
        <v>2296</v>
      </c>
      <c r="D818" s="5" t="s">
        <v>2297</v>
      </c>
      <c r="E818" s="5">
        <v>5.70038355104E11</v>
      </c>
      <c r="F818" s="5" t="s">
        <v>2298</v>
      </c>
      <c r="G818" s="5" t="s">
        <v>38</v>
      </c>
      <c r="H818" s="5" t="s">
        <v>2187</v>
      </c>
      <c r="I818" s="5" t="s">
        <v>2188</v>
      </c>
      <c r="J818" s="5" t="s">
        <v>2189</v>
      </c>
    </row>
    <row r="819" ht="15.75" customHeight="1">
      <c r="A819" s="5">
        <v>818.0</v>
      </c>
      <c r="B819" s="5" t="s">
        <v>2299</v>
      </c>
      <c r="C819" s="5" t="s">
        <v>2300</v>
      </c>
      <c r="D819" s="5" t="s">
        <v>335</v>
      </c>
      <c r="E819" s="5">
        <v>5.70038355106E11</v>
      </c>
      <c r="F819" s="5" t="s">
        <v>2301</v>
      </c>
      <c r="G819" s="5" t="s">
        <v>38</v>
      </c>
      <c r="H819" s="5" t="s">
        <v>2187</v>
      </c>
      <c r="I819" s="5" t="s">
        <v>2188</v>
      </c>
      <c r="J819" s="5" t="s">
        <v>2189</v>
      </c>
    </row>
    <row r="820" ht="15.75" customHeight="1">
      <c r="A820" s="5">
        <v>819.0</v>
      </c>
      <c r="B820" s="5" t="s">
        <v>14</v>
      </c>
      <c r="C820" s="5" t="s">
        <v>2302</v>
      </c>
      <c r="D820" s="5" t="s">
        <v>478</v>
      </c>
      <c r="E820" s="5">
        <v>5.70038355108E11</v>
      </c>
      <c r="F820" s="5" t="s">
        <v>2303</v>
      </c>
      <c r="G820" s="5" t="s">
        <v>24</v>
      </c>
      <c r="H820" s="5" t="s">
        <v>2187</v>
      </c>
      <c r="I820" s="5" t="s">
        <v>2188</v>
      </c>
      <c r="J820" s="5" t="s">
        <v>2189</v>
      </c>
    </row>
    <row r="821" ht="15.75" customHeight="1">
      <c r="A821" s="5">
        <v>820.0</v>
      </c>
      <c r="B821" s="5" t="s">
        <v>852</v>
      </c>
      <c r="C821" s="5" t="s">
        <v>618</v>
      </c>
      <c r="D821" s="5" t="s">
        <v>576</v>
      </c>
      <c r="E821" s="5">
        <v>5.7003835511E11</v>
      </c>
      <c r="F821" s="5" t="s">
        <v>2304</v>
      </c>
      <c r="G821" s="5" t="s">
        <v>38</v>
      </c>
      <c r="H821" s="5" t="s">
        <v>2187</v>
      </c>
      <c r="I821" s="5" t="s">
        <v>2188</v>
      </c>
      <c r="J821" s="5" t="s">
        <v>2189</v>
      </c>
    </row>
    <row r="822" ht="15.75" customHeight="1">
      <c r="A822" s="5">
        <v>821.0</v>
      </c>
      <c r="B822" s="5" t="s">
        <v>1606</v>
      </c>
      <c r="C822" s="5" t="s">
        <v>2305</v>
      </c>
      <c r="D822" s="5" t="s">
        <v>1766</v>
      </c>
      <c r="E822" s="5">
        <v>5.70038355111E11</v>
      </c>
      <c r="F822" s="5" t="s">
        <v>2306</v>
      </c>
      <c r="G822" s="5" t="s">
        <v>24</v>
      </c>
      <c r="H822" s="5" t="s">
        <v>2187</v>
      </c>
      <c r="I822" s="5" t="s">
        <v>2188</v>
      </c>
      <c r="J822" s="5" t="s">
        <v>2189</v>
      </c>
    </row>
    <row r="823" ht="15.75" customHeight="1">
      <c r="A823" s="5">
        <v>822.0</v>
      </c>
      <c r="B823" s="5" t="s">
        <v>2307</v>
      </c>
      <c r="C823" s="5" t="s">
        <v>852</v>
      </c>
      <c r="D823" s="5" t="s">
        <v>255</v>
      </c>
      <c r="E823" s="5">
        <v>5.70038355112E11</v>
      </c>
      <c r="F823" s="5" t="s">
        <v>1411</v>
      </c>
      <c r="G823" s="5" t="s">
        <v>143</v>
      </c>
      <c r="H823" s="5" t="s">
        <v>2187</v>
      </c>
      <c r="I823" s="5" t="s">
        <v>2188</v>
      </c>
      <c r="J823" s="5" t="s">
        <v>2189</v>
      </c>
    </row>
    <row r="824" ht="15.75" customHeight="1">
      <c r="A824" s="5">
        <v>823.0</v>
      </c>
      <c r="B824" s="5" t="s">
        <v>2296</v>
      </c>
      <c r="C824" s="5" t="s">
        <v>521</v>
      </c>
      <c r="D824" s="5" t="s">
        <v>2308</v>
      </c>
      <c r="E824" s="5">
        <v>5.70038355114E11</v>
      </c>
      <c r="F824" s="5" t="s">
        <v>2309</v>
      </c>
      <c r="G824" s="5" t="s">
        <v>2310</v>
      </c>
      <c r="H824" s="5" t="s">
        <v>2187</v>
      </c>
      <c r="I824" s="5" t="s">
        <v>2188</v>
      </c>
      <c r="J824" s="5" t="s">
        <v>2189</v>
      </c>
    </row>
    <row r="825" ht="15.75" customHeight="1">
      <c r="A825" s="5">
        <v>824.0</v>
      </c>
      <c r="B825" s="5" t="s">
        <v>656</v>
      </c>
      <c r="C825" s="5" t="s">
        <v>612</v>
      </c>
      <c r="D825" s="5" t="s">
        <v>860</v>
      </c>
      <c r="E825" s="5">
        <v>5.70038355117E11</v>
      </c>
      <c r="F825" s="5" t="s">
        <v>2311</v>
      </c>
      <c r="G825" s="5" t="s">
        <v>18</v>
      </c>
      <c r="H825" s="5" t="s">
        <v>2187</v>
      </c>
      <c r="I825" s="5" t="s">
        <v>2188</v>
      </c>
      <c r="J825" s="5" t="s">
        <v>2189</v>
      </c>
    </row>
    <row r="826" ht="15.75" customHeight="1">
      <c r="A826" s="5">
        <v>825.0</v>
      </c>
      <c r="B826" s="5" t="s">
        <v>2312</v>
      </c>
      <c r="C826" s="5" t="s">
        <v>612</v>
      </c>
      <c r="D826" s="5" t="s">
        <v>2313</v>
      </c>
      <c r="E826" s="5">
        <v>5.7003835512E11</v>
      </c>
      <c r="F826" s="5" t="s">
        <v>2314</v>
      </c>
      <c r="G826" s="5" t="s">
        <v>18</v>
      </c>
      <c r="H826" s="5" t="s">
        <v>2187</v>
      </c>
      <c r="I826" s="5" t="s">
        <v>2188</v>
      </c>
      <c r="J826" s="5" t="s">
        <v>2189</v>
      </c>
    </row>
    <row r="827" ht="15.75" customHeight="1">
      <c r="A827" s="5">
        <v>826.0</v>
      </c>
      <c r="B827" s="5" t="s">
        <v>66</v>
      </c>
      <c r="C827" s="5" t="s">
        <v>1088</v>
      </c>
      <c r="D827" s="5" t="s">
        <v>2315</v>
      </c>
      <c r="E827" s="5">
        <v>5.70038355121E11</v>
      </c>
      <c r="F827" s="5" t="s">
        <v>2316</v>
      </c>
      <c r="G827" s="5" t="s">
        <v>18</v>
      </c>
      <c r="H827" s="5" t="s">
        <v>2187</v>
      </c>
      <c r="I827" s="5" t="s">
        <v>2188</v>
      </c>
      <c r="J827" s="5" t="s">
        <v>2189</v>
      </c>
    </row>
    <row r="828" ht="15.75" customHeight="1">
      <c r="A828" s="5">
        <v>827.0</v>
      </c>
      <c r="B828" s="5" t="s">
        <v>682</v>
      </c>
      <c r="C828" s="5" t="s">
        <v>2300</v>
      </c>
      <c r="D828" s="5" t="s">
        <v>335</v>
      </c>
      <c r="E828" s="5">
        <v>5.70038355123E11</v>
      </c>
      <c r="F828" s="5" t="s">
        <v>2317</v>
      </c>
      <c r="G828" s="5" t="s">
        <v>18</v>
      </c>
      <c r="H828" s="5" t="s">
        <v>2187</v>
      </c>
      <c r="I828" s="5" t="s">
        <v>2188</v>
      </c>
      <c r="J828" s="5" t="s">
        <v>2189</v>
      </c>
    </row>
    <row r="829" ht="15.75" customHeight="1">
      <c r="A829" s="5">
        <v>828.0</v>
      </c>
      <c r="B829" s="5" t="s">
        <v>2318</v>
      </c>
      <c r="C829" s="5" t="s">
        <v>2319</v>
      </c>
      <c r="D829" s="5" t="s">
        <v>273</v>
      </c>
      <c r="E829" s="5">
        <v>5.70038355127E11</v>
      </c>
      <c r="F829" s="5" t="s">
        <v>2320</v>
      </c>
      <c r="G829" s="5" t="s">
        <v>18</v>
      </c>
      <c r="H829" s="5" t="s">
        <v>2187</v>
      </c>
      <c r="I829" s="5" t="s">
        <v>2188</v>
      </c>
      <c r="J829" s="5" t="s">
        <v>2189</v>
      </c>
    </row>
    <row r="830" ht="15.75" customHeight="1">
      <c r="A830" s="5">
        <v>829.0</v>
      </c>
      <c r="B830" s="5" t="s">
        <v>1088</v>
      </c>
      <c r="C830" s="5" t="s">
        <v>586</v>
      </c>
      <c r="D830" s="5" t="s">
        <v>2321</v>
      </c>
      <c r="E830" s="5">
        <v>5.70038355128E11</v>
      </c>
      <c r="F830" s="5" t="s">
        <v>2322</v>
      </c>
      <c r="G830" s="5" t="s">
        <v>12</v>
      </c>
      <c r="H830" s="5" t="s">
        <v>2187</v>
      </c>
      <c r="I830" s="5" t="s">
        <v>2188</v>
      </c>
      <c r="J830" s="5" t="s">
        <v>2189</v>
      </c>
    </row>
    <row r="831" ht="15.75" customHeight="1">
      <c r="A831" s="5">
        <v>830.0</v>
      </c>
      <c r="B831" s="5" t="s">
        <v>2323</v>
      </c>
      <c r="C831" s="5" t="s">
        <v>2324</v>
      </c>
      <c r="D831" s="5" t="s">
        <v>2325</v>
      </c>
      <c r="E831" s="5">
        <v>5.70038355129E11</v>
      </c>
      <c r="F831" s="5" t="s">
        <v>2326</v>
      </c>
      <c r="G831" s="5" t="s">
        <v>2327</v>
      </c>
      <c r="H831" s="5" t="s">
        <v>2187</v>
      </c>
      <c r="I831" s="5" t="s">
        <v>2188</v>
      </c>
      <c r="J831" s="5" t="s">
        <v>2189</v>
      </c>
    </row>
    <row r="832" ht="15.75" customHeight="1">
      <c r="A832" s="5">
        <v>831.0</v>
      </c>
      <c r="B832" s="5" t="s">
        <v>2328</v>
      </c>
      <c r="C832" s="5" t="s">
        <v>2227</v>
      </c>
      <c r="D832" s="5" t="s">
        <v>2329</v>
      </c>
      <c r="E832" s="5">
        <v>5.70038355131E11</v>
      </c>
      <c r="F832" s="5" t="s">
        <v>2330</v>
      </c>
      <c r="G832" s="5" t="s">
        <v>38</v>
      </c>
      <c r="H832" s="5" t="s">
        <v>2187</v>
      </c>
      <c r="I832" s="5" t="s">
        <v>2188</v>
      </c>
      <c r="J832" s="5" t="s">
        <v>2189</v>
      </c>
    </row>
    <row r="833" ht="15.75" customHeight="1">
      <c r="A833" s="5">
        <v>832.0</v>
      </c>
      <c r="B833" s="5" t="s">
        <v>2241</v>
      </c>
      <c r="C833" s="5" t="s">
        <v>2286</v>
      </c>
      <c r="D833" s="5" t="s">
        <v>2331</v>
      </c>
      <c r="E833" s="5">
        <v>5.70038355133E11</v>
      </c>
      <c r="F833" s="5" t="s">
        <v>2332</v>
      </c>
      <c r="G833" s="5" t="s">
        <v>24</v>
      </c>
      <c r="H833" s="5" t="s">
        <v>2187</v>
      </c>
      <c r="I833" s="5" t="s">
        <v>2188</v>
      </c>
      <c r="J833" s="5" t="s">
        <v>2189</v>
      </c>
    </row>
    <row r="834" ht="15.75" customHeight="1">
      <c r="A834" s="5">
        <v>833.0</v>
      </c>
      <c r="B834" s="5" t="s">
        <v>1984</v>
      </c>
      <c r="C834" s="5" t="s">
        <v>2286</v>
      </c>
      <c r="D834" s="5" t="s">
        <v>2333</v>
      </c>
      <c r="E834" s="5">
        <v>5.70038355134E11</v>
      </c>
      <c r="F834" s="5" t="s">
        <v>2334</v>
      </c>
      <c r="G834" s="5" t="s">
        <v>18</v>
      </c>
      <c r="H834" s="5" t="s">
        <v>2187</v>
      </c>
      <c r="I834" s="5" t="s">
        <v>2188</v>
      </c>
      <c r="J834" s="5" t="s">
        <v>2189</v>
      </c>
    </row>
    <row r="835" ht="15.75" customHeight="1">
      <c r="A835" s="5">
        <v>834.0</v>
      </c>
      <c r="B835" s="5" t="s">
        <v>2335</v>
      </c>
      <c r="C835" s="5" t="s">
        <v>2286</v>
      </c>
      <c r="D835" s="5" t="s">
        <v>955</v>
      </c>
      <c r="E835" s="5">
        <v>5.70038355135E11</v>
      </c>
      <c r="F835" s="5" t="s">
        <v>2336</v>
      </c>
      <c r="G835" s="5" t="s">
        <v>18</v>
      </c>
      <c r="H835" s="5" t="s">
        <v>2187</v>
      </c>
      <c r="I835" s="5" t="s">
        <v>2188</v>
      </c>
      <c r="J835" s="5" t="s">
        <v>2189</v>
      </c>
    </row>
    <row r="836" ht="15.75" customHeight="1">
      <c r="A836" s="5">
        <v>835.0</v>
      </c>
      <c r="B836" s="5" t="s">
        <v>815</v>
      </c>
      <c r="C836" s="5" t="s">
        <v>1758</v>
      </c>
      <c r="D836" s="5" t="s">
        <v>2333</v>
      </c>
      <c r="E836" s="5">
        <v>5.70038355136E11</v>
      </c>
      <c r="F836" s="5" t="s">
        <v>2337</v>
      </c>
      <c r="G836" s="5" t="s">
        <v>18</v>
      </c>
      <c r="H836" s="5" t="s">
        <v>2187</v>
      </c>
      <c r="I836" s="5" t="s">
        <v>2188</v>
      </c>
      <c r="J836" s="5" t="s">
        <v>2189</v>
      </c>
    </row>
    <row r="837" ht="15.75" customHeight="1">
      <c r="A837" s="5">
        <v>836.0</v>
      </c>
      <c r="B837" s="5" t="s">
        <v>459</v>
      </c>
      <c r="C837" s="5" t="s">
        <v>2213</v>
      </c>
      <c r="D837" s="5" t="s">
        <v>1260</v>
      </c>
      <c r="E837" s="5">
        <v>5.70038355137E11</v>
      </c>
      <c r="F837" s="5" t="s">
        <v>2338</v>
      </c>
      <c r="G837" s="5" t="s">
        <v>24</v>
      </c>
      <c r="H837" s="5" t="s">
        <v>2187</v>
      </c>
      <c r="I837" s="5" t="s">
        <v>2188</v>
      </c>
      <c r="J837" s="5" t="s">
        <v>2189</v>
      </c>
    </row>
    <row r="838" ht="15.75" customHeight="1">
      <c r="A838" s="5">
        <v>837.0</v>
      </c>
      <c r="B838" s="5" t="s">
        <v>2339</v>
      </c>
      <c r="C838" s="5" t="s">
        <v>2340</v>
      </c>
      <c r="D838" s="5" t="s">
        <v>1094</v>
      </c>
      <c r="E838" s="5">
        <v>5.70038355138E11</v>
      </c>
      <c r="F838" s="5" t="s">
        <v>2341</v>
      </c>
      <c r="G838" s="5" t="s">
        <v>24</v>
      </c>
      <c r="H838" s="5" t="s">
        <v>2187</v>
      </c>
      <c r="I838" s="5" t="s">
        <v>2188</v>
      </c>
      <c r="J838" s="5" t="s">
        <v>2189</v>
      </c>
    </row>
    <row r="839" ht="15.75" customHeight="1">
      <c r="A839" s="5">
        <v>838.0</v>
      </c>
      <c r="B839" s="5" t="s">
        <v>2342</v>
      </c>
      <c r="C839" s="5" t="s">
        <v>2343</v>
      </c>
      <c r="D839" s="5" t="s">
        <v>2344</v>
      </c>
      <c r="E839" s="5">
        <v>5.70038355139E11</v>
      </c>
      <c r="F839" s="5" t="s">
        <v>2345</v>
      </c>
      <c r="G839" s="5" t="s">
        <v>38</v>
      </c>
      <c r="H839" s="5" t="s">
        <v>2187</v>
      </c>
      <c r="I839" s="5" t="s">
        <v>2188</v>
      </c>
      <c r="J839" s="5" t="s">
        <v>2189</v>
      </c>
    </row>
    <row r="840" ht="15.75" customHeight="1">
      <c r="A840" s="5">
        <v>839.0</v>
      </c>
      <c r="B840" s="5" t="s">
        <v>2346</v>
      </c>
      <c r="C840" s="5" t="s">
        <v>2347</v>
      </c>
      <c r="D840" s="5" t="s">
        <v>536</v>
      </c>
      <c r="E840" s="5">
        <v>5.7003835514E11</v>
      </c>
      <c r="F840" s="5" t="s">
        <v>2348</v>
      </c>
      <c r="G840" s="5" t="s">
        <v>38</v>
      </c>
      <c r="H840" s="5" t="s">
        <v>2187</v>
      </c>
      <c r="I840" s="5" t="s">
        <v>2188</v>
      </c>
      <c r="J840" s="5" t="s">
        <v>2189</v>
      </c>
    </row>
    <row r="841" ht="15.75" customHeight="1">
      <c r="A841" s="5">
        <v>840.0</v>
      </c>
      <c r="B841" s="5" t="s">
        <v>195</v>
      </c>
      <c r="C841" s="5" t="s">
        <v>2349</v>
      </c>
      <c r="D841" s="5" t="s">
        <v>2350</v>
      </c>
      <c r="E841" s="5">
        <v>5.70038355148E11</v>
      </c>
      <c r="F841" s="5" t="s">
        <v>2351</v>
      </c>
      <c r="G841" s="5" t="s">
        <v>24</v>
      </c>
      <c r="H841" s="5" t="s">
        <v>2187</v>
      </c>
      <c r="I841" s="5" t="s">
        <v>2188</v>
      </c>
      <c r="J841" s="5" t="s">
        <v>2189</v>
      </c>
    </row>
    <row r="842" ht="15.75" customHeight="1">
      <c r="A842" s="5">
        <v>841.0</v>
      </c>
      <c r="B842" s="5" t="s">
        <v>2352</v>
      </c>
      <c r="C842" s="5" t="s">
        <v>2353</v>
      </c>
      <c r="D842" s="5" t="s">
        <v>2354</v>
      </c>
      <c r="E842" s="5">
        <v>5.70038355153E11</v>
      </c>
      <c r="F842" s="5" t="s">
        <v>2355</v>
      </c>
      <c r="G842" s="5" t="s">
        <v>47</v>
      </c>
      <c r="H842" s="5" t="s">
        <v>2187</v>
      </c>
      <c r="I842" s="5" t="s">
        <v>2188</v>
      </c>
      <c r="J842" s="5" t="s">
        <v>2189</v>
      </c>
    </row>
    <row r="843" ht="15.75" customHeight="1">
      <c r="A843" s="5">
        <v>842.0</v>
      </c>
      <c r="B843" s="5" t="s">
        <v>407</v>
      </c>
      <c r="C843" s="5" t="s">
        <v>666</v>
      </c>
      <c r="D843" s="5" t="s">
        <v>335</v>
      </c>
      <c r="E843" s="5">
        <v>5.70038355157E11</v>
      </c>
      <c r="F843" s="5" t="s">
        <v>2356</v>
      </c>
      <c r="G843" s="5" t="s">
        <v>24</v>
      </c>
      <c r="H843" s="5" t="s">
        <v>2187</v>
      </c>
      <c r="I843" s="5" t="s">
        <v>2188</v>
      </c>
      <c r="J843" s="5" t="s">
        <v>2189</v>
      </c>
    </row>
    <row r="844" ht="15.75" customHeight="1">
      <c r="A844" s="5">
        <v>843.0</v>
      </c>
      <c r="B844" s="5" t="s">
        <v>981</v>
      </c>
      <c r="C844" s="5" t="s">
        <v>2357</v>
      </c>
      <c r="D844" s="5" t="s">
        <v>10</v>
      </c>
      <c r="E844" s="5">
        <v>5.70038355162E11</v>
      </c>
      <c r="F844" s="5" t="s">
        <v>2358</v>
      </c>
      <c r="G844" s="5" t="s">
        <v>24</v>
      </c>
      <c r="H844" s="5" t="s">
        <v>2187</v>
      </c>
      <c r="I844" s="5" t="s">
        <v>2188</v>
      </c>
      <c r="J844" s="5" t="s">
        <v>2189</v>
      </c>
    </row>
    <row r="845" ht="15.75" customHeight="1">
      <c r="A845" s="5">
        <v>844.0</v>
      </c>
      <c r="B845" s="5" t="s">
        <v>559</v>
      </c>
      <c r="C845" s="5" t="s">
        <v>2357</v>
      </c>
      <c r="D845" s="5" t="s">
        <v>10</v>
      </c>
      <c r="E845" s="5">
        <v>5.70038355165E11</v>
      </c>
      <c r="F845" s="5" t="s">
        <v>2359</v>
      </c>
      <c r="G845" s="5" t="s">
        <v>24</v>
      </c>
      <c r="H845" s="5" t="s">
        <v>2187</v>
      </c>
      <c r="I845" s="5" t="s">
        <v>2188</v>
      </c>
      <c r="J845" s="5" t="s">
        <v>2189</v>
      </c>
    </row>
    <row r="846" ht="15.75" customHeight="1">
      <c r="A846" s="5">
        <v>845.0</v>
      </c>
      <c r="B846" s="5" t="s">
        <v>2360</v>
      </c>
      <c r="C846" s="5" t="s">
        <v>2361</v>
      </c>
      <c r="D846" s="5" t="s">
        <v>10</v>
      </c>
      <c r="E846" s="5">
        <v>5.70038355167E11</v>
      </c>
      <c r="F846" s="5" t="s">
        <v>2362</v>
      </c>
      <c r="G846" s="5" t="s">
        <v>24</v>
      </c>
      <c r="H846" s="5" t="s">
        <v>2187</v>
      </c>
      <c r="I846" s="5" t="s">
        <v>2188</v>
      </c>
      <c r="J846" s="5" t="s">
        <v>2189</v>
      </c>
    </row>
    <row r="847" ht="15.75" customHeight="1">
      <c r="A847" s="5">
        <v>846.0</v>
      </c>
      <c r="B847" s="5" t="s">
        <v>251</v>
      </c>
      <c r="C847" s="5" t="s">
        <v>2360</v>
      </c>
      <c r="D847" s="5" t="s">
        <v>2363</v>
      </c>
      <c r="E847" s="5">
        <v>5.70038355168E11</v>
      </c>
      <c r="F847" s="5" t="s">
        <v>2364</v>
      </c>
      <c r="G847" s="5" t="s">
        <v>38</v>
      </c>
      <c r="H847" s="5" t="s">
        <v>2187</v>
      </c>
      <c r="I847" s="5" t="s">
        <v>2188</v>
      </c>
      <c r="J847" s="5" t="s">
        <v>2189</v>
      </c>
    </row>
    <row r="848" ht="15.75" customHeight="1">
      <c r="A848" s="5">
        <v>847.0</v>
      </c>
      <c r="B848" s="5" t="s">
        <v>25</v>
      </c>
      <c r="C848" s="5" t="s">
        <v>2360</v>
      </c>
      <c r="D848" s="5" t="s">
        <v>2363</v>
      </c>
      <c r="E848" s="5">
        <v>5.70038355171E11</v>
      </c>
      <c r="F848" s="5" t="s">
        <v>1803</v>
      </c>
      <c r="G848" s="5" t="s">
        <v>24</v>
      </c>
      <c r="H848" s="5" t="s">
        <v>2187</v>
      </c>
      <c r="I848" s="5" t="s">
        <v>2188</v>
      </c>
      <c r="J848" s="5" t="s">
        <v>2189</v>
      </c>
    </row>
    <row r="849" ht="15.75" customHeight="1">
      <c r="A849" s="5">
        <v>848.0</v>
      </c>
      <c r="B849" s="5" t="s">
        <v>2365</v>
      </c>
      <c r="C849" s="5" t="s">
        <v>2360</v>
      </c>
      <c r="D849" s="5" t="s">
        <v>2366</v>
      </c>
      <c r="E849" s="5">
        <v>5.70038355172E11</v>
      </c>
      <c r="F849" s="5" t="s">
        <v>2367</v>
      </c>
      <c r="G849" s="5" t="s">
        <v>24</v>
      </c>
      <c r="H849" s="5" t="s">
        <v>2187</v>
      </c>
      <c r="I849" s="5" t="s">
        <v>2188</v>
      </c>
      <c r="J849" s="5" t="s">
        <v>2189</v>
      </c>
    </row>
    <row r="850" ht="15.75" customHeight="1">
      <c r="A850" s="5">
        <v>849.0</v>
      </c>
      <c r="B850" s="5" t="s">
        <v>2268</v>
      </c>
      <c r="C850" s="5" t="s">
        <v>2360</v>
      </c>
      <c r="D850" s="5" t="s">
        <v>2363</v>
      </c>
      <c r="E850" s="5">
        <v>5.70038355173E11</v>
      </c>
      <c r="F850" s="5" t="s">
        <v>2368</v>
      </c>
      <c r="G850" s="5" t="s">
        <v>24</v>
      </c>
      <c r="H850" s="5" t="s">
        <v>2187</v>
      </c>
      <c r="I850" s="5" t="s">
        <v>2188</v>
      </c>
      <c r="J850" s="5" t="s">
        <v>2189</v>
      </c>
    </row>
    <row r="851" ht="15.75" customHeight="1">
      <c r="A851" s="5">
        <v>850.0</v>
      </c>
      <c r="B851" s="5" t="s">
        <v>2369</v>
      </c>
      <c r="C851" s="5" t="s">
        <v>586</v>
      </c>
      <c r="D851" s="5" t="s">
        <v>2370</v>
      </c>
      <c r="E851" s="5">
        <v>5.70038355178E11</v>
      </c>
      <c r="F851" s="5" t="s">
        <v>2371</v>
      </c>
      <c r="G851" s="5" t="s">
        <v>24</v>
      </c>
      <c r="H851" s="5" t="s">
        <v>2187</v>
      </c>
      <c r="I851" s="5" t="s">
        <v>2188</v>
      </c>
      <c r="J851" s="5" t="s">
        <v>2189</v>
      </c>
    </row>
    <row r="852" ht="15.75" customHeight="1">
      <c r="A852" s="5">
        <v>851.0</v>
      </c>
      <c r="B852" s="5" t="s">
        <v>2372</v>
      </c>
      <c r="C852" s="5" t="s">
        <v>2286</v>
      </c>
      <c r="D852" s="5" t="s">
        <v>955</v>
      </c>
      <c r="E852" s="5">
        <v>5.70038355179E11</v>
      </c>
      <c r="F852" s="5" t="s">
        <v>284</v>
      </c>
      <c r="G852" s="5" t="s">
        <v>24</v>
      </c>
      <c r="H852" s="5" t="s">
        <v>2187</v>
      </c>
      <c r="I852" s="5" t="s">
        <v>2188</v>
      </c>
      <c r="J852" s="5" t="s">
        <v>2189</v>
      </c>
    </row>
    <row r="853" ht="15.75" customHeight="1">
      <c r="A853" s="5">
        <v>852.0</v>
      </c>
      <c r="B853" s="5" t="s">
        <v>2373</v>
      </c>
      <c r="C853" s="5" t="s">
        <v>2374</v>
      </c>
      <c r="D853" s="5" t="s">
        <v>2375</v>
      </c>
      <c r="E853" s="5">
        <v>5.7003835518E11</v>
      </c>
      <c r="F853" s="5" t="s">
        <v>2376</v>
      </c>
      <c r="G853" s="5" t="s">
        <v>18</v>
      </c>
      <c r="H853" s="5" t="s">
        <v>2187</v>
      </c>
      <c r="I853" s="5" t="s">
        <v>2188</v>
      </c>
      <c r="J853" s="5" t="s">
        <v>2189</v>
      </c>
    </row>
    <row r="854" ht="15.75" customHeight="1">
      <c r="A854" s="5">
        <v>853.0</v>
      </c>
      <c r="B854" s="5" t="s">
        <v>1478</v>
      </c>
      <c r="C854" s="5" t="s">
        <v>2377</v>
      </c>
      <c r="D854" s="5" t="s">
        <v>478</v>
      </c>
      <c r="E854" s="5">
        <v>5.70038355181E11</v>
      </c>
      <c r="F854" s="5" t="s">
        <v>2378</v>
      </c>
      <c r="G854" s="5" t="s">
        <v>18</v>
      </c>
      <c r="H854" s="5" t="s">
        <v>2187</v>
      </c>
      <c r="I854" s="5" t="s">
        <v>2188</v>
      </c>
      <c r="J854" s="5" t="s">
        <v>2189</v>
      </c>
    </row>
    <row r="855" ht="15.75" customHeight="1">
      <c r="A855" s="5">
        <v>854.0</v>
      </c>
      <c r="B855" s="5" t="s">
        <v>2379</v>
      </c>
      <c r="C855" s="5" t="s">
        <v>1810</v>
      </c>
      <c r="D855" s="5" t="s">
        <v>2380</v>
      </c>
      <c r="E855" s="5">
        <v>5.70038355182E11</v>
      </c>
      <c r="F855" s="5" t="s">
        <v>2381</v>
      </c>
      <c r="G855" s="5" t="s">
        <v>12</v>
      </c>
      <c r="H855" s="5" t="s">
        <v>2187</v>
      </c>
      <c r="I855" s="5" t="s">
        <v>2188</v>
      </c>
      <c r="J855" s="5" t="s">
        <v>2189</v>
      </c>
    </row>
    <row r="856" ht="15.75" customHeight="1">
      <c r="A856" s="5">
        <v>855.0</v>
      </c>
      <c r="B856" s="5" t="s">
        <v>2382</v>
      </c>
      <c r="C856" s="5" t="s">
        <v>2227</v>
      </c>
      <c r="D856" s="5" t="s">
        <v>2383</v>
      </c>
      <c r="E856" s="5">
        <v>5.70038355184E11</v>
      </c>
      <c r="F856" s="5" t="s">
        <v>2384</v>
      </c>
      <c r="G856" s="5" t="s">
        <v>38</v>
      </c>
      <c r="H856" s="5" t="s">
        <v>2187</v>
      </c>
      <c r="I856" s="5" t="s">
        <v>2188</v>
      </c>
      <c r="J856" s="5" t="s">
        <v>2189</v>
      </c>
    </row>
    <row r="857" ht="15.75" customHeight="1">
      <c r="A857" s="5">
        <v>856.0</v>
      </c>
      <c r="B857" s="5" t="s">
        <v>2385</v>
      </c>
      <c r="C857" s="5" t="s">
        <v>2386</v>
      </c>
      <c r="D857" s="5" t="s">
        <v>1876</v>
      </c>
      <c r="E857" s="5">
        <v>5.70038355191E11</v>
      </c>
      <c r="F857" s="5" t="s">
        <v>2387</v>
      </c>
      <c r="G857" s="5" t="s">
        <v>2327</v>
      </c>
      <c r="H857" s="5" t="s">
        <v>2187</v>
      </c>
      <c r="I857" s="5" t="s">
        <v>2188</v>
      </c>
      <c r="J857" s="5" t="s">
        <v>2189</v>
      </c>
    </row>
    <row r="858" ht="15.75" customHeight="1">
      <c r="A858" s="5">
        <v>857.0</v>
      </c>
      <c r="B858" s="5" t="s">
        <v>2388</v>
      </c>
      <c r="C858" s="5" t="s">
        <v>2389</v>
      </c>
      <c r="D858" s="5" t="s">
        <v>2390</v>
      </c>
      <c r="E858" s="5">
        <v>5.70038355192E11</v>
      </c>
      <c r="F858" s="5" t="s">
        <v>2177</v>
      </c>
      <c r="G858" s="5" t="s">
        <v>24</v>
      </c>
      <c r="H858" s="5" t="s">
        <v>2187</v>
      </c>
      <c r="I858" s="5" t="s">
        <v>2188</v>
      </c>
      <c r="J858" s="5" t="s">
        <v>2189</v>
      </c>
    </row>
    <row r="859" ht="15.75" customHeight="1">
      <c r="A859" s="5">
        <v>858.0</v>
      </c>
      <c r="B859" s="5" t="s">
        <v>542</v>
      </c>
      <c r="C859" s="5" t="s">
        <v>2391</v>
      </c>
      <c r="D859" s="5" t="s">
        <v>62</v>
      </c>
      <c r="E859" s="5">
        <v>5.70038355196E11</v>
      </c>
      <c r="F859" s="5" t="s">
        <v>2392</v>
      </c>
      <c r="G859" s="5" t="s">
        <v>24</v>
      </c>
      <c r="H859" s="5" t="s">
        <v>2187</v>
      </c>
      <c r="I859" s="5" t="s">
        <v>2188</v>
      </c>
      <c r="J859" s="5" t="s">
        <v>2189</v>
      </c>
    </row>
    <row r="860" ht="15.75" customHeight="1">
      <c r="A860" s="5">
        <v>859.0</v>
      </c>
      <c r="B860" s="5" t="s">
        <v>323</v>
      </c>
      <c r="C860" s="5" t="s">
        <v>2391</v>
      </c>
      <c r="D860" s="5" t="s">
        <v>62</v>
      </c>
      <c r="E860" s="5">
        <v>5.70038355199E11</v>
      </c>
      <c r="F860" s="5" t="s">
        <v>2393</v>
      </c>
      <c r="G860" s="5" t="s">
        <v>24</v>
      </c>
      <c r="H860" s="5" t="s">
        <v>2187</v>
      </c>
      <c r="I860" s="5" t="s">
        <v>2188</v>
      </c>
      <c r="J860" s="5" t="s">
        <v>2189</v>
      </c>
    </row>
    <row r="861" ht="15.75" customHeight="1">
      <c r="A861" s="5">
        <v>860.0</v>
      </c>
      <c r="B861" s="5" t="s">
        <v>1373</v>
      </c>
      <c r="C861" s="5" t="s">
        <v>2286</v>
      </c>
      <c r="D861" s="5" t="s">
        <v>2394</v>
      </c>
      <c r="E861" s="5">
        <v>5.70038355207E11</v>
      </c>
      <c r="F861" s="5" t="s">
        <v>2395</v>
      </c>
      <c r="G861" s="5" t="s">
        <v>24</v>
      </c>
      <c r="H861" s="5" t="s">
        <v>2187</v>
      </c>
      <c r="I861" s="5" t="s">
        <v>2188</v>
      </c>
      <c r="J861" s="5" t="s">
        <v>2189</v>
      </c>
    </row>
    <row r="862" ht="15.75" customHeight="1">
      <c r="A862" s="5">
        <v>861.0</v>
      </c>
      <c r="B862" s="5" t="s">
        <v>2396</v>
      </c>
      <c r="C862" s="5" t="s">
        <v>2397</v>
      </c>
      <c r="D862" s="5" t="s">
        <v>2398</v>
      </c>
      <c r="E862" s="5">
        <v>5.70038355208E11</v>
      </c>
      <c r="F862" s="5" t="s">
        <v>200</v>
      </c>
      <c r="G862" s="5" t="s">
        <v>38</v>
      </c>
      <c r="H862" s="5" t="s">
        <v>2187</v>
      </c>
      <c r="I862" s="5" t="s">
        <v>2188</v>
      </c>
      <c r="J862" s="5" t="s">
        <v>2189</v>
      </c>
    </row>
    <row r="863" ht="15.75" customHeight="1">
      <c r="A863" s="5">
        <v>862.0</v>
      </c>
      <c r="B863" s="5" t="s">
        <v>2399</v>
      </c>
      <c r="C863" s="5" t="s">
        <v>2400</v>
      </c>
      <c r="D863" s="5" t="s">
        <v>2398</v>
      </c>
      <c r="E863" s="5">
        <v>5.70038355209E11</v>
      </c>
      <c r="F863" s="5" t="s">
        <v>2401</v>
      </c>
      <c r="G863" s="5" t="s">
        <v>24</v>
      </c>
      <c r="H863" s="5" t="s">
        <v>2187</v>
      </c>
      <c r="I863" s="5" t="s">
        <v>2188</v>
      </c>
      <c r="J863" s="5" t="s">
        <v>2189</v>
      </c>
    </row>
    <row r="864" ht="15.75" customHeight="1">
      <c r="A864" s="5">
        <v>863.0</v>
      </c>
      <c r="B864" s="5" t="s">
        <v>2402</v>
      </c>
      <c r="C864" s="5" t="s">
        <v>2397</v>
      </c>
      <c r="D864" s="5" t="s">
        <v>2398</v>
      </c>
      <c r="E864" s="5">
        <v>5.7003835521E11</v>
      </c>
      <c r="F864" s="5" t="s">
        <v>2403</v>
      </c>
      <c r="G864" s="5" t="s">
        <v>24</v>
      </c>
      <c r="H864" s="5" t="s">
        <v>2187</v>
      </c>
      <c r="I864" s="5" t="s">
        <v>2188</v>
      </c>
      <c r="J864" s="5" t="s">
        <v>2189</v>
      </c>
    </row>
    <row r="865" ht="15.75" customHeight="1">
      <c r="A865" s="5">
        <v>864.0</v>
      </c>
      <c r="B865" s="5" t="s">
        <v>315</v>
      </c>
      <c r="C865" s="5" t="s">
        <v>542</v>
      </c>
      <c r="D865" s="5" t="s">
        <v>2225</v>
      </c>
      <c r="E865" s="5">
        <v>5.70038355213E11</v>
      </c>
      <c r="F865" s="5" t="s">
        <v>2404</v>
      </c>
      <c r="G865" s="5" t="s">
        <v>38</v>
      </c>
      <c r="H865" s="5" t="s">
        <v>2187</v>
      </c>
      <c r="I865" s="5" t="s">
        <v>2188</v>
      </c>
      <c r="J865" s="5" t="s">
        <v>2189</v>
      </c>
    </row>
    <row r="866" ht="15.75" customHeight="1">
      <c r="A866" s="5">
        <v>865.0</v>
      </c>
      <c r="B866" s="5" t="s">
        <v>2405</v>
      </c>
      <c r="C866" s="5" t="s">
        <v>2406</v>
      </c>
      <c r="D866" s="5" t="s">
        <v>10</v>
      </c>
      <c r="E866" s="5">
        <v>5.70038355216E11</v>
      </c>
      <c r="F866" s="5" t="s">
        <v>2407</v>
      </c>
      <c r="G866" s="5" t="s">
        <v>12</v>
      </c>
      <c r="H866" s="5" t="s">
        <v>2187</v>
      </c>
      <c r="I866" s="5" t="s">
        <v>2188</v>
      </c>
      <c r="J866" s="5" t="s">
        <v>2189</v>
      </c>
    </row>
    <row r="867" ht="15.75" customHeight="1">
      <c r="A867" s="5">
        <v>866.0</v>
      </c>
      <c r="B867" s="5" t="s">
        <v>2408</v>
      </c>
      <c r="C867" s="5" t="s">
        <v>1228</v>
      </c>
      <c r="D867" s="5" t="s">
        <v>2409</v>
      </c>
      <c r="E867" s="5">
        <v>5.70038355217E11</v>
      </c>
      <c r="F867" s="5" t="s">
        <v>2410</v>
      </c>
      <c r="G867" s="5" t="s">
        <v>24</v>
      </c>
      <c r="H867" s="5" t="s">
        <v>2187</v>
      </c>
      <c r="I867" s="5" t="s">
        <v>2188</v>
      </c>
      <c r="J867" s="5" t="s">
        <v>2189</v>
      </c>
    </row>
    <row r="868" ht="15.75" customHeight="1">
      <c r="A868" s="5">
        <v>867.0</v>
      </c>
      <c r="B868" s="5" t="s">
        <v>367</v>
      </c>
      <c r="C868" s="5" t="s">
        <v>254</v>
      </c>
      <c r="D868" s="5" t="s">
        <v>2411</v>
      </c>
      <c r="E868" s="5">
        <v>5.70038355219E11</v>
      </c>
      <c r="F868" s="5" t="s">
        <v>2412</v>
      </c>
      <c r="G868" s="5" t="s">
        <v>38</v>
      </c>
      <c r="H868" s="5" t="s">
        <v>2187</v>
      </c>
      <c r="I868" s="5" t="s">
        <v>2188</v>
      </c>
      <c r="J868" s="5" t="s">
        <v>2189</v>
      </c>
    </row>
    <row r="869" ht="15.75" customHeight="1">
      <c r="A869" s="5">
        <v>868.0</v>
      </c>
      <c r="B869" s="5" t="s">
        <v>2413</v>
      </c>
      <c r="C869" s="5" t="s">
        <v>2414</v>
      </c>
      <c r="D869" s="5" t="s">
        <v>610</v>
      </c>
      <c r="E869" s="5">
        <v>5.7003835522E11</v>
      </c>
      <c r="F869" s="5" t="s">
        <v>2415</v>
      </c>
      <c r="G869" s="5" t="s">
        <v>38</v>
      </c>
      <c r="H869" s="5" t="s">
        <v>2187</v>
      </c>
      <c r="I869" s="5" t="s">
        <v>2188</v>
      </c>
      <c r="J869" s="5" t="s">
        <v>2189</v>
      </c>
    </row>
    <row r="870" ht="15.75" customHeight="1">
      <c r="A870" s="5">
        <v>869.0</v>
      </c>
      <c r="B870" s="5" t="s">
        <v>2416</v>
      </c>
      <c r="C870" s="5" t="s">
        <v>323</v>
      </c>
      <c r="D870" s="5" t="s">
        <v>196</v>
      </c>
      <c r="E870" s="5">
        <v>5.70038355222E11</v>
      </c>
      <c r="F870" s="5" t="s">
        <v>2417</v>
      </c>
      <c r="G870" s="5" t="s">
        <v>38</v>
      </c>
      <c r="H870" s="5" t="s">
        <v>2187</v>
      </c>
      <c r="I870" s="5" t="s">
        <v>2188</v>
      </c>
      <c r="J870" s="5" t="s">
        <v>2189</v>
      </c>
    </row>
    <row r="871" ht="15.75" customHeight="1">
      <c r="A871" s="5">
        <v>870.0</v>
      </c>
      <c r="B871" s="5" t="s">
        <v>2418</v>
      </c>
      <c r="C871" s="5" t="s">
        <v>2419</v>
      </c>
      <c r="D871" s="5" t="s">
        <v>1918</v>
      </c>
      <c r="E871" s="5">
        <v>5.70038355227E11</v>
      </c>
      <c r="F871" s="5" t="s">
        <v>1981</v>
      </c>
      <c r="G871" s="5" t="s">
        <v>143</v>
      </c>
      <c r="H871" s="5" t="s">
        <v>2187</v>
      </c>
      <c r="I871" s="5" t="s">
        <v>2188</v>
      </c>
      <c r="J871" s="5" t="s">
        <v>2189</v>
      </c>
    </row>
    <row r="872" ht="15.75" customHeight="1">
      <c r="A872" s="5">
        <v>871.0</v>
      </c>
      <c r="B872" s="5" t="s">
        <v>2420</v>
      </c>
      <c r="C872" s="5" t="s">
        <v>1468</v>
      </c>
      <c r="D872" s="5" t="s">
        <v>2421</v>
      </c>
      <c r="E872" s="5">
        <v>5.70038355229E11</v>
      </c>
      <c r="F872" s="5" t="s">
        <v>2422</v>
      </c>
      <c r="G872" s="5" t="s">
        <v>121</v>
      </c>
      <c r="H872" s="5" t="s">
        <v>2187</v>
      </c>
      <c r="I872" s="5" t="s">
        <v>2188</v>
      </c>
      <c r="J872" s="5" t="s">
        <v>2189</v>
      </c>
    </row>
    <row r="873" ht="15.75" customHeight="1">
      <c r="A873" s="5">
        <v>872.0</v>
      </c>
      <c r="B873" s="5" t="s">
        <v>2423</v>
      </c>
      <c r="C873" s="5" t="s">
        <v>2424</v>
      </c>
      <c r="D873" s="5" t="s">
        <v>1448</v>
      </c>
      <c r="E873" s="5">
        <v>5.7003835523E11</v>
      </c>
      <c r="F873" s="5" t="s">
        <v>2425</v>
      </c>
      <c r="G873" s="5" t="s">
        <v>24</v>
      </c>
      <c r="H873" s="5" t="s">
        <v>2187</v>
      </c>
      <c r="I873" s="5" t="s">
        <v>2188</v>
      </c>
      <c r="J873" s="5" t="s">
        <v>2189</v>
      </c>
    </row>
    <row r="874" ht="15.75" customHeight="1">
      <c r="A874" s="5">
        <v>873.0</v>
      </c>
      <c r="B874" s="5" t="s">
        <v>1065</v>
      </c>
      <c r="C874" s="5" t="s">
        <v>2424</v>
      </c>
      <c r="D874" s="5" t="s">
        <v>1448</v>
      </c>
      <c r="E874" s="5">
        <v>5.70038355231E11</v>
      </c>
      <c r="F874" s="5" t="s">
        <v>50</v>
      </c>
      <c r="G874" s="5" t="s">
        <v>24</v>
      </c>
      <c r="H874" s="5" t="s">
        <v>2187</v>
      </c>
      <c r="I874" s="5" t="s">
        <v>2188</v>
      </c>
      <c r="J874" s="5" t="s">
        <v>2189</v>
      </c>
    </row>
    <row r="875" ht="15.75" customHeight="1">
      <c r="A875" s="5">
        <v>874.0</v>
      </c>
      <c r="B875" s="5" t="s">
        <v>2426</v>
      </c>
      <c r="C875" s="5" t="s">
        <v>2427</v>
      </c>
      <c r="D875" s="5" t="s">
        <v>2428</v>
      </c>
      <c r="E875" s="5">
        <v>5.70038355232E11</v>
      </c>
      <c r="F875" s="5" t="s">
        <v>2429</v>
      </c>
      <c r="G875" s="5" t="s">
        <v>24</v>
      </c>
      <c r="H875" s="5" t="s">
        <v>2187</v>
      </c>
      <c r="I875" s="5" t="s">
        <v>2188</v>
      </c>
      <c r="J875" s="5" t="s">
        <v>2189</v>
      </c>
    </row>
    <row r="876" ht="15.75" customHeight="1">
      <c r="A876" s="5">
        <v>875.0</v>
      </c>
      <c r="B876" s="5" t="s">
        <v>2430</v>
      </c>
      <c r="C876" s="5" t="s">
        <v>710</v>
      </c>
      <c r="D876" s="5" t="s">
        <v>2431</v>
      </c>
      <c r="E876" s="5">
        <v>5.70038355233E11</v>
      </c>
      <c r="F876" s="5" t="s">
        <v>641</v>
      </c>
      <c r="G876" s="5" t="s">
        <v>24</v>
      </c>
      <c r="H876" s="5" t="s">
        <v>2187</v>
      </c>
      <c r="I876" s="5" t="s">
        <v>2188</v>
      </c>
      <c r="J876" s="5" t="s">
        <v>2189</v>
      </c>
    </row>
    <row r="877" ht="15.75" customHeight="1">
      <c r="A877" s="5">
        <v>876.0</v>
      </c>
      <c r="B877" s="5" t="s">
        <v>223</v>
      </c>
      <c r="C877" s="5" t="s">
        <v>1269</v>
      </c>
      <c r="D877" s="5" t="s">
        <v>2432</v>
      </c>
      <c r="E877" s="5">
        <v>5.70038355234E11</v>
      </c>
      <c r="F877" s="5" t="s">
        <v>2433</v>
      </c>
      <c r="G877" s="5" t="s">
        <v>121</v>
      </c>
      <c r="H877" s="5" t="s">
        <v>2187</v>
      </c>
      <c r="I877" s="5" t="s">
        <v>2188</v>
      </c>
      <c r="J877" s="5" t="s">
        <v>2189</v>
      </c>
    </row>
    <row r="878" ht="15.75" customHeight="1">
      <c r="A878" s="5">
        <v>877.0</v>
      </c>
      <c r="B878" s="5" t="s">
        <v>2434</v>
      </c>
      <c r="C878" s="5" t="s">
        <v>2049</v>
      </c>
      <c r="D878" s="5" t="s">
        <v>2435</v>
      </c>
      <c r="E878" s="5">
        <v>5.70038355235E11</v>
      </c>
      <c r="F878" s="5" t="s">
        <v>2436</v>
      </c>
      <c r="G878" s="5" t="s">
        <v>90</v>
      </c>
      <c r="H878" s="5" t="s">
        <v>2187</v>
      </c>
      <c r="I878" s="5" t="s">
        <v>2188</v>
      </c>
      <c r="J878" s="5" t="s">
        <v>2189</v>
      </c>
    </row>
    <row r="879" ht="15.75" customHeight="1">
      <c r="A879" s="5">
        <v>878.0</v>
      </c>
      <c r="B879" s="5" t="s">
        <v>2437</v>
      </c>
      <c r="C879" s="5" t="s">
        <v>2438</v>
      </c>
      <c r="D879" s="5" t="s">
        <v>781</v>
      </c>
      <c r="E879" s="5">
        <v>5.70038355237E11</v>
      </c>
      <c r="F879" s="5" t="s">
        <v>2439</v>
      </c>
      <c r="G879" s="5" t="s">
        <v>24</v>
      </c>
      <c r="H879" s="5" t="s">
        <v>2187</v>
      </c>
      <c r="I879" s="5" t="s">
        <v>2188</v>
      </c>
      <c r="J879" s="5" t="s">
        <v>2189</v>
      </c>
    </row>
    <row r="880" ht="15.75" customHeight="1">
      <c r="A880" s="5">
        <v>879.0</v>
      </c>
      <c r="B880" s="5" t="s">
        <v>1531</v>
      </c>
      <c r="C880" s="5" t="s">
        <v>608</v>
      </c>
      <c r="D880" s="5" t="s">
        <v>2440</v>
      </c>
      <c r="E880" s="5">
        <v>5.70038355238E11</v>
      </c>
      <c r="F880" s="5" t="s">
        <v>2441</v>
      </c>
      <c r="G880" s="5" t="s">
        <v>24</v>
      </c>
      <c r="H880" s="5" t="s">
        <v>2187</v>
      </c>
      <c r="I880" s="5" t="s">
        <v>2188</v>
      </c>
      <c r="J880" s="5" t="s">
        <v>2189</v>
      </c>
    </row>
    <row r="881" ht="15.75" customHeight="1">
      <c r="A881" s="5">
        <v>880.0</v>
      </c>
      <c r="B881" s="5" t="s">
        <v>1460</v>
      </c>
      <c r="C881" s="5" t="s">
        <v>2442</v>
      </c>
      <c r="D881" s="5" t="s">
        <v>1110</v>
      </c>
      <c r="E881" s="5">
        <v>5.7003835524E11</v>
      </c>
      <c r="F881" s="5" t="s">
        <v>2443</v>
      </c>
      <c r="G881" s="5" t="s">
        <v>38</v>
      </c>
      <c r="H881" s="5" t="s">
        <v>2187</v>
      </c>
      <c r="I881" s="5" t="s">
        <v>2188</v>
      </c>
      <c r="J881" s="5" t="s">
        <v>2189</v>
      </c>
    </row>
    <row r="882" ht="15.75" customHeight="1">
      <c r="A882" s="5">
        <v>881.0</v>
      </c>
      <c r="B882" s="5" t="s">
        <v>2444</v>
      </c>
      <c r="C882" s="5" t="s">
        <v>2445</v>
      </c>
      <c r="D882" s="5" t="s">
        <v>324</v>
      </c>
      <c r="E882" s="5">
        <v>5.70038355241E11</v>
      </c>
      <c r="F882" s="5" t="s">
        <v>920</v>
      </c>
      <c r="G882" s="5" t="s">
        <v>12</v>
      </c>
      <c r="H882" s="5" t="s">
        <v>2187</v>
      </c>
      <c r="I882" s="5" t="s">
        <v>2188</v>
      </c>
      <c r="J882" s="5" t="s">
        <v>2189</v>
      </c>
    </row>
    <row r="883" ht="15.75" customHeight="1">
      <c r="A883" s="5">
        <v>882.0</v>
      </c>
      <c r="B883" s="5" t="s">
        <v>1249</v>
      </c>
      <c r="C883" s="5" t="s">
        <v>2446</v>
      </c>
      <c r="D883" s="5" t="s">
        <v>115</v>
      </c>
      <c r="E883" s="5">
        <v>5.70038355242E11</v>
      </c>
      <c r="F883" s="5" t="s">
        <v>2447</v>
      </c>
      <c r="G883" s="5" t="s">
        <v>90</v>
      </c>
      <c r="H883" s="5" t="s">
        <v>2187</v>
      </c>
      <c r="I883" s="5" t="s">
        <v>2188</v>
      </c>
      <c r="J883" s="5" t="s">
        <v>2189</v>
      </c>
    </row>
    <row r="884" ht="15.75" customHeight="1">
      <c r="A884" s="5">
        <v>883.0</v>
      </c>
      <c r="B884" s="5" t="s">
        <v>2448</v>
      </c>
      <c r="C884" s="5" t="s">
        <v>2449</v>
      </c>
      <c r="D884" s="5" t="s">
        <v>2450</v>
      </c>
      <c r="E884" s="5">
        <v>5.70038355252E11</v>
      </c>
      <c r="F884" s="5" t="s">
        <v>2451</v>
      </c>
      <c r="G884" s="5" t="s">
        <v>18</v>
      </c>
      <c r="H884" s="5" t="s">
        <v>2187</v>
      </c>
      <c r="I884" s="5" t="s">
        <v>2188</v>
      </c>
      <c r="J884" s="5" t="s">
        <v>2189</v>
      </c>
    </row>
    <row r="885" ht="15.75" customHeight="1">
      <c r="A885" s="5">
        <v>884.0</v>
      </c>
      <c r="B885" s="5" t="s">
        <v>2452</v>
      </c>
      <c r="C885" s="5" t="s">
        <v>1742</v>
      </c>
      <c r="D885" s="5" t="s">
        <v>464</v>
      </c>
      <c r="E885" s="5">
        <v>5.70038355254E11</v>
      </c>
      <c r="F885" s="5" t="s">
        <v>2453</v>
      </c>
      <c r="G885" s="5" t="s">
        <v>90</v>
      </c>
      <c r="H885" s="5" t="s">
        <v>2187</v>
      </c>
      <c r="I885" s="5" t="s">
        <v>2188</v>
      </c>
      <c r="J885" s="5" t="s">
        <v>2189</v>
      </c>
    </row>
    <row r="886" ht="15.75" customHeight="1">
      <c r="A886" s="5">
        <v>885.0</v>
      </c>
      <c r="B886" s="5" t="s">
        <v>43</v>
      </c>
      <c r="C886" s="5" t="s">
        <v>1742</v>
      </c>
      <c r="D886" s="5" t="s">
        <v>464</v>
      </c>
      <c r="E886" s="5">
        <v>5.70038355255E11</v>
      </c>
      <c r="F886" s="5" t="s">
        <v>2454</v>
      </c>
      <c r="G886" s="5" t="s">
        <v>18</v>
      </c>
      <c r="H886" s="5" t="s">
        <v>2187</v>
      </c>
      <c r="I886" s="5" t="s">
        <v>2188</v>
      </c>
      <c r="J886" s="5" t="s">
        <v>2189</v>
      </c>
    </row>
    <row r="887" ht="15.75" customHeight="1">
      <c r="A887" s="5">
        <v>886.0</v>
      </c>
      <c r="B887" s="5" t="s">
        <v>2455</v>
      </c>
      <c r="C887" s="5" t="s">
        <v>635</v>
      </c>
      <c r="D887" s="5" t="s">
        <v>1084</v>
      </c>
      <c r="E887" s="5">
        <v>5.70038355256E11</v>
      </c>
      <c r="F887" s="5" t="s">
        <v>2456</v>
      </c>
      <c r="G887" s="5" t="s">
        <v>18</v>
      </c>
      <c r="H887" s="5" t="s">
        <v>2187</v>
      </c>
      <c r="I887" s="5" t="s">
        <v>2188</v>
      </c>
      <c r="J887" s="5" t="s">
        <v>2189</v>
      </c>
    </row>
    <row r="888" ht="15.75" customHeight="1">
      <c r="A888" s="5">
        <v>887.0</v>
      </c>
      <c r="B888" s="5" t="s">
        <v>66</v>
      </c>
      <c r="C888" s="5" t="s">
        <v>1748</v>
      </c>
      <c r="D888" s="5" t="s">
        <v>2457</v>
      </c>
      <c r="E888" s="5">
        <v>5.70038355257E11</v>
      </c>
      <c r="F888" s="5" t="s">
        <v>2458</v>
      </c>
      <c r="G888" s="5" t="s">
        <v>24</v>
      </c>
      <c r="H888" s="5" t="s">
        <v>2187</v>
      </c>
      <c r="I888" s="5" t="s">
        <v>2188</v>
      </c>
      <c r="J888" s="5" t="s">
        <v>2189</v>
      </c>
    </row>
    <row r="889" ht="15.75" customHeight="1">
      <c r="A889" s="5">
        <v>888.0</v>
      </c>
      <c r="B889" s="5" t="s">
        <v>2459</v>
      </c>
      <c r="C889" s="5" t="s">
        <v>2460</v>
      </c>
      <c r="D889" s="5" t="s">
        <v>817</v>
      </c>
      <c r="E889" s="5">
        <v>5.70038355259E11</v>
      </c>
      <c r="F889" s="5" t="s">
        <v>2461</v>
      </c>
      <c r="G889" s="5" t="s">
        <v>18</v>
      </c>
      <c r="H889" s="5" t="s">
        <v>2187</v>
      </c>
      <c r="I889" s="5" t="s">
        <v>2188</v>
      </c>
      <c r="J889" s="5" t="s">
        <v>2189</v>
      </c>
    </row>
    <row r="890" ht="15.75" customHeight="1">
      <c r="A890" s="5">
        <v>889.0</v>
      </c>
      <c r="B890" s="5" t="s">
        <v>2462</v>
      </c>
      <c r="C890" s="5" t="s">
        <v>1748</v>
      </c>
      <c r="D890" s="5" t="s">
        <v>2463</v>
      </c>
      <c r="E890" s="5">
        <v>5.70038355261E11</v>
      </c>
      <c r="F890" s="5" t="s">
        <v>2464</v>
      </c>
      <c r="G890" s="5" t="s">
        <v>24</v>
      </c>
      <c r="H890" s="5" t="s">
        <v>2187</v>
      </c>
      <c r="I890" s="5" t="s">
        <v>2188</v>
      </c>
      <c r="J890" s="5" t="s">
        <v>2189</v>
      </c>
    </row>
    <row r="891" ht="15.75" customHeight="1">
      <c r="A891" s="5">
        <v>890.0</v>
      </c>
      <c r="B891" s="5" t="s">
        <v>2465</v>
      </c>
      <c r="C891" s="5" t="s">
        <v>388</v>
      </c>
      <c r="D891" s="5" t="s">
        <v>1876</v>
      </c>
      <c r="E891" s="5">
        <v>5.70038355263E11</v>
      </c>
      <c r="F891" s="5" t="s">
        <v>2466</v>
      </c>
      <c r="G891" s="5" t="s">
        <v>18</v>
      </c>
      <c r="H891" s="5" t="s">
        <v>2187</v>
      </c>
      <c r="I891" s="5" t="s">
        <v>2188</v>
      </c>
      <c r="J891" s="5" t="s">
        <v>2189</v>
      </c>
    </row>
    <row r="892" ht="15.75" customHeight="1">
      <c r="A892" s="5">
        <v>891.0</v>
      </c>
      <c r="B892" s="5" t="s">
        <v>2467</v>
      </c>
      <c r="C892" s="5" t="s">
        <v>2468</v>
      </c>
      <c r="D892" s="5" t="s">
        <v>2469</v>
      </c>
      <c r="E892" s="5">
        <v>5.70038355266E11</v>
      </c>
      <c r="F892" s="5" t="s">
        <v>2470</v>
      </c>
      <c r="G892" s="5" t="s">
        <v>24</v>
      </c>
      <c r="H892" s="5" t="s">
        <v>2187</v>
      </c>
      <c r="I892" s="5" t="s">
        <v>2188</v>
      </c>
      <c r="J892" s="5" t="s">
        <v>2189</v>
      </c>
    </row>
    <row r="893" ht="15.75" customHeight="1">
      <c r="A893" s="5">
        <v>892.0</v>
      </c>
      <c r="B893" s="5" t="s">
        <v>2471</v>
      </c>
      <c r="C893" s="5" t="s">
        <v>2467</v>
      </c>
      <c r="D893" s="5" t="s">
        <v>2472</v>
      </c>
      <c r="E893" s="5">
        <v>5.70038355267E11</v>
      </c>
      <c r="F893" s="5" t="s">
        <v>2473</v>
      </c>
      <c r="G893" s="5" t="s">
        <v>24</v>
      </c>
      <c r="H893" s="5" t="s">
        <v>2187</v>
      </c>
      <c r="I893" s="5" t="s">
        <v>2188</v>
      </c>
      <c r="J893" s="5" t="s">
        <v>2189</v>
      </c>
    </row>
    <row r="894" ht="15.75" customHeight="1">
      <c r="A894" s="5">
        <v>893.0</v>
      </c>
      <c r="B894" s="5" t="s">
        <v>2474</v>
      </c>
      <c r="C894" s="5" t="s">
        <v>2467</v>
      </c>
      <c r="D894" s="5" t="s">
        <v>2472</v>
      </c>
      <c r="E894" s="5">
        <v>5.7003835527E11</v>
      </c>
      <c r="F894" s="5" t="s">
        <v>2475</v>
      </c>
      <c r="G894" s="5" t="s">
        <v>24</v>
      </c>
      <c r="H894" s="5" t="s">
        <v>2187</v>
      </c>
      <c r="I894" s="5" t="s">
        <v>2188</v>
      </c>
      <c r="J894" s="5" t="s">
        <v>2189</v>
      </c>
    </row>
    <row r="895" ht="15.75" customHeight="1">
      <c r="A895" s="5">
        <v>894.0</v>
      </c>
      <c r="B895" s="5" t="s">
        <v>180</v>
      </c>
      <c r="C895" s="5" t="s">
        <v>1991</v>
      </c>
      <c r="D895" s="5" t="s">
        <v>2476</v>
      </c>
      <c r="E895" s="5">
        <v>5.70038355272E11</v>
      </c>
      <c r="F895" s="5" t="s">
        <v>2477</v>
      </c>
      <c r="G895" s="5" t="s">
        <v>90</v>
      </c>
      <c r="H895" s="5" t="s">
        <v>2187</v>
      </c>
      <c r="I895" s="5" t="s">
        <v>2188</v>
      </c>
      <c r="J895" s="5" t="s">
        <v>2189</v>
      </c>
    </row>
    <row r="896" ht="15.75" customHeight="1">
      <c r="A896" s="5">
        <v>895.0</v>
      </c>
      <c r="B896" s="5" t="s">
        <v>39</v>
      </c>
      <c r="C896" s="5" t="s">
        <v>1991</v>
      </c>
      <c r="D896" s="5" t="s">
        <v>2476</v>
      </c>
      <c r="E896" s="5">
        <v>5.70038355274E11</v>
      </c>
      <c r="F896" s="5" t="s">
        <v>2478</v>
      </c>
      <c r="G896" s="5" t="s">
        <v>18</v>
      </c>
      <c r="H896" s="5" t="s">
        <v>2187</v>
      </c>
      <c r="I896" s="5" t="s">
        <v>2188</v>
      </c>
      <c r="J896" s="5" t="s">
        <v>2189</v>
      </c>
    </row>
    <row r="897" ht="15.75" customHeight="1">
      <c r="A897" s="5">
        <v>896.0</v>
      </c>
      <c r="B897" s="5" t="s">
        <v>2479</v>
      </c>
      <c r="C897" s="5" t="s">
        <v>1262</v>
      </c>
      <c r="D897" s="5" t="s">
        <v>744</v>
      </c>
      <c r="E897" s="5">
        <v>5.70038355284E11</v>
      </c>
      <c r="F897" s="5" t="s">
        <v>1726</v>
      </c>
      <c r="G897" s="5" t="s">
        <v>18</v>
      </c>
      <c r="H897" s="5" t="s">
        <v>2187</v>
      </c>
      <c r="I897" s="5" t="s">
        <v>2188</v>
      </c>
      <c r="J897" s="5" t="s">
        <v>2189</v>
      </c>
    </row>
    <row r="898" ht="15.75" customHeight="1">
      <c r="A898" s="5">
        <v>897.0</v>
      </c>
      <c r="B898" s="5" t="s">
        <v>2480</v>
      </c>
      <c r="C898" s="5" t="s">
        <v>2481</v>
      </c>
      <c r="D898" s="5" t="s">
        <v>2482</v>
      </c>
      <c r="E898" s="5">
        <v>5.70038355286E11</v>
      </c>
      <c r="F898" s="5" t="s">
        <v>1113</v>
      </c>
      <c r="G898" s="5" t="s">
        <v>90</v>
      </c>
      <c r="H898" s="5" t="s">
        <v>2187</v>
      </c>
      <c r="I898" s="5" t="s">
        <v>2188</v>
      </c>
      <c r="J898" s="5" t="s">
        <v>2189</v>
      </c>
    </row>
    <row r="899" ht="15.75" customHeight="1">
      <c r="A899" s="5">
        <v>898.0</v>
      </c>
      <c r="B899" s="5" t="s">
        <v>630</v>
      </c>
      <c r="C899" s="5" t="s">
        <v>2483</v>
      </c>
      <c r="D899" s="5" t="s">
        <v>2484</v>
      </c>
      <c r="E899" s="5">
        <v>5.7003835529E11</v>
      </c>
      <c r="F899" s="5" t="s">
        <v>1597</v>
      </c>
      <c r="G899" s="5" t="s">
        <v>90</v>
      </c>
      <c r="H899" s="5" t="s">
        <v>2187</v>
      </c>
      <c r="I899" s="5" t="s">
        <v>2188</v>
      </c>
      <c r="J899" s="5" t="s">
        <v>2189</v>
      </c>
    </row>
    <row r="900" ht="15.75" customHeight="1">
      <c r="A900" s="5">
        <v>899.0</v>
      </c>
      <c r="B900" s="5" t="s">
        <v>2485</v>
      </c>
      <c r="C900" s="5" t="s">
        <v>2486</v>
      </c>
      <c r="D900" s="5" t="s">
        <v>68</v>
      </c>
      <c r="E900" s="5">
        <v>5.70038355292E11</v>
      </c>
      <c r="F900" s="5" t="s">
        <v>2487</v>
      </c>
      <c r="G900" s="5" t="s">
        <v>90</v>
      </c>
      <c r="H900" s="5" t="s">
        <v>2187</v>
      </c>
      <c r="I900" s="5" t="s">
        <v>2188</v>
      </c>
      <c r="J900" s="5" t="s">
        <v>2189</v>
      </c>
    </row>
    <row r="901" ht="15.75" customHeight="1">
      <c r="A901" s="5">
        <v>900.0</v>
      </c>
      <c r="B901" s="5" t="s">
        <v>2488</v>
      </c>
      <c r="C901" s="5" t="s">
        <v>987</v>
      </c>
      <c r="D901" s="5" t="s">
        <v>2489</v>
      </c>
      <c r="E901" s="5">
        <v>5.70038355298E11</v>
      </c>
      <c r="F901" s="5" t="s">
        <v>2490</v>
      </c>
      <c r="G901" s="5" t="s">
        <v>38</v>
      </c>
      <c r="H901" s="5" t="s">
        <v>2187</v>
      </c>
      <c r="I901" s="5" t="s">
        <v>2188</v>
      </c>
      <c r="J901" s="5" t="s">
        <v>2189</v>
      </c>
    </row>
    <row r="902" ht="15.75" customHeight="1">
      <c r="A902" s="5">
        <v>901.0</v>
      </c>
      <c r="B902" s="5" t="s">
        <v>2491</v>
      </c>
      <c r="C902" s="5" t="s">
        <v>2492</v>
      </c>
      <c r="D902" s="5" t="s">
        <v>2493</v>
      </c>
      <c r="E902" s="5">
        <v>5.700383553E11</v>
      </c>
      <c r="F902" s="5" t="s">
        <v>2494</v>
      </c>
      <c r="G902" s="5" t="s">
        <v>18</v>
      </c>
      <c r="H902" s="5" t="s">
        <v>2187</v>
      </c>
      <c r="I902" s="5" t="s">
        <v>2188</v>
      </c>
      <c r="J902" s="5" t="s">
        <v>2189</v>
      </c>
    </row>
    <row r="903" ht="15.75" customHeight="1">
      <c r="A903" s="5">
        <v>902.0</v>
      </c>
      <c r="B903" s="5" t="s">
        <v>2495</v>
      </c>
      <c r="C903" s="5" t="s">
        <v>2491</v>
      </c>
      <c r="D903" s="5" t="s">
        <v>2496</v>
      </c>
      <c r="E903" s="5">
        <v>5.70038355304E11</v>
      </c>
      <c r="F903" s="5" t="s">
        <v>2497</v>
      </c>
      <c r="G903" s="5" t="s">
        <v>18</v>
      </c>
      <c r="H903" s="5" t="s">
        <v>2187</v>
      </c>
      <c r="I903" s="5" t="s">
        <v>2188</v>
      </c>
      <c r="J903" s="5" t="s">
        <v>2189</v>
      </c>
    </row>
    <row r="904" ht="15.75" customHeight="1">
      <c r="A904" s="5">
        <v>903.0</v>
      </c>
      <c r="B904" s="5" t="s">
        <v>2498</v>
      </c>
      <c r="C904" s="5" t="s">
        <v>2499</v>
      </c>
      <c r="D904" s="5" t="s">
        <v>2164</v>
      </c>
      <c r="E904" s="5">
        <v>5.70038355306E11</v>
      </c>
      <c r="F904" s="5" t="s">
        <v>2500</v>
      </c>
      <c r="G904" s="5" t="s">
        <v>18</v>
      </c>
      <c r="H904" s="5" t="s">
        <v>2187</v>
      </c>
      <c r="I904" s="5" t="s">
        <v>2188</v>
      </c>
      <c r="J904" s="5" t="s">
        <v>2189</v>
      </c>
    </row>
    <row r="905" ht="15.75" customHeight="1">
      <c r="A905" s="5">
        <v>904.0</v>
      </c>
      <c r="B905" s="5" t="s">
        <v>2501</v>
      </c>
      <c r="C905" s="5" t="s">
        <v>987</v>
      </c>
      <c r="D905" s="5" t="s">
        <v>2489</v>
      </c>
      <c r="E905" s="5">
        <v>5.70038355308E11</v>
      </c>
      <c r="F905" s="5" t="s">
        <v>2502</v>
      </c>
      <c r="G905" s="5" t="s">
        <v>90</v>
      </c>
      <c r="H905" s="5" t="s">
        <v>2187</v>
      </c>
      <c r="I905" s="5" t="s">
        <v>2188</v>
      </c>
      <c r="J905" s="5" t="s">
        <v>2189</v>
      </c>
    </row>
    <row r="906" ht="15.75" customHeight="1">
      <c r="A906" s="5">
        <v>905.0</v>
      </c>
      <c r="B906" s="5" t="s">
        <v>1262</v>
      </c>
      <c r="C906" s="5" t="s">
        <v>2449</v>
      </c>
      <c r="D906" s="5" t="s">
        <v>2450</v>
      </c>
      <c r="E906" s="5">
        <v>5.7003835531E11</v>
      </c>
      <c r="F906" s="5" t="s">
        <v>2503</v>
      </c>
      <c r="G906" s="5" t="s">
        <v>18</v>
      </c>
      <c r="H906" s="5" t="s">
        <v>2187</v>
      </c>
      <c r="I906" s="5" t="s">
        <v>2188</v>
      </c>
      <c r="J906" s="5" t="s">
        <v>2189</v>
      </c>
    </row>
    <row r="907" ht="15.75" customHeight="1">
      <c r="A907" s="5">
        <v>906.0</v>
      </c>
      <c r="B907" s="5" t="s">
        <v>2504</v>
      </c>
      <c r="C907" s="5" t="s">
        <v>2449</v>
      </c>
      <c r="D907" s="5" t="s">
        <v>2450</v>
      </c>
      <c r="E907" s="5">
        <v>5.70038355311E11</v>
      </c>
      <c r="F907" s="5" t="s">
        <v>2505</v>
      </c>
      <c r="G907" s="5" t="s">
        <v>90</v>
      </c>
      <c r="H907" s="5" t="s">
        <v>2187</v>
      </c>
      <c r="I907" s="5" t="s">
        <v>2188</v>
      </c>
      <c r="J907" s="5" t="s">
        <v>2189</v>
      </c>
    </row>
    <row r="908" ht="15.75" customHeight="1">
      <c r="A908" s="5">
        <v>907.0</v>
      </c>
      <c r="B908" s="5" t="s">
        <v>1438</v>
      </c>
      <c r="C908" s="5" t="s">
        <v>682</v>
      </c>
      <c r="D908" s="5" t="s">
        <v>2506</v>
      </c>
      <c r="E908" s="5">
        <v>5.70038355312E11</v>
      </c>
      <c r="F908" s="5" t="s">
        <v>2507</v>
      </c>
      <c r="G908" s="5" t="s">
        <v>383</v>
      </c>
      <c r="H908" s="5" t="s">
        <v>2187</v>
      </c>
      <c r="I908" s="5" t="s">
        <v>2188</v>
      </c>
      <c r="J908" s="5" t="s">
        <v>2189</v>
      </c>
    </row>
    <row r="909" ht="15.75" customHeight="1">
      <c r="A909" s="5">
        <v>908.0</v>
      </c>
      <c r="B909" s="5" t="s">
        <v>2508</v>
      </c>
      <c r="C909" s="5" t="s">
        <v>2509</v>
      </c>
      <c r="D909" s="5" t="s">
        <v>2510</v>
      </c>
      <c r="E909" s="5">
        <v>5.70038355313E11</v>
      </c>
      <c r="F909" s="5" t="s">
        <v>2511</v>
      </c>
      <c r="G909" s="5" t="s">
        <v>24</v>
      </c>
      <c r="H909" s="5" t="s">
        <v>2187</v>
      </c>
      <c r="I909" s="5" t="s">
        <v>2188</v>
      </c>
      <c r="J909" s="5" t="s">
        <v>2189</v>
      </c>
    </row>
    <row r="910" ht="15.75" customHeight="1">
      <c r="A910" s="5">
        <v>909.0</v>
      </c>
      <c r="B910" s="5" t="s">
        <v>2259</v>
      </c>
      <c r="C910" s="5" t="s">
        <v>257</v>
      </c>
      <c r="D910" s="5" t="s">
        <v>335</v>
      </c>
      <c r="E910" s="5">
        <v>5.70038355314E11</v>
      </c>
      <c r="F910" s="5" t="s">
        <v>2512</v>
      </c>
      <c r="G910" s="5" t="s">
        <v>24</v>
      </c>
      <c r="H910" s="5" t="s">
        <v>2187</v>
      </c>
      <c r="I910" s="5" t="s">
        <v>2188</v>
      </c>
      <c r="J910" s="5" t="s">
        <v>2189</v>
      </c>
    </row>
    <row r="911" ht="15.75" customHeight="1">
      <c r="A911" s="5">
        <v>910.0</v>
      </c>
      <c r="B911" s="5" t="s">
        <v>496</v>
      </c>
      <c r="C911" s="5" t="s">
        <v>2449</v>
      </c>
      <c r="D911" s="5" t="s">
        <v>2450</v>
      </c>
      <c r="E911" s="5">
        <v>5.70038355315E11</v>
      </c>
      <c r="F911" s="5" t="s">
        <v>2513</v>
      </c>
      <c r="G911" s="5" t="s">
        <v>90</v>
      </c>
      <c r="H911" s="5" t="s">
        <v>2187</v>
      </c>
      <c r="I911" s="5" t="s">
        <v>2188</v>
      </c>
      <c r="J911" s="5" t="s">
        <v>2189</v>
      </c>
    </row>
    <row r="912" ht="15.75" customHeight="1">
      <c r="A912" s="5">
        <v>911.0</v>
      </c>
      <c r="B912" s="5" t="s">
        <v>361</v>
      </c>
      <c r="C912" s="5" t="s">
        <v>2514</v>
      </c>
      <c r="D912" s="5" t="s">
        <v>2515</v>
      </c>
      <c r="E912" s="5">
        <v>5.70038355316E11</v>
      </c>
      <c r="F912" s="5" t="s">
        <v>360</v>
      </c>
      <c r="G912" s="5" t="s">
        <v>90</v>
      </c>
      <c r="H912" s="5" t="s">
        <v>2187</v>
      </c>
      <c r="I912" s="5" t="s">
        <v>2188</v>
      </c>
      <c r="J912" s="5" t="s">
        <v>2189</v>
      </c>
    </row>
    <row r="913" ht="15.75" customHeight="1">
      <c r="A913" s="5">
        <v>912.0</v>
      </c>
      <c r="B913" s="5" t="s">
        <v>1768</v>
      </c>
      <c r="C913" s="5" t="s">
        <v>2516</v>
      </c>
      <c r="D913" s="5" t="s">
        <v>2517</v>
      </c>
      <c r="E913" s="5">
        <v>5.70038355317E11</v>
      </c>
      <c r="F913" s="5" t="s">
        <v>2518</v>
      </c>
      <c r="G913" s="5" t="s">
        <v>38</v>
      </c>
      <c r="H913" s="5" t="s">
        <v>2187</v>
      </c>
      <c r="I913" s="5" t="s">
        <v>2188</v>
      </c>
      <c r="J913" s="5" t="s">
        <v>2189</v>
      </c>
    </row>
    <row r="914" ht="15.75" customHeight="1">
      <c r="A914" s="5">
        <v>913.0</v>
      </c>
      <c r="B914" s="5" t="s">
        <v>2519</v>
      </c>
      <c r="C914" s="5" t="s">
        <v>2520</v>
      </c>
      <c r="D914" s="5" t="s">
        <v>2521</v>
      </c>
      <c r="E914" s="5">
        <v>5.70038355318E11</v>
      </c>
      <c r="F914" s="5" t="s">
        <v>2522</v>
      </c>
      <c r="G914" s="5" t="s">
        <v>90</v>
      </c>
      <c r="H914" s="5" t="s">
        <v>2187</v>
      </c>
      <c r="I914" s="5" t="s">
        <v>2188</v>
      </c>
      <c r="J914" s="5" t="s">
        <v>2189</v>
      </c>
    </row>
    <row r="915" ht="15.75" customHeight="1">
      <c r="A915" s="5">
        <v>914.0</v>
      </c>
      <c r="B915" s="5" t="s">
        <v>109</v>
      </c>
      <c r="C915" s="5" t="s">
        <v>2448</v>
      </c>
      <c r="D915" s="5" t="s">
        <v>1102</v>
      </c>
      <c r="E915" s="5">
        <v>5.70038355319E11</v>
      </c>
      <c r="F915" s="5" t="s">
        <v>2523</v>
      </c>
      <c r="G915" s="5" t="s">
        <v>90</v>
      </c>
      <c r="H915" s="5" t="s">
        <v>2187</v>
      </c>
      <c r="I915" s="5" t="s">
        <v>2188</v>
      </c>
      <c r="J915" s="5" t="s">
        <v>2189</v>
      </c>
    </row>
    <row r="916" ht="15.75" customHeight="1">
      <c r="A916" s="5">
        <v>915.0</v>
      </c>
      <c r="B916" s="5" t="s">
        <v>2471</v>
      </c>
      <c r="C916" s="5" t="s">
        <v>488</v>
      </c>
      <c r="D916" s="5" t="s">
        <v>2524</v>
      </c>
      <c r="E916" s="5">
        <v>5.7003835532E11</v>
      </c>
      <c r="F916" s="5" t="s">
        <v>2525</v>
      </c>
      <c r="G916" s="5" t="s">
        <v>18</v>
      </c>
      <c r="H916" s="5" t="s">
        <v>2187</v>
      </c>
      <c r="I916" s="5" t="s">
        <v>2188</v>
      </c>
      <c r="J916" s="5" t="s">
        <v>2189</v>
      </c>
    </row>
    <row r="917" ht="15.75" customHeight="1">
      <c r="A917" s="5">
        <v>916.0</v>
      </c>
      <c r="B917" s="5" t="s">
        <v>2526</v>
      </c>
      <c r="C917" s="5" t="s">
        <v>2527</v>
      </c>
      <c r="D917" s="5" t="s">
        <v>2528</v>
      </c>
      <c r="E917" s="5">
        <v>5.70038355321E11</v>
      </c>
      <c r="F917" s="5" t="s">
        <v>2529</v>
      </c>
      <c r="G917" s="5" t="s">
        <v>90</v>
      </c>
      <c r="H917" s="5" t="s">
        <v>2187</v>
      </c>
      <c r="I917" s="5" t="s">
        <v>2188</v>
      </c>
      <c r="J917" s="5" t="s">
        <v>2189</v>
      </c>
    </row>
    <row r="918" ht="15.75" customHeight="1">
      <c r="A918" s="5">
        <v>917.0</v>
      </c>
      <c r="B918" s="5" t="s">
        <v>762</v>
      </c>
      <c r="C918" s="5" t="s">
        <v>88</v>
      </c>
      <c r="D918" s="5" t="s">
        <v>115</v>
      </c>
      <c r="E918" s="5">
        <v>5.70038355322E11</v>
      </c>
      <c r="F918" s="5" t="s">
        <v>2530</v>
      </c>
      <c r="G918" s="5" t="s">
        <v>143</v>
      </c>
      <c r="H918" s="5" t="s">
        <v>2187</v>
      </c>
      <c r="I918" s="5" t="s">
        <v>2188</v>
      </c>
      <c r="J918" s="5" t="s">
        <v>2189</v>
      </c>
    </row>
    <row r="919" ht="15.75" customHeight="1">
      <c r="A919" s="5">
        <v>918.0</v>
      </c>
      <c r="B919" s="5" t="s">
        <v>2531</v>
      </c>
      <c r="C919" s="5" t="s">
        <v>88</v>
      </c>
      <c r="D919" s="5" t="s">
        <v>1267</v>
      </c>
      <c r="E919" s="5">
        <v>5.70038355324E11</v>
      </c>
      <c r="F919" s="5" t="s">
        <v>2532</v>
      </c>
      <c r="G919" s="5" t="s">
        <v>38</v>
      </c>
      <c r="H919" s="5" t="s">
        <v>2187</v>
      </c>
      <c r="I919" s="5" t="s">
        <v>2188</v>
      </c>
      <c r="J919" s="5" t="s">
        <v>2189</v>
      </c>
    </row>
    <row r="920" ht="15.75" customHeight="1">
      <c r="A920" s="5">
        <v>919.0</v>
      </c>
      <c r="B920" s="5" t="s">
        <v>2533</v>
      </c>
      <c r="C920" s="5" t="s">
        <v>2534</v>
      </c>
      <c r="D920" s="5" t="s">
        <v>2535</v>
      </c>
      <c r="E920" s="5">
        <v>5.70038355327E11</v>
      </c>
      <c r="F920" s="5" t="s">
        <v>2536</v>
      </c>
      <c r="G920" s="5" t="s">
        <v>38</v>
      </c>
      <c r="H920" s="5" t="s">
        <v>2187</v>
      </c>
      <c r="I920" s="5" t="s">
        <v>2188</v>
      </c>
      <c r="J920" s="5" t="s">
        <v>2189</v>
      </c>
    </row>
    <row r="921" ht="15.75" customHeight="1">
      <c r="A921" s="5">
        <v>920.0</v>
      </c>
      <c r="B921" s="5" t="s">
        <v>1052</v>
      </c>
      <c r="C921" s="5" t="s">
        <v>2537</v>
      </c>
      <c r="D921" s="5" t="s">
        <v>2152</v>
      </c>
      <c r="E921" s="5">
        <v>5.70038355329E11</v>
      </c>
      <c r="F921" s="5" t="s">
        <v>2538</v>
      </c>
      <c r="G921" s="5" t="s">
        <v>18</v>
      </c>
      <c r="H921" s="5" t="s">
        <v>2187</v>
      </c>
      <c r="I921" s="5" t="s">
        <v>2188</v>
      </c>
      <c r="J921" s="5" t="s">
        <v>2189</v>
      </c>
    </row>
    <row r="922" ht="15.75" customHeight="1">
      <c r="A922" s="5">
        <v>921.0</v>
      </c>
      <c r="B922" s="5" t="s">
        <v>43</v>
      </c>
      <c r="C922" s="5" t="s">
        <v>2539</v>
      </c>
      <c r="D922" s="5" t="s">
        <v>2540</v>
      </c>
      <c r="E922" s="5">
        <v>5.70038355335E11</v>
      </c>
      <c r="F922" s="5" t="s">
        <v>1483</v>
      </c>
      <c r="G922" s="5" t="s">
        <v>38</v>
      </c>
      <c r="H922" s="5" t="s">
        <v>2187</v>
      </c>
      <c r="I922" s="5" t="s">
        <v>2188</v>
      </c>
      <c r="J922" s="5" t="s">
        <v>2189</v>
      </c>
    </row>
    <row r="923" ht="15.75" customHeight="1">
      <c r="A923" s="5">
        <v>922.0</v>
      </c>
      <c r="B923" s="5" t="s">
        <v>1133</v>
      </c>
      <c r="C923" s="5" t="s">
        <v>716</v>
      </c>
      <c r="D923" s="5" t="s">
        <v>2493</v>
      </c>
      <c r="E923" s="5">
        <v>5.70038355342E11</v>
      </c>
      <c r="F923" s="5" t="s">
        <v>2541</v>
      </c>
      <c r="G923" s="5" t="s">
        <v>24</v>
      </c>
      <c r="H923" s="5" t="s">
        <v>2187</v>
      </c>
      <c r="I923" s="5" t="s">
        <v>2188</v>
      </c>
      <c r="J923" s="5" t="s">
        <v>2189</v>
      </c>
    </row>
    <row r="924" ht="15.75" customHeight="1">
      <c r="A924" s="5">
        <v>923.0</v>
      </c>
      <c r="B924" s="5" t="s">
        <v>444</v>
      </c>
      <c r="C924" s="5" t="s">
        <v>2542</v>
      </c>
      <c r="D924" s="5" t="s">
        <v>2543</v>
      </c>
      <c r="E924" s="5">
        <v>5.70038355346E11</v>
      </c>
      <c r="F924" s="5" t="s">
        <v>2544</v>
      </c>
      <c r="G924" s="5" t="s">
        <v>143</v>
      </c>
      <c r="H924" s="5" t="s">
        <v>2187</v>
      </c>
      <c r="I924" s="5" t="s">
        <v>2188</v>
      </c>
      <c r="J924" s="5" t="s">
        <v>2189</v>
      </c>
    </row>
    <row r="925" ht="15.75" customHeight="1">
      <c r="A925" s="5">
        <v>924.0</v>
      </c>
      <c r="B925" s="5" t="s">
        <v>1052</v>
      </c>
      <c r="C925" s="5" t="s">
        <v>2545</v>
      </c>
      <c r="D925" s="5" t="s">
        <v>2546</v>
      </c>
      <c r="E925" s="5">
        <v>5.70038355356E11</v>
      </c>
      <c r="F925" s="5" t="s">
        <v>2547</v>
      </c>
      <c r="G925" s="5" t="s">
        <v>90</v>
      </c>
      <c r="H925" s="5" t="s">
        <v>2187</v>
      </c>
      <c r="I925" s="5" t="s">
        <v>2188</v>
      </c>
      <c r="J925" s="5" t="s">
        <v>2189</v>
      </c>
    </row>
    <row r="926" ht="15.75" customHeight="1">
      <c r="A926" s="5">
        <v>925.0</v>
      </c>
      <c r="B926" s="5" t="s">
        <v>496</v>
      </c>
      <c r="C926" s="5" t="s">
        <v>2545</v>
      </c>
      <c r="D926" s="5" t="s">
        <v>2548</v>
      </c>
      <c r="E926" s="5">
        <v>5.70038355358E11</v>
      </c>
      <c r="F926" s="5" t="s">
        <v>2549</v>
      </c>
      <c r="G926" s="5" t="s">
        <v>90</v>
      </c>
      <c r="H926" s="5" t="s">
        <v>2187</v>
      </c>
      <c r="I926" s="5" t="s">
        <v>2188</v>
      </c>
      <c r="J926" s="5" t="s">
        <v>2189</v>
      </c>
    </row>
    <row r="927" ht="15.75" customHeight="1">
      <c r="A927" s="5">
        <v>926.0</v>
      </c>
      <c r="B927" s="5" t="s">
        <v>195</v>
      </c>
      <c r="C927" s="5" t="s">
        <v>2550</v>
      </c>
      <c r="D927" s="5" t="s">
        <v>2551</v>
      </c>
      <c r="E927" s="5">
        <v>5.70038355362E11</v>
      </c>
      <c r="F927" s="5" t="s">
        <v>2552</v>
      </c>
      <c r="G927" s="5" t="s">
        <v>24</v>
      </c>
      <c r="H927" s="5" t="s">
        <v>2187</v>
      </c>
      <c r="I927" s="5" t="s">
        <v>2188</v>
      </c>
      <c r="J927" s="5" t="s">
        <v>2189</v>
      </c>
    </row>
    <row r="928" ht="15.75" customHeight="1">
      <c r="A928" s="5">
        <v>927.0</v>
      </c>
      <c r="B928" s="5" t="s">
        <v>153</v>
      </c>
      <c r="C928" s="5" t="s">
        <v>2553</v>
      </c>
      <c r="D928" s="5" t="s">
        <v>2554</v>
      </c>
      <c r="E928" s="5">
        <v>5.70038355364E11</v>
      </c>
      <c r="F928" s="5" t="s">
        <v>2555</v>
      </c>
      <c r="G928" s="5" t="s">
        <v>18</v>
      </c>
      <c r="H928" s="5" t="s">
        <v>2187</v>
      </c>
      <c r="I928" s="5" t="s">
        <v>2188</v>
      </c>
      <c r="J928" s="5" t="s">
        <v>2189</v>
      </c>
    </row>
    <row r="929" ht="15.75" customHeight="1">
      <c r="A929" s="5">
        <v>928.0</v>
      </c>
      <c r="B929" s="5" t="s">
        <v>2556</v>
      </c>
      <c r="C929" s="5" t="s">
        <v>2557</v>
      </c>
      <c r="D929" s="5" t="s">
        <v>801</v>
      </c>
      <c r="E929" s="5">
        <v>5.70038355369E11</v>
      </c>
      <c r="F929" s="5" t="s">
        <v>2558</v>
      </c>
      <c r="G929" s="5" t="s">
        <v>143</v>
      </c>
      <c r="H929" s="5" t="s">
        <v>2187</v>
      </c>
      <c r="I929" s="5" t="s">
        <v>2188</v>
      </c>
      <c r="J929" s="5" t="s">
        <v>2189</v>
      </c>
    </row>
    <row r="930" ht="15.75" customHeight="1">
      <c r="A930" s="5">
        <v>929.0</v>
      </c>
      <c r="B930" s="5" t="s">
        <v>1685</v>
      </c>
      <c r="C930" s="5" t="s">
        <v>2559</v>
      </c>
      <c r="D930" s="5" t="s">
        <v>2560</v>
      </c>
      <c r="E930" s="5">
        <v>5.7003835537E11</v>
      </c>
      <c r="F930" s="5" t="s">
        <v>2561</v>
      </c>
      <c r="G930" s="5" t="s">
        <v>90</v>
      </c>
      <c r="H930" s="5" t="s">
        <v>2187</v>
      </c>
      <c r="I930" s="5" t="s">
        <v>2188</v>
      </c>
      <c r="J930" s="5" t="s">
        <v>2189</v>
      </c>
    </row>
    <row r="931" ht="15.75" customHeight="1">
      <c r="A931" s="5">
        <v>930.0</v>
      </c>
      <c r="B931" s="5" t="s">
        <v>590</v>
      </c>
      <c r="C931" s="5" t="s">
        <v>2562</v>
      </c>
      <c r="D931" s="5" t="s">
        <v>2563</v>
      </c>
      <c r="E931" s="5">
        <v>5.70038355371E11</v>
      </c>
      <c r="F931" s="5" t="s">
        <v>2564</v>
      </c>
      <c r="G931" s="5" t="s">
        <v>24</v>
      </c>
      <c r="H931" s="5" t="s">
        <v>2187</v>
      </c>
      <c r="I931" s="5" t="s">
        <v>2188</v>
      </c>
      <c r="J931" s="5" t="s">
        <v>2189</v>
      </c>
    </row>
    <row r="932" ht="15.75" customHeight="1">
      <c r="A932" s="5">
        <v>931.0</v>
      </c>
      <c r="B932" s="5" t="s">
        <v>2565</v>
      </c>
      <c r="C932" s="5" t="s">
        <v>2566</v>
      </c>
      <c r="D932" s="5" t="s">
        <v>2567</v>
      </c>
      <c r="E932" s="5">
        <v>5.70038355372E11</v>
      </c>
      <c r="F932" s="5" t="s">
        <v>2568</v>
      </c>
      <c r="G932" s="5" t="s">
        <v>38</v>
      </c>
      <c r="H932" s="5" t="s">
        <v>2187</v>
      </c>
      <c r="I932" s="5" t="s">
        <v>2188</v>
      </c>
      <c r="J932" s="5" t="s">
        <v>2189</v>
      </c>
    </row>
    <row r="933" ht="15.75" customHeight="1">
      <c r="A933" s="5">
        <v>932.0</v>
      </c>
      <c r="B933" s="5" t="s">
        <v>936</v>
      </c>
      <c r="C933" s="5" t="s">
        <v>2569</v>
      </c>
      <c r="D933" s="5" t="s">
        <v>2570</v>
      </c>
      <c r="E933" s="5">
        <v>5.70038355373E11</v>
      </c>
      <c r="F933" s="5" t="s">
        <v>2571</v>
      </c>
      <c r="G933" s="5" t="s">
        <v>90</v>
      </c>
      <c r="H933" s="5" t="s">
        <v>2187</v>
      </c>
      <c r="I933" s="5" t="s">
        <v>2188</v>
      </c>
      <c r="J933" s="5" t="s">
        <v>2189</v>
      </c>
    </row>
    <row r="934" ht="15.75" customHeight="1">
      <c r="A934" s="5">
        <v>933.0</v>
      </c>
      <c r="B934" s="5" t="s">
        <v>106</v>
      </c>
      <c r="C934" s="5" t="s">
        <v>2483</v>
      </c>
      <c r="D934" s="5" t="s">
        <v>2560</v>
      </c>
      <c r="E934" s="5">
        <v>5.70038355374E11</v>
      </c>
      <c r="F934" s="5" t="s">
        <v>2572</v>
      </c>
      <c r="G934" s="5" t="s">
        <v>90</v>
      </c>
      <c r="H934" s="5" t="s">
        <v>2187</v>
      </c>
      <c r="I934" s="5" t="s">
        <v>2188</v>
      </c>
      <c r="J934" s="5" t="s">
        <v>2189</v>
      </c>
    </row>
    <row r="935" ht="15.75" customHeight="1">
      <c r="A935" s="5">
        <v>934.0</v>
      </c>
      <c r="B935" s="5" t="s">
        <v>2573</v>
      </c>
      <c r="C935" s="5" t="s">
        <v>2574</v>
      </c>
      <c r="D935" s="5" t="s">
        <v>2575</v>
      </c>
      <c r="E935" s="5">
        <v>5.70038355375E11</v>
      </c>
      <c r="F935" s="5" t="s">
        <v>2576</v>
      </c>
      <c r="G935" s="5" t="s">
        <v>24</v>
      </c>
      <c r="H935" s="5" t="s">
        <v>2187</v>
      </c>
      <c r="I935" s="5" t="s">
        <v>2188</v>
      </c>
      <c r="J935" s="5" t="s">
        <v>2189</v>
      </c>
    </row>
    <row r="936" ht="15.75" customHeight="1">
      <c r="A936" s="5">
        <v>935.0</v>
      </c>
      <c r="B936" s="5" t="s">
        <v>2577</v>
      </c>
      <c r="C936" s="5" t="s">
        <v>1991</v>
      </c>
      <c r="D936" s="5" t="s">
        <v>2578</v>
      </c>
      <c r="E936" s="5">
        <v>5.70038355381E11</v>
      </c>
      <c r="F936" s="5" t="s">
        <v>2579</v>
      </c>
      <c r="G936" s="5" t="s">
        <v>90</v>
      </c>
      <c r="H936" s="5" t="s">
        <v>2187</v>
      </c>
      <c r="I936" s="5" t="s">
        <v>2188</v>
      </c>
      <c r="J936" s="5" t="s">
        <v>2189</v>
      </c>
    </row>
    <row r="937" ht="15.75" customHeight="1">
      <c r="A937" s="5">
        <v>936.0</v>
      </c>
      <c r="B937" s="5" t="s">
        <v>2580</v>
      </c>
      <c r="C937" s="5" t="s">
        <v>1991</v>
      </c>
      <c r="D937" s="5" t="s">
        <v>2578</v>
      </c>
      <c r="E937" s="5">
        <v>5.70038355382E11</v>
      </c>
      <c r="F937" s="5" t="s">
        <v>2581</v>
      </c>
      <c r="G937" s="5" t="s">
        <v>90</v>
      </c>
      <c r="H937" s="5" t="s">
        <v>2187</v>
      </c>
      <c r="I937" s="5" t="s">
        <v>2188</v>
      </c>
      <c r="J937" s="5" t="s">
        <v>2189</v>
      </c>
    </row>
    <row r="938" ht="15.75" customHeight="1">
      <c r="A938" s="5">
        <v>937.0</v>
      </c>
      <c r="B938" s="5" t="s">
        <v>2542</v>
      </c>
      <c r="C938" s="5" t="s">
        <v>2582</v>
      </c>
      <c r="D938" s="5" t="s">
        <v>2583</v>
      </c>
      <c r="E938" s="5">
        <v>5.70038355384E11</v>
      </c>
      <c r="F938" s="5" t="s">
        <v>2584</v>
      </c>
      <c r="G938" s="5" t="s">
        <v>90</v>
      </c>
      <c r="H938" s="5" t="s">
        <v>2187</v>
      </c>
      <c r="I938" s="5" t="s">
        <v>2188</v>
      </c>
      <c r="J938" s="5" t="s">
        <v>2189</v>
      </c>
    </row>
    <row r="939" ht="15.75" customHeight="1">
      <c r="A939" s="5">
        <v>938.0</v>
      </c>
      <c r="B939" s="5" t="s">
        <v>72</v>
      </c>
      <c r="C939" s="5" t="s">
        <v>2585</v>
      </c>
      <c r="D939" s="5" t="s">
        <v>2586</v>
      </c>
      <c r="E939" s="5">
        <v>5.70038355385E11</v>
      </c>
      <c r="F939" s="5" t="s">
        <v>2587</v>
      </c>
      <c r="G939" s="5" t="s">
        <v>38</v>
      </c>
      <c r="H939" s="5" t="s">
        <v>2187</v>
      </c>
      <c r="I939" s="5" t="s">
        <v>2188</v>
      </c>
      <c r="J939" s="5" t="s">
        <v>2189</v>
      </c>
    </row>
    <row r="940" ht="15.75" customHeight="1">
      <c r="A940" s="5">
        <v>939.0</v>
      </c>
      <c r="B940" s="5" t="s">
        <v>1228</v>
      </c>
      <c r="C940" s="5" t="s">
        <v>2588</v>
      </c>
      <c r="D940" s="5" t="s">
        <v>605</v>
      </c>
      <c r="E940" s="5">
        <v>5.70038355387E11</v>
      </c>
      <c r="F940" s="5" t="s">
        <v>2589</v>
      </c>
      <c r="G940" s="5" t="s">
        <v>90</v>
      </c>
      <c r="H940" s="5" t="s">
        <v>2187</v>
      </c>
      <c r="I940" s="5" t="s">
        <v>2188</v>
      </c>
      <c r="J940" s="5" t="s">
        <v>2189</v>
      </c>
    </row>
    <row r="941" ht="15.75" customHeight="1">
      <c r="A941" s="5">
        <v>940.0</v>
      </c>
      <c r="B941" s="5" t="s">
        <v>191</v>
      </c>
      <c r="C941" s="5" t="s">
        <v>1262</v>
      </c>
      <c r="D941" s="5" t="s">
        <v>744</v>
      </c>
      <c r="E941" s="5">
        <v>5.70038355388E11</v>
      </c>
      <c r="F941" s="5" t="s">
        <v>2590</v>
      </c>
      <c r="G941" s="5" t="s">
        <v>90</v>
      </c>
      <c r="H941" s="5" t="s">
        <v>2187</v>
      </c>
      <c r="I941" s="5" t="s">
        <v>2188</v>
      </c>
      <c r="J941" s="5" t="s">
        <v>2189</v>
      </c>
    </row>
    <row r="942" ht="15.75" customHeight="1">
      <c r="A942" s="5">
        <v>941.0</v>
      </c>
      <c r="B942" s="5" t="s">
        <v>2591</v>
      </c>
      <c r="C942" s="5" t="s">
        <v>542</v>
      </c>
      <c r="D942" s="5" t="s">
        <v>381</v>
      </c>
      <c r="E942" s="5">
        <v>5.70038355389E11</v>
      </c>
      <c r="F942" s="5" t="s">
        <v>631</v>
      </c>
      <c r="G942" s="5" t="s">
        <v>38</v>
      </c>
      <c r="H942" s="5" t="s">
        <v>2187</v>
      </c>
      <c r="I942" s="5" t="s">
        <v>2188</v>
      </c>
      <c r="J942" s="5" t="s">
        <v>2189</v>
      </c>
    </row>
    <row r="943" ht="15.75" customHeight="1">
      <c r="A943" s="5">
        <v>942.0</v>
      </c>
      <c r="B943" s="5" t="s">
        <v>1350</v>
      </c>
      <c r="C943" s="5" t="s">
        <v>542</v>
      </c>
      <c r="D943" s="5" t="s">
        <v>381</v>
      </c>
      <c r="E943" s="5">
        <v>5.7003835539E11</v>
      </c>
      <c r="F943" s="5" t="s">
        <v>1681</v>
      </c>
      <c r="G943" s="5" t="s">
        <v>38</v>
      </c>
      <c r="H943" s="5" t="s">
        <v>2187</v>
      </c>
      <c r="I943" s="5" t="s">
        <v>2188</v>
      </c>
      <c r="J943" s="5" t="s">
        <v>2189</v>
      </c>
    </row>
    <row r="944" ht="15.75" customHeight="1">
      <c r="A944" s="5">
        <v>943.0</v>
      </c>
      <c r="B944" s="5" t="s">
        <v>542</v>
      </c>
      <c r="C944" s="5" t="s">
        <v>2592</v>
      </c>
      <c r="D944" s="5" t="s">
        <v>2593</v>
      </c>
      <c r="E944" s="5">
        <v>5.70038355391E11</v>
      </c>
      <c r="F944" s="5" t="s">
        <v>2594</v>
      </c>
      <c r="G944" s="5" t="s">
        <v>24</v>
      </c>
      <c r="H944" s="5" t="s">
        <v>2187</v>
      </c>
      <c r="I944" s="5" t="s">
        <v>2188</v>
      </c>
      <c r="J944" s="5" t="s">
        <v>2189</v>
      </c>
    </row>
    <row r="945" ht="15.75" customHeight="1">
      <c r="A945" s="5">
        <v>944.0</v>
      </c>
      <c r="B945" s="5" t="s">
        <v>251</v>
      </c>
      <c r="C945" s="5" t="s">
        <v>2539</v>
      </c>
      <c r="D945" s="5" t="s">
        <v>2540</v>
      </c>
      <c r="E945" s="5">
        <v>5.70038355392E11</v>
      </c>
      <c r="F945" s="5" t="s">
        <v>2595</v>
      </c>
      <c r="G945" s="5" t="s">
        <v>18</v>
      </c>
      <c r="H945" s="5" t="s">
        <v>2187</v>
      </c>
      <c r="I945" s="5" t="s">
        <v>2188</v>
      </c>
      <c r="J945" s="5" t="s">
        <v>2189</v>
      </c>
    </row>
    <row r="946" ht="15.75" customHeight="1">
      <c r="A946" s="5">
        <v>945.0</v>
      </c>
      <c r="B946" s="5" t="s">
        <v>2596</v>
      </c>
      <c r="C946" s="5" t="s">
        <v>2597</v>
      </c>
      <c r="D946" s="5" t="s">
        <v>1451</v>
      </c>
      <c r="E946" s="5">
        <v>5.70038355393E11</v>
      </c>
      <c r="F946" s="5" t="s">
        <v>1674</v>
      </c>
      <c r="G946" s="5" t="s">
        <v>24</v>
      </c>
      <c r="H946" s="5" t="s">
        <v>2187</v>
      </c>
      <c r="I946" s="5" t="s">
        <v>2188</v>
      </c>
      <c r="J946" s="5" t="s">
        <v>2189</v>
      </c>
    </row>
    <row r="947" ht="15.75" customHeight="1">
      <c r="A947" s="5">
        <v>946.0</v>
      </c>
      <c r="B947" s="5" t="s">
        <v>2598</v>
      </c>
      <c r="C947" s="5" t="s">
        <v>2599</v>
      </c>
      <c r="D947" s="5" t="s">
        <v>2600</v>
      </c>
      <c r="E947" s="5">
        <v>5.70038355395E11</v>
      </c>
      <c r="F947" s="5" t="s">
        <v>2601</v>
      </c>
      <c r="G947" s="5" t="s">
        <v>18</v>
      </c>
      <c r="H947" s="5" t="s">
        <v>2187</v>
      </c>
      <c r="I947" s="5" t="s">
        <v>2188</v>
      </c>
      <c r="J947" s="5" t="s">
        <v>2189</v>
      </c>
    </row>
    <row r="948" ht="15.75" customHeight="1">
      <c r="A948" s="5">
        <v>947.0</v>
      </c>
      <c r="B948" s="5" t="s">
        <v>88</v>
      </c>
      <c r="C948" s="5" t="s">
        <v>2357</v>
      </c>
      <c r="D948" s="5" t="s">
        <v>2602</v>
      </c>
      <c r="E948" s="5">
        <v>5.70038355397E11</v>
      </c>
      <c r="F948" s="5" t="s">
        <v>2603</v>
      </c>
      <c r="G948" s="5" t="s">
        <v>2604</v>
      </c>
      <c r="H948" s="5" t="s">
        <v>2187</v>
      </c>
      <c r="I948" s="5" t="s">
        <v>2188</v>
      </c>
      <c r="J948" s="5" t="s">
        <v>2189</v>
      </c>
    </row>
    <row r="949" ht="15.75" customHeight="1">
      <c r="A949" s="5">
        <v>948.0</v>
      </c>
      <c r="B949" s="5" t="s">
        <v>488</v>
      </c>
      <c r="C949" s="5" t="s">
        <v>2465</v>
      </c>
      <c r="D949" s="5" t="s">
        <v>2605</v>
      </c>
      <c r="E949" s="5">
        <v>5.70038355399E11</v>
      </c>
      <c r="F949" s="5" t="s">
        <v>2606</v>
      </c>
      <c r="G949" s="5" t="s">
        <v>38</v>
      </c>
      <c r="H949" s="5" t="s">
        <v>2187</v>
      </c>
      <c r="I949" s="5" t="s">
        <v>2188</v>
      </c>
      <c r="J949" s="5" t="s">
        <v>2189</v>
      </c>
    </row>
    <row r="950" ht="15.75" customHeight="1">
      <c r="A950" s="5">
        <v>949.0</v>
      </c>
      <c r="B950" s="5" t="s">
        <v>1517</v>
      </c>
      <c r="C950" s="5" t="s">
        <v>764</v>
      </c>
      <c r="D950" s="5" t="s">
        <v>685</v>
      </c>
      <c r="E950" s="5">
        <v>5.700383554E11</v>
      </c>
      <c r="F950" s="5" t="s">
        <v>2607</v>
      </c>
      <c r="G950" s="5" t="s">
        <v>38</v>
      </c>
      <c r="H950" s="5" t="s">
        <v>2187</v>
      </c>
      <c r="I950" s="5" t="s">
        <v>2188</v>
      </c>
      <c r="J950" s="5" t="s">
        <v>2189</v>
      </c>
    </row>
    <row r="951" ht="15.75" customHeight="1">
      <c r="A951" s="5">
        <v>950.0</v>
      </c>
      <c r="B951" s="5" t="s">
        <v>388</v>
      </c>
      <c r="C951" s="5" t="s">
        <v>286</v>
      </c>
      <c r="D951" s="5" t="s">
        <v>2608</v>
      </c>
      <c r="E951" s="5">
        <v>5.70038355402E11</v>
      </c>
      <c r="F951" s="5" t="s">
        <v>2609</v>
      </c>
      <c r="G951" s="5" t="s">
        <v>38</v>
      </c>
      <c r="H951" s="5" t="s">
        <v>2187</v>
      </c>
      <c r="I951" s="5" t="s">
        <v>2188</v>
      </c>
      <c r="J951" s="5" t="s">
        <v>2189</v>
      </c>
    </row>
    <row r="952" ht="15.75" customHeight="1">
      <c r="A952" s="5">
        <v>951.0</v>
      </c>
      <c r="B952" s="5" t="s">
        <v>2610</v>
      </c>
      <c r="C952" s="5" t="s">
        <v>286</v>
      </c>
      <c r="D952" s="5" t="s">
        <v>2608</v>
      </c>
      <c r="E952" s="5">
        <v>5.70038355404E11</v>
      </c>
      <c r="F952" s="5" t="s">
        <v>2611</v>
      </c>
      <c r="G952" s="5" t="s">
        <v>38</v>
      </c>
      <c r="H952" s="5" t="s">
        <v>2187</v>
      </c>
      <c r="I952" s="5" t="s">
        <v>2188</v>
      </c>
      <c r="J952" s="5" t="s">
        <v>2189</v>
      </c>
    </row>
    <row r="953" ht="15.75" customHeight="1">
      <c r="A953" s="5">
        <v>952.0</v>
      </c>
      <c r="B953" s="5" t="s">
        <v>195</v>
      </c>
      <c r="C953" s="5" t="s">
        <v>2612</v>
      </c>
      <c r="D953" s="5" t="s">
        <v>2613</v>
      </c>
      <c r="E953" s="5">
        <v>5.70038355405E11</v>
      </c>
      <c r="F953" s="5" t="s">
        <v>2614</v>
      </c>
      <c r="G953" s="5" t="s">
        <v>38</v>
      </c>
      <c r="H953" s="5" t="s">
        <v>2187</v>
      </c>
      <c r="I953" s="5" t="s">
        <v>2188</v>
      </c>
      <c r="J953" s="5" t="s">
        <v>2189</v>
      </c>
    </row>
    <row r="954" ht="15.75" customHeight="1">
      <c r="A954" s="5">
        <v>953.0</v>
      </c>
      <c r="B954" s="5" t="s">
        <v>2615</v>
      </c>
      <c r="C954" s="5" t="s">
        <v>764</v>
      </c>
      <c r="D954" s="5" t="s">
        <v>685</v>
      </c>
      <c r="E954" s="5">
        <v>5.70038355406E11</v>
      </c>
      <c r="F954" s="5" t="s">
        <v>2616</v>
      </c>
      <c r="G954" s="5" t="s">
        <v>38</v>
      </c>
      <c r="H954" s="5" t="s">
        <v>2187</v>
      </c>
      <c r="I954" s="5" t="s">
        <v>2188</v>
      </c>
      <c r="J954" s="5" t="s">
        <v>2189</v>
      </c>
    </row>
    <row r="955" ht="15.75" customHeight="1">
      <c r="A955" s="5">
        <v>954.0</v>
      </c>
      <c r="B955" s="5" t="s">
        <v>1185</v>
      </c>
      <c r="C955" s="5" t="s">
        <v>764</v>
      </c>
      <c r="D955" s="5" t="s">
        <v>685</v>
      </c>
      <c r="E955" s="5">
        <v>5.70038355407E11</v>
      </c>
      <c r="F955" s="5" t="s">
        <v>2617</v>
      </c>
      <c r="G955" s="5" t="s">
        <v>38</v>
      </c>
      <c r="H955" s="5" t="s">
        <v>2187</v>
      </c>
      <c r="I955" s="5" t="s">
        <v>2188</v>
      </c>
      <c r="J955" s="5" t="s">
        <v>2189</v>
      </c>
    </row>
    <row r="956" ht="15.75" customHeight="1">
      <c r="A956" s="5">
        <v>959.0</v>
      </c>
      <c r="B956" s="5" t="s">
        <v>2618</v>
      </c>
      <c r="C956" s="5" t="s">
        <v>2619</v>
      </c>
      <c r="D956" s="5" t="s">
        <v>2223</v>
      </c>
      <c r="E956" s="5">
        <v>5.70038355408E11</v>
      </c>
      <c r="F956" s="5" t="s">
        <v>2620</v>
      </c>
      <c r="G956" s="5" t="s">
        <v>18</v>
      </c>
      <c r="H956" s="5" t="s">
        <v>2187</v>
      </c>
      <c r="I956" s="5" t="s">
        <v>2188</v>
      </c>
      <c r="J956" s="5" t="s">
        <v>2189</v>
      </c>
    </row>
    <row r="957" ht="15.75" customHeight="1">
      <c r="A957" s="5">
        <v>956.0</v>
      </c>
      <c r="B957" s="5" t="s">
        <v>2621</v>
      </c>
      <c r="C957" s="5" t="s">
        <v>2597</v>
      </c>
      <c r="D957" s="5" t="s">
        <v>2563</v>
      </c>
      <c r="E957" s="5">
        <v>5.70038355409E11</v>
      </c>
      <c r="F957" s="5" t="s">
        <v>1530</v>
      </c>
      <c r="G957" s="5" t="s">
        <v>18</v>
      </c>
      <c r="H957" s="5" t="s">
        <v>2187</v>
      </c>
      <c r="I957" s="5" t="s">
        <v>2188</v>
      </c>
      <c r="J957" s="5" t="s">
        <v>2189</v>
      </c>
    </row>
    <row r="958" ht="15.75" customHeight="1">
      <c r="A958" s="5">
        <v>957.0</v>
      </c>
      <c r="B958" s="5" t="s">
        <v>608</v>
      </c>
      <c r="C958" s="5" t="s">
        <v>2465</v>
      </c>
      <c r="D958" s="5" t="s">
        <v>2622</v>
      </c>
      <c r="E958" s="5">
        <v>5.70038355415E11</v>
      </c>
      <c r="F958" s="5" t="s">
        <v>2623</v>
      </c>
      <c r="G958" s="5" t="s">
        <v>24</v>
      </c>
      <c r="H958" s="5" t="s">
        <v>2187</v>
      </c>
      <c r="I958" s="5" t="s">
        <v>2188</v>
      </c>
      <c r="J958" s="5" t="s">
        <v>2189</v>
      </c>
    </row>
    <row r="959" ht="15.75" customHeight="1">
      <c r="A959" s="5">
        <v>958.0</v>
      </c>
      <c r="B959" s="5" t="s">
        <v>2624</v>
      </c>
      <c r="C959" s="5" t="s">
        <v>2625</v>
      </c>
      <c r="D959" s="5" t="s">
        <v>2626</v>
      </c>
      <c r="E959" s="5">
        <v>5.70038355419E11</v>
      </c>
      <c r="F959" s="5" t="s">
        <v>2627</v>
      </c>
      <c r="G959" s="5" t="s">
        <v>90</v>
      </c>
      <c r="H959" s="5" t="s">
        <v>2187</v>
      </c>
      <c r="I959" s="5" t="s">
        <v>2188</v>
      </c>
      <c r="J959" s="5" t="s">
        <v>2189</v>
      </c>
    </row>
    <row r="960" ht="15.75" customHeight="1">
      <c r="A960" s="5">
        <v>959.0</v>
      </c>
      <c r="B960" s="5" t="s">
        <v>257</v>
      </c>
      <c r="C960" s="5" t="s">
        <v>2628</v>
      </c>
      <c r="D960" s="5" t="s">
        <v>2629</v>
      </c>
      <c r="E960" s="5">
        <v>5.70038355427E11</v>
      </c>
      <c r="F960" s="5" t="s">
        <v>2630</v>
      </c>
      <c r="G960" s="5" t="s">
        <v>38</v>
      </c>
      <c r="H960" s="5" t="s">
        <v>2187</v>
      </c>
      <c r="I960" s="5" t="s">
        <v>2188</v>
      </c>
      <c r="J960" s="5" t="s">
        <v>2189</v>
      </c>
    </row>
    <row r="961" ht="15.75" customHeight="1">
      <c r="A961" s="5">
        <v>960.0</v>
      </c>
      <c r="B961" s="5" t="s">
        <v>729</v>
      </c>
      <c r="C961" s="5" t="s">
        <v>2631</v>
      </c>
      <c r="D961" s="5" t="s">
        <v>2632</v>
      </c>
      <c r="E961" s="5">
        <v>5.7003835543E10</v>
      </c>
      <c r="F961" s="5" t="s">
        <v>2633</v>
      </c>
      <c r="G961" s="5" t="s">
        <v>24</v>
      </c>
      <c r="H961" s="5" t="s">
        <v>2187</v>
      </c>
      <c r="I961" s="5" t="s">
        <v>2188</v>
      </c>
      <c r="J961" s="5" t="s">
        <v>2189</v>
      </c>
    </row>
    <row r="962" ht="15.75" customHeight="1">
      <c r="A962" s="5">
        <v>961.0</v>
      </c>
      <c r="B962" s="5" t="s">
        <v>2634</v>
      </c>
      <c r="C962" s="5" t="s">
        <v>1934</v>
      </c>
      <c r="D962" s="5" t="s">
        <v>193</v>
      </c>
      <c r="E962" s="5">
        <v>5.70038355442E11</v>
      </c>
      <c r="F962" s="5" t="s">
        <v>2635</v>
      </c>
      <c r="G962" s="5" t="s">
        <v>90</v>
      </c>
      <c r="H962" s="5" t="s">
        <v>2187</v>
      </c>
      <c r="I962" s="5" t="s">
        <v>2188</v>
      </c>
      <c r="J962" s="5" t="s">
        <v>2189</v>
      </c>
    </row>
    <row r="963" ht="15.75" customHeight="1">
      <c r="A963" s="5">
        <v>962.0</v>
      </c>
      <c r="B963" s="5" t="s">
        <v>70</v>
      </c>
      <c r="C963" s="5" t="s">
        <v>1685</v>
      </c>
      <c r="D963" s="5" t="s">
        <v>68</v>
      </c>
      <c r="E963" s="5">
        <v>5.70038355444E11</v>
      </c>
      <c r="F963" s="5" t="s">
        <v>2636</v>
      </c>
      <c r="G963" s="5" t="s">
        <v>18</v>
      </c>
      <c r="H963" s="5" t="s">
        <v>2187</v>
      </c>
      <c r="I963" s="5" t="s">
        <v>2188</v>
      </c>
      <c r="J963" s="5" t="s">
        <v>2189</v>
      </c>
    </row>
    <row r="964" ht="15.75" customHeight="1">
      <c r="A964" s="5">
        <v>963.0</v>
      </c>
      <c r="B964" s="5" t="s">
        <v>410</v>
      </c>
      <c r="C964" s="5" t="s">
        <v>2637</v>
      </c>
      <c r="D964" s="5" t="s">
        <v>2638</v>
      </c>
      <c r="E964" s="5">
        <v>5.70038355446E11</v>
      </c>
      <c r="F964" s="5" t="s">
        <v>2633</v>
      </c>
      <c r="G964" s="5" t="s">
        <v>18</v>
      </c>
      <c r="H964" s="5" t="s">
        <v>2187</v>
      </c>
      <c r="I964" s="5" t="s">
        <v>2188</v>
      </c>
      <c r="J964" s="5" t="s">
        <v>2189</v>
      </c>
    </row>
    <row r="965" ht="15.75" customHeight="1">
      <c r="A965" s="5">
        <v>964.0</v>
      </c>
      <c r="B965" s="5" t="s">
        <v>2639</v>
      </c>
      <c r="C965" s="5" t="s">
        <v>2640</v>
      </c>
      <c r="D965" s="5" t="s">
        <v>2641</v>
      </c>
      <c r="E965" s="5">
        <v>5.70038355448E11</v>
      </c>
      <c r="F965" s="5" t="s">
        <v>1047</v>
      </c>
      <c r="G965" s="5" t="s">
        <v>38</v>
      </c>
      <c r="H965" s="5" t="s">
        <v>2187</v>
      </c>
      <c r="I965" s="5" t="s">
        <v>2188</v>
      </c>
      <c r="J965" s="5" t="s">
        <v>2189</v>
      </c>
    </row>
    <row r="966" ht="15.75" customHeight="1">
      <c r="A966" s="5">
        <v>965.0</v>
      </c>
      <c r="B966" s="5" t="s">
        <v>2642</v>
      </c>
      <c r="C966" s="5" t="s">
        <v>2643</v>
      </c>
      <c r="D966" s="5" t="s">
        <v>2644</v>
      </c>
      <c r="E966" s="5">
        <v>5.70038355449E11</v>
      </c>
      <c r="F966" s="5" t="s">
        <v>2645</v>
      </c>
      <c r="G966" s="5" t="s">
        <v>18</v>
      </c>
      <c r="H966" s="5" t="s">
        <v>2187</v>
      </c>
      <c r="I966" s="5" t="s">
        <v>2188</v>
      </c>
      <c r="J966" s="5" t="s">
        <v>2189</v>
      </c>
    </row>
    <row r="967" ht="15.75" customHeight="1">
      <c r="A967" s="5">
        <v>966.0</v>
      </c>
      <c r="B967" s="5" t="s">
        <v>2646</v>
      </c>
      <c r="C967" s="5" t="s">
        <v>2647</v>
      </c>
      <c r="D967" s="5" t="s">
        <v>2648</v>
      </c>
      <c r="E967" s="5">
        <v>5.7003835545E11</v>
      </c>
      <c r="F967" s="5" t="s">
        <v>2649</v>
      </c>
      <c r="G967" s="5" t="s">
        <v>18</v>
      </c>
      <c r="H967" s="5" t="s">
        <v>2187</v>
      </c>
      <c r="I967" s="5" t="s">
        <v>2188</v>
      </c>
      <c r="J967" s="5" t="s">
        <v>2189</v>
      </c>
    </row>
    <row r="968" ht="15.75" customHeight="1">
      <c r="A968" s="5">
        <v>967.0</v>
      </c>
      <c r="B968" s="5" t="s">
        <v>2650</v>
      </c>
      <c r="C968" s="5" t="s">
        <v>2651</v>
      </c>
      <c r="D968" s="5" t="s">
        <v>1384</v>
      </c>
      <c r="E968" s="5">
        <v>5.70038355452E11</v>
      </c>
      <c r="F968" s="5" t="s">
        <v>2652</v>
      </c>
      <c r="G968" s="5" t="s">
        <v>18</v>
      </c>
      <c r="H968" s="5" t="s">
        <v>2187</v>
      </c>
      <c r="I968" s="5" t="s">
        <v>2188</v>
      </c>
      <c r="J968" s="5" t="s">
        <v>2189</v>
      </c>
    </row>
    <row r="969" ht="15.75" customHeight="1">
      <c r="A969" s="5">
        <v>968.0</v>
      </c>
      <c r="B969" s="5" t="s">
        <v>263</v>
      </c>
      <c r="C969" s="5" t="s">
        <v>257</v>
      </c>
      <c r="D969" s="5" t="s">
        <v>392</v>
      </c>
      <c r="E969" s="5">
        <v>5.70038355453E11</v>
      </c>
      <c r="F969" s="5" t="s">
        <v>2653</v>
      </c>
      <c r="G969" s="5" t="s">
        <v>18</v>
      </c>
      <c r="H969" s="5" t="s">
        <v>2187</v>
      </c>
      <c r="I969" s="5" t="s">
        <v>2188</v>
      </c>
      <c r="J969" s="5" t="s">
        <v>2189</v>
      </c>
    </row>
    <row r="970" ht="15.75" customHeight="1">
      <c r="A970" s="5">
        <v>969.0</v>
      </c>
      <c r="B970" s="5" t="s">
        <v>2465</v>
      </c>
      <c r="C970" s="5" t="s">
        <v>2654</v>
      </c>
      <c r="D970" s="5" t="s">
        <v>2655</v>
      </c>
      <c r="E970" s="5">
        <v>5.70038355454E11</v>
      </c>
      <c r="F970" s="5" t="s">
        <v>2656</v>
      </c>
      <c r="G970" s="5" t="s">
        <v>18</v>
      </c>
      <c r="H970" s="5" t="s">
        <v>2187</v>
      </c>
      <c r="I970" s="5" t="s">
        <v>2188</v>
      </c>
      <c r="J970" s="5" t="s">
        <v>2189</v>
      </c>
    </row>
    <row r="971" ht="15.75" customHeight="1">
      <c r="A971" s="2">
        <v>970.0</v>
      </c>
      <c r="B971" s="1" t="s">
        <v>2657</v>
      </c>
      <c r="C971" s="1" t="s">
        <v>2658</v>
      </c>
      <c r="D971" s="1" t="s">
        <v>2659</v>
      </c>
      <c r="E971" s="2">
        <v>5.70038355455E11</v>
      </c>
      <c r="F971" s="1" t="s">
        <v>2660</v>
      </c>
      <c r="G971" s="1" t="s">
        <v>38</v>
      </c>
      <c r="H971" s="3" t="s">
        <v>2661</v>
      </c>
      <c r="I971" s="1"/>
    </row>
    <row r="972" ht="15.75" customHeight="1">
      <c r="A972" s="2">
        <v>971.0</v>
      </c>
      <c r="B972" s="1" t="s">
        <v>2662</v>
      </c>
      <c r="C972" s="1" t="s">
        <v>2658</v>
      </c>
      <c r="D972" s="1" t="s">
        <v>2659</v>
      </c>
      <c r="E972" s="2">
        <v>5.70038355456E11</v>
      </c>
      <c r="F972" s="1" t="s">
        <v>2663</v>
      </c>
      <c r="G972" s="1" t="s">
        <v>38</v>
      </c>
      <c r="H972" s="3" t="s">
        <v>2661</v>
      </c>
      <c r="I972" s="1"/>
    </row>
    <row r="973" ht="15.75" customHeight="1">
      <c r="A973" s="2">
        <v>972.0</v>
      </c>
      <c r="B973" s="1" t="s">
        <v>1167</v>
      </c>
      <c r="C973" s="1" t="s">
        <v>2658</v>
      </c>
      <c r="D973" s="1" t="s">
        <v>2659</v>
      </c>
      <c r="E973" s="2">
        <v>5.70038355457E11</v>
      </c>
      <c r="F973" s="1" t="s">
        <v>2590</v>
      </c>
      <c r="G973" s="1" t="s">
        <v>38</v>
      </c>
      <c r="H973" s="3" t="s">
        <v>2661</v>
      </c>
      <c r="I973" s="1"/>
    </row>
    <row r="974" ht="15.75" customHeight="1">
      <c r="A974" s="2">
        <v>973.0</v>
      </c>
      <c r="B974" s="1" t="s">
        <v>2664</v>
      </c>
      <c r="C974" s="1" t="s">
        <v>2624</v>
      </c>
      <c r="D974" s="1" t="s">
        <v>2665</v>
      </c>
      <c r="E974" s="2">
        <v>5.70038355459E11</v>
      </c>
      <c r="F974" s="1" t="s">
        <v>2522</v>
      </c>
      <c r="G974" s="1" t="s">
        <v>18</v>
      </c>
      <c r="H974" s="3" t="s">
        <v>2661</v>
      </c>
      <c r="I974" s="1"/>
    </row>
    <row r="975" ht="15.75" customHeight="1">
      <c r="A975" s="2">
        <v>974.0</v>
      </c>
      <c r="B975" s="1" t="s">
        <v>106</v>
      </c>
      <c r="C975" s="1" t="s">
        <v>2666</v>
      </c>
      <c r="D975" s="1" t="s">
        <v>2667</v>
      </c>
      <c r="E975" s="2">
        <v>5.70038355462E11</v>
      </c>
      <c r="F975" s="1" t="s">
        <v>2668</v>
      </c>
      <c r="G975" s="1" t="s">
        <v>18</v>
      </c>
      <c r="H975" s="3" t="s">
        <v>2661</v>
      </c>
      <c r="I975" s="1"/>
    </row>
    <row r="976" ht="15.75" customHeight="1">
      <c r="A976" s="2">
        <v>975.0</v>
      </c>
      <c r="B976" s="1" t="s">
        <v>2669</v>
      </c>
      <c r="C976" s="1" t="s">
        <v>2670</v>
      </c>
      <c r="D976" s="1" t="s">
        <v>2671</v>
      </c>
      <c r="E976" s="2">
        <v>5.70038355463E11</v>
      </c>
      <c r="F976" s="1" t="s">
        <v>2672</v>
      </c>
      <c r="G976" s="1" t="s">
        <v>18</v>
      </c>
      <c r="H976" s="3" t="s">
        <v>2661</v>
      </c>
      <c r="I976" s="1"/>
    </row>
    <row r="977" ht="15.75" customHeight="1">
      <c r="A977" s="2">
        <v>976.0</v>
      </c>
      <c r="B977" s="1" t="s">
        <v>897</v>
      </c>
      <c r="C977" s="1" t="s">
        <v>2673</v>
      </c>
      <c r="D977" s="1" t="s">
        <v>467</v>
      </c>
      <c r="E977" s="2">
        <v>5.70038355464E11</v>
      </c>
      <c r="F977" s="1" t="s">
        <v>2674</v>
      </c>
      <c r="G977" s="1" t="s">
        <v>18</v>
      </c>
      <c r="H977" s="3" t="s">
        <v>2661</v>
      </c>
      <c r="I977" s="1"/>
    </row>
    <row r="978" ht="15.75" customHeight="1">
      <c r="A978" s="2">
        <v>977.0</v>
      </c>
      <c r="B978" s="1" t="s">
        <v>2557</v>
      </c>
      <c r="C978" s="1" t="s">
        <v>2675</v>
      </c>
      <c r="D978" s="1" t="s">
        <v>494</v>
      </c>
      <c r="E978" s="2">
        <v>5.70038355465E11</v>
      </c>
      <c r="F978" s="1" t="s">
        <v>2676</v>
      </c>
      <c r="G978" s="1" t="s">
        <v>18</v>
      </c>
      <c r="H978" s="3" t="s">
        <v>2661</v>
      </c>
      <c r="I978" s="1"/>
    </row>
    <row r="979" ht="15.75" customHeight="1">
      <c r="A979" s="2">
        <v>978.0</v>
      </c>
      <c r="B979" s="1" t="s">
        <v>1379</v>
      </c>
      <c r="C979" s="1" t="s">
        <v>2677</v>
      </c>
      <c r="D979" s="1" t="s">
        <v>2678</v>
      </c>
      <c r="E979" s="2">
        <v>5.70038355466E11</v>
      </c>
      <c r="F979" s="1" t="s">
        <v>2679</v>
      </c>
      <c r="G979" s="1" t="s">
        <v>90</v>
      </c>
      <c r="H979" s="3" t="s">
        <v>2661</v>
      </c>
      <c r="I979" s="1"/>
    </row>
    <row r="980" ht="15.75" customHeight="1">
      <c r="A980" s="2">
        <v>979.0</v>
      </c>
      <c r="B980" s="1" t="s">
        <v>597</v>
      </c>
      <c r="C980" s="1" t="s">
        <v>2680</v>
      </c>
      <c r="D980" s="1" t="s">
        <v>2681</v>
      </c>
      <c r="E980" s="2">
        <v>5.70038355468E11</v>
      </c>
      <c r="F980" s="1" t="s">
        <v>2682</v>
      </c>
      <c r="G980" s="1" t="s">
        <v>90</v>
      </c>
      <c r="H980" s="3" t="s">
        <v>2661</v>
      </c>
      <c r="I980" s="1"/>
    </row>
    <row r="981" ht="15.75" customHeight="1">
      <c r="A981" s="2">
        <v>980.0</v>
      </c>
      <c r="B981" s="1" t="s">
        <v>2683</v>
      </c>
      <c r="C981" s="1" t="s">
        <v>2680</v>
      </c>
      <c r="D981" s="1" t="s">
        <v>2681</v>
      </c>
      <c r="E981" s="2">
        <v>5.70038355469E11</v>
      </c>
      <c r="F981" s="1" t="s">
        <v>2684</v>
      </c>
      <c r="G981" s="1" t="s">
        <v>18</v>
      </c>
      <c r="H981" s="3" t="s">
        <v>2661</v>
      </c>
      <c r="I981" s="1"/>
    </row>
    <row r="982" ht="15.75" customHeight="1">
      <c r="A982" s="2">
        <v>981.0</v>
      </c>
      <c r="B982" s="1" t="s">
        <v>722</v>
      </c>
      <c r="C982" s="1" t="s">
        <v>2685</v>
      </c>
      <c r="D982" s="1" t="s">
        <v>2686</v>
      </c>
      <c r="E982" s="2">
        <v>5.7003835547E11</v>
      </c>
      <c r="F982" s="1" t="s">
        <v>2687</v>
      </c>
      <c r="G982" s="1" t="s">
        <v>38</v>
      </c>
      <c r="H982" s="3" t="s">
        <v>2661</v>
      </c>
      <c r="I982" s="1"/>
    </row>
    <row r="983" ht="15.75" customHeight="1">
      <c r="A983" s="2">
        <v>982.0</v>
      </c>
      <c r="B983" s="1" t="s">
        <v>2688</v>
      </c>
      <c r="C983" s="1" t="s">
        <v>2481</v>
      </c>
      <c r="D983" s="1" t="s">
        <v>401</v>
      </c>
      <c r="E983" s="2">
        <v>5.70038355472E11</v>
      </c>
      <c r="F983" s="1" t="s">
        <v>2689</v>
      </c>
      <c r="G983" s="1" t="s">
        <v>18</v>
      </c>
      <c r="H983" s="3" t="s">
        <v>2661</v>
      </c>
      <c r="I983" s="1"/>
    </row>
    <row r="984" ht="15.75" customHeight="1">
      <c r="A984" s="2">
        <v>983.0</v>
      </c>
      <c r="B984" s="1" t="s">
        <v>2690</v>
      </c>
      <c r="C984" s="1" t="s">
        <v>687</v>
      </c>
      <c r="D984" s="1" t="s">
        <v>2691</v>
      </c>
      <c r="E984" s="2">
        <v>5.70038355485E11</v>
      </c>
      <c r="F984" s="1" t="s">
        <v>2692</v>
      </c>
      <c r="G984" s="1" t="s">
        <v>38</v>
      </c>
      <c r="H984" s="3" t="s">
        <v>2661</v>
      </c>
      <c r="I984" s="1"/>
    </row>
    <row r="985" ht="15.75" customHeight="1">
      <c r="A985" s="2">
        <v>984.0</v>
      </c>
      <c r="B985" s="1" t="s">
        <v>323</v>
      </c>
      <c r="C985" s="1" t="s">
        <v>2693</v>
      </c>
      <c r="D985" s="1" t="s">
        <v>2694</v>
      </c>
      <c r="E985" s="2">
        <v>5.70038355487E11</v>
      </c>
      <c r="F985" s="1" t="s">
        <v>2447</v>
      </c>
      <c r="G985" s="1" t="s">
        <v>24</v>
      </c>
      <c r="H985" s="3" t="s">
        <v>2661</v>
      </c>
      <c r="I985" s="1"/>
    </row>
    <row r="986" ht="15.75" customHeight="1">
      <c r="A986" s="2">
        <v>985.0</v>
      </c>
      <c r="B986" s="1" t="s">
        <v>2688</v>
      </c>
      <c r="C986" s="1" t="s">
        <v>2695</v>
      </c>
      <c r="D986" s="1" t="s">
        <v>2696</v>
      </c>
      <c r="E986" s="2">
        <v>5.70038355489E11</v>
      </c>
      <c r="F986" s="1" t="s">
        <v>2697</v>
      </c>
      <c r="G986" s="1" t="s">
        <v>24</v>
      </c>
      <c r="H986" s="3" t="s">
        <v>2661</v>
      </c>
      <c r="I986" s="1"/>
    </row>
    <row r="987" ht="15.75" customHeight="1">
      <c r="A987" s="2">
        <v>986.0</v>
      </c>
      <c r="B987" s="1" t="s">
        <v>308</v>
      </c>
      <c r="C987" s="1" t="s">
        <v>2698</v>
      </c>
      <c r="D987" s="1" t="s">
        <v>2699</v>
      </c>
      <c r="E987" s="2">
        <v>5.70038355491E11</v>
      </c>
      <c r="F987" s="1" t="s">
        <v>2700</v>
      </c>
      <c r="G987" s="1" t="s">
        <v>90</v>
      </c>
      <c r="H987" s="3" t="s">
        <v>2661</v>
      </c>
      <c r="I987" s="1"/>
    </row>
    <row r="988" ht="15.75" customHeight="1">
      <c r="A988" s="2">
        <v>987.0</v>
      </c>
      <c r="B988" s="1" t="s">
        <v>2701</v>
      </c>
      <c r="C988" s="1" t="s">
        <v>1513</v>
      </c>
      <c r="D988" s="1" t="s">
        <v>2702</v>
      </c>
      <c r="E988" s="2">
        <v>5.70038355502E11</v>
      </c>
      <c r="F988" s="1" t="s">
        <v>2703</v>
      </c>
      <c r="G988" s="1" t="s">
        <v>24</v>
      </c>
      <c r="H988" s="3" t="s">
        <v>2661</v>
      </c>
      <c r="I988" s="1"/>
    </row>
    <row r="989" ht="15.75" customHeight="1">
      <c r="A989" s="2">
        <v>988.0</v>
      </c>
      <c r="B989" s="1" t="s">
        <v>263</v>
      </c>
      <c r="C989" s="1" t="s">
        <v>2704</v>
      </c>
      <c r="D989" s="1" t="s">
        <v>2705</v>
      </c>
      <c r="E989" s="2">
        <v>5.70038355504E11</v>
      </c>
      <c r="F989" s="1" t="s">
        <v>763</v>
      </c>
      <c r="G989" s="1" t="s">
        <v>90</v>
      </c>
      <c r="H989" s="3" t="s">
        <v>2661</v>
      </c>
      <c r="I989" s="1"/>
    </row>
    <row r="990" ht="15.75" customHeight="1">
      <c r="A990" s="2">
        <v>989.0</v>
      </c>
      <c r="B990" s="1" t="s">
        <v>2706</v>
      </c>
      <c r="C990" s="1" t="s">
        <v>2704</v>
      </c>
      <c r="D990" s="1" t="s">
        <v>2705</v>
      </c>
      <c r="E990" s="2">
        <v>5.70038355506E11</v>
      </c>
      <c r="F990" s="1" t="s">
        <v>2707</v>
      </c>
      <c r="G990" s="1" t="s">
        <v>24</v>
      </c>
      <c r="H990" s="3" t="s">
        <v>2661</v>
      </c>
      <c r="I990" s="1"/>
    </row>
    <row r="991" ht="15.75" customHeight="1">
      <c r="A991" s="2">
        <v>990.0</v>
      </c>
      <c r="B991" s="1" t="s">
        <v>180</v>
      </c>
      <c r="C991" s="1" t="s">
        <v>2706</v>
      </c>
      <c r="D991" s="1" t="s">
        <v>2708</v>
      </c>
      <c r="E991" s="2">
        <v>5.70038355508E11</v>
      </c>
      <c r="F991" s="1" t="s">
        <v>2709</v>
      </c>
      <c r="G991" s="1" t="s">
        <v>90</v>
      </c>
      <c r="H991" s="3" t="s">
        <v>2661</v>
      </c>
      <c r="I991" s="1"/>
    </row>
    <row r="992" ht="15.75" customHeight="1">
      <c r="A992" s="2">
        <v>991.0</v>
      </c>
      <c r="B992" s="1" t="s">
        <v>2710</v>
      </c>
      <c r="C992" s="1" t="s">
        <v>2711</v>
      </c>
      <c r="D992" s="1" t="s">
        <v>2712</v>
      </c>
      <c r="E992" s="2">
        <v>5.7003835551E11</v>
      </c>
      <c r="F992" s="1" t="s">
        <v>2713</v>
      </c>
      <c r="G992" s="1" t="s">
        <v>24</v>
      </c>
      <c r="H992" s="3" t="s">
        <v>2661</v>
      </c>
      <c r="I992" s="1"/>
    </row>
    <row r="993" ht="15.75" customHeight="1">
      <c r="A993" s="2">
        <v>992.0</v>
      </c>
      <c r="B993" s="1" t="s">
        <v>2714</v>
      </c>
      <c r="C993" s="1" t="s">
        <v>32</v>
      </c>
      <c r="D993" s="1" t="s">
        <v>2715</v>
      </c>
      <c r="E993" s="2">
        <v>5.70038355512E11</v>
      </c>
      <c r="F993" s="1" t="s">
        <v>2716</v>
      </c>
      <c r="G993" s="1" t="s">
        <v>24</v>
      </c>
      <c r="H993" s="3" t="s">
        <v>2661</v>
      </c>
      <c r="I993" s="1"/>
    </row>
    <row r="994" ht="15.75" customHeight="1">
      <c r="A994" s="2">
        <v>993.0</v>
      </c>
      <c r="B994" s="1" t="s">
        <v>845</v>
      </c>
      <c r="C994" s="1" t="s">
        <v>2717</v>
      </c>
      <c r="D994" s="1" t="s">
        <v>2718</v>
      </c>
      <c r="E994" s="2">
        <v>5.70038355514E11</v>
      </c>
      <c r="F994" s="1" t="s">
        <v>2719</v>
      </c>
      <c r="G994" s="1" t="s">
        <v>24</v>
      </c>
      <c r="H994" s="3" t="s">
        <v>2661</v>
      </c>
      <c r="I994" s="1"/>
    </row>
    <row r="995" ht="15.75" customHeight="1">
      <c r="A995" s="2">
        <v>994.0</v>
      </c>
      <c r="B995" s="1" t="s">
        <v>43</v>
      </c>
      <c r="C995" s="1" t="s">
        <v>32</v>
      </c>
      <c r="D995" s="1" t="s">
        <v>2686</v>
      </c>
      <c r="E995" s="2">
        <v>5.70038355515E11</v>
      </c>
      <c r="F995" s="1" t="s">
        <v>2720</v>
      </c>
      <c r="G995" s="1" t="s">
        <v>24</v>
      </c>
      <c r="H995" s="3" t="s">
        <v>2661</v>
      </c>
      <c r="I995" s="1"/>
    </row>
    <row r="996" ht="15.75" customHeight="1">
      <c r="A996" s="2">
        <v>995.0</v>
      </c>
      <c r="B996" s="1" t="s">
        <v>2721</v>
      </c>
      <c r="C996" s="1" t="s">
        <v>1887</v>
      </c>
      <c r="D996" s="1" t="s">
        <v>2722</v>
      </c>
      <c r="E996" s="2">
        <v>5.70038355518E11</v>
      </c>
      <c r="F996" s="1" t="s">
        <v>2723</v>
      </c>
      <c r="G996" s="1" t="s">
        <v>24</v>
      </c>
      <c r="H996" s="3" t="s">
        <v>2661</v>
      </c>
      <c r="I996" s="1"/>
    </row>
    <row r="997" ht="15.75" customHeight="1">
      <c r="A997" s="2">
        <v>996.0</v>
      </c>
      <c r="B997" s="1" t="s">
        <v>165</v>
      </c>
      <c r="C997" s="1" t="s">
        <v>2724</v>
      </c>
      <c r="D997" s="1" t="s">
        <v>2725</v>
      </c>
      <c r="E997" s="2">
        <v>5.7003835552E11</v>
      </c>
      <c r="F997" s="1" t="s">
        <v>2726</v>
      </c>
      <c r="G997" s="1" t="s">
        <v>90</v>
      </c>
      <c r="H997" s="3" t="s">
        <v>2661</v>
      </c>
      <c r="I997" s="1"/>
    </row>
    <row r="998" ht="15.75" customHeight="1">
      <c r="A998" s="2">
        <v>997.0</v>
      </c>
      <c r="B998" s="1" t="s">
        <v>2727</v>
      </c>
      <c r="C998" s="1" t="s">
        <v>1794</v>
      </c>
      <c r="D998" s="1" t="s">
        <v>2728</v>
      </c>
      <c r="E998" s="2">
        <v>5.70038355528E11</v>
      </c>
      <c r="F998" s="1" t="s">
        <v>2729</v>
      </c>
      <c r="G998" s="1" t="s">
        <v>90</v>
      </c>
      <c r="H998" s="3" t="s">
        <v>2661</v>
      </c>
      <c r="I998" s="1"/>
    </row>
    <row r="999" ht="15.75" customHeight="1">
      <c r="A999" s="2">
        <v>998.0</v>
      </c>
      <c r="B999" s="1" t="s">
        <v>2730</v>
      </c>
      <c r="C999" s="1" t="s">
        <v>2731</v>
      </c>
      <c r="D999" s="1" t="s">
        <v>2732</v>
      </c>
      <c r="E999" s="2">
        <v>5.70038355529E11</v>
      </c>
      <c r="F999" s="1" t="s">
        <v>2733</v>
      </c>
      <c r="G999" s="1" t="s">
        <v>24</v>
      </c>
      <c r="H999" s="3" t="s">
        <v>2661</v>
      </c>
      <c r="I999" s="1"/>
    </row>
    <row r="1000" ht="15.75" customHeight="1">
      <c r="A1000" s="2">
        <v>999.0</v>
      </c>
      <c r="B1000" s="1" t="s">
        <v>60</v>
      </c>
      <c r="C1000" s="1" t="s">
        <v>2734</v>
      </c>
      <c r="D1000" s="1" t="s">
        <v>2735</v>
      </c>
      <c r="E1000" s="2">
        <v>5.7003835553E11</v>
      </c>
      <c r="F1000" s="1" t="s">
        <v>197</v>
      </c>
      <c r="G1000" s="1" t="s">
        <v>90</v>
      </c>
      <c r="H1000" s="3" t="s">
        <v>2661</v>
      </c>
      <c r="I1000" s="1"/>
    </row>
    <row r="1001" ht="15.75" customHeight="1">
      <c r="A1001" s="2">
        <v>1000.0</v>
      </c>
      <c r="B1001" s="1" t="s">
        <v>2736</v>
      </c>
      <c r="C1001" s="1" t="s">
        <v>2737</v>
      </c>
      <c r="D1001" s="1" t="s">
        <v>494</v>
      </c>
      <c r="E1001" s="2">
        <v>5.70038355532E11</v>
      </c>
      <c r="F1001" s="1" t="s">
        <v>2738</v>
      </c>
      <c r="G1001" s="1" t="s">
        <v>24</v>
      </c>
      <c r="H1001" s="3" t="s">
        <v>2661</v>
      </c>
      <c r="I1001" s="1"/>
    </row>
    <row r="1002" ht="15.75" customHeight="1">
      <c r="A1002" s="2">
        <v>1001.0</v>
      </c>
      <c r="B1002" s="1" t="s">
        <v>184</v>
      </c>
      <c r="C1002" s="1" t="s">
        <v>2736</v>
      </c>
      <c r="D1002" s="1" t="s">
        <v>2739</v>
      </c>
      <c r="E1002" s="2">
        <v>5.70038355533E11</v>
      </c>
      <c r="F1002" s="1" t="s">
        <v>2740</v>
      </c>
      <c r="G1002" s="1" t="s">
        <v>38</v>
      </c>
      <c r="H1002" s="3" t="s">
        <v>2661</v>
      </c>
      <c r="I1002" s="1"/>
    </row>
    <row r="1003" ht="15.75" customHeight="1">
      <c r="A1003" s="2">
        <v>1002.0</v>
      </c>
      <c r="B1003" s="1" t="s">
        <v>762</v>
      </c>
      <c r="C1003" s="1" t="s">
        <v>2717</v>
      </c>
      <c r="D1003" s="1" t="s">
        <v>2741</v>
      </c>
      <c r="E1003" s="2">
        <v>5.70038355539E11</v>
      </c>
      <c r="F1003" s="1" t="s">
        <v>2742</v>
      </c>
      <c r="G1003" s="1" t="s">
        <v>24</v>
      </c>
      <c r="H1003" s="3" t="s">
        <v>2661</v>
      </c>
      <c r="I1003" s="1"/>
    </row>
    <row r="1004" ht="15.75" customHeight="1">
      <c r="A1004" s="2">
        <v>1003.0</v>
      </c>
      <c r="B1004" s="1" t="s">
        <v>2743</v>
      </c>
      <c r="C1004" s="1" t="s">
        <v>2730</v>
      </c>
      <c r="D1004" s="1" t="s">
        <v>453</v>
      </c>
      <c r="E1004" s="2">
        <v>5.70038355541E11</v>
      </c>
      <c r="F1004" s="1" t="s">
        <v>2744</v>
      </c>
      <c r="G1004" s="1" t="s">
        <v>38</v>
      </c>
      <c r="H1004" s="3" t="s">
        <v>2661</v>
      </c>
      <c r="I1004" s="1"/>
    </row>
    <row r="1005" ht="15.75" customHeight="1">
      <c r="A1005" s="2">
        <v>1004.0</v>
      </c>
      <c r="B1005" s="1" t="s">
        <v>2745</v>
      </c>
      <c r="C1005" s="1" t="s">
        <v>2724</v>
      </c>
      <c r="D1005" s="1" t="s">
        <v>2746</v>
      </c>
      <c r="E1005" s="2">
        <v>5.70038355544E11</v>
      </c>
      <c r="F1005" s="1" t="s">
        <v>2747</v>
      </c>
      <c r="G1005" s="1" t="s">
        <v>90</v>
      </c>
      <c r="H1005" s="3" t="s">
        <v>2661</v>
      </c>
      <c r="I1005" s="1"/>
    </row>
    <row r="1006" ht="15.75" customHeight="1">
      <c r="A1006" s="2">
        <v>1005.0</v>
      </c>
      <c r="B1006" s="1" t="s">
        <v>2748</v>
      </c>
      <c r="C1006" s="1" t="s">
        <v>2749</v>
      </c>
      <c r="D1006" s="1" t="s">
        <v>2750</v>
      </c>
      <c r="E1006" s="2">
        <v>5.70038355546E11</v>
      </c>
      <c r="F1006" s="1" t="s">
        <v>2751</v>
      </c>
      <c r="G1006" s="1" t="s">
        <v>24</v>
      </c>
      <c r="H1006" s="3" t="s">
        <v>2661</v>
      </c>
      <c r="I1006" s="1"/>
    </row>
    <row r="1007" ht="15.75" customHeight="1">
      <c r="A1007" s="2">
        <v>1006.0</v>
      </c>
      <c r="B1007" s="1" t="s">
        <v>2752</v>
      </c>
      <c r="C1007" s="1" t="s">
        <v>2748</v>
      </c>
      <c r="D1007" s="1" t="s">
        <v>2753</v>
      </c>
      <c r="E1007" s="2">
        <v>5.70038355548E11</v>
      </c>
      <c r="F1007" s="1" t="s">
        <v>2754</v>
      </c>
      <c r="G1007" s="1" t="s">
        <v>24</v>
      </c>
      <c r="H1007" s="3" t="s">
        <v>2661</v>
      </c>
      <c r="I1007" s="1"/>
    </row>
    <row r="1008" ht="15.75" customHeight="1">
      <c r="A1008" s="2">
        <v>1007.0</v>
      </c>
      <c r="B1008" s="1" t="s">
        <v>2041</v>
      </c>
      <c r="C1008" s="1" t="s">
        <v>780</v>
      </c>
      <c r="D1008" s="1" t="s">
        <v>1613</v>
      </c>
      <c r="E1008" s="2">
        <v>5.7003835555E11</v>
      </c>
      <c r="F1008" s="1" t="s">
        <v>2755</v>
      </c>
      <c r="G1008" s="1" t="s">
        <v>90</v>
      </c>
      <c r="H1008" s="3" t="s">
        <v>2661</v>
      </c>
      <c r="I1008" s="1"/>
    </row>
    <row r="1009" ht="15.75" customHeight="1">
      <c r="A1009" s="2">
        <v>1008.0</v>
      </c>
      <c r="B1009" s="1" t="s">
        <v>2756</v>
      </c>
      <c r="C1009" s="1" t="s">
        <v>2711</v>
      </c>
      <c r="D1009" s="1" t="s">
        <v>2757</v>
      </c>
      <c r="E1009" s="2">
        <v>5.70038355554E11</v>
      </c>
      <c r="F1009" s="1" t="s">
        <v>2758</v>
      </c>
      <c r="G1009" s="1" t="s">
        <v>38</v>
      </c>
      <c r="H1009" s="3" t="s">
        <v>2661</v>
      </c>
      <c r="I1009" s="1"/>
    </row>
    <row r="1010" ht="15.75" customHeight="1">
      <c r="A1010" s="2">
        <v>1009.0</v>
      </c>
      <c r="B1010" s="1" t="s">
        <v>106</v>
      </c>
      <c r="C1010" s="1" t="s">
        <v>2759</v>
      </c>
      <c r="D1010" s="1" t="s">
        <v>2760</v>
      </c>
      <c r="E1010" s="2">
        <v>5.70038355555E11</v>
      </c>
      <c r="F1010" s="1" t="s">
        <v>2761</v>
      </c>
      <c r="G1010" s="1" t="s">
        <v>90</v>
      </c>
      <c r="H1010" s="3" t="s">
        <v>2661</v>
      </c>
      <c r="I1010" s="1"/>
    </row>
    <row r="1011" ht="15.75" customHeight="1">
      <c r="A1011" s="2">
        <v>1010.0</v>
      </c>
      <c r="B1011" s="1" t="s">
        <v>2666</v>
      </c>
      <c r="C1011" s="1" t="s">
        <v>2759</v>
      </c>
      <c r="D1011" s="1" t="s">
        <v>2762</v>
      </c>
      <c r="E1011" s="2">
        <v>5.70038355556E11</v>
      </c>
      <c r="F1011" s="1" t="s">
        <v>2763</v>
      </c>
      <c r="G1011" s="1" t="s">
        <v>38</v>
      </c>
      <c r="H1011" s="3" t="s">
        <v>2661</v>
      </c>
      <c r="I1011" s="1"/>
    </row>
    <row r="1012" ht="15.75" customHeight="1">
      <c r="A1012" s="2">
        <v>1011.0</v>
      </c>
      <c r="B1012" s="1" t="s">
        <v>2764</v>
      </c>
      <c r="C1012" s="1" t="s">
        <v>2765</v>
      </c>
      <c r="D1012" s="1" t="s">
        <v>2766</v>
      </c>
      <c r="E1012" s="2">
        <v>5.7003835556E11</v>
      </c>
      <c r="F1012" s="1" t="s">
        <v>2767</v>
      </c>
      <c r="G1012" s="1" t="s">
        <v>90</v>
      </c>
      <c r="H1012" s="3" t="s">
        <v>2661</v>
      </c>
      <c r="I1012" s="1"/>
    </row>
    <row r="1013" ht="15.75" customHeight="1">
      <c r="A1013" s="2">
        <v>1012.0</v>
      </c>
      <c r="B1013" s="1" t="s">
        <v>2768</v>
      </c>
      <c r="C1013" s="1" t="s">
        <v>2769</v>
      </c>
      <c r="D1013" s="1" t="s">
        <v>2770</v>
      </c>
      <c r="E1013" s="2">
        <v>5.70038355564E11</v>
      </c>
      <c r="F1013" s="1" t="s">
        <v>2771</v>
      </c>
      <c r="G1013" s="1" t="s">
        <v>24</v>
      </c>
      <c r="H1013" s="3" t="s">
        <v>2661</v>
      </c>
      <c r="I1013" s="1"/>
    </row>
    <row r="1014" ht="15.75" customHeight="1">
      <c r="A1014" s="2">
        <v>1013.0</v>
      </c>
      <c r="B1014" s="1" t="s">
        <v>2650</v>
      </c>
      <c r="C1014" s="1" t="s">
        <v>2769</v>
      </c>
      <c r="D1014" s="1" t="s">
        <v>2770</v>
      </c>
      <c r="E1014" s="2">
        <v>5.70038355566E11</v>
      </c>
      <c r="F1014" s="1" t="s">
        <v>2772</v>
      </c>
      <c r="G1014" s="1" t="s">
        <v>24</v>
      </c>
      <c r="H1014" s="3" t="s">
        <v>2661</v>
      </c>
      <c r="I1014" s="1"/>
    </row>
    <row r="1015" ht="15.75" customHeight="1">
      <c r="A1015" s="2">
        <v>1014.0</v>
      </c>
      <c r="B1015" s="1" t="s">
        <v>2423</v>
      </c>
      <c r="C1015" s="1" t="s">
        <v>2769</v>
      </c>
      <c r="D1015" s="1" t="s">
        <v>2770</v>
      </c>
      <c r="E1015" s="2">
        <v>5.70038355567E11</v>
      </c>
      <c r="F1015" s="1" t="s">
        <v>2773</v>
      </c>
      <c r="G1015" s="1" t="s">
        <v>24</v>
      </c>
      <c r="H1015" s="3" t="s">
        <v>2661</v>
      </c>
      <c r="I1015" s="1"/>
    </row>
    <row r="1016" ht="15.75" customHeight="1">
      <c r="A1016" s="2">
        <v>1015.0</v>
      </c>
      <c r="B1016" s="1" t="s">
        <v>117</v>
      </c>
      <c r="C1016" s="1" t="s">
        <v>2774</v>
      </c>
      <c r="D1016" s="1" t="s">
        <v>2775</v>
      </c>
      <c r="E1016" s="2">
        <v>5.70038355568E11</v>
      </c>
      <c r="F1016" s="1" t="s">
        <v>2776</v>
      </c>
      <c r="G1016" s="1" t="s">
        <v>47</v>
      </c>
      <c r="H1016" s="3" t="s">
        <v>2661</v>
      </c>
      <c r="I1016" s="1"/>
    </row>
    <row r="1017" ht="15.75" customHeight="1">
      <c r="A1017" s="2">
        <v>1016.0</v>
      </c>
      <c r="B1017" s="1" t="s">
        <v>2777</v>
      </c>
      <c r="C1017" s="1" t="s">
        <v>2778</v>
      </c>
      <c r="D1017" s="1" t="s">
        <v>2779</v>
      </c>
      <c r="E1017" s="2">
        <v>5.70038355575E11</v>
      </c>
      <c r="F1017" s="1" t="s">
        <v>2780</v>
      </c>
      <c r="G1017" s="1" t="s">
        <v>24</v>
      </c>
      <c r="H1017" s="3" t="s">
        <v>2661</v>
      </c>
      <c r="I1017" s="1"/>
    </row>
    <row r="1018" ht="15.75" customHeight="1">
      <c r="A1018" s="2">
        <v>1017.0</v>
      </c>
      <c r="B1018" s="1" t="s">
        <v>2781</v>
      </c>
      <c r="C1018" s="1" t="s">
        <v>1794</v>
      </c>
      <c r="D1018" s="1" t="s">
        <v>2782</v>
      </c>
      <c r="E1018" s="2">
        <v>5.7003835558E11</v>
      </c>
      <c r="F1018" s="1" t="s">
        <v>2783</v>
      </c>
      <c r="G1018" s="1" t="s">
        <v>90</v>
      </c>
      <c r="H1018" s="3" t="s">
        <v>2661</v>
      </c>
      <c r="I1018" s="1"/>
    </row>
    <row r="1019" ht="15.75" customHeight="1">
      <c r="A1019" s="2">
        <v>1018.0</v>
      </c>
      <c r="B1019" s="1" t="s">
        <v>2784</v>
      </c>
      <c r="C1019" s="1" t="s">
        <v>2785</v>
      </c>
      <c r="D1019" s="1" t="s">
        <v>2786</v>
      </c>
      <c r="E1019" s="2">
        <v>5.70038355582E11</v>
      </c>
      <c r="F1019" s="1" t="s">
        <v>2787</v>
      </c>
      <c r="G1019" s="1" t="s">
        <v>143</v>
      </c>
      <c r="H1019" s="3" t="s">
        <v>2661</v>
      </c>
      <c r="I1019" s="1"/>
    </row>
    <row r="1020" ht="15.75" customHeight="1">
      <c r="A1020" s="2">
        <v>1019.0</v>
      </c>
      <c r="B1020" s="1" t="s">
        <v>2788</v>
      </c>
      <c r="C1020" s="1" t="s">
        <v>2789</v>
      </c>
      <c r="D1020" s="1" t="s">
        <v>2790</v>
      </c>
      <c r="E1020" s="2">
        <v>5.70038355587E11</v>
      </c>
      <c r="F1020" s="1" t="s">
        <v>2791</v>
      </c>
      <c r="G1020" s="1" t="s">
        <v>24</v>
      </c>
      <c r="H1020" s="3" t="s">
        <v>2661</v>
      </c>
      <c r="I1020" s="1"/>
    </row>
    <row r="1021" ht="15.75" customHeight="1">
      <c r="A1021" s="2">
        <v>1020.0</v>
      </c>
      <c r="B1021" s="1" t="s">
        <v>2792</v>
      </c>
      <c r="C1021" s="1" t="s">
        <v>2793</v>
      </c>
      <c r="D1021" s="1" t="s">
        <v>2686</v>
      </c>
      <c r="E1021" s="2">
        <v>5.7003835559E11</v>
      </c>
      <c r="F1021" s="1" t="s">
        <v>2794</v>
      </c>
      <c r="G1021" s="1" t="s">
        <v>90</v>
      </c>
      <c r="H1021" s="3" t="s">
        <v>2661</v>
      </c>
      <c r="I1021" s="1"/>
    </row>
    <row r="1022" ht="15.75" customHeight="1">
      <c r="A1022" s="2">
        <v>1021.0</v>
      </c>
      <c r="B1022" s="1" t="s">
        <v>2795</v>
      </c>
      <c r="C1022" s="1" t="s">
        <v>1146</v>
      </c>
      <c r="D1022" s="1" t="s">
        <v>2739</v>
      </c>
      <c r="E1022" s="2">
        <v>5.70038355596E11</v>
      </c>
      <c r="F1022" s="1" t="s">
        <v>2796</v>
      </c>
      <c r="G1022" s="1" t="s">
        <v>90</v>
      </c>
      <c r="H1022" s="3" t="s">
        <v>2661</v>
      </c>
      <c r="I1022" s="1"/>
    </row>
    <row r="1023" ht="15.75" customHeight="1">
      <c r="A1023" s="2">
        <v>1022.0</v>
      </c>
      <c r="B1023" s="1" t="s">
        <v>590</v>
      </c>
      <c r="C1023" s="1" t="s">
        <v>488</v>
      </c>
      <c r="D1023" s="1" t="s">
        <v>2797</v>
      </c>
      <c r="E1023" s="2">
        <v>5.70038355598E11</v>
      </c>
      <c r="F1023" s="1" t="s">
        <v>2798</v>
      </c>
      <c r="G1023" s="1" t="s">
        <v>90</v>
      </c>
      <c r="H1023" s="3" t="s">
        <v>2661</v>
      </c>
      <c r="I1023" s="1"/>
    </row>
    <row r="1024" ht="15.75" customHeight="1">
      <c r="A1024" s="2">
        <v>1023.0</v>
      </c>
      <c r="B1024" s="1" t="s">
        <v>657</v>
      </c>
      <c r="C1024" s="1" t="s">
        <v>2799</v>
      </c>
      <c r="D1024" s="1" t="s">
        <v>2800</v>
      </c>
      <c r="E1024" s="2">
        <v>5.70038355599E11</v>
      </c>
      <c r="F1024" s="1" t="s">
        <v>2801</v>
      </c>
      <c r="G1024" s="1" t="s">
        <v>90</v>
      </c>
      <c r="H1024" s="3" t="s">
        <v>2661</v>
      </c>
      <c r="I1024" s="1"/>
    </row>
    <row r="1025" ht="15.75" customHeight="1">
      <c r="A1025" s="2">
        <v>1024.0</v>
      </c>
      <c r="B1025" s="1" t="s">
        <v>1312</v>
      </c>
      <c r="C1025" s="1" t="s">
        <v>130</v>
      </c>
      <c r="D1025" s="1" t="s">
        <v>2802</v>
      </c>
      <c r="E1025" s="2">
        <v>5.70038355602E11</v>
      </c>
      <c r="F1025" s="1" t="s">
        <v>2803</v>
      </c>
      <c r="G1025" s="1" t="s">
        <v>90</v>
      </c>
      <c r="H1025" s="3" t="s">
        <v>2661</v>
      </c>
      <c r="I1025" s="1"/>
    </row>
    <row r="1026" ht="15.75" customHeight="1">
      <c r="A1026" s="2">
        <v>1025.0</v>
      </c>
      <c r="B1026" s="1" t="s">
        <v>2804</v>
      </c>
      <c r="C1026" s="1" t="s">
        <v>2805</v>
      </c>
      <c r="D1026" s="1" t="s">
        <v>2806</v>
      </c>
      <c r="E1026" s="2">
        <v>5.70038355604E11</v>
      </c>
      <c r="F1026" s="1" t="s">
        <v>2807</v>
      </c>
      <c r="G1026" s="1" t="s">
        <v>24</v>
      </c>
      <c r="H1026" s="3" t="s">
        <v>2661</v>
      </c>
      <c r="I1026" s="1"/>
    </row>
    <row r="1027" ht="15.75" customHeight="1">
      <c r="A1027" s="2">
        <v>1026.0</v>
      </c>
      <c r="B1027" s="1" t="s">
        <v>66</v>
      </c>
      <c r="C1027" s="1" t="s">
        <v>2808</v>
      </c>
      <c r="D1027" s="1" t="s">
        <v>49</v>
      </c>
      <c r="E1027" s="2">
        <v>5.70038355607E11</v>
      </c>
      <c r="F1027" s="1" t="s">
        <v>2809</v>
      </c>
      <c r="G1027" s="1" t="s">
        <v>18</v>
      </c>
      <c r="H1027" s="3" t="s">
        <v>2661</v>
      </c>
      <c r="I1027" s="1"/>
    </row>
    <row r="1028" ht="15.75" customHeight="1">
      <c r="A1028" s="2">
        <v>1027.0</v>
      </c>
      <c r="B1028" s="1" t="s">
        <v>2810</v>
      </c>
      <c r="C1028" s="1" t="s">
        <v>2811</v>
      </c>
      <c r="D1028" s="1" t="s">
        <v>2806</v>
      </c>
      <c r="E1028" s="2">
        <v>5.7003835561E11</v>
      </c>
      <c r="F1028" s="1" t="s">
        <v>2812</v>
      </c>
      <c r="G1028" s="1" t="s">
        <v>24</v>
      </c>
      <c r="H1028" s="3" t="s">
        <v>2661</v>
      </c>
      <c r="I1028" s="1"/>
    </row>
    <row r="1029" ht="15.75" customHeight="1">
      <c r="A1029" s="2">
        <v>1028.0</v>
      </c>
      <c r="B1029" s="1" t="s">
        <v>2813</v>
      </c>
      <c r="C1029" s="1" t="s">
        <v>2814</v>
      </c>
      <c r="D1029" s="1" t="s">
        <v>1533</v>
      </c>
      <c r="E1029" s="2">
        <v>5.70038355611E11</v>
      </c>
      <c r="F1029" s="1" t="s">
        <v>2815</v>
      </c>
      <c r="G1029" s="1" t="s">
        <v>90</v>
      </c>
      <c r="H1029" s="3" t="s">
        <v>2661</v>
      </c>
      <c r="I1029" s="1"/>
    </row>
    <row r="1030" ht="15.75" customHeight="1">
      <c r="A1030" s="2">
        <v>1029.0</v>
      </c>
      <c r="B1030" s="1" t="s">
        <v>388</v>
      </c>
      <c r="C1030" s="1" t="s">
        <v>2816</v>
      </c>
      <c r="D1030" s="1" t="s">
        <v>2817</v>
      </c>
      <c r="E1030" s="2">
        <v>5.70038355612E11</v>
      </c>
      <c r="F1030" s="1" t="s">
        <v>2818</v>
      </c>
      <c r="G1030" s="1" t="s">
        <v>90</v>
      </c>
      <c r="H1030" s="3" t="s">
        <v>2661</v>
      </c>
      <c r="I1030" s="1"/>
    </row>
    <row r="1031" ht="15.75" customHeight="1">
      <c r="A1031" s="2">
        <v>1030.0</v>
      </c>
      <c r="B1031" s="1" t="s">
        <v>2819</v>
      </c>
      <c r="C1031" s="1" t="s">
        <v>2820</v>
      </c>
      <c r="D1031" s="1" t="s">
        <v>2821</v>
      </c>
      <c r="E1031" s="2">
        <v>5.70038355613E11</v>
      </c>
      <c r="F1031" s="1" t="s">
        <v>2822</v>
      </c>
      <c r="G1031" s="1" t="s">
        <v>24</v>
      </c>
      <c r="H1031" s="3" t="s">
        <v>2661</v>
      </c>
      <c r="I1031" s="1"/>
    </row>
    <row r="1032" ht="15.75" customHeight="1">
      <c r="A1032" s="2">
        <v>1031.0</v>
      </c>
      <c r="B1032" s="1" t="s">
        <v>2823</v>
      </c>
      <c r="C1032" s="1" t="s">
        <v>2824</v>
      </c>
      <c r="D1032" s="1" t="s">
        <v>1866</v>
      </c>
      <c r="E1032" s="2">
        <v>5.70038355614E11</v>
      </c>
      <c r="F1032" s="1" t="s">
        <v>2825</v>
      </c>
      <c r="G1032" s="1" t="s">
        <v>90</v>
      </c>
      <c r="H1032" s="3" t="s">
        <v>2661</v>
      </c>
      <c r="I1032" s="1"/>
    </row>
    <row r="1033" ht="15.75" customHeight="1">
      <c r="A1033" s="2">
        <v>1032.0</v>
      </c>
      <c r="B1033" s="1" t="s">
        <v>557</v>
      </c>
      <c r="C1033" s="1" t="s">
        <v>2826</v>
      </c>
      <c r="D1033" s="1" t="s">
        <v>2722</v>
      </c>
      <c r="E1033" s="2">
        <v>5.70038355615E11</v>
      </c>
      <c r="F1033" s="1" t="s">
        <v>2827</v>
      </c>
      <c r="G1033" s="1" t="s">
        <v>90</v>
      </c>
      <c r="H1033" s="3" t="s">
        <v>2661</v>
      </c>
      <c r="I1033" s="1"/>
    </row>
    <row r="1034" ht="15.75" customHeight="1">
      <c r="A1034" s="2">
        <v>1033.0</v>
      </c>
      <c r="B1034" s="1" t="s">
        <v>639</v>
      </c>
      <c r="C1034" s="1" t="s">
        <v>2828</v>
      </c>
      <c r="D1034" s="1" t="s">
        <v>231</v>
      </c>
      <c r="E1034" s="2">
        <v>5.70038355616E11</v>
      </c>
      <c r="F1034" s="1" t="s">
        <v>2829</v>
      </c>
      <c r="G1034" s="1" t="s">
        <v>90</v>
      </c>
      <c r="H1034" s="3" t="s">
        <v>2661</v>
      </c>
      <c r="I1034" s="1"/>
    </row>
    <row r="1035" ht="15.75" customHeight="1">
      <c r="A1035" s="2">
        <v>1034.0</v>
      </c>
      <c r="B1035" s="1" t="s">
        <v>2830</v>
      </c>
      <c r="C1035" s="1" t="s">
        <v>2831</v>
      </c>
      <c r="D1035" s="1" t="s">
        <v>2762</v>
      </c>
      <c r="E1035" s="2">
        <v>5.70038355617E11</v>
      </c>
      <c r="F1035" s="1" t="s">
        <v>2832</v>
      </c>
      <c r="G1035" s="1" t="s">
        <v>90</v>
      </c>
      <c r="H1035" s="3" t="s">
        <v>2661</v>
      </c>
      <c r="I1035" s="1"/>
    </row>
    <row r="1036" ht="15.75" customHeight="1">
      <c r="A1036" s="2">
        <v>1035.0</v>
      </c>
      <c r="B1036" s="1" t="s">
        <v>1339</v>
      </c>
      <c r="C1036" s="1" t="s">
        <v>2833</v>
      </c>
      <c r="D1036" s="1" t="s">
        <v>2757</v>
      </c>
      <c r="E1036" s="2">
        <v>5.70038355618E11</v>
      </c>
      <c r="F1036" s="1" t="s">
        <v>2834</v>
      </c>
      <c r="G1036" s="1" t="s">
        <v>90</v>
      </c>
      <c r="H1036" s="3" t="s">
        <v>2661</v>
      </c>
      <c r="I1036" s="1"/>
    </row>
    <row r="1037" ht="15.75" customHeight="1">
      <c r="A1037" s="2">
        <v>1036.0</v>
      </c>
      <c r="B1037" s="1" t="s">
        <v>1157</v>
      </c>
      <c r="C1037" s="1" t="s">
        <v>57</v>
      </c>
      <c r="D1037" s="1" t="s">
        <v>2835</v>
      </c>
      <c r="E1037" s="2">
        <v>5.70038355619E11</v>
      </c>
      <c r="F1037" s="1" t="s">
        <v>2836</v>
      </c>
      <c r="G1037" s="1" t="s">
        <v>38</v>
      </c>
      <c r="H1037" s="3" t="s">
        <v>2661</v>
      </c>
      <c r="I1037" s="1"/>
    </row>
    <row r="1038" ht="15.75" customHeight="1">
      <c r="A1038" s="2">
        <v>1037.0</v>
      </c>
      <c r="B1038" s="1" t="s">
        <v>2837</v>
      </c>
      <c r="C1038" s="1" t="s">
        <v>2838</v>
      </c>
      <c r="D1038" s="1" t="s">
        <v>2839</v>
      </c>
      <c r="E1038" s="2">
        <v>5.70038355621E11</v>
      </c>
      <c r="F1038" s="1" t="s">
        <v>2840</v>
      </c>
      <c r="G1038" s="1" t="s">
        <v>90</v>
      </c>
      <c r="H1038" s="3" t="s">
        <v>2661</v>
      </c>
      <c r="I1038" s="1"/>
    </row>
    <row r="1039" ht="15.75" customHeight="1">
      <c r="A1039" s="2">
        <v>1038.0</v>
      </c>
      <c r="B1039" s="1" t="s">
        <v>192</v>
      </c>
      <c r="C1039" s="1" t="s">
        <v>2769</v>
      </c>
      <c r="D1039" s="1" t="s">
        <v>2841</v>
      </c>
      <c r="E1039" s="2">
        <v>5.70038355622E11</v>
      </c>
      <c r="F1039" s="1" t="s">
        <v>2842</v>
      </c>
      <c r="G1039" s="1" t="s">
        <v>24</v>
      </c>
      <c r="H1039" s="3" t="s">
        <v>2661</v>
      </c>
      <c r="I1039" s="1"/>
    </row>
    <row r="1040" ht="15.75" customHeight="1">
      <c r="A1040" s="2">
        <v>1039.0</v>
      </c>
      <c r="B1040" s="1" t="s">
        <v>1771</v>
      </c>
      <c r="C1040" s="1" t="s">
        <v>2843</v>
      </c>
      <c r="D1040" s="1" t="s">
        <v>2844</v>
      </c>
      <c r="E1040" s="2">
        <v>5.70038355623E11</v>
      </c>
      <c r="F1040" s="1" t="s">
        <v>1345</v>
      </c>
      <c r="G1040" s="1" t="s">
        <v>90</v>
      </c>
      <c r="H1040" s="3" t="s">
        <v>2661</v>
      </c>
      <c r="I1040" s="1"/>
    </row>
    <row r="1041" ht="15.75" customHeight="1">
      <c r="A1041" s="2">
        <v>1040.0</v>
      </c>
      <c r="B1041" s="1" t="s">
        <v>488</v>
      </c>
      <c r="C1041" s="1" t="s">
        <v>2845</v>
      </c>
      <c r="D1041" s="1" t="s">
        <v>2846</v>
      </c>
      <c r="E1041" s="2">
        <v>5.70038355624E11</v>
      </c>
      <c r="F1041" s="1" t="s">
        <v>2847</v>
      </c>
      <c r="G1041" s="1" t="s">
        <v>90</v>
      </c>
      <c r="H1041" s="3" t="s">
        <v>2661</v>
      </c>
      <c r="I1041" s="1"/>
    </row>
    <row r="1042" ht="15.75" customHeight="1">
      <c r="A1042" s="2">
        <v>1041.0</v>
      </c>
      <c r="B1042" s="1" t="s">
        <v>2848</v>
      </c>
      <c r="C1042" s="1" t="s">
        <v>2849</v>
      </c>
      <c r="D1042" s="1" t="s">
        <v>2850</v>
      </c>
      <c r="E1042" s="2">
        <v>5.70038355625E11</v>
      </c>
      <c r="F1042" s="1" t="s">
        <v>2851</v>
      </c>
      <c r="G1042" s="1" t="s">
        <v>90</v>
      </c>
      <c r="H1042" s="3" t="s">
        <v>2661</v>
      </c>
      <c r="I1042" s="1"/>
    </row>
    <row r="1043" ht="15.75" customHeight="1">
      <c r="A1043" s="2">
        <v>1042.0</v>
      </c>
      <c r="B1043" s="1" t="s">
        <v>1092</v>
      </c>
      <c r="C1043" s="1" t="s">
        <v>2305</v>
      </c>
      <c r="D1043" s="1" t="s">
        <v>2852</v>
      </c>
      <c r="E1043" s="2">
        <v>5.70038355629E11</v>
      </c>
      <c r="F1043" s="1" t="s">
        <v>2853</v>
      </c>
      <c r="G1043" s="1" t="s">
        <v>24</v>
      </c>
      <c r="H1043" s="3" t="s">
        <v>2661</v>
      </c>
      <c r="I1043" s="1"/>
    </row>
    <row r="1044" ht="15.75" customHeight="1">
      <c r="A1044" s="2">
        <v>1043.0</v>
      </c>
      <c r="B1044" s="1" t="s">
        <v>2854</v>
      </c>
      <c r="C1044" s="1" t="s">
        <v>815</v>
      </c>
      <c r="D1044" s="1" t="s">
        <v>2855</v>
      </c>
      <c r="E1044" s="2">
        <v>5.70038355634E11</v>
      </c>
      <c r="F1044" s="1" t="s">
        <v>2856</v>
      </c>
      <c r="G1044" s="1" t="s">
        <v>383</v>
      </c>
      <c r="H1044" s="3" t="s">
        <v>2661</v>
      </c>
      <c r="I1044" s="1"/>
    </row>
    <row r="1045" ht="15.75" customHeight="1">
      <c r="A1045" s="2">
        <v>1044.0</v>
      </c>
      <c r="B1045" s="1" t="s">
        <v>2857</v>
      </c>
      <c r="C1045" s="1" t="s">
        <v>2858</v>
      </c>
      <c r="D1045" s="1" t="s">
        <v>494</v>
      </c>
      <c r="E1045" s="2">
        <v>5.70038355636E11</v>
      </c>
      <c r="F1045" s="1" t="s">
        <v>2859</v>
      </c>
      <c r="G1045" s="1" t="s">
        <v>38</v>
      </c>
      <c r="H1045" s="3" t="s">
        <v>2661</v>
      </c>
      <c r="I1045" s="1"/>
    </row>
    <row r="1046" ht="15.75" customHeight="1">
      <c r="A1046" s="2">
        <v>1045.0</v>
      </c>
      <c r="B1046" s="1" t="s">
        <v>223</v>
      </c>
      <c r="C1046" s="1" t="s">
        <v>1339</v>
      </c>
      <c r="D1046" s="1" t="s">
        <v>2860</v>
      </c>
      <c r="E1046" s="2">
        <v>5.70038355639E11</v>
      </c>
      <c r="F1046" s="1" t="s">
        <v>2861</v>
      </c>
      <c r="G1046" s="1" t="s">
        <v>383</v>
      </c>
      <c r="H1046" s="3" t="s">
        <v>2661</v>
      </c>
      <c r="I1046" s="1"/>
    </row>
    <row r="1047" ht="15.75" customHeight="1">
      <c r="A1047" s="2">
        <v>1046.0</v>
      </c>
      <c r="B1047" s="1" t="s">
        <v>1099</v>
      </c>
      <c r="C1047" s="1" t="s">
        <v>2862</v>
      </c>
      <c r="D1047" s="1" t="s">
        <v>2863</v>
      </c>
      <c r="E1047" s="2">
        <v>5.7003835565E11</v>
      </c>
      <c r="F1047" s="1" t="s">
        <v>2864</v>
      </c>
      <c r="G1047" s="1" t="s">
        <v>38</v>
      </c>
      <c r="H1047" s="3" t="s">
        <v>2661</v>
      </c>
      <c r="I1047" s="1"/>
    </row>
    <row r="1048" ht="15.75" customHeight="1">
      <c r="A1048" s="2">
        <v>1047.0</v>
      </c>
      <c r="B1048" s="1" t="s">
        <v>330</v>
      </c>
      <c r="C1048" s="1" t="s">
        <v>1777</v>
      </c>
      <c r="D1048" s="1" t="s">
        <v>1613</v>
      </c>
      <c r="E1048" s="2">
        <v>5.70038355651E11</v>
      </c>
      <c r="F1048" s="1" t="s">
        <v>2865</v>
      </c>
      <c r="G1048" s="1" t="s">
        <v>38</v>
      </c>
      <c r="H1048" s="3" t="s">
        <v>2661</v>
      </c>
      <c r="I1048" s="1"/>
    </row>
    <row r="1049" ht="15.75" customHeight="1">
      <c r="A1049" s="2">
        <v>1048.0</v>
      </c>
      <c r="B1049" s="1" t="s">
        <v>557</v>
      </c>
      <c r="C1049" s="1" t="s">
        <v>2845</v>
      </c>
      <c r="D1049" s="1" t="s">
        <v>2846</v>
      </c>
      <c r="E1049" s="2">
        <v>5.70038355652E11</v>
      </c>
      <c r="F1049" s="1" t="s">
        <v>2866</v>
      </c>
      <c r="G1049" s="1" t="s">
        <v>90</v>
      </c>
      <c r="H1049" s="3" t="s">
        <v>2661</v>
      </c>
      <c r="I1049" s="1"/>
    </row>
    <row r="1050" ht="15.75" customHeight="1">
      <c r="A1050" s="2">
        <v>1049.0</v>
      </c>
      <c r="B1050" s="1" t="s">
        <v>2867</v>
      </c>
      <c r="C1050" s="1" t="s">
        <v>2845</v>
      </c>
      <c r="D1050" s="1" t="s">
        <v>2846</v>
      </c>
      <c r="E1050" s="2">
        <v>5.70038355653E11</v>
      </c>
      <c r="F1050" s="1" t="s">
        <v>2868</v>
      </c>
      <c r="G1050" s="1" t="s">
        <v>90</v>
      </c>
      <c r="H1050" s="3" t="s">
        <v>2661</v>
      </c>
      <c r="I1050" s="1"/>
    </row>
    <row r="1051" ht="15.75" customHeight="1">
      <c r="A1051" s="2">
        <v>1050.0</v>
      </c>
      <c r="B1051" s="1" t="s">
        <v>2869</v>
      </c>
      <c r="C1051" s="1" t="s">
        <v>2049</v>
      </c>
      <c r="D1051" s="1" t="s">
        <v>2870</v>
      </c>
      <c r="E1051" s="2">
        <v>5.70038355654E11</v>
      </c>
      <c r="F1051" s="1" t="s">
        <v>2871</v>
      </c>
      <c r="G1051" s="1" t="s">
        <v>90</v>
      </c>
      <c r="H1051" s="3" t="s">
        <v>2661</v>
      </c>
      <c r="I1051" s="1"/>
    </row>
    <row r="1052" ht="15.75" customHeight="1">
      <c r="A1052" s="2">
        <v>1051.0</v>
      </c>
      <c r="B1052" s="1" t="s">
        <v>2872</v>
      </c>
      <c r="C1052" s="1" t="s">
        <v>2137</v>
      </c>
      <c r="D1052" s="1" t="s">
        <v>2873</v>
      </c>
      <c r="E1052" s="2">
        <v>5.70038355656E11</v>
      </c>
      <c r="F1052" s="1" t="s">
        <v>2874</v>
      </c>
      <c r="G1052" s="1" t="s">
        <v>90</v>
      </c>
      <c r="H1052" s="3" t="s">
        <v>2661</v>
      </c>
      <c r="I1052" s="1"/>
    </row>
    <row r="1053" ht="15.75" customHeight="1">
      <c r="A1053" s="2">
        <v>1052.0</v>
      </c>
      <c r="B1053" s="1" t="s">
        <v>1760</v>
      </c>
      <c r="C1053" s="1" t="s">
        <v>2875</v>
      </c>
      <c r="D1053" s="1" t="s">
        <v>2876</v>
      </c>
      <c r="E1053" s="2">
        <v>5.70038355657E11</v>
      </c>
      <c r="F1053" s="1" t="s">
        <v>2877</v>
      </c>
      <c r="G1053" s="1" t="s">
        <v>90</v>
      </c>
      <c r="H1053" s="3" t="s">
        <v>2661</v>
      </c>
      <c r="I1053" s="1"/>
    </row>
    <row r="1054" ht="15.75" customHeight="1">
      <c r="A1054" s="2">
        <v>1053.0</v>
      </c>
      <c r="B1054" s="1" t="s">
        <v>2878</v>
      </c>
      <c r="C1054" s="1" t="s">
        <v>2879</v>
      </c>
      <c r="D1054" s="1" t="s">
        <v>2880</v>
      </c>
      <c r="E1054" s="2">
        <v>5.7003835566E11</v>
      </c>
      <c r="F1054" s="1" t="s">
        <v>2881</v>
      </c>
      <c r="G1054" s="1" t="s">
        <v>90</v>
      </c>
      <c r="H1054" s="3" t="s">
        <v>2661</v>
      </c>
      <c r="I1054" s="1"/>
    </row>
    <row r="1055" ht="15.75" customHeight="1">
      <c r="A1055" s="2">
        <v>1054.0</v>
      </c>
      <c r="B1055" s="1" t="s">
        <v>106</v>
      </c>
      <c r="C1055" s="1" t="s">
        <v>2882</v>
      </c>
      <c r="D1055" s="1" t="s">
        <v>2883</v>
      </c>
      <c r="E1055" s="2">
        <v>5.70038355661E11</v>
      </c>
      <c r="F1055" s="1" t="s">
        <v>2884</v>
      </c>
      <c r="G1055" s="1" t="s">
        <v>90</v>
      </c>
      <c r="H1055" s="3" t="s">
        <v>2661</v>
      </c>
      <c r="I1055" s="1"/>
    </row>
    <row r="1056" ht="15.75" customHeight="1">
      <c r="A1056" s="2">
        <v>1055.0</v>
      </c>
      <c r="B1056" s="1" t="s">
        <v>2885</v>
      </c>
      <c r="C1056" s="1" t="s">
        <v>2816</v>
      </c>
      <c r="D1056" s="1" t="s">
        <v>909</v>
      </c>
      <c r="E1056" s="2">
        <v>5.70038355664E11</v>
      </c>
      <c r="F1056" s="1" t="s">
        <v>2886</v>
      </c>
      <c r="G1056" s="1" t="s">
        <v>90</v>
      </c>
      <c r="H1056" s="3" t="s">
        <v>2661</v>
      </c>
      <c r="I1056" s="1"/>
    </row>
    <row r="1057" ht="15.75" customHeight="1">
      <c r="A1057" s="2">
        <v>1056.0</v>
      </c>
      <c r="B1057" s="1" t="s">
        <v>361</v>
      </c>
      <c r="C1057" s="1" t="s">
        <v>2887</v>
      </c>
      <c r="D1057" s="1" t="s">
        <v>2888</v>
      </c>
      <c r="E1057" s="2">
        <v>5.7003835567E11</v>
      </c>
      <c r="F1057" s="1" t="s">
        <v>2889</v>
      </c>
      <c r="G1057" s="1" t="s">
        <v>90</v>
      </c>
      <c r="H1057" s="3" t="s">
        <v>2661</v>
      </c>
      <c r="I1057" s="1"/>
    </row>
    <row r="1058" ht="15.75" customHeight="1">
      <c r="A1058" s="2">
        <v>1057.0</v>
      </c>
      <c r="B1058" s="1" t="s">
        <v>2890</v>
      </c>
      <c r="C1058" s="1" t="s">
        <v>2891</v>
      </c>
      <c r="D1058" s="1" t="s">
        <v>2892</v>
      </c>
      <c r="E1058" s="2">
        <v>5.70038355677E11</v>
      </c>
      <c r="F1058" s="1" t="s">
        <v>2893</v>
      </c>
      <c r="G1058" s="1" t="s">
        <v>90</v>
      </c>
      <c r="H1058" s="3" t="s">
        <v>2661</v>
      </c>
      <c r="I1058" s="1"/>
    </row>
    <row r="1059" ht="15.75" customHeight="1">
      <c r="A1059" s="2">
        <v>1058.0</v>
      </c>
      <c r="B1059" s="1" t="s">
        <v>323</v>
      </c>
      <c r="C1059" s="1" t="s">
        <v>2894</v>
      </c>
      <c r="D1059" s="1" t="s">
        <v>2895</v>
      </c>
      <c r="E1059" s="2">
        <v>5.70038355678E11</v>
      </c>
      <c r="F1059" s="1" t="s">
        <v>2896</v>
      </c>
      <c r="G1059" s="1" t="s">
        <v>90</v>
      </c>
      <c r="H1059" s="3" t="s">
        <v>2661</v>
      </c>
      <c r="I1059" s="1"/>
    </row>
    <row r="1060" ht="15.75" customHeight="1">
      <c r="A1060" s="2">
        <v>1059.0</v>
      </c>
      <c r="B1060" s="1" t="s">
        <v>2897</v>
      </c>
      <c r="C1060" s="1" t="s">
        <v>2894</v>
      </c>
      <c r="D1060" s="1" t="s">
        <v>2895</v>
      </c>
      <c r="E1060" s="2">
        <v>5.70038355681E11</v>
      </c>
      <c r="F1060" s="1" t="s">
        <v>2898</v>
      </c>
      <c r="G1060" s="1" t="s">
        <v>90</v>
      </c>
      <c r="H1060" s="3" t="s">
        <v>2661</v>
      </c>
      <c r="I1060" s="1"/>
    </row>
    <row r="1061" ht="15.75" customHeight="1">
      <c r="A1061" s="2">
        <v>1060.0</v>
      </c>
      <c r="B1061" s="1" t="s">
        <v>2899</v>
      </c>
      <c r="C1061" s="1" t="s">
        <v>2879</v>
      </c>
      <c r="D1061" s="1" t="s">
        <v>2900</v>
      </c>
      <c r="E1061" s="2">
        <v>5.70038355684E11</v>
      </c>
      <c r="F1061" s="1" t="s">
        <v>2901</v>
      </c>
      <c r="G1061" s="1" t="s">
        <v>90</v>
      </c>
      <c r="H1061" s="3" t="s">
        <v>2661</v>
      </c>
      <c r="I1061" s="1"/>
    </row>
    <row r="1062" ht="15.75" customHeight="1">
      <c r="A1062" s="2">
        <v>1061.0</v>
      </c>
      <c r="B1062" s="1" t="s">
        <v>2902</v>
      </c>
      <c r="C1062" s="1" t="s">
        <v>1339</v>
      </c>
      <c r="D1062" s="1" t="s">
        <v>2903</v>
      </c>
      <c r="E1062" s="2">
        <v>5.70038355692E11</v>
      </c>
      <c r="F1062" s="1" t="s">
        <v>647</v>
      </c>
      <c r="G1062" s="1" t="s">
        <v>90</v>
      </c>
      <c r="H1062" s="3" t="s">
        <v>2661</v>
      </c>
      <c r="I1062" s="1"/>
    </row>
    <row r="1063" ht="15.75" customHeight="1">
      <c r="A1063" s="2">
        <v>1062.0</v>
      </c>
      <c r="B1063" s="1" t="s">
        <v>2890</v>
      </c>
      <c r="C1063" s="1" t="s">
        <v>2897</v>
      </c>
      <c r="D1063" s="1" t="s">
        <v>2904</v>
      </c>
      <c r="E1063" s="2">
        <v>5.70038355693E11</v>
      </c>
      <c r="F1063" s="1" t="s">
        <v>2523</v>
      </c>
      <c r="G1063" s="1" t="s">
        <v>38</v>
      </c>
      <c r="H1063" s="3" t="s">
        <v>2661</v>
      </c>
      <c r="I1063" s="1"/>
    </row>
    <row r="1064" ht="15.75" customHeight="1">
      <c r="A1064" s="2">
        <v>1063.0</v>
      </c>
      <c r="B1064" s="1" t="s">
        <v>165</v>
      </c>
      <c r="C1064" s="1" t="s">
        <v>1339</v>
      </c>
      <c r="D1064" s="1" t="s">
        <v>2860</v>
      </c>
      <c r="E1064" s="2">
        <v>5.70038355696E11</v>
      </c>
      <c r="F1064" s="1" t="s">
        <v>104</v>
      </c>
      <c r="G1064" s="1" t="s">
        <v>90</v>
      </c>
      <c r="H1064" s="3" t="s">
        <v>2661</v>
      </c>
      <c r="I1064" s="1"/>
    </row>
    <row r="1065" ht="15.75" customHeight="1">
      <c r="A1065" s="2">
        <v>1064.0</v>
      </c>
      <c r="B1065" s="1" t="s">
        <v>557</v>
      </c>
      <c r="C1065" s="1" t="s">
        <v>2905</v>
      </c>
      <c r="D1065" s="1" t="s">
        <v>2906</v>
      </c>
      <c r="E1065" s="2">
        <v>5.70038355697E11</v>
      </c>
      <c r="F1065" s="1" t="s">
        <v>2907</v>
      </c>
      <c r="G1065" s="1" t="s">
        <v>24</v>
      </c>
      <c r="H1065" s="3" t="s">
        <v>2661</v>
      </c>
      <c r="I1065" s="1"/>
    </row>
    <row r="1066" ht="15.75" customHeight="1">
      <c r="A1066" s="2">
        <v>1065.0</v>
      </c>
      <c r="B1066" s="1" t="s">
        <v>762</v>
      </c>
      <c r="C1066" s="1" t="s">
        <v>2908</v>
      </c>
      <c r="D1066" s="1" t="s">
        <v>2909</v>
      </c>
      <c r="E1066" s="2">
        <v>5.70038355698E11</v>
      </c>
      <c r="F1066" s="1" t="s">
        <v>2910</v>
      </c>
      <c r="G1066" s="1" t="s">
        <v>38</v>
      </c>
      <c r="H1066" s="3" t="s">
        <v>2661</v>
      </c>
      <c r="I1066" s="1"/>
    </row>
    <row r="1067" ht="15.75" customHeight="1">
      <c r="A1067" s="2">
        <v>1066.0</v>
      </c>
      <c r="B1067" s="1" t="s">
        <v>195</v>
      </c>
      <c r="C1067" s="1" t="s">
        <v>2911</v>
      </c>
      <c r="D1067" s="1" t="s">
        <v>2912</v>
      </c>
      <c r="E1067" s="2">
        <v>5.700383557E11</v>
      </c>
      <c r="F1067" s="1" t="s">
        <v>1095</v>
      </c>
      <c r="G1067" s="1" t="s">
        <v>24</v>
      </c>
      <c r="H1067" s="3" t="s">
        <v>2661</v>
      </c>
      <c r="I1067" s="1"/>
    </row>
    <row r="1068" ht="15.75" customHeight="1">
      <c r="A1068" s="2">
        <v>1067.0</v>
      </c>
      <c r="B1068" s="1" t="s">
        <v>388</v>
      </c>
      <c r="C1068" s="1" t="s">
        <v>2913</v>
      </c>
      <c r="D1068" s="1" t="s">
        <v>2914</v>
      </c>
      <c r="E1068" s="2">
        <v>5.70038355704E11</v>
      </c>
      <c r="F1068" s="1" t="s">
        <v>2915</v>
      </c>
      <c r="G1068" s="1" t="s">
        <v>24</v>
      </c>
      <c r="H1068" s="3" t="s">
        <v>2661</v>
      </c>
      <c r="I1068" s="1"/>
    </row>
    <row r="1069" ht="15.75" customHeight="1">
      <c r="A1069" s="2">
        <v>1068.0</v>
      </c>
      <c r="B1069" s="1" t="s">
        <v>2778</v>
      </c>
      <c r="C1069" s="1" t="s">
        <v>2916</v>
      </c>
      <c r="D1069" s="1" t="s">
        <v>2917</v>
      </c>
      <c r="E1069" s="2">
        <v>5.70038355707E11</v>
      </c>
      <c r="F1069" s="1" t="s">
        <v>2918</v>
      </c>
      <c r="G1069" s="1" t="s">
        <v>38</v>
      </c>
      <c r="H1069" s="3" t="s">
        <v>2661</v>
      </c>
      <c r="I1069" s="1"/>
    </row>
    <row r="1070" ht="15.75" customHeight="1">
      <c r="A1070" s="2">
        <v>1069.0</v>
      </c>
      <c r="B1070" s="1" t="s">
        <v>2919</v>
      </c>
      <c r="C1070" s="1" t="s">
        <v>1887</v>
      </c>
      <c r="D1070" s="1" t="s">
        <v>917</v>
      </c>
      <c r="E1070" s="2">
        <v>5.70038355708E11</v>
      </c>
      <c r="F1070" s="1" t="s">
        <v>2920</v>
      </c>
      <c r="G1070" s="1" t="s">
        <v>24</v>
      </c>
      <c r="H1070" s="3" t="s">
        <v>2661</v>
      </c>
      <c r="I1070" s="1"/>
    </row>
    <row r="1071" ht="15.75" customHeight="1">
      <c r="A1071" s="2">
        <v>1070.0</v>
      </c>
      <c r="B1071" s="1" t="s">
        <v>2921</v>
      </c>
      <c r="C1071" s="1" t="s">
        <v>815</v>
      </c>
      <c r="D1071" s="1" t="s">
        <v>2922</v>
      </c>
      <c r="E1071" s="2">
        <v>5.70038355709E11</v>
      </c>
      <c r="F1071" s="1" t="s">
        <v>2923</v>
      </c>
      <c r="G1071" s="1" t="s">
        <v>24</v>
      </c>
      <c r="H1071" s="3" t="s">
        <v>2661</v>
      </c>
      <c r="I1071" s="1"/>
    </row>
    <row r="1072" ht="15.75" customHeight="1">
      <c r="A1072" s="2">
        <v>1071.0</v>
      </c>
      <c r="B1072" s="1" t="s">
        <v>2924</v>
      </c>
      <c r="C1072" s="1" t="s">
        <v>2925</v>
      </c>
      <c r="D1072" s="1" t="s">
        <v>494</v>
      </c>
      <c r="E1072" s="2">
        <v>5.70038355711E11</v>
      </c>
      <c r="F1072" s="1" t="s">
        <v>2926</v>
      </c>
      <c r="G1072" s="1" t="s">
        <v>38</v>
      </c>
      <c r="H1072" s="3" t="s">
        <v>2661</v>
      </c>
      <c r="I1072" s="1"/>
    </row>
    <row r="1073" ht="15.75" customHeight="1">
      <c r="A1073" s="2">
        <v>1072.0</v>
      </c>
      <c r="B1073" s="1" t="s">
        <v>542</v>
      </c>
      <c r="C1073" s="1" t="s">
        <v>2927</v>
      </c>
      <c r="D1073" s="1" t="s">
        <v>2928</v>
      </c>
      <c r="E1073" s="2">
        <v>5.70038355712E11</v>
      </c>
      <c r="F1073" s="1" t="s">
        <v>2929</v>
      </c>
      <c r="G1073" s="1" t="s">
        <v>38</v>
      </c>
      <c r="H1073" s="3" t="s">
        <v>2661</v>
      </c>
      <c r="I1073" s="1"/>
    </row>
    <row r="1074" ht="15.75" customHeight="1">
      <c r="A1074" s="2">
        <v>1073.0</v>
      </c>
      <c r="B1074" s="1" t="s">
        <v>2930</v>
      </c>
      <c r="C1074" s="1" t="s">
        <v>2931</v>
      </c>
      <c r="D1074" s="1" t="s">
        <v>2928</v>
      </c>
      <c r="E1074" s="2">
        <v>5.70038355713E11</v>
      </c>
      <c r="F1074" s="1" t="s">
        <v>2932</v>
      </c>
      <c r="G1074" s="1" t="s">
        <v>24</v>
      </c>
      <c r="H1074" s="3" t="s">
        <v>2661</v>
      </c>
      <c r="I1074" s="1"/>
    </row>
    <row r="1075" ht="15.75" customHeight="1">
      <c r="A1075" s="2">
        <v>1074.0</v>
      </c>
      <c r="B1075" s="1" t="s">
        <v>254</v>
      </c>
      <c r="C1075" s="1" t="s">
        <v>2927</v>
      </c>
      <c r="D1075" s="1" t="s">
        <v>2933</v>
      </c>
      <c r="E1075" s="2">
        <v>5.70038355714E11</v>
      </c>
      <c r="F1075" s="1" t="s">
        <v>2934</v>
      </c>
      <c r="G1075" s="1" t="s">
        <v>24</v>
      </c>
      <c r="H1075" s="3" t="s">
        <v>2661</v>
      </c>
      <c r="I1075" s="1"/>
    </row>
    <row r="1076" ht="15.75" customHeight="1">
      <c r="A1076" s="2">
        <v>1075.0</v>
      </c>
      <c r="B1076" s="1" t="s">
        <v>2935</v>
      </c>
      <c r="C1076" s="1" t="s">
        <v>2927</v>
      </c>
      <c r="D1076" s="1" t="s">
        <v>2928</v>
      </c>
      <c r="E1076" s="2">
        <v>5.70038355715E11</v>
      </c>
      <c r="F1076" s="1" t="s">
        <v>2936</v>
      </c>
      <c r="G1076" s="1" t="s">
        <v>24</v>
      </c>
      <c r="H1076" s="3" t="s">
        <v>2661</v>
      </c>
      <c r="I1076" s="1"/>
    </row>
    <row r="1077" ht="15.75" customHeight="1">
      <c r="A1077" s="2">
        <v>1076.0</v>
      </c>
      <c r="B1077" s="1" t="s">
        <v>64</v>
      </c>
      <c r="C1077" s="1" t="s">
        <v>2927</v>
      </c>
      <c r="D1077" s="1" t="s">
        <v>2928</v>
      </c>
      <c r="E1077" s="2">
        <v>5.70038355716E11</v>
      </c>
      <c r="F1077" s="1" t="s">
        <v>1690</v>
      </c>
      <c r="G1077" s="1" t="s">
        <v>24</v>
      </c>
      <c r="H1077" s="3" t="s">
        <v>2661</v>
      </c>
      <c r="I1077" s="1"/>
    </row>
    <row r="1078" ht="15.75" customHeight="1">
      <c r="A1078" s="2">
        <v>1077.0</v>
      </c>
      <c r="B1078" s="1" t="s">
        <v>2756</v>
      </c>
      <c r="C1078" s="1" t="s">
        <v>2937</v>
      </c>
      <c r="D1078" s="1" t="s">
        <v>2938</v>
      </c>
      <c r="E1078" s="2">
        <v>5.70038355717E11</v>
      </c>
      <c r="F1078" s="1" t="s">
        <v>2939</v>
      </c>
      <c r="G1078" s="1" t="s">
        <v>24</v>
      </c>
      <c r="H1078" s="3" t="s">
        <v>2661</v>
      </c>
      <c r="I1078" s="1"/>
    </row>
    <row r="1079" ht="15.75" customHeight="1">
      <c r="A1079" s="2">
        <v>1078.0</v>
      </c>
      <c r="B1079" s="1" t="s">
        <v>2940</v>
      </c>
      <c r="C1079" s="1" t="s">
        <v>2711</v>
      </c>
      <c r="D1079" s="1" t="s">
        <v>2757</v>
      </c>
      <c r="E1079" s="2">
        <v>5.70038355724E11</v>
      </c>
      <c r="F1079" s="1" t="s">
        <v>2941</v>
      </c>
      <c r="G1079" s="1" t="s">
        <v>90</v>
      </c>
      <c r="H1079" s="3" t="s">
        <v>2661</v>
      </c>
      <c r="I1079" s="1"/>
    </row>
    <row r="1080" ht="15.75" customHeight="1">
      <c r="A1080" s="2">
        <v>1079.0</v>
      </c>
      <c r="B1080" s="1" t="s">
        <v>2942</v>
      </c>
      <c r="C1080" s="1" t="s">
        <v>2943</v>
      </c>
      <c r="D1080" s="1" t="s">
        <v>2944</v>
      </c>
      <c r="E1080" s="2">
        <v>5.70038355726E11</v>
      </c>
      <c r="F1080" s="1" t="s">
        <v>2945</v>
      </c>
      <c r="G1080" s="1" t="s">
        <v>38</v>
      </c>
      <c r="H1080" s="3" t="s">
        <v>2661</v>
      </c>
      <c r="I1080" s="1"/>
    </row>
    <row r="1081" ht="15.75" customHeight="1">
      <c r="A1081" s="2">
        <v>1080.0</v>
      </c>
      <c r="B1081" s="1" t="s">
        <v>993</v>
      </c>
      <c r="C1081" s="1" t="s">
        <v>2946</v>
      </c>
      <c r="D1081" s="1" t="s">
        <v>231</v>
      </c>
      <c r="E1081" s="2">
        <v>5.70038355728E11</v>
      </c>
      <c r="F1081" s="1" t="s">
        <v>786</v>
      </c>
      <c r="G1081" s="1" t="s">
        <v>90</v>
      </c>
      <c r="H1081" s="3" t="s">
        <v>2661</v>
      </c>
      <c r="I1081" s="1"/>
    </row>
    <row r="1082" ht="15.75" customHeight="1">
      <c r="A1082" s="2">
        <v>1081.0</v>
      </c>
      <c r="B1082" s="1" t="s">
        <v>805</v>
      </c>
      <c r="C1082" s="1" t="s">
        <v>2947</v>
      </c>
      <c r="D1082" s="1" t="s">
        <v>2948</v>
      </c>
      <c r="E1082" s="2">
        <v>5.70038355733E11</v>
      </c>
      <c r="F1082" s="1" t="s">
        <v>2949</v>
      </c>
      <c r="G1082" s="1" t="s">
        <v>24</v>
      </c>
      <c r="H1082" s="3" t="s">
        <v>2661</v>
      </c>
      <c r="I1082" s="1"/>
    </row>
    <row r="1083" ht="15.75" customHeight="1">
      <c r="A1083" s="2">
        <v>1082.0</v>
      </c>
      <c r="B1083" s="1" t="s">
        <v>2950</v>
      </c>
      <c r="C1083" s="1" t="s">
        <v>2438</v>
      </c>
      <c r="D1083" s="1" t="s">
        <v>2686</v>
      </c>
      <c r="E1083" s="2">
        <v>5.70038355734E11</v>
      </c>
      <c r="F1083" s="1" t="s">
        <v>2951</v>
      </c>
      <c r="G1083" s="1" t="s">
        <v>24</v>
      </c>
      <c r="H1083" s="3" t="s">
        <v>2661</v>
      </c>
      <c r="I1083" s="1"/>
    </row>
    <row r="1084" ht="15.75" customHeight="1">
      <c r="A1084" s="2">
        <v>1083.0</v>
      </c>
      <c r="B1084" s="1" t="s">
        <v>308</v>
      </c>
      <c r="C1084" s="1" t="s">
        <v>2952</v>
      </c>
      <c r="D1084" s="1" t="s">
        <v>2953</v>
      </c>
      <c r="E1084" s="2">
        <v>5.70038355736E11</v>
      </c>
      <c r="F1084" s="1" t="s">
        <v>2502</v>
      </c>
      <c r="G1084" s="1" t="s">
        <v>38</v>
      </c>
      <c r="H1084" s="3" t="s">
        <v>2661</v>
      </c>
      <c r="I1084" s="1"/>
    </row>
    <row r="1085" ht="15.75" customHeight="1">
      <c r="A1085" s="2">
        <v>1084.0</v>
      </c>
      <c r="B1085" s="1" t="s">
        <v>1779</v>
      </c>
      <c r="C1085" s="1" t="s">
        <v>2952</v>
      </c>
      <c r="D1085" s="1" t="s">
        <v>2954</v>
      </c>
      <c r="E1085" s="2">
        <v>5.70038355737E11</v>
      </c>
      <c r="F1085" s="1" t="s">
        <v>2955</v>
      </c>
      <c r="G1085" s="1" t="s">
        <v>24</v>
      </c>
      <c r="H1085" s="3" t="s">
        <v>2661</v>
      </c>
      <c r="I1085" s="1"/>
    </row>
    <row r="1086" ht="15.75" customHeight="1">
      <c r="A1086" s="2">
        <v>1085.0</v>
      </c>
      <c r="B1086" s="1" t="s">
        <v>195</v>
      </c>
      <c r="C1086" s="1" t="s">
        <v>2060</v>
      </c>
      <c r="D1086" s="1" t="s">
        <v>2956</v>
      </c>
      <c r="E1086" s="2">
        <v>5.70038355738E11</v>
      </c>
      <c r="F1086" s="1" t="s">
        <v>2957</v>
      </c>
      <c r="G1086" s="1" t="s">
        <v>38</v>
      </c>
      <c r="H1086" s="3" t="s">
        <v>2661</v>
      </c>
      <c r="I1086" s="1"/>
    </row>
    <row r="1087" ht="15.75" customHeight="1">
      <c r="A1087" s="2">
        <v>1086.0</v>
      </c>
      <c r="B1087" s="1" t="s">
        <v>1453</v>
      </c>
      <c r="C1087" s="1" t="s">
        <v>2931</v>
      </c>
      <c r="D1087" s="1" t="s">
        <v>2958</v>
      </c>
      <c r="E1087" s="2">
        <v>5.70038355739E11</v>
      </c>
      <c r="F1087" s="1" t="s">
        <v>2959</v>
      </c>
      <c r="G1087" s="1" t="s">
        <v>90</v>
      </c>
      <c r="H1087" s="3" t="s">
        <v>2661</v>
      </c>
      <c r="I1087" s="1"/>
    </row>
    <row r="1088" ht="15.75" customHeight="1">
      <c r="A1088" s="2">
        <v>1087.0</v>
      </c>
      <c r="B1088" s="1" t="s">
        <v>285</v>
      </c>
      <c r="C1088" s="1" t="s">
        <v>559</v>
      </c>
      <c r="D1088" s="1" t="s">
        <v>2960</v>
      </c>
      <c r="E1088" s="2">
        <v>5.7003835574E11</v>
      </c>
      <c r="F1088" s="1" t="s">
        <v>2961</v>
      </c>
      <c r="G1088" s="1" t="s">
        <v>24</v>
      </c>
      <c r="H1088" s="3" t="s">
        <v>2661</v>
      </c>
      <c r="I1088" s="1"/>
    </row>
    <row r="1089" ht="15.75" customHeight="1">
      <c r="A1089" s="2">
        <v>1088.0</v>
      </c>
      <c r="B1089" s="1" t="s">
        <v>2891</v>
      </c>
      <c r="C1089" s="1" t="s">
        <v>2962</v>
      </c>
      <c r="D1089" s="1" t="s">
        <v>2821</v>
      </c>
      <c r="E1089" s="2">
        <v>5.70038355741E11</v>
      </c>
      <c r="F1089" s="1" t="s">
        <v>2963</v>
      </c>
      <c r="G1089" s="1" t="s">
        <v>24</v>
      </c>
      <c r="H1089" s="3" t="s">
        <v>2661</v>
      </c>
      <c r="I1089" s="1"/>
    </row>
    <row r="1090" ht="15.75" customHeight="1">
      <c r="A1090" s="2">
        <v>1089.0</v>
      </c>
      <c r="B1090" s="1" t="s">
        <v>2964</v>
      </c>
      <c r="C1090" s="1" t="s">
        <v>559</v>
      </c>
      <c r="D1090" s="1" t="s">
        <v>2965</v>
      </c>
      <c r="E1090" s="2">
        <v>5.70038355742E11</v>
      </c>
      <c r="F1090" s="1" t="s">
        <v>2966</v>
      </c>
      <c r="G1090" s="1" t="s">
        <v>38</v>
      </c>
      <c r="H1090" s="3" t="s">
        <v>2661</v>
      </c>
      <c r="I1090" s="1"/>
    </row>
    <row r="1091" ht="15.75" customHeight="1">
      <c r="A1091" s="2">
        <v>1090.0</v>
      </c>
      <c r="B1091" s="1" t="s">
        <v>57</v>
      </c>
      <c r="C1091" s="1" t="s">
        <v>2962</v>
      </c>
      <c r="D1091" s="1" t="s">
        <v>2967</v>
      </c>
      <c r="E1091" s="2">
        <v>5.70038355745E11</v>
      </c>
      <c r="F1091" s="1" t="s">
        <v>2968</v>
      </c>
      <c r="G1091" s="1" t="s">
        <v>24</v>
      </c>
      <c r="H1091" s="3" t="s">
        <v>2661</v>
      </c>
      <c r="I1091" s="1"/>
    </row>
    <row r="1092" ht="15.75" customHeight="1">
      <c r="A1092" s="2">
        <v>1091.0</v>
      </c>
      <c r="B1092" s="1" t="s">
        <v>2969</v>
      </c>
      <c r="C1092" s="1" t="s">
        <v>2970</v>
      </c>
      <c r="D1092" s="1" t="s">
        <v>2821</v>
      </c>
      <c r="E1092" s="2">
        <v>5.7003835575E11</v>
      </c>
      <c r="F1092" s="1" t="s">
        <v>2971</v>
      </c>
      <c r="G1092" s="1" t="s">
        <v>24</v>
      </c>
      <c r="H1092" s="3" t="s">
        <v>2661</v>
      </c>
      <c r="I1092" s="1"/>
    </row>
    <row r="1093" ht="15.75" customHeight="1">
      <c r="A1093" s="2">
        <v>1092.0</v>
      </c>
      <c r="B1093" s="1" t="s">
        <v>2972</v>
      </c>
      <c r="C1093" s="1" t="s">
        <v>2973</v>
      </c>
      <c r="D1093" s="1" t="s">
        <v>2974</v>
      </c>
      <c r="E1093" s="2">
        <v>5.70038355756E11</v>
      </c>
      <c r="F1093" s="1" t="s">
        <v>2975</v>
      </c>
      <c r="G1093" s="1" t="s">
        <v>38</v>
      </c>
      <c r="H1093" s="3" t="s">
        <v>2661</v>
      </c>
      <c r="I1093" s="1"/>
    </row>
    <row r="1094" ht="15.75" customHeight="1">
      <c r="A1094" s="2">
        <v>1093.0</v>
      </c>
      <c r="B1094" s="1" t="s">
        <v>2006</v>
      </c>
      <c r="C1094" s="1" t="s">
        <v>2973</v>
      </c>
      <c r="D1094" s="1" t="s">
        <v>2974</v>
      </c>
      <c r="E1094" s="2">
        <v>5.70038355757E11</v>
      </c>
      <c r="F1094" s="1" t="s">
        <v>2976</v>
      </c>
      <c r="G1094" s="1" t="s">
        <v>38</v>
      </c>
      <c r="H1094" s="3" t="s">
        <v>2661</v>
      </c>
      <c r="I1094" s="1"/>
    </row>
    <row r="1095" ht="15.75" customHeight="1">
      <c r="A1095" s="2">
        <v>1094.0</v>
      </c>
      <c r="B1095" s="1" t="s">
        <v>2977</v>
      </c>
      <c r="C1095" s="1" t="s">
        <v>2973</v>
      </c>
      <c r="D1095" s="1" t="s">
        <v>2974</v>
      </c>
      <c r="E1095" s="2">
        <v>5.70038355758E11</v>
      </c>
      <c r="F1095" s="1" t="s">
        <v>2978</v>
      </c>
      <c r="G1095" s="1" t="s">
        <v>38</v>
      </c>
      <c r="H1095" s="3" t="s">
        <v>2661</v>
      </c>
      <c r="I1095" s="1"/>
    </row>
    <row r="1096" ht="15.75" customHeight="1">
      <c r="A1096" s="2">
        <v>1095.0</v>
      </c>
      <c r="B1096" s="1" t="s">
        <v>2979</v>
      </c>
      <c r="C1096" s="1" t="s">
        <v>815</v>
      </c>
      <c r="D1096" s="1" t="s">
        <v>2980</v>
      </c>
      <c r="E1096" s="2">
        <v>5.70038355768E11</v>
      </c>
      <c r="F1096" s="1" t="s">
        <v>472</v>
      </c>
      <c r="G1096" s="1" t="s">
        <v>38</v>
      </c>
      <c r="H1096" s="3" t="s">
        <v>2661</v>
      </c>
      <c r="I1096" s="1"/>
    </row>
    <row r="1097" ht="15.75" customHeight="1">
      <c r="A1097" s="2">
        <v>1096.0</v>
      </c>
      <c r="B1097" s="1" t="s">
        <v>2981</v>
      </c>
      <c r="C1097" s="1" t="s">
        <v>824</v>
      </c>
      <c r="D1097" s="1" t="s">
        <v>587</v>
      </c>
      <c r="E1097" s="2">
        <v>5.70038355775E11</v>
      </c>
      <c r="F1097" s="1" t="s">
        <v>2982</v>
      </c>
      <c r="G1097" s="1" t="s">
        <v>38</v>
      </c>
      <c r="H1097" s="3" t="s">
        <v>2661</v>
      </c>
      <c r="I1097" s="1"/>
    </row>
    <row r="1098" ht="15.75" customHeight="1">
      <c r="A1098" s="2">
        <v>1097.0</v>
      </c>
      <c r="B1098" s="1" t="s">
        <v>2983</v>
      </c>
      <c r="C1098" s="1" t="s">
        <v>2984</v>
      </c>
      <c r="D1098" s="1" t="s">
        <v>2985</v>
      </c>
      <c r="E1098" s="2">
        <v>5.70038355776E11</v>
      </c>
      <c r="F1098" s="1" t="s">
        <v>2986</v>
      </c>
      <c r="G1098" s="1" t="s">
        <v>24</v>
      </c>
      <c r="H1098" s="3" t="s">
        <v>2661</v>
      </c>
      <c r="I1098" s="1"/>
    </row>
    <row r="1099" ht="15.75" customHeight="1">
      <c r="A1099" s="2">
        <v>1098.0</v>
      </c>
      <c r="B1099" s="1" t="s">
        <v>2987</v>
      </c>
      <c r="C1099" s="1" t="s">
        <v>2983</v>
      </c>
      <c r="D1099" s="1" t="s">
        <v>587</v>
      </c>
      <c r="E1099" s="2">
        <v>5.70038355779E11</v>
      </c>
      <c r="F1099" s="1" t="s">
        <v>2988</v>
      </c>
      <c r="G1099" s="1" t="s">
        <v>38</v>
      </c>
      <c r="H1099" s="3" t="s">
        <v>2661</v>
      </c>
      <c r="I1099" s="1"/>
    </row>
    <row r="1100" ht="15.75" customHeight="1">
      <c r="A1100" s="2">
        <v>1099.0</v>
      </c>
      <c r="B1100" s="1" t="s">
        <v>2989</v>
      </c>
      <c r="C1100" s="1" t="s">
        <v>2983</v>
      </c>
      <c r="D1100" s="1" t="s">
        <v>587</v>
      </c>
      <c r="E1100" s="2">
        <v>5.70038355781E11</v>
      </c>
      <c r="F1100" s="1" t="s">
        <v>2990</v>
      </c>
      <c r="G1100" s="1" t="s">
        <v>593</v>
      </c>
      <c r="H1100" s="3" t="s">
        <v>2661</v>
      </c>
      <c r="I1100" s="1"/>
    </row>
    <row r="1101" ht="15.75" customHeight="1">
      <c r="A1101" s="2">
        <v>1100.0</v>
      </c>
      <c r="B1101" s="1" t="s">
        <v>682</v>
      </c>
      <c r="C1101" s="1" t="s">
        <v>2711</v>
      </c>
      <c r="D1101" s="1" t="s">
        <v>2991</v>
      </c>
      <c r="E1101" s="2">
        <v>5.70038355784E11</v>
      </c>
      <c r="F1101" s="1" t="s">
        <v>2992</v>
      </c>
      <c r="G1101" s="1" t="s">
        <v>24</v>
      </c>
      <c r="H1101" s="3" t="s">
        <v>2661</v>
      </c>
      <c r="I1101" s="1"/>
    </row>
    <row r="1102" ht="15.75" customHeight="1">
      <c r="A1102" s="2">
        <v>1101.0</v>
      </c>
      <c r="B1102" s="1" t="s">
        <v>2993</v>
      </c>
      <c r="C1102" s="1" t="s">
        <v>2711</v>
      </c>
      <c r="D1102" s="1" t="s">
        <v>2991</v>
      </c>
      <c r="E1102" s="2">
        <v>5.70038355785E11</v>
      </c>
      <c r="F1102" s="1" t="s">
        <v>2994</v>
      </c>
      <c r="G1102" s="1" t="s">
        <v>24</v>
      </c>
      <c r="H1102" s="3" t="s">
        <v>2661</v>
      </c>
      <c r="I1102" s="1"/>
    </row>
    <row r="1103" ht="15.75" customHeight="1">
      <c r="A1103" s="2">
        <v>1102.0</v>
      </c>
      <c r="B1103" s="1" t="s">
        <v>43</v>
      </c>
      <c r="C1103" s="1" t="s">
        <v>2711</v>
      </c>
      <c r="D1103" s="1" t="s">
        <v>2991</v>
      </c>
      <c r="E1103" s="2">
        <v>5.70038355786E11</v>
      </c>
      <c r="F1103" s="1" t="s">
        <v>2995</v>
      </c>
      <c r="G1103" s="1" t="s">
        <v>24</v>
      </c>
      <c r="H1103" s="3" t="s">
        <v>2661</v>
      </c>
      <c r="I1103" s="1"/>
    </row>
    <row r="1104" ht="15.75" customHeight="1">
      <c r="A1104" s="2">
        <v>1103.0</v>
      </c>
      <c r="B1104" s="1" t="s">
        <v>2996</v>
      </c>
      <c r="C1104" s="1" t="s">
        <v>2997</v>
      </c>
      <c r="D1104" s="1" t="s">
        <v>2998</v>
      </c>
      <c r="E1104" s="2">
        <v>5.7003835579E11</v>
      </c>
      <c r="F1104" s="1" t="s">
        <v>124</v>
      </c>
      <c r="G1104" s="1" t="s">
        <v>38</v>
      </c>
      <c r="H1104" s="3" t="s">
        <v>2661</v>
      </c>
      <c r="I1104" s="1"/>
    </row>
    <row r="1105" ht="15.75" customHeight="1">
      <c r="A1105" s="2">
        <v>1104.0</v>
      </c>
      <c r="B1105" s="1" t="s">
        <v>2999</v>
      </c>
      <c r="C1105" s="1" t="s">
        <v>542</v>
      </c>
      <c r="D1105" s="1" t="s">
        <v>3000</v>
      </c>
      <c r="E1105" s="2">
        <v>5.70038355792E11</v>
      </c>
      <c r="F1105" s="1" t="s">
        <v>3001</v>
      </c>
      <c r="G1105" s="1" t="s">
        <v>24</v>
      </c>
      <c r="H1105" s="3" t="s">
        <v>2661</v>
      </c>
      <c r="I1105" s="1"/>
    </row>
    <row r="1106" ht="15.75" customHeight="1">
      <c r="A1106" s="2">
        <v>1105.0</v>
      </c>
      <c r="B1106" s="1" t="s">
        <v>1484</v>
      </c>
      <c r="C1106" s="1" t="s">
        <v>3002</v>
      </c>
      <c r="D1106" s="1" t="s">
        <v>1902</v>
      </c>
      <c r="E1106" s="2">
        <v>5.70038355794E11</v>
      </c>
      <c r="F1106" s="1" t="s">
        <v>3003</v>
      </c>
      <c r="G1106" s="1" t="s">
        <v>24</v>
      </c>
      <c r="H1106" s="3" t="s">
        <v>2661</v>
      </c>
      <c r="I1106" s="1"/>
    </row>
    <row r="1107" ht="15.75" customHeight="1">
      <c r="A1107" s="2">
        <v>1106.0</v>
      </c>
      <c r="B1107" s="1" t="s">
        <v>608</v>
      </c>
      <c r="C1107" s="1" t="s">
        <v>3004</v>
      </c>
      <c r="D1107" s="1" t="s">
        <v>2762</v>
      </c>
      <c r="E1107" s="2">
        <v>5.70038355797E11</v>
      </c>
      <c r="F1107" s="1" t="s">
        <v>3005</v>
      </c>
      <c r="G1107" s="1" t="s">
        <v>18</v>
      </c>
      <c r="H1107" s="3" t="s">
        <v>2661</v>
      </c>
      <c r="I1107" s="1"/>
    </row>
    <row r="1108" ht="15.75" customHeight="1">
      <c r="A1108" s="2">
        <v>1107.0</v>
      </c>
      <c r="B1108" s="1" t="s">
        <v>1700</v>
      </c>
      <c r="C1108" s="1" t="s">
        <v>3006</v>
      </c>
      <c r="D1108" s="1" t="s">
        <v>3007</v>
      </c>
      <c r="E1108" s="2">
        <v>5.70038355798E11</v>
      </c>
      <c r="F1108" s="1" t="s">
        <v>3008</v>
      </c>
      <c r="G1108" s="1" t="s">
        <v>38</v>
      </c>
      <c r="H1108" s="3" t="s">
        <v>2661</v>
      </c>
      <c r="I1108" s="1"/>
    </row>
    <row r="1109" ht="15.75" customHeight="1">
      <c r="A1109" s="2">
        <v>1108.0</v>
      </c>
      <c r="B1109" s="1" t="s">
        <v>3009</v>
      </c>
      <c r="C1109" s="1" t="s">
        <v>3010</v>
      </c>
      <c r="D1109" s="1" t="s">
        <v>3011</v>
      </c>
      <c r="E1109" s="2">
        <v>5.70038355799E11</v>
      </c>
      <c r="F1109" s="1" t="s">
        <v>3012</v>
      </c>
      <c r="G1109" s="1" t="s">
        <v>24</v>
      </c>
      <c r="H1109" s="3" t="s">
        <v>2661</v>
      </c>
      <c r="I1109" s="1"/>
    </row>
    <row r="1110" ht="15.75" customHeight="1">
      <c r="A1110" s="2">
        <v>1109.0</v>
      </c>
      <c r="B1110" s="1" t="s">
        <v>542</v>
      </c>
      <c r="C1110" s="1" t="s">
        <v>3013</v>
      </c>
      <c r="D1110" s="1" t="s">
        <v>1902</v>
      </c>
      <c r="E1110" s="2">
        <v>5.700383558E11</v>
      </c>
      <c r="F1110" s="1" t="s">
        <v>3014</v>
      </c>
      <c r="G1110" s="1" t="s">
        <v>24</v>
      </c>
      <c r="H1110" s="3" t="s">
        <v>2661</v>
      </c>
      <c r="I1110" s="1"/>
    </row>
    <row r="1111" ht="15.75" customHeight="1">
      <c r="A1111" s="2">
        <v>1110.0</v>
      </c>
      <c r="B1111" s="1" t="s">
        <v>3015</v>
      </c>
      <c r="C1111" s="1" t="s">
        <v>482</v>
      </c>
      <c r="D1111" s="1" t="s">
        <v>231</v>
      </c>
      <c r="E1111" s="2">
        <v>5.70038355802E11</v>
      </c>
      <c r="F1111" s="1" t="s">
        <v>3016</v>
      </c>
      <c r="G1111" s="1" t="s">
        <v>18</v>
      </c>
      <c r="H1111" s="3" t="s">
        <v>2661</v>
      </c>
      <c r="I1111" s="1"/>
    </row>
    <row r="1112" ht="15.75" customHeight="1">
      <c r="A1112" s="2">
        <v>1111.0</v>
      </c>
      <c r="B1112" s="1" t="s">
        <v>410</v>
      </c>
      <c r="C1112" s="1" t="s">
        <v>2774</v>
      </c>
      <c r="D1112" s="1" t="s">
        <v>3017</v>
      </c>
      <c r="E1112" s="2">
        <v>5.70038355808E11</v>
      </c>
      <c r="F1112" s="1" t="s">
        <v>3018</v>
      </c>
      <c r="G1112" s="1" t="s">
        <v>24</v>
      </c>
      <c r="H1112" s="3" t="s">
        <v>2661</v>
      </c>
      <c r="I1112" s="1"/>
    </row>
    <row r="1113" ht="15.75" customHeight="1">
      <c r="A1113" s="2">
        <v>1112.0</v>
      </c>
      <c r="B1113" s="1" t="s">
        <v>130</v>
      </c>
      <c r="C1113" s="1" t="s">
        <v>3019</v>
      </c>
      <c r="D1113" s="1" t="s">
        <v>2762</v>
      </c>
      <c r="E1113" s="2">
        <v>5.70038355811E11</v>
      </c>
      <c r="F1113" s="1" t="s">
        <v>3020</v>
      </c>
      <c r="G1113" s="1" t="s">
        <v>18</v>
      </c>
      <c r="H1113" s="3" t="s">
        <v>2661</v>
      </c>
      <c r="I1113" s="1"/>
    </row>
    <row r="1114" ht="15.75" customHeight="1">
      <c r="A1114" s="2">
        <v>1113.0</v>
      </c>
      <c r="B1114" s="1" t="s">
        <v>3019</v>
      </c>
      <c r="C1114" s="1" t="s">
        <v>3021</v>
      </c>
      <c r="D1114" s="1" t="s">
        <v>3022</v>
      </c>
      <c r="E1114" s="2">
        <v>5.70038355812E11</v>
      </c>
      <c r="F1114" s="1" t="s">
        <v>3023</v>
      </c>
      <c r="G1114" s="1" t="s">
        <v>24</v>
      </c>
      <c r="H1114" s="3" t="s">
        <v>2661</v>
      </c>
      <c r="I1114" s="1"/>
    </row>
    <row r="1115" ht="15.75" customHeight="1">
      <c r="A1115" s="2">
        <v>1114.0</v>
      </c>
      <c r="B1115" s="1" t="s">
        <v>3024</v>
      </c>
      <c r="C1115" s="1" t="s">
        <v>1232</v>
      </c>
      <c r="D1115" s="1" t="s">
        <v>3007</v>
      </c>
      <c r="E1115" s="2">
        <v>5.70038355813E11</v>
      </c>
      <c r="F1115" s="1" t="s">
        <v>1030</v>
      </c>
      <c r="G1115" s="1" t="s">
        <v>38</v>
      </c>
      <c r="H1115" s="3" t="s">
        <v>2661</v>
      </c>
      <c r="I1115" s="1"/>
    </row>
    <row r="1116" ht="15.75" customHeight="1">
      <c r="A1116" s="2">
        <v>1115.0</v>
      </c>
      <c r="B1116" s="1" t="s">
        <v>3025</v>
      </c>
      <c r="C1116" s="1" t="s">
        <v>1232</v>
      </c>
      <c r="D1116" s="1" t="s">
        <v>3007</v>
      </c>
      <c r="E1116" s="2">
        <v>5.70038355814E11</v>
      </c>
      <c r="F1116" s="1" t="s">
        <v>3026</v>
      </c>
      <c r="G1116" s="1" t="s">
        <v>24</v>
      </c>
      <c r="H1116" s="3" t="s">
        <v>2661</v>
      </c>
      <c r="I1116" s="1"/>
    </row>
    <row r="1117" ht="15.75" customHeight="1">
      <c r="A1117" s="2">
        <v>1116.0</v>
      </c>
      <c r="B1117" s="1" t="s">
        <v>2997</v>
      </c>
      <c r="C1117" s="1" t="s">
        <v>3027</v>
      </c>
      <c r="D1117" s="1" t="s">
        <v>3028</v>
      </c>
      <c r="E1117" s="2">
        <v>5.70038355815E11</v>
      </c>
      <c r="F1117" s="1" t="s">
        <v>3029</v>
      </c>
      <c r="G1117" s="1" t="s">
        <v>38</v>
      </c>
      <c r="H1117" s="3" t="s">
        <v>2661</v>
      </c>
      <c r="I1117" s="1"/>
    </row>
    <row r="1118" ht="15.75" customHeight="1">
      <c r="A1118" s="2">
        <v>1117.0</v>
      </c>
      <c r="B1118" s="1" t="s">
        <v>388</v>
      </c>
      <c r="C1118" s="1" t="s">
        <v>3030</v>
      </c>
      <c r="D1118" s="1" t="s">
        <v>1693</v>
      </c>
      <c r="E1118" s="2">
        <v>5.70038355816E11</v>
      </c>
      <c r="F1118" s="1" t="s">
        <v>3031</v>
      </c>
      <c r="G1118" s="1" t="s">
        <v>18</v>
      </c>
      <c r="H1118" s="3" t="s">
        <v>2661</v>
      </c>
      <c r="I1118" s="1"/>
    </row>
    <row r="1119" ht="15.75" customHeight="1">
      <c r="A1119" s="2">
        <v>1118.0</v>
      </c>
      <c r="B1119" s="1" t="s">
        <v>1329</v>
      </c>
      <c r="C1119" s="1" t="s">
        <v>3032</v>
      </c>
      <c r="D1119" s="1" t="s">
        <v>3033</v>
      </c>
      <c r="E1119" s="2">
        <v>5.70038355817E11</v>
      </c>
      <c r="F1119" s="1" t="s">
        <v>3034</v>
      </c>
      <c r="G1119" s="1" t="s">
        <v>18</v>
      </c>
      <c r="H1119" s="3" t="s">
        <v>2661</v>
      </c>
      <c r="I1119" s="1"/>
    </row>
    <row r="1120" ht="15.75" customHeight="1">
      <c r="A1120" s="2">
        <v>1119.0</v>
      </c>
      <c r="B1120" s="1" t="s">
        <v>3035</v>
      </c>
      <c r="C1120" s="1" t="s">
        <v>1484</v>
      </c>
      <c r="D1120" s="1" t="s">
        <v>3036</v>
      </c>
      <c r="E1120" s="2">
        <v>5.70038355818E11</v>
      </c>
      <c r="F1120" s="1" t="s">
        <v>1503</v>
      </c>
      <c r="G1120" s="1" t="s">
        <v>24</v>
      </c>
      <c r="H1120" s="3" t="s">
        <v>2661</v>
      </c>
      <c r="I1120" s="1"/>
    </row>
    <row r="1121" ht="15.75" customHeight="1">
      <c r="A1121" s="2">
        <v>1120.0</v>
      </c>
      <c r="B1121" s="1" t="s">
        <v>330</v>
      </c>
      <c r="C1121" s="1" t="s">
        <v>2559</v>
      </c>
      <c r="D1121" s="1" t="s">
        <v>3037</v>
      </c>
      <c r="E1121" s="2">
        <v>5.70038355819E11</v>
      </c>
      <c r="F1121" s="1" t="s">
        <v>3038</v>
      </c>
      <c r="G1121" s="1" t="s">
        <v>24</v>
      </c>
      <c r="H1121" s="3" t="s">
        <v>2661</v>
      </c>
      <c r="I1121" s="1"/>
    </row>
    <row r="1122" ht="15.75" customHeight="1">
      <c r="A1122" s="2">
        <v>1121.0</v>
      </c>
      <c r="B1122" s="1" t="s">
        <v>730</v>
      </c>
      <c r="C1122" s="1" t="s">
        <v>591</v>
      </c>
      <c r="D1122" s="1" t="s">
        <v>494</v>
      </c>
      <c r="E1122" s="2">
        <v>5.7003835582E11</v>
      </c>
      <c r="F1122" s="1" t="s">
        <v>3039</v>
      </c>
      <c r="G1122" s="1" t="s">
        <v>18</v>
      </c>
      <c r="H1122" s="3" t="s">
        <v>2661</v>
      </c>
      <c r="I1122" s="1"/>
    </row>
    <row r="1123" ht="15.75" customHeight="1">
      <c r="A1123" s="2">
        <v>1122.0</v>
      </c>
      <c r="B1123" s="1" t="s">
        <v>3040</v>
      </c>
      <c r="C1123" s="1" t="s">
        <v>2449</v>
      </c>
      <c r="D1123" s="1" t="s">
        <v>3041</v>
      </c>
      <c r="E1123" s="2">
        <v>5.70038355821E11</v>
      </c>
      <c r="F1123" s="1" t="s">
        <v>3042</v>
      </c>
      <c r="G1123" s="1" t="s">
        <v>24</v>
      </c>
      <c r="H1123" s="3" t="s">
        <v>2661</v>
      </c>
      <c r="I1123" s="1"/>
    </row>
    <row r="1124" ht="15.75" customHeight="1">
      <c r="A1124" s="2">
        <v>1123.0</v>
      </c>
      <c r="B1124" s="1" t="s">
        <v>3043</v>
      </c>
      <c r="C1124" s="1" t="s">
        <v>2052</v>
      </c>
      <c r="D1124" s="1" t="s">
        <v>3044</v>
      </c>
      <c r="E1124" s="2">
        <v>5.70038355823E11</v>
      </c>
      <c r="F1124" s="1" t="s">
        <v>3045</v>
      </c>
      <c r="G1124" s="1" t="s">
        <v>24</v>
      </c>
      <c r="H1124" s="3" t="s">
        <v>2661</v>
      </c>
      <c r="I1124" s="1"/>
    </row>
    <row r="1125" ht="15.75" customHeight="1">
      <c r="A1125" s="2">
        <v>1124.0</v>
      </c>
      <c r="B1125" s="1" t="s">
        <v>3046</v>
      </c>
      <c r="C1125" s="1" t="s">
        <v>3047</v>
      </c>
      <c r="D1125" s="1" t="s">
        <v>3048</v>
      </c>
      <c r="E1125" s="2">
        <v>5.70038355824E11</v>
      </c>
      <c r="F1125" s="1" t="s">
        <v>3049</v>
      </c>
      <c r="G1125" s="1" t="s">
        <v>38</v>
      </c>
      <c r="H1125" s="3" t="s">
        <v>2661</v>
      </c>
      <c r="I1125" s="1"/>
    </row>
    <row r="1126" ht="15.75" customHeight="1">
      <c r="A1126" s="2">
        <v>1125.0</v>
      </c>
      <c r="B1126" s="1" t="s">
        <v>559</v>
      </c>
      <c r="C1126" s="1" t="s">
        <v>3050</v>
      </c>
      <c r="D1126" s="1" t="s">
        <v>3051</v>
      </c>
      <c r="E1126" s="2">
        <v>5.70038355825E11</v>
      </c>
      <c r="F1126" s="1" t="s">
        <v>3052</v>
      </c>
      <c r="G1126" s="1" t="s">
        <v>24</v>
      </c>
      <c r="H1126" s="3" t="s">
        <v>2661</v>
      </c>
      <c r="I1126" s="1"/>
    </row>
    <row r="1127" ht="15.75" customHeight="1">
      <c r="A1127" s="2">
        <v>1126.0</v>
      </c>
      <c r="B1127" s="1" t="s">
        <v>3053</v>
      </c>
      <c r="C1127" s="1" t="s">
        <v>3054</v>
      </c>
      <c r="D1127" s="1" t="s">
        <v>587</v>
      </c>
      <c r="E1127" s="2">
        <v>5.70038355826E11</v>
      </c>
      <c r="F1127" s="1" t="s">
        <v>3055</v>
      </c>
      <c r="G1127" s="1" t="s">
        <v>24</v>
      </c>
      <c r="H1127" s="3" t="s">
        <v>2661</v>
      </c>
      <c r="I1127" s="1"/>
    </row>
    <row r="1128" ht="15.75" customHeight="1">
      <c r="A1128" s="2">
        <v>1127.0</v>
      </c>
      <c r="B1128" s="1" t="s">
        <v>3056</v>
      </c>
      <c r="C1128" s="1" t="s">
        <v>3057</v>
      </c>
      <c r="D1128" s="1" t="s">
        <v>3058</v>
      </c>
      <c r="E1128" s="2">
        <v>5.70038355827E11</v>
      </c>
      <c r="F1128" s="1" t="s">
        <v>3059</v>
      </c>
      <c r="G1128" s="1" t="s">
        <v>38</v>
      </c>
      <c r="H1128" s="3" t="s">
        <v>2661</v>
      </c>
      <c r="I1128" s="1"/>
    </row>
    <row r="1129" ht="15.75" customHeight="1">
      <c r="A1129" s="2">
        <v>1128.0</v>
      </c>
      <c r="B1129" s="1" t="s">
        <v>936</v>
      </c>
      <c r="C1129" s="1" t="s">
        <v>3060</v>
      </c>
      <c r="D1129" s="1" t="s">
        <v>3061</v>
      </c>
      <c r="E1129" s="2">
        <v>5.70038355828E11</v>
      </c>
      <c r="F1129" s="1" t="s">
        <v>3062</v>
      </c>
      <c r="G1129" s="1" t="s">
        <v>143</v>
      </c>
      <c r="H1129" s="3" t="s">
        <v>2661</v>
      </c>
      <c r="I1129" s="1"/>
    </row>
    <row r="1130" ht="15.75" customHeight="1">
      <c r="A1130" s="2">
        <v>1129.0</v>
      </c>
      <c r="B1130" s="1" t="s">
        <v>633</v>
      </c>
      <c r="C1130" s="1" t="s">
        <v>3063</v>
      </c>
      <c r="D1130" s="1" t="s">
        <v>3064</v>
      </c>
      <c r="E1130" s="2">
        <v>5.70038355829E11</v>
      </c>
      <c r="F1130" s="1" t="s">
        <v>2140</v>
      </c>
      <c r="G1130" s="1" t="s">
        <v>18</v>
      </c>
      <c r="H1130" s="3" t="s">
        <v>2661</v>
      </c>
      <c r="I1130" s="1"/>
    </row>
    <row r="1131" ht="15.75" customHeight="1">
      <c r="A1131" s="2">
        <v>1130.0</v>
      </c>
      <c r="B1131" s="1" t="s">
        <v>276</v>
      </c>
      <c r="C1131" s="1" t="s">
        <v>2319</v>
      </c>
      <c r="D1131" s="1" t="s">
        <v>2873</v>
      </c>
      <c r="E1131" s="2">
        <v>5.7003835583E11</v>
      </c>
      <c r="F1131" s="1" t="s">
        <v>3065</v>
      </c>
      <c r="G1131" s="1" t="s">
        <v>38</v>
      </c>
      <c r="H1131" s="3" t="s">
        <v>2661</v>
      </c>
      <c r="I1131" s="1"/>
    </row>
    <row r="1132" ht="15.75" customHeight="1">
      <c r="A1132" s="2">
        <v>1131.0</v>
      </c>
      <c r="B1132" s="1" t="s">
        <v>612</v>
      </c>
      <c r="C1132" s="1" t="s">
        <v>3066</v>
      </c>
      <c r="D1132" s="1" t="s">
        <v>231</v>
      </c>
      <c r="E1132" s="2">
        <v>5.70038355831E11</v>
      </c>
      <c r="F1132" s="1" t="s">
        <v>3067</v>
      </c>
      <c r="G1132" s="1" t="s">
        <v>24</v>
      </c>
      <c r="H1132" s="3" t="s">
        <v>2661</v>
      </c>
      <c r="I1132" s="1"/>
    </row>
    <row r="1133" ht="15.75" customHeight="1">
      <c r="A1133" s="2">
        <v>1132.0</v>
      </c>
      <c r="B1133" s="1" t="s">
        <v>3068</v>
      </c>
      <c r="C1133" s="1" t="s">
        <v>3069</v>
      </c>
      <c r="D1133" s="1" t="s">
        <v>3070</v>
      </c>
      <c r="E1133" s="2">
        <v>5.70038355832E11</v>
      </c>
      <c r="F1133" s="1" t="s">
        <v>3071</v>
      </c>
      <c r="G1133" s="1" t="s">
        <v>24</v>
      </c>
      <c r="H1133" s="3" t="s">
        <v>2661</v>
      </c>
      <c r="I1133" s="1"/>
    </row>
    <row r="1134" ht="15.75" customHeight="1">
      <c r="A1134" s="2">
        <v>1133.0</v>
      </c>
      <c r="B1134" s="1" t="s">
        <v>3072</v>
      </c>
      <c r="C1134" s="1" t="s">
        <v>3073</v>
      </c>
      <c r="D1134" s="1" t="s">
        <v>3074</v>
      </c>
      <c r="E1134" s="2">
        <v>5.70038355833E11</v>
      </c>
      <c r="F1134" s="1" t="s">
        <v>2507</v>
      </c>
      <c r="G1134" s="1" t="s">
        <v>38</v>
      </c>
      <c r="H1134" s="3" t="s">
        <v>2661</v>
      </c>
      <c r="I1134" s="1"/>
    </row>
    <row r="1135" ht="15.75" customHeight="1">
      <c r="A1135" s="2">
        <v>1134.0</v>
      </c>
      <c r="B1135" s="1" t="s">
        <v>3075</v>
      </c>
      <c r="C1135" s="1" t="s">
        <v>1256</v>
      </c>
      <c r="D1135" s="1" t="s">
        <v>3076</v>
      </c>
      <c r="E1135" s="2">
        <v>5.70038355838E11</v>
      </c>
      <c r="F1135" s="1" t="s">
        <v>3077</v>
      </c>
      <c r="G1135" s="1" t="s">
        <v>47</v>
      </c>
      <c r="H1135" s="3" t="s">
        <v>2661</v>
      </c>
      <c r="I1135" s="1"/>
    </row>
    <row r="1136" ht="15.75" customHeight="1">
      <c r="A1136" s="2">
        <v>1135.0</v>
      </c>
      <c r="B1136" s="1" t="s">
        <v>3078</v>
      </c>
      <c r="C1136" s="1" t="s">
        <v>1917</v>
      </c>
      <c r="D1136" s="1" t="s">
        <v>3079</v>
      </c>
      <c r="E1136" s="2">
        <v>5.70038355841E11</v>
      </c>
      <c r="F1136" s="1" t="s">
        <v>310</v>
      </c>
      <c r="G1136" s="1" t="s">
        <v>38</v>
      </c>
      <c r="H1136" s="3" t="s">
        <v>2661</v>
      </c>
      <c r="I1136" s="1"/>
    </row>
    <row r="1137" ht="15.75" customHeight="1">
      <c r="A1137" s="2">
        <v>1136.0</v>
      </c>
      <c r="B1137" s="1" t="s">
        <v>3080</v>
      </c>
      <c r="C1137" s="1" t="s">
        <v>815</v>
      </c>
      <c r="D1137" s="1" t="s">
        <v>3081</v>
      </c>
      <c r="E1137" s="2">
        <v>5.70038355842E11</v>
      </c>
      <c r="F1137" s="1" t="s">
        <v>3082</v>
      </c>
      <c r="G1137" s="1" t="s">
        <v>24</v>
      </c>
      <c r="H1137" s="3" t="s">
        <v>2661</v>
      </c>
      <c r="I1137" s="1"/>
    </row>
    <row r="1138" ht="15.75" customHeight="1">
      <c r="A1138" s="2">
        <v>1137.0</v>
      </c>
      <c r="B1138" s="1" t="s">
        <v>106</v>
      </c>
      <c r="C1138" s="1" t="s">
        <v>1536</v>
      </c>
      <c r="D1138" s="1" t="s">
        <v>3083</v>
      </c>
      <c r="E1138" s="2">
        <v>5.70038355843E11</v>
      </c>
      <c r="F1138" s="1" t="s">
        <v>3084</v>
      </c>
      <c r="G1138" s="1" t="s">
        <v>18</v>
      </c>
      <c r="H1138" s="3" t="s">
        <v>2661</v>
      </c>
      <c r="I1138" s="1"/>
    </row>
    <row r="1139" ht="15.75" customHeight="1">
      <c r="A1139" s="2">
        <v>1138.0</v>
      </c>
      <c r="B1139" s="1" t="s">
        <v>3085</v>
      </c>
      <c r="C1139" s="1" t="s">
        <v>2405</v>
      </c>
      <c r="D1139" s="1" t="s">
        <v>3086</v>
      </c>
      <c r="E1139" s="2">
        <v>5.70038355844E11</v>
      </c>
      <c r="F1139" s="1" t="s">
        <v>3087</v>
      </c>
      <c r="G1139" s="1" t="s">
        <v>1751</v>
      </c>
      <c r="H1139" s="3" t="s">
        <v>2661</v>
      </c>
      <c r="I1139" s="1"/>
    </row>
    <row r="1140" ht="15.75" customHeight="1">
      <c r="A1140" s="2">
        <v>1139.0</v>
      </c>
      <c r="B1140" s="1" t="s">
        <v>3088</v>
      </c>
      <c r="C1140" s="1" t="s">
        <v>560</v>
      </c>
      <c r="D1140" s="1" t="s">
        <v>1866</v>
      </c>
      <c r="E1140" s="2">
        <v>5.70038355847E11</v>
      </c>
      <c r="F1140" s="1" t="s">
        <v>3089</v>
      </c>
      <c r="G1140" s="1" t="s">
        <v>24</v>
      </c>
      <c r="H1140" s="3" t="s">
        <v>2661</v>
      </c>
      <c r="I1140" s="1"/>
    </row>
    <row r="1141" ht="15.75" customHeight="1">
      <c r="A1141" s="2">
        <v>1140.0</v>
      </c>
      <c r="B1141" s="1" t="s">
        <v>3090</v>
      </c>
      <c r="C1141" s="1" t="s">
        <v>1612</v>
      </c>
      <c r="D1141" s="1" t="s">
        <v>1613</v>
      </c>
      <c r="E1141" s="2">
        <v>5.70038355848E11</v>
      </c>
      <c r="F1141" s="1" t="s">
        <v>3091</v>
      </c>
      <c r="G1141" s="1" t="s">
        <v>143</v>
      </c>
      <c r="H1141" s="3" t="s">
        <v>2661</v>
      </c>
      <c r="I1141" s="1"/>
    </row>
    <row r="1142" ht="15.75" customHeight="1">
      <c r="A1142" s="2">
        <v>1141.0</v>
      </c>
      <c r="B1142" s="1" t="s">
        <v>3092</v>
      </c>
      <c r="C1142" s="1" t="s">
        <v>3093</v>
      </c>
      <c r="D1142" s="1" t="s">
        <v>3094</v>
      </c>
      <c r="E1142" s="2">
        <v>5.7003835585E11</v>
      </c>
      <c r="F1142" s="1" t="s">
        <v>3095</v>
      </c>
      <c r="G1142" s="1" t="s">
        <v>18</v>
      </c>
      <c r="H1142" s="3" t="s">
        <v>2661</v>
      </c>
      <c r="I1142" s="1"/>
    </row>
    <row r="1143" ht="15.75" customHeight="1">
      <c r="A1143" s="2">
        <v>1142.0</v>
      </c>
      <c r="B1143" s="1" t="s">
        <v>3096</v>
      </c>
      <c r="C1143" s="1" t="s">
        <v>3097</v>
      </c>
      <c r="D1143" s="1" t="s">
        <v>3098</v>
      </c>
      <c r="E1143" s="2">
        <v>5.70038355851E11</v>
      </c>
      <c r="F1143" s="1" t="s">
        <v>1601</v>
      </c>
      <c r="G1143" s="1" t="s">
        <v>18</v>
      </c>
      <c r="H1143" s="3" t="s">
        <v>2661</v>
      </c>
      <c r="I1143" s="1"/>
    </row>
    <row r="1144" ht="15.75" customHeight="1">
      <c r="A1144" s="2">
        <v>1143.0</v>
      </c>
      <c r="B1144" s="1" t="s">
        <v>223</v>
      </c>
      <c r="C1144" s="1" t="s">
        <v>3099</v>
      </c>
      <c r="D1144" s="1" t="s">
        <v>2057</v>
      </c>
      <c r="E1144" s="2">
        <v>5.70038355852E11</v>
      </c>
      <c r="F1144" s="1" t="s">
        <v>3100</v>
      </c>
      <c r="G1144" s="1" t="s">
        <v>18</v>
      </c>
      <c r="H1144" s="3" t="s">
        <v>2661</v>
      </c>
      <c r="I1144" s="1"/>
    </row>
    <row r="1145" ht="15.75" customHeight="1">
      <c r="A1145" s="2">
        <v>1144.0</v>
      </c>
      <c r="B1145" s="1" t="s">
        <v>3101</v>
      </c>
      <c r="C1145" s="1" t="s">
        <v>3102</v>
      </c>
      <c r="D1145" s="1" t="s">
        <v>3103</v>
      </c>
      <c r="E1145" s="2">
        <v>5.70038355853E11</v>
      </c>
      <c r="F1145" s="1" t="s">
        <v>3104</v>
      </c>
      <c r="G1145" s="1" t="s">
        <v>18</v>
      </c>
      <c r="H1145" s="3" t="s">
        <v>2661</v>
      </c>
      <c r="I1145" s="1"/>
    </row>
    <row r="1146" ht="15.75" customHeight="1">
      <c r="A1146" s="2">
        <v>1145.0</v>
      </c>
      <c r="B1146" s="1" t="s">
        <v>388</v>
      </c>
      <c r="C1146" s="1" t="s">
        <v>3105</v>
      </c>
      <c r="D1146" s="1" t="s">
        <v>3106</v>
      </c>
      <c r="E1146" s="2">
        <v>5.70038355854E11</v>
      </c>
      <c r="F1146" s="1" t="s">
        <v>3107</v>
      </c>
      <c r="G1146" s="1" t="s">
        <v>121</v>
      </c>
      <c r="H1146" s="3" t="s">
        <v>2661</v>
      </c>
      <c r="I1146" s="1"/>
    </row>
    <row r="1147" ht="15.75" customHeight="1">
      <c r="A1147" s="2">
        <v>1146.0</v>
      </c>
      <c r="B1147" s="1" t="s">
        <v>3108</v>
      </c>
      <c r="C1147" s="1" t="s">
        <v>2533</v>
      </c>
      <c r="D1147" s="1" t="s">
        <v>3109</v>
      </c>
      <c r="E1147" s="2">
        <v>5.7003835586E11</v>
      </c>
      <c r="F1147" s="1" t="s">
        <v>3110</v>
      </c>
      <c r="G1147" s="1" t="s">
        <v>121</v>
      </c>
      <c r="H1147" s="3" t="s">
        <v>2661</v>
      </c>
      <c r="I1147" s="1"/>
    </row>
    <row r="1148" ht="15.75" customHeight="1">
      <c r="A1148" s="2">
        <v>1147.0</v>
      </c>
      <c r="B1148" s="1" t="s">
        <v>223</v>
      </c>
      <c r="C1148" s="1" t="s">
        <v>2108</v>
      </c>
      <c r="D1148" s="1" t="s">
        <v>3111</v>
      </c>
      <c r="E1148" s="2">
        <v>5.70038355864E11</v>
      </c>
      <c r="F1148" s="1" t="s">
        <v>862</v>
      </c>
      <c r="G1148" s="1" t="s">
        <v>143</v>
      </c>
      <c r="H1148" s="3" t="s">
        <v>2661</v>
      </c>
      <c r="I1148" s="1"/>
    </row>
    <row r="1149" ht="15.75" customHeight="1">
      <c r="A1149" s="2">
        <v>1148.0</v>
      </c>
      <c r="B1149" s="1" t="s">
        <v>3112</v>
      </c>
      <c r="C1149" s="1" t="s">
        <v>1161</v>
      </c>
      <c r="D1149" s="1" t="s">
        <v>3113</v>
      </c>
      <c r="E1149" s="2">
        <v>5.70038355866E11</v>
      </c>
      <c r="F1149" s="1" t="s">
        <v>3114</v>
      </c>
      <c r="G1149" s="1" t="s">
        <v>38</v>
      </c>
      <c r="H1149" s="3" t="s">
        <v>2661</v>
      </c>
      <c r="I1149" s="1"/>
    </row>
    <row r="1150" ht="15.75" customHeight="1">
      <c r="A1150" s="2">
        <v>1149.0</v>
      </c>
      <c r="B1150" s="1" t="s">
        <v>2882</v>
      </c>
      <c r="C1150" s="1" t="s">
        <v>2962</v>
      </c>
      <c r="D1150" s="1" t="s">
        <v>3115</v>
      </c>
      <c r="E1150" s="2">
        <v>5.70038355868E11</v>
      </c>
      <c r="F1150" s="1" t="s">
        <v>3116</v>
      </c>
      <c r="G1150" s="1" t="s">
        <v>24</v>
      </c>
      <c r="H1150" s="3" t="s">
        <v>2661</v>
      </c>
      <c r="I1150" s="1"/>
    </row>
    <row r="1151" ht="15.75" customHeight="1">
      <c r="A1151" s="2">
        <v>1150.0</v>
      </c>
      <c r="B1151" s="1" t="s">
        <v>2778</v>
      </c>
      <c r="C1151" s="1" t="s">
        <v>3117</v>
      </c>
      <c r="D1151" s="1" t="s">
        <v>3118</v>
      </c>
      <c r="E1151" s="2">
        <v>5.7003835587E11</v>
      </c>
      <c r="F1151" s="1" t="s">
        <v>3119</v>
      </c>
      <c r="G1151" s="1" t="s">
        <v>12</v>
      </c>
      <c r="H1151" s="3" t="s">
        <v>2661</v>
      </c>
      <c r="I1151" s="1"/>
    </row>
    <row r="1152" ht="15.75" customHeight="1">
      <c r="A1152" s="2">
        <v>1151.0</v>
      </c>
      <c r="B1152" s="1" t="s">
        <v>3120</v>
      </c>
      <c r="C1152" s="1" t="s">
        <v>3121</v>
      </c>
      <c r="D1152" s="1" t="s">
        <v>3122</v>
      </c>
      <c r="E1152" s="2">
        <v>5.70038355871E11</v>
      </c>
      <c r="F1152" s="1" t="s">
        <v>3123</v>
      </c>
      <c r="G1152" s="1" t="s">
        <v>38</v>
      </c>
      <c r="H1152" s="3" t="s">
        <v>2661</v>
      </c>
      <c r="I1152" s="1"/>
    </row>
    <row r="1153" ht="15.75" customHeight="1">
      <c r="A1153" s="2">
        <v>1152.0</v>
      </c>
      <c r="B1153" s="1" t="s">
        <v>3124</v>
      </c>
      <c r="C1153" s="1" t="s">
        <v>323</v>
      </c>
      <c r="D1153" s="1" t="s">
        <v>467</v>
      </c>
      <c r="E1153" s="2">
        <v>5.70038355873E11</v>
      </c>
      <c r="F1153" s="1" t="s">
        <v>3125</v>
      </c>
      <c r="G1153" s="1" t="s">
        <v>3126</v>
      </c>
      <c r="H1153" s="3" t="s">
        <v>2661</v>
      </c>
      <c r="I1153" s="1"/>
    </row>
    <row r="1154" ht="15.75" customHeight="1">
      <c r="A1154" s="2">
        <v>1153.0</v>
      </c>
      <c r="B1154" s="1" t="s">
        <v>79</v>
      </c>
      <c r="C1154" s="1" t="s">
        <v>1875</v>
      </c>
      <c r="D1154" s="1" t="s">
        <v>3127</v>
      </c>
      <c r="E1154" s="2">
        <v>5.70038355874E11</v>
      </c>
      <c r="F1154" s="1" t="s">
        <v>3125</v>
      </c>
      <c r="G1154" s="1" t="s">
        <v>121</v>
      </c>
      <c r="H1154" s="3" t="s">
        <v>2661</v>
      </c>
      <c r="I1154" s="1"/>
    </row>
    <row r="1155" ht="15.75" customHeight="1">
      <c r="A1155" s="2">
        <v>1154.0</v>
      </c>
      <c r="B1155" s="1" t="s">
        <v>3128</v>
      </c>
      <c r="C1155" s="1" t="s">
        <v>3129</v>
      </c>
      <c r="D1155" s="1" t="s">
        <v>3118</v>
      </c>
      <c r="E1155" s="2">
        <v>5.70038355876E11</v>
      </c>
      <c r="F1155" s="1" t="s">
        <v>1888</v>
      </c>
      <c r="G1155" s="1" t="s">
        <v>24</v>
      </c>
      <c r="H1155" s="3" t="s">
        <v>2661</v>
      </c>
      <c r="I1155" s="1"/>
    </row>
    <row r="1156" ht="15.75" customHeight="1">
      <c r="A1156" s="2">
        <v>1155.0</v>
      </c>
      <c r="B1156" s="1" t="s">
        <v>2837</v>
      </c>
      <c r="C1156" s="1" t="s">
        <v>3130</v>
      </c>
      <c r="D1156" s="1" t="s">
        <v>3131</v>
      </c>
      <c r="E1156" s="2">
        <v>5.70038355878E11</v>
      </c>
      <c r="F1156" s="1" t="s">
        <v>3132</v>
      </c>
      <c r="G1156" s="1" t="s">
        <v>18</v>
      </c>
      <c r="H1156" s="3" t="s">
        <v>2661</v>
      </c>
      <c r="I1156" s="1"/>
    </row>
    <row r="1157" ht="15.75" customHeight="1">
      <c r="A1157" s="2">
        <v>1156.0</v>
      </c>
      <c r="B1157" s="1" t="s">
        <v>3133</v>
      </c>
      <c r="C1157" s="1" t="s">
        <v>981</v>
      </c>
      <c r="D1157" s="1" t="s">
        <v>3134</v>
      </c>
      <c r="E1157" s="2">
        <v>5.7003835588E11</v>
      </c>
      <c r="F1157" s="1" t="s">
        <v>1775</v>
      </c>
      <c r="G1157" s="1" t="s">
        <v>24</v>
      </c>
      <c r="H1157" s="3" t="s">
        <v>2661</v>
      </c>
      <c r="I1157" s="1"/>
    </row>
    <row r="1158" ht="15.75" customHeight="1">
      <c r="A1158" s="2">
        <v>1157.0</v>
      </c>
      <c r="B1158" s="1" t="s">
        <v>591</v>
      </c>
      <c r="C1158" s="1" t="s">
        <v>3135</v>
      </c>
      <c r="D1158" s="1" t="s">
        <v>3136</v>
      </c>
      <c r="E1158" s="2">
        <v>5.70038355881E11</v>
      </c>
      <c r="F1158" s="1" t="s">
        <v>3137</v>
      </c>
      <c r="G1158" s="1" t="s">
        <v>18</v>
      </c>
      <c r="H1158" s="3" t="s">
        <v>2661</v>
      </c>
      <c r="I1158" s="1"/>
    </row>
    <row r="1159" ht="15.75" customHeight="1">
      <c r="A1159" s="2">
        <v>1158.0</v>
      </c>
      <c r="B1159" s="1" t="s">
        <v>3138</v>
      </c>
      <c r="C1159" s="1" t="s">
        <v>2190</v>
      </c>
      <c r="D1159" s="1" t="s">
        <v>2786</v>
      </c>
      <c r="E1159" s="2">
        <v>5.70038355882E11</v>
      </c>
      <c r="F1159" s="1" t="s">
        <v>920</v>
      </c>
      <c r="G1159" s="1" t="s">
        <v>38</v>
      </c>
      <c r="H1159" s="3" t="s">
        <v>2661</v>
      </c>
      <c r="I1159" s="1"/>
    </row>
    <row r="1160" ht="15.75" customHeight="1">
      <c r="A1160" s="2">
        <v>1159.0</v>
      </c>
      <c r="B1160" s="1" t="s">
        <v>3139</v>
      </c>
      <c r="C1160" s="1" t="s">
        <v>2588</v>
      </c>
      <c r="D1160" s="1" t="s">
        <v>3140</v>
      </c>
      <c r="E1160" s="2">
        <v>5.70038355883E11</v>
      </c>
      <c r="F1160" s="1" t="s">
        <v>3141</v>
      </c>
      <c r="G1160" s="1" t="s">
        <v>24</v>
      </c>
      <c r="H1160" s="3" t="s">
        <v>2661</v>
      </c>
      <c r="I1160" s="1"/>
    </row>
    <row r="1161" ht="15.75" customHeight="1">
      <c r="A1161" s="2">
        <v>1160.0</v>
      </c>
      <c r="B1161" s="1" t="s">
        <v>954</v>
      </c>
      <c r="C1161" s="1" t="s">
        <v>2241</v>
      </c>
      <c r="D1161" s="1" t="s">
        <v>3142</v>
      </c>
      <c r="E1161" s="2">
        <v>5.70038355884E11</v>
      </c>
      <c r="F1161" s="1" t="s">
        <v>3143</v>
      </c>
      <c r="G1161" s="1" t="s">
        <v>24</v>
      </c>
      <c r="H1161" s="3" t="s">
        <v>2661</v>
      </c>
      <c r="I1161" s="1"/>
    </row>
    <row r="1162" ht="15.75" customHeight="1">
      <c r="A1162" s="2">
        <v>1161.0</v>
      </c>
      <c r="B1162" s="1" t="s">
        <v>223</v>
      </c>
      <c r="C1162" s="1" t="s">
        <v>557</v>
      </c>
      <c r="D1162" s="1" t="s">
        <v>3144</v>
      </c>
      <c r="E1162" s="2">
        <v>5.70038355885E11</v>
      </c>
      <c r="F1162" s="1" t="s">
        <v>3145</v>
      </c>
      <c r="G1162" s="1" t="s">
        <v>18</v>
      </c>
      <c r="H1162" s="3" t="s">
        <v>2661</v>
      </c>
      <c r="I1162" s="1"/>
    </row>
    <row r="1163" ht="15.75" customHeight="1">
      <c r="A1163" s="2">
        <v>1162.0</v>
      </c>
      <c r="B1163" s="1" t="s">
        <v>1679</v>
      </c>
      <c r="C1163" s="1" t="s">
        <v>2419</v>
      </c>
      <c r="D1163" s="1" t="s">
        <v>917</v>
      </c>
      <c r="E1163" s="2">
        <v>5.70038355886E11</v>
      </c>
      <c r="F1163" s="1" t="s">
        <v>3146</v>
      </c>
      <c r="G1163" s="1" t="s">
        <v>18</v>
      </c>
      <c r="H1163" s="3" t="s">
        <v>2661</v>
      </c>
      <c r="I1163" s="1"/>
    </row>
    <row r="1164" ht="15.75" customHeight="1">
      <c r="A1164" s="2">
        <v>1163.0</v>
      </c>
      <c r="B1164" s="1" t="s">
        <v>1700</v>
      </c>
      <c r="C1164" s="1" t="s">
        <v>2885</v>
      </c>
      <c r="D1164" s="1" t="s">
        <v>3147</v>
      </c>
      <c r="E1164" s="2">
        <v>5.70038355887E11</v>
      </c>
      <c r="F1164" s="1" t="s">
        <v>3148</v>
      </c>
      <c r="G1164" s="1" t="s">
        <v>18</v>
      </c>
      <c r="H1164" s="3" t="s">
        <v>2661</v>
      </c>
      <c r="I1164" s="1"/>
    </row>
    <row r="1165" ht="15.75" customHeight="1">
      <c r="A1165" s="2">
        <v>1164.0</v>
      </c>
      <c r="B1165" s="1" t="s">
        <v>3149</v>
      </c>
      <c r="C1165" s="1" t="s">
        <v>323</v>
      </c>
      <c r="D1165" s="1" t="s">
        <v>3142</v>
      </c>
      <c r="E1165" s="2">
        <v>5.70038355893E11</v>
      </c>
      <c r="F1165" s="1" t="s">
        <v>3150</v>
      </c>
      <c r="G1165" s="1" t="s">
        <v>38</v>
      </c>
      <c r="H1165" s="3" t="s">
        <v>2661</v>
      </c>
      <c r="I1165" s="1"/>
    </row>
    <row r="1166" ht="15.75" customHeight="1">
      <c r="A1166" s="2">
        <v>1165.0</v>
      </c>
      <c r="B1166" s="1" t="s">
        <v>3151</v>
      </c>
      <c r="C1166" s="1" t="s">
        <v>3152</v>
      </c>
      <c r="D1166" s="1" t="s">
        <v>2757</v>
      </c>
      <c r="E1166" s="2">
        <v>5.70038355896E11</v>
      </c>
      <c r="F1166" s="1" t="s">
        <v>3153</v>
      </c>
      <c r="G1166" s="1" t="s">
        <v>24</v>
      </c>
      <c r="H1166" s="3" t="s">
        <v>2661</v>
      </c>
      <c r="I1166" s="1"/>
    </row>
    <row r="1167" ht="15.75" customHeight="1">
      <c r="A1167" s="2">
        <v>1166.0</v>
      </c>
      <c r="B1167" s="1" t="s">
        <v>156</v>
      </c>
      <c r="C1167" s="1" t="s">
        <v>2885</v>
      </c>
      <c r="D1167" s="1" t="s">
        <v>3154</v>
      </c>
      <c r="E1167" s="2">
        <v>5.70038355897E11</v>
      </c>
      <c r="F1167" s="1" t="s">
        <v>2224</v>
      </c>
      <c r="G1167" s="1" t="s">
        <v>18</v>
      </c>
      <c r="H1167" s="3" t="s">
        <v>2661</v>
      </c>
      <c r="I1167" s="1"/>
    </row>
    <row r="1168" ht="15.75" customHeight="1">
      <c r="A1168" s="2">
        <v>1167.0</v>
      </c>
      <c r="B1168" s="1" t="s">
        <v>1232</v>
      </c>
      <c r="C1168" s="1" t="s">
        <v>3129</v>
      </c>
      <c r="D1168" s="1" t="s">
        <v>3144</v>
      </c>
      <c r="E1168" s="2">
        <v>5.70038355898E11</v>
      </c>
      <c r="F1168" s="1" t="s">
        <v>3155</v>
      </c>
      <c r="G1168" s="1" t="s">
        <v>24</v>
      </c>
      <c r="H1168" s="3" t="s">
        <v>2661</v>
      </c>
      <c r="I1168" s="1"/>
    </row>
    <row r="1169" ht="15.75" customHeight="1">
      <c r="A1169" s="2">
        <v>1168.0</v>
      </c>
      <c r="B1169" s="1" t="s">
        <v>3156</v>
      </c>
      <c r="C1169" s="1" t="s">
        <v>1730</v>
      </c>
      <c r="D1169" s="1" t="s">
        <v>494</v>
      </c>
      <c r="E1169" s="2">
        <v>5.70038355899E11</v>
      </c>
      <c r="F1169" s="1" t="s">
        <v>3157</v>
      </c>
      <c r="G1169" s="1" t="s">
        <v>143</v>
      </c>
      <c r="H1169" s="3" t="s">
        <v>2661</v>
      </c>
      <c r="I1169" s="1"/>
    </row>
    <row r="1170" ht="15.75" customHeight="1">
      <c r="A1170" s="2">
        <v>1169.0</v>
      </c>
      <c r="B1170" s="1" t="s">
        <v>488</v>
      </c>
      <c r="C1170" s="1" t="s">
        <v>2557</v>
      </c>
      <c r="D1170" s="1" t="s">
        <v>3158</v>
      </c>
      <c r="E1170" s="2">
        <v>5.70038355906E11</v>
      </c>
      <c r="F1170" s="1" t="s">
        <v>3159</v>
      </c>
      <c r="G1170" s="1" t="s">
        <v>24</v>
      </c>
      <c r="H1170" s="3" t="s">
        <v>2661</v>
      </c>
      <c r="I1170" s="1"/>
    </row>
    <row r="1171" ht="15.75" customHeight="1">
      <c r="A1171" s="2">
        <v>1170.0</v>
      </c>
      <c r="B1171" s="1" t="s">
        <v>223</v>
      </c>
      <c r="C1171" s="1" t="s">
        <v>1865</v>
      </c>
      <c r="D1171" s="1" t="s">
        <v>2757</v>
      </c>
      <c r="E1171" s="2">
        <v>5.70038355908E11</v>
      </c>
      <c r="F1171" s="1" t="s">
        <v>3160</v>
      </c>
      <c r="G1171" s="1" t="s">
        <v>18</v>
      </c>
      <c r="H1171" s="3" t="s">
        <v>2661</v>
      </c>
      <c r="I1171" s="1"/>
    </row>
    <row r="1172" ht="15.75" customHeight="1">
      <c r="A1172" s="2">
        <v>1171.0</v>
      </c>
      <c r="B1172" s="1" t="s">
        <v>3161</v>
      </c>
      <c r="C1172" s="1" t="s">
        <v>3162</v>
      </c>
      <c r="D1172" s="1" t="s">
        <v>3163</v>
      </c>
      <c r="E1172" s="2">
        <v>5.70038355915E11</v>
      </c>
      <c r="F1172" s="1" t="s">
        <v>3164</v>
      </c>
      <c r="G1172" s="1" t="s">
        <v>18</v>
      </c>
      <c r="H1172" s="3" t="s">
        <v>2661</v>
      </c>
      <c r="I1172" s="1"/>
    </row>
    <row r="1173" ht="15.75" customHeight="1">
      <c r="A1173" s="2">
        <v>1172.0</v>
      </c>
      <c r="B1173" s="1" t="s">
        <v>3162</v>
      </c>
      <c r="C1173" s="1" t="s">
        <v>3165</v>
      </c>
      <c r="D1173" s="1" t="s">
        <v>1604</v>
      </c>
      <c r="E1173" s="2">
        <v>5.70038355916E11</v>
      </c>
      <c r="F1173" s="1" t="s">
        <v>3166</v>
      </c>
      <c r="G1173" s="1" t="s">
        <v>18</v>
      </c>
      <c r="H1173" s="3" t="s">
        <v>2661</v>
      </c>
      <c r="I1173" s="1"/>
    </row>
    <row r="1174" ht="15.75" customHeight="1">
      <c r="A1174" s="2">
        <v>1173.0</v>
      </c>
      <c r="B1174" s="1" t="s">
        <v>3167</v>
      </c>
      <c r="C1174" s="1" t="s">
        <v>3168</v>
      </c>
      <c r="D1174" s="1" t="s">
        <v>3169</v>
      </c>
      <c r="E1174" s="2">
        <v>5.70038355921E11</v>
      </c>
      <c r="F1174" s="1" t="s">
        <v>3170</v>
      </c>
      <c r="G1174" s="1" t="s">
        <v>90</v>
      </c>
      <c r="H1174" s="3" t="s">
        <v>2661</v>
      </c>
      <c r="I1174" s="1"/>
    </row>
    <row r="1175" ht="15.75" customHeight="1">
      <c r="A1175" s="2">
        <v>1174.0</v>
      </c>
      <c r="B1175" s="1" t="s">
        <v>3171</v>
      </c>
      <c r="C1175" s="1" t="s">
        <v>3172</v>
      </c>
      <c r="D1175" s="1" t="s">
        <v>3173</v>
      </c>
      <c r="E1175" s="2">
        <v>5.70038355923E11</v>
      </c>
      <c r="F1175" s="1" t="s">
        <v>2561</v>
      </c>
      <c r="G1175" s="1" t="s">
        <v>18</v>
      </c>
      <c r="H1175" s="3" t="s">
        <v>2661</v>
      </c>
      <c r="I1175" s="1"/>
    </row>
    <row r="1176" ht="15.75" customHeight="1">
      <c r="A1176" s="2">
        <v>1175.0</v>
      </c>
      <c r="B1176" s="1" t="s">
        <v>2734</v>
      </c>
      <c r="C1176" s="1" t="s">
        <v>323</v>
      </c>
      <c r="D1176" s="1" t="s">
        <v>3174</v>
      </c>
      <c r="E1176" s="2">
        <v>5.70038355927E11</v>
      </c>
      <c r="F1176" s="1" t="s">
        <v>3175</v>
      </c>
      <c r="G1176" s="1" t="s">
        <v>24</v>
      </c>
      <c r="H1176" s="3" t="s">
        <v>2661</v>
      </c>
      <c r="I1176" s="1"/>
    </row>
    <row r="1177" ht="15.75" customHeight="1">
      <c r="A1177" s="2">
        <v>1176.0</v>
      </c>
      <c r="B1177" s="1" t="s">
        <v>3176</v>
      </c>
      <c r="C1177" s="1" t="s">
        <v>3171</v>
      </c>
      <c r="D1177" s="1" t="s">
        <v>3177</v>
      </c>
      <c r="E1177" s="2">
        <v>5.70038355928E11</v>
      </c>
      <c r="F1177" s="1" t="s">
        <v>3178</v>
      </c>
      <c r="G1177" s="1" t="s">
        <v>90</v>
      </c>
      <c r="H1177" s="3" t="s">
        <v>2661</v>
      </c>
      <c r="I1177" s="1"/>
    </row>
    <row r="1178" ht="15.75" customHeight="1">
      <c r="A1178" s="2">
        <v>1177.0</v>
      </c>
      <c r="B1178" s="1" t="s">
        <v>514</v>
      </c>
      <c r="C1178" s="1" t="s">
        <v>3179</v>
      </c>
      <c r="D1178" s="1" t="s">
        <v>2786</v>
      </c>
      <c r="E1178" s="2">
        <v>5.70038355929E11</v>
      </c>
      <c r="F1178" s="1" t="s">
        <v>2140</v>
      </c>
      <c r="G1178" s="1" t="s">
        <v>90</v>
      </c>
      <c r="H1178" s="3" t="s">
        <v>2661</v>
      </c>
      <c r="I1178" s="1"/>
    </row>
    <row r="1179" ht="15.75" customHeight="1">
      <c r="A1179" s="2">
        <v>1178.0</v>
      </c>
      <c r="B1179" s="1" t="s">
        <v>1065</v>
      </c>
      <c r="C1179" s="1" t="s">
        <v>3180</v>
      </c>
      <c r="D1179" s="1" t="s">
        <v>3181</v>
      </c>
      <c r="E1179" s="2">
        <v>5.7003835593E11</v>
      </c>
      <c r="F1179" s="1" t="s">
        <v>3182</v>
      </c>
      <c r="G1179" s="1" t="s">
        <v>38</v>
      </c>
      <c r="H1179" s="3" t="s">
        <v>2661</v>
      </c>
      <c r="I1179" s="1"/>
    </row>
    <row r="1180" ht="15.75" customHeight="1">
      <c r="A1180" s="6">
        <v>1179.0</v>
      </c>
      <c r="B1180" s="1" t="s">
        <v>254</v>
      </c>
      <c r="C1180" s="1" t="s">
        <v>3183</v>
      </c>
      <c r="D1180" s="1" t="s">
        <v>3184</v>
      </c>
      <c r="E1180" s="2">
        <v>5.70038355933E11</v>
      </c>
      <c r="F1180" s="1" t="s">
        <v>3185</v>
      </c>
      <c r="G1180" s="1" t="s">
        <v>18</v>
      </c>
      <c r="H1180" s="3" t="s">
        <v>2661</v>
      </c>
      <c r="I1180" s="1"/>
    </row>
    <row r="1181" ht="15.75" customHeight="1">
      <c r="A1181" s="2">
        <v>1180.0</v>
      </c>
      <c r="B1181" s="1" t="s">
        <v>3186</v>
      </c>
      <c r="C1181" s="1" t="s">
        <v>3183</v>
      </c>
      <c r="D1181" s="1" t="s">
        <v>3187</v>
      </c>
      <c r="E1181" s="2">
        <v>5.70038355934E11</v>
      </c>
      <c r="F1181" s="1" t="s">
        <v>3188</v>
      </c>
      <c r="G1181" s="1" t="s">
        <v>18</v>
      </c>
      <c r="H1181" s="3" t="s">
        <v>2661</v>
      </c>
      <c r="I1181" s="1"/>
    </row>
    <row r="1182" ht="15.75" customHeight="1">
      <c r="A1182" s="2">
        <v>1181.0</v>
      </c>
      <c r="B1182" s="1" t="s">
        <v>340</v>
      </c>
      <c r="C1182" s="1" t="s">
        <v>3189</v>
      </c>
      <c r="D1182" s="1" t="s">
        <v>3190</v>
      </c>
      <c r="E1182" s="2">
        <v>5.70038355935E11</v>
      </c>
      <c r="F1182" s="1" t="s">
        <v>2576</v>
      </c>
      <c r="G1182" s="1" t="s">
        <v>18</v>
      </c>
      <c r="H1182" s="3" t="s">
        <v>2661</v>
      </c>
      <c r="I1182" s="1"/>
    </row>
    <row r="1183" ht="15.75" customHeight="1">
      <c r="A1183" s="2">
        <v>1182.0</v>
      </c>
      <c r="B1183" s="1" t="s">
        <v>3191</v>
      </c>
      <c r="C1183" s="1" t="s">
        <v>3162</v>
      </c>
      <c r="D1183" s="1" t="s">
        <v>3163</v>
      </c>
      <c r="E1183" s="2">
        <v>5.70038355936E11</v>
      </c>
      <c r="F1183" s="1" t="s">
        <v>2512</v>
      </c>
      <c r="G1183" s="1" t="s">
        <v>18</v>
      </c>
      <c r="H1183" s="3" t="s">
        <v>2661</v>
      </c>
      <c r="I1183" s="1"/>
    </row>
    <row r="1184" ht="15.75" customHeight="1">
      <c r="A1184" s="2">
        <v>1183.0</v>
      </c>
      <c r="B1184" s="1" t="s">
        <v>3192</v>
      </c>
      <c r="C1184" s="1" t="s">
        <v>3180</v>
      </c>
      <c r="D1184" s="1" t="s">
        <v>3193</v>
      </c>
      <c r="E1184" s="2">
        <v>5.70038355937E11</v>
      </c>
      <c r="F1184" s="1" t="s">
        <v>3194</v>
      </c>
      <c r="G1184" s="1" t="s">
        <v>18</v>
      </c>
      <c r="H1184" s="3" t="s">
        <v>2661</v>
      </c>
      <c r="I1184" s="1"/>
    </row>
    <row r="1185" ht="15.75" customHeight="1">
      <c r="A1185" s="2">
        <v>1184.0</v>
      </c>
      <c r="B1185" s="1" t="s">
        <v>1462</v>
      </c>
      <c r="C1185" s="1" t="s">
        <v>3180</v>
      </c>
      <c r="D1185" s="1" t="s">
        <v>3195</v>
      </c>
      <c r="E1185" s="2">
        <v>5.70038355938E11</v>
      </c>
      <c r="F1185" s="1" t="s">
        <v>3196</v>
      </c>
      <c r="G1185" s="1" t="s">
        <v>18</v>
      </c>
      <c r="H1185" s="3" t="s">
        <v>2661</v>
      </c>
      <c r="I1185" s="1"/>
    </row>
    <row r="1186" ht="15.75" customHeight="1">
      <c r="A1186" s="2">
        <v>1185.0</v>
      </c>
      <c r="B1186" s="1" t="s">
        <v>1904</v>
      </c>
      <c r="C1186" s="1" t="s">
        <v>3180</v>
      </c>
      <c r="D1186" s="1" t="s">
        <v>3195</v>
      </c>
      <c r="E1186" s="2">
        <v>5.70038355939E11</v>
      </c>
      <c r="F1186" s="1" t="s">
        <v>2726</v>
      </c>
      <c r="G1186" s="1" t="s">
        <v>18</v>
      </c>
      <c r="H1186" s="3" t="s">
        <v>2661</v>
      </c>
      <c r="I1186" s="1"/>
    </row>
    <row r="1187" ht="15.75" customHeight="1">
      <c r="A1187" s="2">
        <v>1186.0</v>
      </c>
      <c r="B1187" s="1" t="s">
        <v>2677</v>
      </c>
      <c r="C1187" s="1" t="s">
        <v>3180</v>
      </c>
      <c r="D1187" s="1" t="s">
        <v>3195</v>
      </c>
      <c r="E1187" s="2">
        <v>5.7003835594E11</v>
      </c>
      <c r="F1187" s="1" t="s">
        <v>1858</v>
      </c>
      <c r="G1187" s="1" t="s">
        <v>18</v>
      </c>
      <c r="H1187" s="3" t="s">
        <v>2661</v>
      </c>
      <c r="I1187" s="1"/>
    </row>
    <row r="1188" ht="15.75" customHeight="1">
      <c r="A1188" s="2">
        <v>1187.0</v>
      </c>
      <c r="B1188" s="1" t="s">
        <v>1188</v>
      </c>
      <c r="C1188" s="1" t="s">
        <v>2688</v>
      </c>
      <c r="D1188" s="1" t="s">
        <v>49</v>
      </c>
      <c r="E1188" s="2">
        <v>5.70038355942E11</v>
      </c>
      <c r="F1188" s="1" t="s">
        <v>2818</v>
      </c>
      <c r="G1188" s="1" t="s">
        <v>18</v>
      </c>
      <c r="H1188" s="3" t="s">
        <v>2661</v>
      </c>
      <c r="I1188" s="1"/>
    </row>
    <row r="1189" ht="15.75" customHeight="1">
      <c r="A1189" s="2">
        <v>1188.0</v>
      </c>
      <c r="B1189" s="1" t="s">
        <v>43</v>
      </c>
      <c r="C1189" s="1" t="s">
        <v>3197</v>
      </c>
      <c r="D1189" s="1" t="s">
        <v>3198</v>
      </c>
      <c r="E1189" s="2">
        <v>5.70038355944E11</v>
      </c>
      <c r="F1189" s="1" t="s">
        <v>3199</v>
      </c>
      <c r="G1189" s="1" t="s">
        <v>18</v>
      </c>
      <c r="H1189" s="3" t="s">
        <v>2661</v>
      </c>
      <c r="I1189" s="1"/>
    </row>
    <row r="1190" ht="15.75" customHeight="1">
      <c r="A1190" s="2">
        <v>1189.0</v>
      </c>
      <c r="B1190" s="1" t="s">
        <v>3179</v>
      </c>
      <c r="C1190" s="1" t="s">
        <v>3200</v>
      </c>
      <c r="D1190" s="1" t="s">
        <v>3201</v>
      </c>
      <c r="E1190" s="2">
        <v>5.70038355946E11</v>
      </c>
      <c r="F1190" s="1" t="s">
        <v>3202</v>
      </c>
      <c r="G1190" s="1" t="s">
        <v>18</v>
      </c>
      <c r="H1190" s="3" t="s">
        <v>2661</v>
      </c>
      <c r="I1190" s="1"/>
    </row>
    <row r="1191" ht="15.75" customHeight="1">
      <c r="A1191" s="2">
        <v>1190.0</v>
      </c>
      <c r="B1191" s="1" t="s">
        <v>1052</v>
      </c>
      <c r="C1191" s="1" t="s">
        <v>3203</v>
      </c>
      <c r="D1191" s="1" t="s">
        <v>3204</v>
      </c>
      <c r="E1191" s="2">
        <v>5.70038355948E11</v>
      </c>
      <c r="F1191" s="1" t="s">
        <v>3205</v>
      </c>
      <c r="G1191" s="1" t="s">
        <v>18</v>
      </c>
      <c r="H1191" s="3" t="s">
        <v>2661</v>
      </c>
      <c r="I1191" s="1"/>
    </row>
    <row r="1192" ht="15.75" customHeight="1">
      <c r="A1192" s="2">
        <v>1191.0</v>
      </c>
      <c r="B1192" s="1" t="s">
        <v>3206</v>
      </c>
      <c r="C1192" s="1" t="s">
        <v>2460</v>
      </c>
      <c r="D1192" s="1" t="s">
        <v>3207</v>
      </c>
      <c r="E1192" s="2">
        <v>5.70038355949E11</v>
      </c>
      <c r="F1192" s="1" t="s">
        <v>2674</v>
      </c>
      <c r="G1192" s="1" t="s">
        <v>18</v>
      </c>
      <c r="H1192" s="3" t="s">
        <v>2661</v>
      </c>
      <c r="I1192" s="1"/>
    </row>
    <row r="1193" ht="15.75" customHeight="1">
      <c r="A1193" s="2">
        <v>1192.0</v>
      </c>
      <c r="B1193" s="1" t="s">
        <v>3208</v>
      </c>
      <c r="C1193" s="1" t="s">
        <v>3209</v>
      </c>
      <c r="D1193" s="1" t="s">
        <v>3210</v>
      </c>
      <c r="E1193" s="2">
        <v>5.70038355951E11</v>
      </c>
      <c r="F1193" s="1" t="s">
        <v>3211</v>
      </c>
      <c r="G1193" s="1" t="s">
        <v>18</v>
      </c>
      <c r="H1193" s="3" t="s">
        <v>2661</v>
      </c>
      <c r="I1193" s="1"/>
    </row>
    <row r="1194" ht="15.75" customHeight="1">
      <c r="A1194" s="2">
        <v>1193.0</v>
      </c>
      <c r="B1194" s="1" t="s">
        <v>57</v>
      </c>
      <c r="C1194" s="1" t="s">
        <v>3209</v>
      </c>
      <c r="D1194" s="1" t="s">
        <v>2699</v>
      </c>
      <c r="E1194" s="2">
        <v>5.70038355952E11</v>
      </c>
      <c r="F1194" s="1" t="s">
        <v>3212</v>
      </c>
      <c r="G1194" s="1" t="s">
        <v>18</v>
      </c>
      <c r="H1194" s="3" t="s">
        <v>2661</v>
      </c>
      <c r="I1194" s="1"/>
    </row>
    <row r="1195" ht="15.75" customHeight="1">
      <c r="A1195" s="2">
        <v>1194.0</v>
      </c>
      <c r="B1195" s="1" t="s">
        <v>251</v>
      </c>
      <c r="C1195" s="1" t="s">
        <v>2698</v>
      </c>
      <c r="D1195" s="1" t="s">
        <v>2699</v>
      </c>
      <c r="E1195" s="2">
        <v>5.70038355953E11</v>
      </c>
      <c r="F1195" s="1" t="s">
        <v>3213</v>
      </c>
      <c r="G1195" s="1" t="s">
        <v>18</v>
      </c>
      <c r="H1195" s="3" t="s">
        <v>2661</v>
      </c>
      <c r="I1195" s="1"/>
    </row>
    <row r="1196" ht="15.75" customHeight="1">
      <c r="A1196" s="2">
        <v>1195.0</v>
      </c>
      <c r="B1196" s="1" t="s">
        <v>1760</v>
      </c>
      <c r="C1196" s="1" t="s">
        <v>2003</v>
      </c>
      <c r="D1196" s="1" t="s">
        <v>3173</v>
      </c>
      <c r="E1196" s="2">
        <v>5.7003835595E10</v>
      </c>
      <c r="F1196" s="1" t="s">
        <v>3214</v>
      </c>
      <c r="G1196" s="1" t="s">
        <v>18</v>
      </c>
      <c r="H1196" s="3" t="s">
        <v>2661</v>
      </c>
      <c r="I1196" s="1"/>
    </row>
    <row r="1197" ht="15.75" customHeight="1">
      <c r="A1197" s="2">
        <v>1196.0</v>
      </c>
      <c r="B1197" s="1" t="s">
        <v>149</v>
      </c>
      <c r="C1197" s="1" t="s">
        <v>251</v>
      </c>
      <c r="D1197" s="1" t="s">
        <v>3215</v>
      </c>
      <c r="E1197" s="2">
        <v>5.70038355957E11</v>
      </c>
      <c r="F1197" s="1" t="s">
        <v>3216</v>
      </c>
      <c r="G1197" s="1" t="s">
        <v>18</v>
      </c>
      <c r="H1197" s="3" t="s">
        <v>2661</v>
      </c>
      <c r="I1197" s="1"/>
    </row>
    <row r="1198" ht="15.75" customHeight="1">
      <c r="A1198" s="2">
        <v>1197.0</v>
      </c>
      <c r="B1198" s="1" t="s">
        <v>559</v>
      </c>
      <c r="C1198" s="1" t="s">
        <v>3217</v>
      </c>
      <c r="D1198" s="1" t="s">
        <v>3218</v>
      </c>
      <c r="E1198" s="2">
        <v>5.70038355958E11</v>
      </c>
      <c r="F1198" s="1" t="s">
        <v>3219</v>
      </c>
      <c r="G1198" s="1" t="s">
        <v>38</v>
      </c>
      <c r="H1198" s="3" t="s">
        <v>2661</v>
      </c>
      <c r="I1198" s="1"/>
    </row>
    <row r="1199" ht="15.75" customHeight="1">
      <c r="A1199" s="2">
        <v>1198.0</v>
      </c>
      <c r="B1199" s="1" t="s">
        <v>3220</v>
      </c>
      <c r="C1199" s="1" t="s">
        <v>586</v>
      </c>
      <c r="D1199" s="1" t="s">
        <v>909</v>
      </c>
      <c r="E1199" s="2">
        <v>5.70038355959E11</v>
      </c>
      <c r="F1199" s="1" t="s">
        <v>3221</v>
      </c>
      <c r="G1199" s="1" t="s">
        <v>38</v>
      </c>
      <c r="H1199" s="3" t="s">
        <v>2661</v>
      </c>
      <c r="I1199" s="1"/>
    </row>
    <row r="1200" ht="15.75" customHeight="1">
      <c r="A1200" s="2">
        <v>1199.0</v>
      </c>
      <c r="B1200" s="1" t="s">
        <v>2233</v>
      </c>
      <c r="C1200" s="1" t="s">
        <v>3183</v>
      </c>
      <c r="D1200" s="1" t="s">
        <v>3222</v>
      </c>
      <c r="E1200" s="2">
        <v>5.7003835596E11</v>
      </c>
      <c r="F1200" s="1" t="s">
        <v>3223</v>
      </c>
      <c r="G1200" s="1" t="s">
        <v>18</v>
      </c>
      <c r="H1200" s="3" t="s">
        <v>2661</v>
      </c>
      <c r="I1200" s="1"/>
    </row>
    <row r="1201" ht="15.75" customHeight="1">
      <c r="A1201" s="2">
        <v>1200.0</v>
      </c>
      <c r="B1201" s="1" t="s">
        <v>3224</v>
      </c>
      <c r="C1201" s="1" t="s">
        <v>3183</v>
      </c>
      <c r="D1201" s="1" t="s">
        <v>3184</v>
      </c>
      <c r="E1201" s="2">
        <v>5.70038355961E11</v>
      </c>
      <c r="F1201" s="1" t="s">
        <v>3225</v>
      </c>
      <c r="G1201" s="1" t="s">
        <v>18</v>
      </c>
      <c r="H1201" s="3" t="s">
        <v>2661</v>
      </c>
      <c r="I1201" s="1"/>
    </row>
    <row r="1202" ht="15.75" customHeight="1">
      <c r="A1202" s="2">
        <v>1201.0</v>
      </c>
      <c r="B1202" s="1" t="s">
        <v>899</v>
      </c>
      <c r="C1202" s="1" t="s">
        <v>3226</v>
      </c>
      <c r="D1202" s="1" t="s">
        <v>2855</v>
      </c>
      <c r="E1202" s="2">
        <v>5.70038355962E11</v>
      </c>
      <c r="F1202" s="1" t="s">
        <v>3227</v>
      </c>
      <c r="G1202" s="1" t="s">
        <v>18</v>
      </c>
      <c r="H1202" s="3" t="s">
        <v>2661</v>
      </c>
      <c r="I1202" s="1"/>
    </row>
    <row r="1203" ht="15.75" customHeight="1">
      <c r="A1203" s="2">
        <v>1202.0</v>
      </c>
      <c r="B1203" s="1" t="s">
        <v>1602</v>
      </c>
      <c r="C1203" s="1" t="s">
        <v>2539</v>
      </c>
      <c r="D1203" s="1" t="s">
        <v>2009</v>
      </c>
      <c r="E1203" s="2">
        <v>5.70038355964E11</v>
      </c>
      <c r="F1203" s="1" t="s">
        <v>3228</v>
      </c>
      <c r="G1203" s="1" t="s">
        <v>38</v>
      </c>
      <c r="H1203" s="3" t="s">
        <v>2661</v>
      </c>
      <c r="I1203" s="1"/>
    </row>
    <row r="1204" ht="15.75" customHeight="1">
      <c r="A1204" s="2">
        <v>1203.0</v>
      </c>
      <c r="B1204" s="1" t="s">
        <v>3229</v>
      </c>
      <c r="C1204" s="1" t="s">
        <v>2711</v>
      </c>
      <c r="D1204" s="1" t="s">
        <v>3230</v>
      </c>
      <c r="E1204" s="2">
        <v>5.70038355965E11</v>
      </c>
      <c r="F1204" s="1" t="s">
        <v>3231</v>
      </c>
      <c r="G1204" s="1" t="s">
        <v>24</v>
      </c>
      <c r="H1204" s="3" t="s">
        <v>2661</v>
      </c>
      <c r="I1204" s="1"/>
    </row>
    <row r="1205" ht="15.75" customHeight="1">
      <c r="A1205" s="2">
        <v>1204.0</v>
      </c>
      <c r="B1205" s="1" t="s">
        <v>503</v>
      </c>
      <c r="C1205" s="1" t="s">
        <v>521</v>
      </c>
      <c r="D1205" s="1" t="s">
        <v>3232</v>
      </c>
      <c r="E1205" s="2">
        <v>5.7003835597E11</v>
      </c>
      <c r="F1205" s="1" t="s">
        <v>3233</v>
      </c>
      <c r="G1205" s="1" t="s">
        <v>24</v>
      </c>
      <c r="H1205" s="3" t="s">
        <v>2661</v>
      </c>
      <c r="I1205" s="1"/>
    </row>
    <row r="1206" ht="15.75" customHeight="1">
      <c r="A1206" s="2">
        <v>1205.0</v>
      </c>
      <c r="B1206" s="1" t="s">
        <v>3234</v>
      </c>
      <c r="C1206" s="1" t="s">
        <v>521</v>
      </c>
      <c r="D1206" s="1" t="s">
        <v>3232</v>
      </c>
      <c r="E1206" s="2">
        <v>5.70038355974E11</v>
      </c>
      <c r="F1206" s="1" t="s">
        <v>3235</v>
      </c>
      <c r="G1206" s="1" t="s">
        <v>24</v>
      </c>
      <c r="H1206" s="3" t="s">
        <v>2661</v>
      </c>
      <c r="I1206" s="1"/>
    </row>
    <row r="1207" ht="15.75" customHeight="1">
      <c r="A1207" s="2">
        <v>1206.0</v>
      </c>
      <c r="B1207" s="1" t="s">
        <v>2278</v>
      </c>
      <c r="C1207" s="1" t="s">
        <v>2657</v>
      </c>
      <c r="D1207" s="1" t="s">
        <v>3236</v>
      </c>
      <c r="E1207" s="2">
        <v>5.70038355979E11</v>
      </c>
      <c r="F1207" s="1" t="s">
        <v>3237</v>
      </c>
      <c r="G1207" s="1" t="s">
        <v>90</v>
      </c>
      <c r="H1207" s="3" t="s">
        <v>2661</v>
      </c>
      <c r="I1207" s="1"/>
    </row>
    <row r="1208" ht="15.75" customHeight="1">
      <c r="A1208" s="2">
        <v>1207.0</v>
      </c>
      <c r="B1208" s="1" t="s">
        <v>410</v>
      </c>
      <c r="C1208" s="1" t="s">
        <v>870</v>
      </c>
      <c r="D1208" s="1" t="s">
        <v>3238</v>
      </c>
      <c r="E1208" s="2">
        <v>5.7003835598E11</v>
      </c>
      <c r="F1208" s="1" t="s">
        <v>3239</v>
      </c>
      <c r="G1208" s="1" t="s">
        <v>3126</v>
      </c>
      <c r="H1208" s="3" t="s">
        <v>2661</v>
      </c>
      <c r="I1208" s="1"/>
    </row>
    <row r="1209" ht="15.75" customHeight="1">
      <c r="A1209" s="2">
        <v>1208.0</v>
      </c>
      <c r="B1209" s="1" t="s">
        <v>330</v>
      </c>
      <c r="C1209" s="1" t="s">
        <v>618</v>
      </c>
      <c r="D1209" s="1" t="s">
        <v>3240</v>
      </c>
      <c r="E1209" s="2">
        <v>5.70038355984E11</v>
      </c>
      <c r="F1209" s="1" t="s">
        <v>3241</v>
      </c>
      <c r="G1209" s="1" t="s">
        <v>24</v>
      </c>
      <c r="H1209" s="3" t="s">
        <v>2661</v>
      </c>
      <c r="I1209" s="1"/>
    </row>
    <row r="1210" ht="15.75" customHeight="1">
      <c r="A1210" s="2">
        <v>1209.0</v>
      </c>
      <c r="B1210" s="1" t="s">
        <v>434</v>
      </c>
      <c r="C1210" s="1" t="s">
        <v>618</v>
      </c>
      <c r="D1210" s="1" t="s">
        <v>3240</v>
      </c>
      <c r="E1210" s="2">
        <v>5.70038355985E11</v>
      </c>
      <c r="F1210" s="1" t="s">
        <v>2555</v>
      </c>
      <c r="G1210" s="1" t="s">
        <v>24</v>
      </c>
      <c r="H1210" s="3" t="s">
        <v>2661</v>
      </c>
      <c r="I1210" s="1"/>
    </row>
    <row r="1211" ht="15.75" customHeight="1">
      <c r="A1211" s="2">
        <v>1210.0</v>
      </c>
      <c r="B1211" s="1" t="s">
        <v>3242</v>
      </c>
      <c r="C1211" s="1" t="s">
        <v>3229</v>
      </c>
      <c r="D1211" s="1" t="s">
        <v>3243</v>
      </c>
      <c r="E1211" s="2">
        <v>5.70038355987E11</v>
      </c>
      <c r="F1211" s="1" t="s">
        <v>3244</v>
      </c>
      <c r="G1211" s="1" t="s">
        <v>18</v>
      </c>
      <c r="H1211" s="3" t="s">
        <v>2661</v>
      </c>
      <c r="I1211" s="1"/>
    </row>
    <row r="1212" ht="15.75" customHeight="1">
      <c r="A1212" s="2">
        <v>1211.0</v>
      </c>
      <c r="B1212" s="1" t="s">
        <v>2710</v>
      </c>
      <c r="C1212" s="1" t="s">
        <v>434</v>
      </c>
      <c r="D1212" s="1" t="s">
        <v>3245</v>
      </c>
      <c r="E1212" s="2">
        <v>5.70038355988E11</v>
      </c>
      <c r="F1212" s="1" t="s">
        <v>2740</v>
      </c>
      <c r="G1212" s="1" t="s">
        <v>18</v>
      </c>
      <c r="H1212" s="3" t="s">
        <v>2661</v>
      </c>
      <c r="I1212" s="1"/>
    </row>
    <row r="1213" ht="15.75" customHeight="1">
      <c r="A1213" s="2">
        <v>1212.0</v>
      </c>
      <c r="B1213" s="1" t="s">
        <v>329</v>
      </c>
      <c r="C1213" s="1" t="s">
        <v>521</v>
      </c>
      <c r="D1213" s="1" t="s">
        <v>3246</v>
      </c>
      <c r="E1213" s="2">
        <v>5.70038355991E11</v>
      </c>
      <c r="F1213" s="1" t="s">
        <v>3247</v>
      </c>
      <c r="G1213" s="1" t="s">
        <v>18</v>
      </c>
      <c r="H1213" s="3" t="s">
        <v>2661</v>
      </c>
      <c r="I1213" s="1"/>
    </row>
    <row r="1214" ht="15.75" customHeight="1">
      <c r="A1214" s="2">
        <v>1213.0</v>
      </c>
      <c r="B1214" s="1" t="s">
        <v>1588</v>
      </c>
      <c r="C1214" s="1" t="s">
        <v>3234</v>
      </c>
      <c r="D1214" s="1" t="s">
        <v>3248</v>
      </c>
      <c r="E1214" s="2">
        <v>5.70038355992E11</v>
      </c>
      <c r="F1214" s="1" t="s">
        <v>3249</v>
      </c>
      <c r="G1214" s="1" t="s">
        <v>38</v>
      </c>
      <c r="H1214" s="3" t="s">
        <v>2661</v>
      </c>
      <c r="I1214" s="1"/>
    </row>
    <row r="1215" ht="15.75" customHeight="1">
      <c r="A1215" s="2">
        <v>1214.0</v>
      </c>
      <c r="B1215" s="1" t="s">
        <v>3250</v>
      </c>
      <c r="C1215" s="1" t="s">
        <v>3251</v>
      </c>
      <c r="D1215" s="1" t="s">
        <v>1866</v>
      </c>
      <c r="E1215" s="2">
        <v>5.70038355997E11</v>
      </c>
      <c r="F1215" s="1" t="s">
        <v>2425</v>
      </c>
      <c r="G1215" s="1" t="s">
        <v>18</v>
      </c>
      <c r="H1215" s="3" t="s">
        <v>2661</v>
      </c>
      <c r="I1215" s="1"/>
    </row>
    <row r="1216" ht="15.75" customHeight="1">
      <c r="A1216" s="2">
        <v>1215.0</v>
      </c>
      <c r="B1216" s="1" t="s">
        <v>3252</v>
      </c>
      <c r="C1216" s="1" t="s">
        <v>1979</v>
      </c>
      <c r="D1216" s="1" t="s">
        <v>3253</v>
      </c>
      <c r="E1216" s="2">
        <v>5.70038356001E11</v>
      </c>
      <c r="F1216" s="1" t="s">
        <v>2949</v>
      </c>
      <c r="G1216" s="1" t="s">
        <v>18</v>
      </c>
      <c r="H1216" s="3" t="s">
        <v>2661</v>
      </c>
      <c r="I1216" s="1"/>
    </row>
    <row r="1217" ht="15.75" customHeight="1">
      <c r="A1217" s="2">
        <v>1216.0</v>
      </c>
      <c r="B1217" s="1" t="s">
        <v>431</v>
      </c>
      <c r="C1217" s="1" t="s">
        <v>2769</v>
      </c>
      <c r="D1217" s="1" t="s">
        <v>2770</v>
      </c>
      <c r="E1217" s="2">
        <v>5.70038356003E11</v>
      </c>
      <c r="F1217" s="1" t="s">
        <v>3254</v>
      </c>
      <c r="G1217" s="1" t="s">
        <v>90</v>
      </c>
      <c r="H1217" s="3" t="s">
        <v>2661</v>
      </c>
      <c r="I1217" s="1"/>
    </row>
    <row r="1218" ht="15.75" customHeight="1">
      <c r="A1218" s="2">
        <v>1217.0</v>
      </c>
      <c r="B1218" s="1" t="s">
        <v>496</v>
      </c>
      <c r="C1218" s="1" t="s">
        <v>3255</v>
      </c>
      <c r="D1218" s="1" t="s">
        <v>3256</v>
      </c>
      <c r="E1218" s="2">
        <v>5.70038356005E11</v>
      </c>
      <c r="F1218" s="1" t="s">
        <v>3257</v>
      </c>
      <c r="G1218" s="1" t="s">
        <v>90</v>
      </c>
      <c r="H1218" s="3" t="s">
        <v>2661</v>
      </c>
      <c r="I1218" s="1"/>
    </row>
    <row r="1219" ht="15.75" customHeight="1">
      <c r="A1219" s="2">
        <v>1218.0</v>
      </c>
      <c r="B1219" s="1" t="s">
        <v>3258</v>
      </c>
      <c r="C1219" s="1" t="s">
        <v>496</v>
      </c>
      <c r="D1219" s="1" t="s">
        <v>3259</v>
      </c>
      <c r="E1219" s="2">
        <v>5.70038356007E11</v>
      </c>
      <c r="F1219" s="1" t="s">
        <v>830</v>
      </c>
      <c r="G1219" s="1" t="s">
        <v>90</v>
      </c>
      <c r="H1219" s="3" t="s">
        <v>2661</v>
      </c>
      <c r="I1219" s="1"/>
    </row>
    <row r="1220" ht="15.75" customHeight="1">
      <c r="A1220" s="2">
        <v>1219.0</v>
      </c>
      <c r="B1220" s="1" t="s">
        <v>2969</v>
      </c>
      <c r="C1220" s="1" t="s">
        <v>1052</v>
      </c>
      <c r="D1220" s="1" t="s">
        <v>3260</v>
      </c>
      <c r="E1220" s="2">
        <v>5.7003835601E10</v>
      </c>
      <c r="F1220" s="1" t="s">
        <v>465</v>
      </c>
      <c r="G1220" s="1" t="s">
        <v>90</v>
      </c>
      <c r="H1220" s="3" t="s">
        <v>2661</v>
      </c>
      <c r="I1220" s="1"/>
    </row>
    <row r="1221" ht="15.75" customHeight="1">
      <c r="A1221" s="2">
        <v>1220.0</v>
      </c>
      <c r="B1221" s="1" t="s">
        <v>2646</v>
      </c>
      <c r="C1221" s="1" t="s">
        <v>1052</v>
      </c>
      <c r="D1221" s="1" t="s">
        <v>3260</v>
      </c>
      <c r="E1221" s="2">
        <v>5.70038356012E11</v>
      </c>
      <c r="F1221" s="1" t="s">
        <v>3261</v>
      </c>
      <c r="G1221" s="1" t="s">
        <v>90</v>
      </c>
      <c r="H1221" s="3" t="s">
        <v>2661</v>
      </c>
      <c r="I1221" s="1"/>
    </row>
    <row r="1222" ht="15.75" customHeight="1">
      <c r="A1222" s="2">
        <v>1221.0</v>
      </c>
      <c r="B1222" s="1" t="s">
        <v>3262</v>
      </c>
      <c r="C1222" s="1" t="s">
        <v>3263</v>
      </c>
      <c r="D1222" s="1" t="s">
        <v>3264</v>
      </c>
      <c r="E1222" s="2">
        <v>5.70038356014E11</v>
      </c>
      <c r="F1222" s="1" t="s">
        <v>3265</v>
      </c>
      <c r="G1222" s="1" t="s">
        <v>24</v>
      </c>
      <c r="H1222" s="3" t="s">
        <v>2661</v>
      </c>
      <c r="I1222" s="1"/>
    </row>
    <row r="1223" ht="15.75" customHeight="1">
      <c r="A1223" s="2">
        <v>1222.0</v>
      </c>
      <c r="B1223" s="1" t="s">
        <v>118</v>
      </c>
      <c r="C1223" s="1" t="s">
        <v>942</v>
      </c>
      <c r="D1223" s="1" t="s">
        <v>478</v>
      </c>
      <c r="E1223" s="2">
        <v>5.70038356016E11</v>
      </c>
      <c r="F1223" s="1" t="s">
        <v>3266</v>
      </c>
      <c r="G1223" s="1" t="s">
        <v>18</v>
      </c>
      <c r="H1223" s="3" t="s">
        <v>3267</v>
      </c>
      <c r="I1223" s="1"/>
    </row>
    <row r="1224" ht="15.75" customHeight="1">
      <c r="A1224" s="2">
        <v>1223.0</v>
      </c>
      <c r="B1224" s="1" t="s">
        <v>57</v>
      </c>
      <c r="C1224" s="1" t="s">
        <v>942</v>
      </c>
      <c r="D1224" s="1" t="s">
        <v>478</v>
      </c>
      <c r="E1224" s="2">
        <v>5.70038356018E11</v>
      </c>
      <c r="F1224" s="1" t="s">
        <v>3268</v>
      </c>
      <c r="G1224" s="1" t="s">
        <v>24</v>
      </c>
      <c r="H1224" s="3" t="s">
        <v>3267</v>
      </c>
      <c r="I1224" s="1"/>
    </row>
    <row r="1225" ht="15.75" customHeight="1">
      <c r="A1225" s="2">
        <v>1224.0</v>
      </c>
      <c r="B1225" s="1" t="s">
        <v>149</v>
      </c>
      <c r="C1225" s="1" t="s">
        <v>489</v>
      </c>
      <c r="D1225" s="1" t="s">
        <v>3269</v>
      </c>
      <c r="E1225" s="2">
        <v>5.7003835602E11</v>
      </c>
      <c r="F1225" s="1" t="s">
        <v>3270</v>
      </c>
      <c r="G1225" s="1" t="s">
        <v>90</v>
      </c>
      <c r="H1225" s="3" t="s">
        <v>3267</v>
      </c>
      <c r="I1225" s="1"/>
    </row>
    <row r="1226" ht="15.75" customHeight="1">
      <c r="A1226" s="2">
        <v>1225.0</v>
      </c>
      <c r="B1226" s="1" t="s">
        <v>3271</v>
      </c>
      <c r="C1226" s="1" t="s">
        <v>489</v>
      </c>
      <c r="D1226" s="1" t="s">
        <v>3272</v>
      </c>
      <c r="E1226" s="2">
        <v>5.70038356022E11</v>
      </c>
      <c r="F1226" s="1" t="s">
        <v>3273</v>
      </c>
      <c r="G1226" s="1" t="s">
        <v>18</v>
      </c>
      <c r="H1226" s="3" t="s">
        <v>3267</v>
      </c>
      <c r="I1226" s="1"/>
    </row>
    <row r="1227" ht="15.75" customHeight="1">
      <c r="A1227" s="2">
        <v>1226.0</v>
      </c>
      <c r="B1227" s="1" t="s">
        <v>3274</v>
      </c>
      <c r="C1227" s="1" t="s">
        <v>1134</v>
      </c>
      <c r="D1227" s="1" t="s">
        <v>335</v>
      </c>
      <c r="E1227" s="2">
        <v>5.70038356026E11</v>
      </c>
      <c r="F1227" s="1" t="s">
        <v>3275</v>
      </c>
      <c r="G1227" s="1" t="s">
        <v>24</v>
      </c>
      <c r="H1227" s="3" t="s">
        <v>3267</v>
      </c>
      <c r="I1227" s="1"/>
    </row>
    <row r="1228" ht="15.75" customHeight="1">
      <c r="A1228" s="2">
        <v>1227.0</v>
      </c>
      <c r="B1228" s="1" t="s">
        <v>3276</v>
      </c>
      <c r="C1228" s="1" t="s">
        <v>3277</v>
      </c>
      <c r="D1228" s="1" t="s">
        <v>68</v>
      </c>
      <c r="E1228" s="2">
        <v>5.70038356028E11</v>
      </c>
      <c r="F1228" s="1" t="s">
        <v>3278</v>
      </c>
      <c r="G1228" s="1" t="s">
        <v>24</v>
      </c>
      <c r="H1228" s="3" t="s">
        <v>3267</v>
      </c>
      <c r="I1228" s="1"/>
    </row>
    <row r="1229" ht="15.75" customHeight="1">
      <c r="A1229" s="2">
        <v>1228.0</v>
      </c>
      <c r="B1229" s="1" t="s">
        <v>410</v>
      </c>
      <c r="C1229" s="1" t="s">
        <v>39</v>
      </c>
      <c r="D1229" s="1" t="s">
        <v>324</v>
      </c>
      <c r="E1229" s="2">
        <v>5.70038356031E11</v>
      </c>
      <c r="F1229" s="1" t="s">
        <v>3279</v>
      </c>
      <c r="G1229" s="1" t="s">
        <v>18</v>
      </c>
      <c r="H1229" s="3" t="s">
        <v>3267</v>
      </c>
      <c r="I1229" s="1"/>
    </row>
    <row r="1230" ht="15.75" customHeight="1">
      <c r="A1230" s="2">
        <v>1229.0</v>
      </c>
      <c r="B1230" s="1" t="s">
        <v>3280</v>
      </c>
      <c r="C1230" s="1" t="s">
        <v>3281</v>
      </c>
      <c r="D1230" s="1" t="s">
        <v>955</v>
      </c>
      <c r="E1230" s="2">
        <v>5.70038356033E11</v>
      </c>
      <c r="F1230" s="1" t="s">
        <v>3282</v>
      </c>
      <c r="G1230" s="1" t="s">
        <v>24</v>
      </c>
      <c r="H1230" s="3" t="s">
        <v>3267</v>
      </c>
      <c r="I1230" s="1"/>
    </row>
    <row r="1231" ht="15.75" customHeight="1">
      <c r="A1231" s="2">
        <v>1230.0</v>
      </c>
      <c r="B1231" s="1" t="s">
        <v>1934</v>
      </c>
      <c r="C1231" s="1" t="s">
        <v>3283</v>
      </c>
      <c r="D1231" s="1" t="s">
        <v>955</v>
      </c>
      <c r="E1231" s="2">
        <v>5.70038356035E11</v>
      </c>
      <c r="F1231" s="1" t="s">
        <v>336</v>
      </c>
      <c r="G1231" s="1" t="s">
        <v>24</v>
      </c>
      <c r="H1231" s="3" t="s">
        <v>3267</v>
      </c>
      <c r="I1231" s="1"/>
    </row>
    <row r="1232" ht="15.75" customHeight="1">
      <c r="A1232" s="2">
        <v>1231.0</v>
      </c>
      <c r="B1232" s="1" t="s">
        <v>1653</v>
      </c>
      <c r="C1232" s="1" t="s">
        <v>3283</v>
      </c>
      <c r="D1232" s="1" t="s">
        <v>955</v>
      </c>
      <c r="E1232" s="2">
        <v>5.70038356037E11</v>
      </c>
      <c r="F1232" s="1" t="s">
        <v>3284</v>
      </c>
      <c r="G1232" s="1" t="s">
        <v>90</v>
      </c>
      <c r="H1232" s="3" t="s">
        <v>3267</v>
      </c>
      <c r="I1232" s="1"/>
    </row>
    <row r="1233" ht="15.75" customHeight="1">
      <c r="A1233" s="2">
        <v>1232.0</v>
      </c>
      <c r="B1233" s="1" t="s">
        <v>330</v>
      </c>
      <c r="C1233" s="1" t="s">
        <v>3285</v>
      </c>
      <c r="D1233" s="1" t="s">
        <v>62</v>
      </c>
      <c r="E1233" s="2">
        <v>5.70038356038E11</v>
      </c>
      <c r="F1233" s="1" t="s">
        <v>2157</v>
      </c>
      <c r="G1233" s="1" t="s">
        <v>24</v>
      </c>
      <c r="H1233" s="3" t="s">
        <v>3267</v>
      </c>
      <c r="I1233" s="1"/>
    </row>
    <row r="1234" ht="15.75" customHeight="1">
      <c r="A1234" s="2">
        <v>1233.0</v>
      </c>
      <c r="B1234" s="1" t="s">
        <v>308</v>
      </c>
      <c r="C1234" s="1" t="s">
        <v>3286</v>
      </c>
      <c r="D1234" s="1" t="s">
        <v>3287</v>
      </c>
      <c r="E1234" s="2">
        <v>5.7003835604E11</v>
      </c>
      <c r="F1234" s="1" t="s">
        <v>3288</v>
      </c>
      <c r="G1234" s="1" t="s">
        <v>24</v>
      </c>
      <c r="H1234" s="3" t="s">
        <v>3267</v>
      </c>
      <c r="I1234" s="1"/>
    </row>
    <row r="1235" ht="15.75" customHeight="1">
      <c r="A1235" s="2">
        <v>1234.0</v>
      </c>
      <c r="B1235" s="1" t="s">
        <v>3289</v>
      </c>
      <c r="C1235" s="1" t="s">
        <v>3290</v>
      </c>
      <c r="D1235" s="1" t="s">
        <v>335</v>
      </c>
      <c r="E1235" s="2">
        <v>5.70038356042E11</v>
      </c>
      <c r="F1235" s="1" t="s">
        <v>1078</v>
      </c>
      <c r="G1235" s="1" t="s">
        <v>18</v>
      </c>
      <c r="H1235" s="3" t="s">
        <v>3267</v>
      </c>
      <c r="I1235" s="1"/>
    </row>
    <row r="1236" ht="15.75" customHeight="1">
      <c r="A1236" s="2">
        <v>1235.0</v>
      </c>
      <c r="B1236" s="1" t="s">
        <v>3291</v>
      </c>
      <c r="C1236" s="1" t="s">
        <v>308</v>
      </c>
      <c r="D1236" s="1" t="s">
        <v>3292</v>
      </c>
      <c r="E1236" s="2">
        <v>5.70038356045E11</v>
      </c>
      <c r="F1236" s="1" t="s">
        <v>1527</v>
      </c>
      <c r="G1236" s="1" t="s">
        <v>38</v>
      </c>
      <c r="H1236" s="3" t="s">
        <v>3267</v>
      </c>
      <c r="I1236" s="1"/>
    </row>
    <row r="1237" ht="15.75" customHeight="1">
      <c r="A1237" s="2">
        <v>1236.0</v>
      </c>
      <c r="B1237" s="1" t="s">
        <v>3293</v>
      </c>
      <c r="C1237" s="1" t="s">
        <v>3294</v>
      </c>
      <c r="D1237" s="1" t="s">
        <v>68</v>
      </c>
      <c r="E1237" s="2">
        <v>5.70038356047E11</v>
      </c>
      <c r="F1237" s="1" t="s">
        <v>3295</v>
      </c>
      <c r="G1237" s="1" t="s">
        <v>18</v>
      </c>
      <c r="H1237" s="3" t="s">
        <v>3267</v>
      </c>
      <c r="I1237" s="1"/>
    </row>
    <row r="1238" ht="15.75" customHeight="1">
      <c r="A1238" s="2">
        <v>1237.0</v>
      </c>
      <c r="B1238" s="1" t="s">
        <v>1732</v>
      </c>
      <c r="C1238" s="1" t="s">
        <v>805</v>
      </c>
      <c r="D1238" s="1" t="s">
        <v>3296</v>
      </c>
      <c r="E1238" s="2">
        <v>5.70038356052E11</v>
      </c>
      <c r="F1238" s="1" t="s">
        <v>3297</v>
      </c>
      <c r="G1238" s="1" t="s">
        <v>24</v>
      </c>
      <c r="H1238" s="3" t="s">
        <v>3267</v>
      </c>
      <c r="I1238" s="1"/>
    </row>
    <row r="1239" ht="15.75" customHeight="1">
      <c r="A1239" s="2">
        <v>1238.0</v>
      </c>
      <c r="B1239" s="1" t="s">
        <v>106</v>
      </c>
      <c r="C1239" s="1" t="s">
        <v>1732</v>
      </c>
      <c r="D1239" s="1" t="s">
        <v>697</v>
      </c>
      <c r="E1239" s="2">
        <v>5.70038356054E11</v>
      </c>
      <c r="F1239" s="1" t="s">
        <v>3298</v>
      </c>
      <c r="G1239" s="1" t="s">
        <v>24</v>
      </c>
      <c r="H1239" s="3" t="s">
        <v>3267</v>
      </c>
      <c r="I1239" s="1"/>
    </row>
    <row r="1240" ht="15.75" customHeight="1">
      <c r="A1240" s="2">
        <v>1239.0</v>
      </c>
      <c r="B1240" s="1" t="s">
        <v>1700</v>
      </c>
      <c r="C1240" s="1" t="s">
        <v>1732</v>
      </c>
      <c r="D1240" s="1" t="s">
        <v>697</v>
      </c>
      <c r="E1240" s="2">
        <v>5.70038356056E11</v>
      </c>
      <c r="F1240" s="1" t="s">
        <v>732</v>
      </c>
      <c r="G1240" s="1" t="s">
        <v>24</v>
      </c>
      <c r="H1240" s="3" t="s">
        <v>3267</v>
      </c>
      <c r="I1240" s="1"/>
    </row>
    <row r="1241" ht="15.75" customHeight="1">
      <c r="A1241" s="2">
        <v>1240.0</v>
      </c>
      <c r="B1241" s="1" t="s">
        <v>3299</v>
      </c>
      <c r="C1241" s="1" t="s">
        <v>3300</v>
      </c>
      <c r="D1241" s="1" t="s">
        <v>3301</v>
      </c>
      <c r="E1241" s="2">
        <v>5.70038356059E11</v>
      </c>
      <c r="F1241" s="1" t="s">
        <v>2117</v>
      </c>
      <c r="G1241" s="1" t="s">
        <v>24</v>
      </c>
      <c r="H1241" s="3" t="s">
        <v>3267</v>
      </c>
      <c r="I1241" s="1"/>
    </row>
    <row r="1242" ht="15.75" customHeight="1">
      <c r="A1242" s="2">
        <v>1241.0</v>
      </c>
      <c r="B1242" s="1" t="s">
        <v>590</v>
      </c>
      <c r="C1242" s="1" t="s">
        <v>3302</v>
      </c>
      <c r="D1242" s="1" t="s">
        <v>324</v>
      </c>
      <c r="E1242" s="2">
        <v>5.70038356063E11</v>
      </c>
      <c r="F1242" s="1" t="s">
        <v>3303</v>
      </c>
      <c r="G1242" s="1" t="s">
        <v>24</v>
      </c>
      <c r="H1242" s="3" t="s">
        <v>3267</v>
      </c>
      <c r="I1242" s="1"/>
    </row>
    <row r="1243" ht="15.75" customHeight="1">
      <c r="A1243" s="2">
        <v>1242.0</v>
      </c>
      <c r="B1243" s="1" t="s">
        <v>1240</v>
      </c>
      <c r="C1243" s="1" t="s">
        <v>3302</v>
      </c>
      <c r="D1243" s="1" t="s">
        <v>324</v>
      </c>
      <c r="E1243" s="2">
        <v>5.70038356065E11</v>
      </c>
      <c r="F1243" s="1" t="s">
        <v>3304</v>
      </c>
      <c r="G1243" s="1" t="s">
        <v>90</v>
      </c>
      <c r="H1243" s="3" t="s">
        <v>3267</v>
      </c>
      <c r="I1243" s="1"/>
    </row>
    <row r="1244" ht="15.75" customHeight="1">
      <c r="A1244" s="2">
        <v>1243.0</v>
      </c>
      <c r="B1244" s="1" t="s">
        <v>2041</v>
      </c>
      <c r="C1244" s="1" t="s">
        <v>3305</v>
      </c>
      <c r="D1244" s="1" t="s">
        <v>3306</v>
      </c>
      <c r="E1244" s="2">
        <v>5.70038356067E11</v>
      </c>
      <c r="F1244" s="1" t="s">
        <v>3307</v>
      </c>
      <c r="G1244" s="1" t="s">
        <v>24</v>
      </c>
      <c r="H1244" s="3" t="s">
        <v>3267</v>
      </c>
      <c r="I1244" s="1"/>
    </row>
    <row r="1245" ht="15.75" customHeight="1">
      <c r="A1245" s="2">
        <v>1244.0</v>
      </c>
      <c r="B1245" s="1" t="s">
        <v>1685</v>
      </c>
      <c r="C1245" s="1" t="s">
        <v>2041</v>
      </c>
      <c r="D1245" s="1" t="s">
        <v>685</v>
      </c>
      <c r="E1245" s="2">
        <v>5.70038356069E11</v>
      </c>
      <c r="F1245" s="1" t="s">
        <v>3308</v>
      </c>
      <c r="G1245" s="1" t="s">
        <v>18</v>
      </c>
      <c r="H1245" s="3" t="s">
        <v>3267</v>
      </c>
      <c r="I1245" s="1"/>
    </row>
    <row r="1246" ht="15.75" customHeight="1">
      <c r="A1246" s="2">
        <v>1245.0</v>
      </c>
      <c r="B1246" s="1" t="s">
        <v>316</v>
      </c>
      <c r="C1246" s="1" t="s">
        <v>942</v>
      </c>
      <c r="D1246" s="1" t="s">
        <v>478</v>
      </c>
      <c r="E1246" s="2">
        <v>5.70038356072E11</v>
      </c>
      <c r="F1246" s="1" t="s">
        <v>3309</v>
      </c>
      <c r="G1246" s="1" t="s">
        <v>24</v>
      </c>
      <c r="H1246" s="3" t="s">
        <v>3267</v>
      </c>
      <c r="I1246" s="1"/>
    </row>
    <row r="1247" ht="15.75" customHeight="1">
      <c r="A1247" s="2">
        <v>1246.0</v>
      </c>
      <c r="B1247" s="1" t="s">
        <v>180</v>
      </c>
      <c r="C1247" s="1" t="s">
        <v>3310</v>
      </c>
      <c r="D1247" s="1" t="s">
        <v>1890</v>
      </c>
      <c r="E1247" s="2">
        <v>5.70038356075E11</v>
      </c>
      <c r="F1247" s="1" t="s">
        <v>3311</v>
      </c>
      <c r="G1247" s="1" t="s">
        <v>18</v>
      </c>
      <c r="H1247" s="3" t="s">
        <v>3267</v>
      </c>
      <c r="I1247" s="1"/>
    </row>
    <row r="1248" ht="15.75" customHeight="1">
      <c r="A1248" s="2">
        <v>1247.0</v>
      </c>
      <c r="B1248" s="1" t="s">
        <v>39</v>
      </c>
      <c r="C1248" s="1" t="s">
        <v>3312</v>
      </c>
      <c r="D1248" s="1" t="s">
        <v>3313</v>
      </c>
      <c r="E1248" s="2">
        <v>5.70038356076E11</v>
      </c>
      <c r="F1248" s="1" t="s">
        <v>3314</v>
      </c>
      <c r="G1248" s="1" t="s">
        <v>24</v>
      </c>
      <c r="H1248" s="3" t="s">
        <v>3267</v>
      </c>
      <c r="I1248" s="1"/>
    </row>
    <row r="1249" ht="15.75" customHeight="1">
      <c r="A1249" s="2">
        <v>1248.0</v>
      </c>
      <c r="B1249" s="1" t="s">
        <v>276</v>
      </c>
      <c r="C1249" s="1" t="s">
        <v>621</v>
      </c>
      <c r="D1249" s="1" t="s">
        <v>850</v>
      </c>
      <c r="E1249" s="2">
        <v>5.70038356077E11</v>
      </c>
      <c r="F1249" s="1" t="s">
        <v>3315</v>
      </c>
      <c r="G1249" s="1" t="s">
        <v>24</v>
      </c>
      <c r="H1249" s="3" t="s">
        <v>3267</v>
      </c>
      <c r="I1249" s="1"/>
    </row>
    <row r="1250" ht="15.75" customHeight="1">
      <c r="A1250" s="2">
        <v>1249.0</v>
      </c>
      <c r="B1250" s="1" t="s">
        <v>3316</v>
      </c>
      <c r="C1250" s="1" t="s">
        <v>3317</v>
      </c>
      <c r="D1250" s="1" t="s">
        <v>733</v>
      </c>
      <c r="E1250" s="2">
        <v>5.70038356078E11</v>
      </c>
      <c r="F1250" s="1" t="s">
        <v>3318</v>
      </c>
      <c r="G1250" s="1" t="s">
        <v>90</v>
      </c>
      <c r="H1250" s="3" t="s">
        <v>3267</v>
      </c>
      <c r="I1250" s="1"/>
    </row>
    <row r="1251" ht="15.75" customHeight="1">
      <c r="A1251" s="2">
        <v>1250.0</v>
      </c>
      <c r="B1251" s="1" t="s">
        <v>3319</v>
      </c>
      <c r="C1251" s="1" t="s">
        <v>1990</v>
      </c>
      <c r="D1251" s="1" t="s">
        <v>1260</v>
      </c>
      <c r="E1251" s="2">
        <v>5.70038356079E11</v>
      </c>
      <c r="F1251" s="1" t="s">
        <v>3320</v>
      </c>
      <c r="G1251" s="1" t="s">
        <v>18</v>
      </c>
      <c r="H1251" s="3" t="s">
        <v>3267</v>
      </c>
      <c r="I1251" s="1"/>
    </row>
    <row r="1252" ht="15.75" customHeight="1">
      <c r="A1252" s="2">
        <v>1251.0</v>
      </c>
      <c r="B1252" s="1" t="s">
        <v>1823</v>
      </c>
      <c r="C1252" s="1" t="s">
        <v>1206</v>
      </c>
      <c r="D1252" s="1" t="s">
        <v>3321</v>
      </c>
      <c r="E1252" s="2">
        <v>5.70038356081E11</v>
      </c>
      <c r="F1252" s="1" t="s">
        <v>3322</v>
      </c>
      <c r="G1252" s="1" t="s">
        <v>90</v>
      </c>
      <c r="H1252" s="3" t="s">
        <v>3267</v>
      </c>
      <c r="I1252" s="1"/>
    </row>
    <row r="1253" ht="15.75" customHeight="1">
      <c r="A1253" s="2">
        <v>1252.0</v>
      </c>
      <c r="B1253" s="1" t="s">
        <v>3323</v>
      </c>
      <c r="C1253" s="1" t="s">
        <v>3324</v>
      </c>
      <c r="D1253" s="1" t="s">
        <v>494</v>
      </c>
      <c r="E1253" s="2">
        <v>5.70038356083E11</v>
      </c>
      <c r="F1253" s="1" t="s">
        <v>3325</v>
      </c>
      <c r="G1253" s="1" t="s">
        <v>24</v>
      </c>
      <c r="H1253" s="3" t="s">
        <v>3267</v>
      </c>
      <c r="I1253" s="1"/>
    </row>
    <row r="1254" ht="15.75" customHeight="1">
      <c r="A1254" s="2">
        <v>1253.0</v>
      </c>
      <c r="B1254" s="1" t="s">
        <v>66</v>
      </c>
      <c r="C1254" s="1" t="s">
        <v>3326</v>
      </c>
      <c r="D1254" s="1" t="s">
        <v>1890</v>
      </c>
      <c r="E1254" s="2">
        <v>5.70038356086E11</v>
      </c>
      <c r="F1254" s="1" t="s">
        <v>3327</v>
      </c>
      <c r="G1254" s="1" t="s">
        <v>90</v>
      </c>
      <c r="H1254" s="3" t="s">
        <v>3267</v>
      </c>
      <c r="I1254" s="1"/>
    </row>
    <row r="1255" ht="15.75" customHeight="1">
      <c r="A1255" s="2">
        <v>1254.0</v>
      </c>
      <c r="B1255" s="1" t="s">
        <v>3328</v>
      </c>
      <c r="C1255" s="1" t="s">
        <v>2305</v>
      </c>
      <c r="D1255" s="1" t="s">
        <v>10</v>
      </c>
      <c r="E1255" s="2">
        <v>5.70038356088E11</v>
      </c>
      <c r="F1255" s="1" t="s">
        <v>3329</v>
      </c>
      <c r="G1255" s="1" t="s">
        <v>24</v>
      </c>
      <c r="H1255" s="3" t="s">
        <v>3267</v>
      </c>
      <c r="I1255" s="1"/>
    </row>
    <row r="1256" ht="15.75" customHeight="1">
      <c r="A1256" s="2">
        <v>1255.0</v>
      </c>
      <c r="B1256" s="1" t="s">
        <v>488</v>
      </c>
      <c r="C1256" s="1" t="s">
        <v>3330</v>
      </c>
      <c r="D1256" s="1" t="s">
        <v>3331</v>
      </c>
      <c r="E1256" s="2">
        <v>5.7003835609E11</v>
      </c>
      <c r="F1256" s="1" t="s">
        <v>3332</v>
      </c>
      <c r="G1256" s="1" t="s">
        <v>90</v>
      </c>
      <c r="H1256" s="3" t="s">
        <v>3267</v>
      </c>
      <c r="I1256" s="1"/>
    </row>
    <row r="1257" ht="15.75" customHeight="1">
      <c r="A1257" s="2">
        <v>1256.0</v>
      </c>
      <c r="B1257" s="1" t="s">
        <v>815</v>
      </c>
      <c r="C1257" s="1" t="s">
        <v>488</v>
      </c>
      <c r="D1257" s="1" t="s">
        <v>331</v>
      </c>
      <c r="E1257" s="2">
        <v>5.70038356093E11</v>
      </c>
      <c r="F1257" s="1" t="s">
        <v>885</v>
      </c>
      <c r="G1257" s="1" t="s">
        <v>90</v>
      </c>
      <c r="H1257" s="3" t="s">
        <v>3267</v>
      </c>
      <c r="I1257" s="1"/>
    </row>
    <row r="1258" ht="15.75" customHeight="1">
      <c r="A1258" s="2">
        <v>1257.0</v>
      </c>
      <c r="B1258" s="1" t="s">
        <v>730</v>
      </c>
      <c r="C1258" s="1" t="s">
        <v>1277</v>
      </c>
      <c r="D1258" s="1" t="s">
        <v>3287</v>
      </c>
      <c r="E1258" s="2">
        <v>5.70038356094E11</v>
      </c>
      <c r="F1258" s="1" t="s">
        <v>2199</v>
      </c>
      <c r="G1258" s="1" t="s">
        <v>24</v>
      </c>
      <c r="H1258" s="3" t="s">
        <v>3267</v>
      </c>
      <c r="I1258" s="1"/>
    </row>
    <row r="1259" ht="15.75" customHeight="1">
      <c r="A1259" s="2">
        <v>1258.0</v>
      </c>
      <c r="B1259" s="1" t="s">
        <v>191</v>
      </c>
      <c r="C1259" s="1" t="s">
        <v>3333</v>
      </c>
      <c r="D1259" s="1" t="s">
        <v>3334</v>
      </c>
      <c r="E1259" s="2">
        <v>5.70038356096E11</v>
      </c>
      <c r="F1259" s="1" t="s">
        <v>3335</v>
      </c>
      <c r="G1259" s="1" t="s">
        <v>24</v>
      </c>
      <c r="H1259" s="3" t="s">
        <v>3267</v>
      </c>
      <c r="I1259" s="1"/>
    </row>
    <row r="1260" ht="15.75" customHeight="1">
      <c r="A1260" s="2">
        <v>1259.0</v>
      </c>
      <c r="B1260" s="1" t="s">
        <v>3336</v>
      </c>
      <c r="C1260" s="1" t="s">
        <v>3333</v>
      </c>
      <c r="D1260" s="1" t="s">
        <v>3334</v>
      </c>
      <c r="E1260" s="2">
        <v>5.70038356098E11</v>
      </c>
      <c r="F1260" s="1" t="s">
        <v>3337</v>
      </c>
      <c r="G1260" s="1" t="s">
        <v>18</v>
      </c>
      <c r="H1260" s="3" t="s">
        <v>3267</v>
      </c>
      <c r="I1260" s="1"/>
    </row>
    <row r="1261" ht="15.75" customHeight="1">
      <c r="A1261" s="2">
        <v>1260.0</v>
      </c>
      <c r="B1261" s="1" t="s">
        <v>361</v>
      </c>
      <c r="C1261" s="1" t="s">
        <v>3324</v>
      </c>
      <c r="D1261" s="1" t="s">
        <v>324</v>
      </c>
      <c r="E1261" s="2">
        <v>5.700383561E11</v>
      </c>
      <c r="F1261" s="1" t="s">
        <v>3338</v>
      </c>
      <c r="G1261" s="1" t="s">
        <v>90</v>
      </c>
      <c r="H1261" s="3" t="s">
        <v>3267</v>
      </c>
      <c r="I1261" s="1"/>
    </row>
    <row r="1262" ht="15.75" customHeight="1">
      <c r="A1262" s="2">
        <v>1261.0</v>
      </c>
      <c r="B1262" s="1" t="s">
        <v>3339</v>
      </c>
      <c r="C1262" s="1" t="s">
        <v>713</v>
      </c>
      <c r="D1262" s="1" t="s">
        <v>77</v>
      </c>
      <c r="E1262" s="2">
        <v>5.70038356102E11</v>
      </c>
      <c r="F1262" s="1" t="s">
        <v>3340</v>
      </c>
      <c r="G1262" s="1" t="s">
        <v>593</v>
      </c>
      <c r="H1262" s="3" t="s">
        <v>3267</v>
      </c>
      <c r="I1262" s="1"/>
    </row>
    <row r="1263" ht="15.75" customHeight="1">
      <c r="A1263" s="2">
        <v>1262.0</v>
      </c>
      <c r="B1263" s="1" t="s">
        <v>682</v>
      </c>
      <c r="C1263" s="1" t="s">
        <v>3341</v>
      </c>
      <c r="D1263" s="1" t="s">
        <v>1110</v>
      </c>
      <c r="E1263" s="2">
        <v>5.70038356104E11</v>
      </c>
      <c r="F1263" s="1" t="s">
        <v>3342</v>
      </c>
      <c r="G1263" s="1" t="s">
        <v>24</v>
      </c>
      <c r="H1263" s="3" t="s">
        <v>3267</v>
      </c>
      <c r="I1263" s="1"/>
    </row>
    <row r="1264" ht="15.75" customHeight="1">
      <c r="A1264" s="2">
        <v>1263.0</v>
      </c>
      <c r="B1264" s="1" t="s">
        <v>2418</v>
      </c>
      <c r="C1264" s="1" t="s">
        <v>3197</v>
      </c>
      <c r="D1264" s="1" t="s">
        <v>3343</v>
      </c>
      <c r="E1264" s="2">
        <v>5.70038356111E11</v>
      </c>
      <c r="F1264" s="1" t="s">
        <v>3344</v>
      </c>
      <c r="G1264" s="1" t="s">
        <v>143</v>
      </c>
      <c r="H1264" s="3" t="s">
        <v>3267</v>
      </c>
      <c r="I1264" s="1"/>
    </row>
    <row r="1265" ht="15.75" customHeight="1">
      <c r="A1265" s="2">
        <v>1264.0</v>
      </c>
      <c r="B1265" s="1" t="s">
        <v>3345</v>
      </c>
      <c r="C1265" s="1" t="s">
        <v>3346</v>
      </c>
      <c r="D1265" s="1" t="s">
        <v>3347</v>
      </c>
      <c r="E1265" s="2">
        <v>5.70038356113E11</v>
      </c>
      <c r="F1265" s="1" t="s">
        <v>3348</v>
      </c>
      <c r="G1265" s="1" t="s">
        <v>38</v>
      </c>
      <c r="H1265" s="3" t="s">
        <v>3267</v>
      </c>
      <c r="I1265" s="1"/>
    </row>
    <row r="1266" ht="15.75" customHeight="1">
      <c r="A1266" s="2">
        <v>1265.0</v>
      </c>
      <c r="B1266" s="1" t="s">
        <v>3349</v>
      </c>
      <c r="C1266" s="1" t="s">
        <v>3346</v>
      </c>
      <c r="D1266" s="1" t="s">
        <v>3347</v>
      </c>
      <c r="E1266" s="2">
        <v>5.70038356118E11</v>
      </c>
      <c r="F1266" s="1" t="s">
        <v>3350</v>
      </c>
      <c r="G1266" s="1" t="s">
        <v>38</v>
      </c>
      <c r="H1266" s="3" t="s">
        <v>3267</v>
      </c>
      <c r="I1266" s="1"/>
    </row>
    <row r="1267" ht="15.75" customHeight="1">
      <c r="A1267" s="2">
        <v>1266.0</v>
      </c>
      <c r="B1267" s="1" t="s">
        <v>3351</v>
      </c>
      <c r="C1267" s="1" t="s">
        <v>3345</v>
      </c>
      <c r="D1267" s="1" t="s">
        <v>3352</v>
      </c>
      <c r="E1267" s="2">
        <v>5.7003835612E11</v>
      </c>
      <c r="F1267" s="1" t="s">
        <v>1354</v>
      </c>
      <c r="G1267" s="1" t="s">
        <v>24</v>
      </c>
      <c r="H1267" s="3" t="s">
        <v>3267</v>
      </c>
      <c r="I1267" s="1"/>
    </row>
    <row r="1268" ht="15.75" customHeight="1">
      <c r="A1268" s="2">
        <v>1267.0</v>
      </c>
      <c r="B1268" s="1" t="s">
        <v>3353</v>
      </c>
      <c r="C1268" s="1" t="s">
        <v>3354</v>
      </c>
      <c r="D1268" s="1" t="s">
        <v>3355</v>
      </c>
      <c r="E1268" s="2">
        <v>5.70038356122E11</v>
      </c>
      <c r="F1268" s="1" t="s">
        <v>3356</v>
      </c>
      <c r="G1268" s="1" t="s">
        <v>24</v>
      </c>
      <c r="H1268" s="3" t="s">
        <v>3267</v>
      </c>
      <c r="I1268" s="1"/>
    </row>
    <row r="1269" ht="15.75" customHeight="1">
      <c r="A1269" s="2">
        <v>1268.0</v>
      </c>
      <c r="B1269" s="1" t="s">
        <v>3357</v>
      </c>
      <c r="C1269" s="1" t="s">
        <v>3358</v>
      </c>
      <c r="D1269" s="1" t="s">
        <v>3359</v>
      </c>
      <c r="E1269" s="2">
        <v>5.70038356126E11</v>
      </c>
      <c r="F1269" s="1" t="s">
        <v>3360</v>
      </c>
      <c r="G1269" s="1" t="s">
        <v>38</v>
      </c>
      <c r="H1269" s="3" t="s">
        <v>3361</v>
      </c>
      <c r="I1269" s="1"/>
    </row>
    <row r="1270" ht="15.75" customHeight="1">
      <c r="A1270" s="2">
        <v>1269.0</v>
      </c>
      <c r="B1270" s="1" t="s">
        <v>3362</v>
      </c>
      <c r="C1270" s="1" t="s">
        <v>3171</v>
      </c>
      <c r="D1270" s="1" t="s">
        <v>3355</v>
      </c>
      <c r="E1270" s="2">
        <v>5.70038356131E11</v>
      </c>
      <c r="F1270" s="1" t="s">
        <v>3363</v>
      </c>
      <c r="G1270" s="1" t="s">
        <v>38</v>
      </c>
      <c r="H1270" s="3" t="s">
        <v>3267</v>
      </c>
      <c r="I1270" s="1"/>
    </row>
    <row r="1271" ht="15.75" customHeight="1">
      <c r="A1271" s="2">
        <v>1270.0</v>
      </c>
      <c r="B1271" s="1" t="s">
        <v>2268</v>
      </c>
      <c r="C1271" s="1" t="s">
        <v>3197</v>
      </c>
      <c r="D1271" s="1" t="s">
        <v>422</v>
      </c>
      <c r="E1271" s="2">
        <v>5.70038356132E11</v>
      </c>
      <c r="F1271" s="1" t="s">
        <v>3364</v>
      </c>
      <c r="G1271" s="1" t="s">
        <v>24</v>
      </c>
      <c r="H1271" s="3" t="s">
        <v>3267</v>
      </c>
      <c r="I1271" s="1"/>
    </row>
    <row r="1272" ht="15.75" customHeight="1">
      <c r="A1272" s="2">
        <v>1271.0</v>
      </c>
      <c r="B1272" s="1" t="s">
        <v>2642</v>
      </c>
      <c r="C1272" s="1" t="s">
        <v>3365</v>
      </c>
      <c r="D1272" s="1" t="s">
        <v>3313</v>
      </c>
      <c r="E1272" s="2">
        <v>5.70038356135E11</v>
      </c>
      <c r="F1272" s="1" t="s">
        <v>3366</v>
      </c>
      <c r="G1272" s="1" t="s">
        <v>24</v>
      </c>
      <c r="H1272" s="3" t="s">
        <v>3267</v>
      </c>
      <c r="I1272" s="1"/>
    </row>
    <row r="1273" ht="15.75" customHeight="1">
      <c r="A1273" s="2">
        <v>1272.0</v>
      </c>
      <c r="B1273" s="1" t="s">
        <v>3367</v>
      </c>
      <c r="C1273" s="1" t="s">
        <v>3368</v>
      </c>
      <c r="D1273" s="1" t="s">
        <v>3369</v>
      </c>
      <c r="E1273" s="2">
        <v>5.70038356138E11</v>
      </c>
      <c r="F1273" s="1" t="s">
        <v>3370</v>
      </c>
      <c r="G1273" s="1" t="s">
        <v>24</v>
      </c>
      <c r="H1273" s="3" t="s">
        <v>3267</v>
      </c>
      <c r="I1273" s="1"/>
    </row>
    <row r="1274" ht="15.75" customHeight="1">
      <c r="A1274" s="2">
        <v>1273.0</v>
      </c>
      <c r="B1274" s="1" t="s">
        <v>106</v>
      </c>
      <c r="C1274" s="1" t="s">
        <v>3371</v>
      </c>
      <c r="D1274" s="1" t="s">
        <v>3372</v>
      </c>
      <c r="E1274" s="2">
        <v>5.70038356144E11</v>
      </c>
      <c r="F1274" s="1" t="s">
        <v>3373</v>
      </c>
      <c r="G1274" s="1" t="s">
        <v>2327</v>
      </c>
      <c r="H1274" s="3" t="s">
        <v>3267</v>
      </c>
      <c r="I1274" s="1"/>
    </row>
    <row r="1275" ht="15.75" customHeight="1">
      <c r="A1275" s="2">
        <v>1274.0</v>
      </c>
      <c r="B1275" s="1" t="s">
        <v>3374</v>
      </c>
      <c r="C1275" s="1" t="s">
        <v>3353</v>
      </c>
      <c r="D1275" s="1" t="s">
        <v>273</v>
      </c>
      <c r="E1275" s="2">
        <v>5.70038356145E11</v>
      </c>
      <c r="F1275" s="1" t="s">
        <v>3375</v>
      </c>
      <c r="G1275" s="1" t="s">
        <v>24</v>
      </c>
      <c r="H1275" s="3" t="s">
        <v>3267</v>
      </c>
      <c r="I1275" s="1"/>
    </row>
    <row r="1276" ht="15.75" customHeight="1">
      <c r="A1276" s="2">
        <v>1275.0</v>
      </c>
      <c r="B1276" s="1" t="s">
        <v>3376</v>
      </c>
      <c r="C1276" s="1" t="s">
        <v>3353</v>
      </c>
      <c r="D1276" s="1" t="s">
        <v>273</v>
      </c>
      <c r="E1276" s="2">
        <v>5.70038356146E11</v>
      </c>
      <c r="F1276" s="1" t="s">
        <v>3377</v>
      </c>
      <c r="G1276" s="1" t="s">
        <v>24</v>
      </c>
      <c r="H1276" s="3" t="s">
        <v>3267</v>
      </c>
      <c r="I1276" s="1"/>
    </row>
    <row r="1277" ht="15.75" customHeight="1">
      <c r="A1277" s="2">
        <v>1276.0</v>
      </c>
      <c r="B1277" s="1" t="s">
        <v>3378</v>
      </c>
      <c r="C1277" s="1" t="s">
        <v>542</v>
      </c>
      <c r="D1277" s="1" t="s">
        <v>475</v>
      </c>
      <c r="E1277" s="2">
        <v>5.70038356148E11</v>
      </c>
      <c r="F1277" s="1" t="s">
        <v>3379</v>
      </c>
      <c r="G1277" s="1" t="s">
        <v>90</v>
      </c>
      <c r="H1277" s="3" t="s">
        <v>3267</v>
      </c>
      <c r="I1277" s="1"/>
    </row>
    <row r="1278" ht="15.75" customHeight="1">
      <c r="A1278" s="2">
        <v>1277.0</v>
      </c>
      <c r="B1278" s="1" t="s">
        <v>2526</v>
      </c>
      <c r="C1278" s="1" t="s">
        <v>334</v>
      </c>
      <c r="D1278" s="1" t="s">
        <v>2223</v>
      </c>
      <c r="E1278" s="2">
        <v>5.7003835615E11</v>
      </c>
      <c r="F1278" s="1" t="s">
        <v>3380</v>
      </c>
      <c r="G1278" s="1" t="s">
        <v>90</v>
      </c>
      <c r="H1278" s="3" t="s">
        <v>3267</v>
      </c>
      <c r="I1278" s="1"/>
    </row>
    <row r="1279" ht="15.75" customHeight="1">
      <c r="A1279" s="2">
        <v>1278.0</v>
      </c>
      <c r="B1279" s="1" t="s">
        <v>542</v>
      </c>
      <c r="C1279" s="1" t="s">
        <v>3381</v>
      </c>
      <c r="D1279" s="1" t="s">
        <v>3382</v>
      </c>
      <c r="E1279" s="2">
        <v>5.70038356151E11</v>
      </c>
      <c r="F1279" s="1" t="s">
        <v>3383</v>
      </c>
      <c r="G1279" s="1" t="s">
        <v>90</v>
      </c>
      <c r="H1279" s="3" t="s">
        <v>3267</v>
      </c>
      <c r="I1279" s="1"/>
    </row>
    <row r="1280" ht="15.75" customHeight="1">
      <c r="A1280" s="2">
        <v>1279.0</v>
      </c>
      <c r="B1280" s="1" t="s">
        <v>496</v>
      </c>
      <c r="C1280" s="1" t="s">
        <v>1661</v>
      </c>
      <c r="D1280" s="1" t="s">
        <v>3384</v>
      </c>
      <c r="E1280" s="2">
        <v>5.70038356154E11</v>
      </c>
      <c r="F1280" s="1" t="s">
        <v>3385</v>
      </c>
      <c r="G1280" s="1" t="s">
        <v>90</v>
      </c>
      <c r="H1280" s="3" t="s">
        <v>3267</v>
      </c>
      <c r="I1280" s="1"/>
    </row>
    <row r="1281" ht="15.75" customHeight="1">
      <c r="A1281" s="2">
        <v>1280.0</v>
      </c>
      <c r="B1281" s="1" t="s">
        <v>3386</v>
      </c>
      <c r="C1281" s="1" t="s">
        <v>1484</v>
      </c>
      <c r="D1281" s="1" t="s">
        <v>3387</v>
      </c>
      <c r="E1281" s="2">
        <v>5.70038356161E11</v>
      </c>
      <c r="F1281" s="1" t="s">
        <v>3388</v>
      </c>
      <c r="G1281" s="1" t="s">
        <v>24</v>
      </c>
      <c r="H1281" s="3" t="s">
        <v>3267</v>
      </c>
      <c r="I1281" s="1"/>
    </row>
    <row r="1282" ht="15.75" customHeight="1">
      <c r="A1282" s="2">
        <v>1281.0</v>
      </c>
      <c r="B1282" s="1" t="s">
        <v>762</v>
      </c>
      <c r="C1282" s="1" t="s">
        <v>1484</v>
      </c>
      <c r="D1282" s="1" t="s">
        <v>3387</v>
      </c>
      <c r="E1282" s="2">
        <v>5.70038356163E11</v>
      </c>
      <c r="F1282" s="1" t="s">
        <v>3389</v>
      </c>
      <c r="G1282" s="1" t="s">
        <v>38</v>
      </c>
      <c r="H1282" s="3" t="s">
        <v>3267</v>
      </c>
      <c r="I1282" s="1"/>
    </row>
    <row r="1283" ht="15.75" customHeight="1">
      <c r="A1283" s="2">
        <v>1282.0</v>
      </c>
      <c r="B1283" s="1" t="s">
        <v>318</v>
      </c>
      <c r="C1283" s="1" t="s">
        <v>3390</v>
      </c>
      <c r="D1283" s="1" t="s">
        <v>3391</v>
      </c>
      <c r="E1283" s="2">
        <v>5.70038356166E11</v>
      </c>
      <c r="F1283" s="1" t="s">
        <v>3392</v>
      </c>
      <c r="G1283" s="1" t="s">
        <v>90</v>
      </c>
      <c r="H1283" s="3" t="s">
        <v>3267</v>
      </c>
      <c r="I1283" s="1"/>
    </row>
    <row r="1284" ht="15.75" customHeight="1">
      <c r="A1284" s="2">
        <v>1283.0</v>
      </c>
      <c r="B1284" s="1" t="s">
        <v>1700</v>
      </c>
      <c r="C1284" s="1" t="s">
        <v>318</v>
      </c>
      <c r="D1284" s="1" t="s">
        <v>3393</v>
      </c>
      <c r="E1284" s="2">
        <v>5.70038356168E11</v>
      </c>
      <c r="F1284" s="1" t="s">
        <v>3394</v>
      </c>
      <c r="G1284" s="1" t="s">
        <v>24</v>
      </c>
      <c r="H1284" s="3" t="s">
        <v>3267</v>
      </c>
      <c r="I1284" s="1"/>
    </row>
    <row r="1285" ht="15.75" customHeight="1">
      <c r="A1285" s="2">
        <v>1284.0</v>
      </c>
      <c r="B1285" s="1" t="s">
        <v>1016</v>
      </c>
      <c r="C1285" s="1" t="s">
        <v>318</v>
      </c>
      <c r="D1285" s="1" t="s">
        <v>119</v>
      </c>
      <c r="E1285" s="2">
        <v>5.70038356169E11</v>
      </c>
      <c r="F1285" s="1" t="s">
        <v>3395</v>
      </c>
      <c r="G1285" s="1" t="s">
        <v>90</v>
      </c>
      <c r="H1285" s="3" t="s">
        <v>3267</v>
      </c>
      <c r="I1285" s="1"/>
    </row>
    <row r="1286" ht="15.75" customHeight="1">
      <c r="A1286" s="2">
        <v>1285.0</v>
      </c>
      <c r="B1286" s="1" t="s">
        <v>1665</v>
      </c>
      <c r="C1286" s="1" t="s">
        <v>3341</v>
      </c>
      <c r="D1286" s="1" t="s">
        <v>422</v>
      </c>
      <c r="E1286" s="2">
        <v>5.7003835617E11</v>
      </c>
      <c r="F1286" s="1" t="s">
        <v>3396</v>
      </c>
      <c r="G1286" s="1" t="s">
        <v>143</v>
      </c>
      <c r="H1286" s="3" t="s">
        <v>3267</v>
      </c>
      <c r="I1286" s="1"/>
    </row>
    <row r="1287" ht="15.75" customHeight="1">
      <c r="A1287" s="2">
        <v>1286.0</v>
      </c>
      <c r="B1287" s="1" t="s">
        <v>66</v>
      </c>
      <c r="C1287" s="1" t="s">
        <v>1742</v>
      </c>
      <c r="D1287" s="1" t="s">
        <v>3397</v>
      </c>
      <c r="E1287" s="2">
        <v>5.70038356171E11</v>
      </c>
      <c r="F1287" s="1" t="s">
        <v>3398</v>
      </c>
      <c r="G1287" s="1" t="s">
        <v>24</v>
      </c>
      <c r="H1287" s="3" t="s">
        <v>3267</v>
      </c>
      <c r="I1287" s="1"/>
    </row>
    <row r="1288" ht="15.75" customHeight="1">
      <c r="A1288" s="2">
        <v>1287.0</v>
      </c>
      <c r="B1288" s="1" t="s">
        <v>3399</v>
      </c>
      <c r="C1288" s="1" t="s">
        <v>1661</v>
      </c>
      <c r="D1288" s="1" t="s">
        <v>3400</v>
      </c>
      <c r="E1288" s="2">
        <v>5.70038356172E11</v>
      </c>
      <c r="F1288" s="1" t="s">
        <v>3401</v>
      </c>
      <c r="G1288" s="1" t="s">
        <v>38</v>
      </c>
      <c r="H1288" s="3" t="s">
        <v>3267</v>
      </c>
      <c r="I1288" s="1"/>
    </row>
    <row r="1289" ht="15.75" customHeight="1">
      <c r="A1289" s="2">
        <v>1288.0</v>
      </c>
      <c r="B1289" s="1" t="s">
        <v>333</v>
      </c>
      <c r="C1289" s="1" t="s">
        <v>713</v>
      </c>
      <c r="D1289" s="1" t="s">
        <v>207</v>
      </c>
      <c r="E1289" s="2">
        <v>5.70038356173E11</v>
      </c>
      <c r="F1289" s="1" t="s">
        <v>3402</v>
      </c>
      <c r="G1289" s="1" t="s">
        <v>90</v>
      </c>
      <c r="H1289" s="3" t="s">
        <v>3267</v>
      </c>
      <c r="I1289" s="1"/>
    </row>
    <row r="1290" ht="15.75" customHeight="1">
      <c r="A1290" s="2">
        <v>1289.0</v>
      </c>
      <c r="B1290" s="1" t="s">
        <v>117</v>
      </c>
      <c r="C1290" s="1" t="s">
        <v>969</v>
      </c>
      <c r="D1290" s="1" t="s">
        <v>207</v>
      </c>
      <c r="E1290" s="2">
        <v>5.70038356174E11</v>
      </c>
      <c r="F1290" s="1" t="s">
        <v>3403</v>
      </c>
      <c r="G1290" s="1" t="s">
        <v>90</v>
      </c>
      <c r="H1290" s="3" t="s">
        <v>3267</v>
      </c>
      <c r="I1290" s="1"/>
    </row>
    <row r="1291" ht="15.75" customHeight="1">
      <c r="A1291" s="2">
        <v>1290.0</v>
      </c>
      <c r="B1291" s="1" t="s">
        <v>3404</v>
      </c>
      <c r="C1291" s="1" t="s">
        <v>3405</v>
      </c>
      <c r="D1291" s="1" t="s">
        <v>62</v>
      </c>
      <c r="E1291" s="2">
        <v>5.70038356175E11</v>
      </c>
      <c r="F1291" s="1" t="s">
        <v>3406</v>
      </c>
      <c r="G1291" s="1" t="s">
        <v>90</v>
      </c>
      <c r="H1291" s="3" t="s">
        <v>3267</v>
      </c>
      <c r="I1291" s="1"/>
    </row>
    <row r="1292" ht="15.75" customHeight="1">
      <c r="A1292" s="2">
        <v>1291.0</v>
      </c>
      <c r="B1292" s="1" t="s">
        <v>3407</v>
      </c>
      <c r="C1292" s="1" t="s">
        <v>3408</v>
      </c>
      <c r="D1292" s="1" t="s">
        <v>3409</v>
      </c>
      <c r="E1292" s="2">
        <v>5.70038356177E11</v>
      </c>
      <c r="F1292" s="1" t="s">
        <v>3410</v>
      </c>
      <c r="G1292" s="1" t="s">
        <v>12</v>
      </c>
      <c r="H1292" s="3" t="s">
        <v>3267</v>
      </c>
      <c r="I1292" s="1"/>
    </row>
    <row r="1293" ht="15.75" customHeight="1">
      <c r="A1293" s="2">
        <v>1292.0</v>
      </c>
      <c r="B1293" s="1" t="s">
        <v>3411</v>
      </c>
      <c r="C1293" s="1" t="s">
        <v>3408</v>
      </c>
      <c r="D1293" s="1" t="s">
        <v>3409</v>
      </c>
      <c r="E1293" s="2">
        <v>5.7003835618E11</v>
      </c>
      <c r="F1293" s="1" t="s">
        <v>3412</v>
      </c>
      <c r="G1293" s="1" t="s">
        <v>12</v>
      </c>
      <c r="H1293" s="3" t="s">
        <v>3267</v>
      </c>
      <c r="I1293" s="1"/>
    </row>
    <row r="1294" ht="15.75" customHeight="1">
      <c r="A1294" s="2">
        <v>1293.0</v>
      </c>
      <c r="B1294" s="1" t="s">
        <v>780</v>
      </c>
      <c r="C1294" s="1" t="s">
        <v>3341</v>
      </c>
      <c r="D1294" s="1" t="s">
        <v>781</v>
      </c>
      <c r="E1294" s="2">
        <v>5.70038356181E11</v>
      </c>
      <c r="F1294" s="1" t="s">
        <v>3062</v>
      </c>
      <c r="G1294" s="1" t="s">
        <v>24</v>
      </c>
      <c r="H1294" s="3" t="s">
        <v>3267</v>
      </c>
      <c r="I1294" s="1"/>
    </row>
    <row r="1295" ht="15.75" customHeight="1">
      <c r="A1295" s="2">
        <v>1294.0</v>
      </c>
      <c r="B1295" s="1" t="s">
        <v>3341</v>
      </c>
      <c r="C1295" s="1" t="s">
        <v>3413</v>
      </c>
      <c r="D1295" s="1" t="s">
        <v>3414</v>
      </c>
      <c r="E1295" s="2">
        <v>5.70038356182E11</v>
      </c>
      <c r="F1295" s="1" t="s">
        <v>3415</v>
      </c>
      <c r="G1295" s="1" t="s">
        <v>90</v>
      </c>
      <c r="H1295" s="3" t="s">
        <v>3267</v>
      </c>
      <c r="I1295" s="1"/>
    </row>
    <row r="1296" ht="15.75" customHeight="1">
      <c r="A1296" s="2">
        <v>1295.0</v>
      </c>
      <c r="B1296" s="1" t="s">
        <v>3416</v>
      </c>
      <c r="C1296" s="1" t="s">
        <v>1647</v>
      </c>
      <c r="D1296" s="1" t="s">
        <v>103</v>
      </c>
      <c r="E1296" s="2">
        <v>5.70038356183E11</v>
      </c>
      <c r="F1296" s="1" t="s">
        <v>3417</v>
      </c>
      <c r="G1296" s="1" t="s">
        <v>90</v>
      </c>
      <c r="H1296" s="3" t="s">
        <v>3267</v>
      </c>
      <c r="I1296" s="1"/>
    </row>
    <row r="1297" ht="15.75" customHeight="1">
      <c r="A1297" s="2">
        <v>1296.0</v>
      </c>
      <c r="B1297" s="1" t="s">
        <v>2388</v>
      </c>
      <c r="C1297" s="1" t="s">
        <v>3418</v>
      </c>
      <c r="D1297" s="1" t="s">
        <v>3419</v>
      </c>
      <c r="E1297" s="2">
        <v>5.70038356184E11</v>
      </c>
      <c r="F1297" s="1" t="s">
        <v>3420</v>
      </c>
      <c r="G1297" s="1" t="s">
        <v>1813</v>
      </c>
      <c r="H1297" s="3" t="s">
        <v>3267</v>
      </c>
      <c r="I1297" s="1"/>
    </row>
    <row r="1298" ht="15.75" customHeight="1">
      <c r="A1298" s="2">
        <v>1297.0</v>
      </c>
      <c r="B1298" s="1" t="s">
        <v>97</v>
      </c>
      <c r="C1298" s="1" t="s">
        <v>3421</v>
      </c>
      <c r="D1298" s="1" t="s">
        <v>3313</v>
      </c>
      <c r="E1298" s="2">
        <v>5.70038356185E11</v>
      </c>
      <c r="F1298" s="1" t="s">
        <v>3422</v>
      </c>
      <c r="G1298" s="1" t="s">
        <v>143</v>
      </c>
      <c r="H1298" s="3" t="s">
        <v>3267</v>
      </c>
      <c r="I1298" s="1"/>
    </row>
    <row r="1299" ht="15.75" customHeight="1">
      <c r="A1299" s="2">
        <v>1298.0</v>
      </c>
      <c r="B1299" s="1" t="s">
        <v>897</v>
      </c>
      <c r="C1299" s="1" t="s">
        <v>318</v>
      </c>
      <c r="D1299" s="1" t="s">
        <v>3393</v>
      </c>
      <c r="E1299" s="2">
        <v>5.70038356186E11</v>
      </c>
      <c r="F1299" s="1" t="s">
        <v>920</v>
      </c>
      <c r="G1299" s="1" t="s">
        <v>90</v>
      </c>
      <c r="H1299" s="3" t="s">
        <v>3267</v>
      </c>
      <c r="I1299" s="1"/>
    </row>
    <row r="1300" ht="15.75" customHeight="1">
      <c r="A1300" s="2">
        <v>1299.0</v>
      </c>
      <c r="B1300" s="1" t="s">
        <v>1647</v>
      </c>
      <c r="C1300" s="1" t="s">
        <v>3390</v>
      </c>
      <c r="D1300" s="1" t="s">
        <v>3397</v>
      </c>
      <c r="E1300" s="2">
        <v>5.70038356191E11</v>
      </c>
      <c r="F1300" s="1" t="s">
        <v>3423</v>
      </c>
      <c r="G1300" s="1" t="s">
        <v>24</v>
      </c>
      <c r="H1300" s="3" t="s">
        <v>3267</v>
      </c>
      <c r="I1300" s="1"/>
    </row>
    <row r="1301" ht="15.75" customHeight="1">
      <c r="A1301" s="2">
        <v>1300.0</v>
      </c>
      <c r="B1301" s="1" t="s">
        <v>604</v>
      </c>
      <c r="C1301" s="1" t="s">
        <v>3424</v>
      </c>
      <c r="D1301" s="1" t="s">
        <v>3425</v>
      </c>
      <c r="E1301" s="2">
        <v>5.70038356196E11</v>
      </c>
      <c r="F1301" s="1" t="s">
        <v>3426</v>
      </c>
      <c r="G1301" s="1" t="s">
        <v>24</v>
      </c>
      <c r="H1301" s="3" t="s">
        <v>3267</v>
      </c>
      <c r="I1301" s="1"/>
    </row>
    <row r="1302" ht="15.75" customHeight="1">
      <c r="A1302" s="2">
        <v>1301.0</v>
      </c>
      <c r="B1302" s="1" t="s">
        <v>3427</v>
      </c>
      <c r="C1302" s="1" t="s">
        <v>445</v>
      </c>
      <c r="D1302" s="1" t="s">
        <v>207</v>
      </c>
      <c r="E1302" s="2">
        <v>5.70038356198E11</v>
      </c>
      <c r="F1302" s="1" t="s">
        <v>655</v>
      </c>
      <c r="G1302" s="1" t="s">
        <v>90</v>
      </c>
      <c r="H1302" s="3" t="s">
        <v>3267</v>
      </c>
      <c r="I1302" s="1"/>
    </row>
    <row r="1303" ht="15.75" customHeight="1">
      <c r="A1303" s="2">
        <v>1302.0</v>
      </c>
      <c r="B1303" s="1" t="s">
        <v>907</v>
      </c>
      <c r="C1303" s="1" t="s">
        <v>3428</v>
      </c>
      <c r="D1303" s="1" t="s">
        <v>207</v>
      </c>
      <c r="E1303" s="2">
        <v>5.70038356202E11</v>
      </c>
      <c r="F1303" s="1" t="s">
        <v>3394</v>
      </c>
      <c r="G1303" s="1" t="s">
        <v>90</v>
      </c>
      <c r="H1303" s="3" t="s">
        <v>3267</v>
      </c>
      <c r="I1303" s="1"/>
    </row>
    <row r="1304" ht="15.75" customHeight="1">
      <c r="A1304" s="2">
        <v>1303.0</v>
      </c>
      <c r="B1304" s="1" t="s">
        <v>286</v>
      </c>
      <c r="C1304" s="1" t="s">
        <v>459</v>
      </c>
      <c r="D1304" s="1" t="s">
        <v>3429</v>
      </c>
      <c r="E1304" s="2">
        <v>5.70038356205E11</v>
      </c>
      <c r="F1304" s="1" t="s">
        <v>3430</v>
      </c>
      <c r="G1304" s="1" t="s">
        <v>38</v>
      </c>
      <c r="H1304" s="3" t="s">
        <v>3267</v>
      </c>
      <c r="I1304" s="1"/>
    </row>
    <row r="1305" ht="15.75" customHeight="1">
      <c r="A1305" s="2">
        <v>1304.0</v>
      </c>
      <c r="B1305" s="1" t="s">
        <v>3431</v>
      </c>
      <c r="C1305" s="1" t="s">
        <v>445</v>
      </c>
      <c r="D1305" s="1" t="s">
        <v>307</v>
      </c>
      <c r="E1305" s="2">
        <v>5.70038356206E11</v>
      </c>
      <c r="F1305" s="1" t="s">
        <v>3432</v>
      </c>
      <c r="G1305" s="1" t="s">
        <v>90</v>
      </c>
      <c r="H1305" s="3" t="s">
        <v>3267</v>
      </c>
      <c r="I1305" s="1"/>
    </row>
    <row r="1306" ht="15.75" customHeight="1">
      <c r="A1306" s="2">
        <v>1305.0</v>
      </c>
      <c r="B1306" s="1" t="s">
        <v>2964</v>
      </c>
      <c r="C1306" s="1" t="s">
        <v>388</v>
      </c>
      <c r="D1306" s="1" t="s">
        <v>3433</v>
      </c>
      <c r="E1306" s="2">
        <v>5.70038356207E11</v>
      </c>
      <c r="F1306" s="1" t="s">
        <v>3434</v>
      </c>
      <c r="G1306" s="1" t="s">
        <v>90</v>
      </c>
      <c r="H1306" s="3" t="s">
        <v>3267</v>
      </c>
      <c r="I1306" s="1"/>
    </row>
    <row r="1307" ht="15.75" customHeight="1">
      <c r="A1307" s="2">
        <v>1306.0</v>
      </c>
      <c r="B1307" s="1" t="s">
        <v>3411</v>
      </c>
      <c r="C1307" s="1" t="s">
        <v>677</v>
      </c>
      <c r="D1307" s="1" t="s">
        <v>115</v>
      </c>
      <c r="E1307" s="2">
        <v>5.70038356209E11</v>
      </c>
      <c r="F1307" s="1" t="s">
        <v>3435</v>
      </c>
      <c r="G1307" s="1" t="s">
        <v>90</v>
      </c>
      <c r="H1307" s="3" t="s">
        <v>3267</v>
      </c>
      <c r="I1307" s="1"/>
    </row>
    <row r="1308" ht="15.75" customHeight="1">
      <c r="A1308" s="2">
        <v>1307.0</v>
      </c>
      <c r="B1308" s="1" t="s">
        <v>3341</v>
      </c>
      <c r="C1308" s="1" t="s">
        <v>3436</v>
      </c>
      <c r="D1308" s="1" t="s">
        <v>3347</v>
      </c>
      <c r="E1308" s="2">
        <v>5.70038356214E11</v>
      </c>
      <c r="F1308" s="1" t="s">
        <v>3437</v>
      </c>
      <c r="G1308" s="1" t="s">
        <v>24</v>
      </c>
      <c r="H1308" s="3" t="s">
        <v>3267</v>
      </c>
      <c r="I1308" s="1"/>
    </row>
    <row r="1309" ht="15.75" customHeight="1">
      <c r="A1309" s="2">
        <v>1308.0</v>
      </c>
      <c r="B1309" s="1" t="s">
        <v>1471</v>
      </c>
      <c r="C1309" s="1" t="s">
        <v>969</v>
      </c>
      <c r="D1309" s="1" t="s">
        <v>207</v>
      </c>
      <c r="E1309" s="2">
        <v>5.70038356216E11</v>
      </c>
      <c r="F1309" s="1" t="s">
        <v>3438</v>
      </c>
      <c r="G1309" s="1" t="s">
        <v>24</v>
      </c>
      <c r="H1309" s="3" t="s">
        <v>3267</v>
      </c>
      <c r="I1309" s="1"/>
    </row>
    <row r="1310" ht="15.75" customHeight="1">
      <c r="A1310" s="2">
        <v>1309.0</v>
      </c>
      <c r="B1310" s="1" t="s">
        <v>3439</v>
      </c>
      <c r="C1310" s="1" t="s">
        <v>1732</v>
      </c>
      <c r="D1310" s="1" t="s">
        <v>359</v>
      </c>
      <c r="E1310" s="2">
        <v>5.7003835622E11</v>
      </c>
      <c r="F1310" s="1" t="s">
        <v>3440</v>
      </c>
      <c r="G1310" s="1" t="s">
        <v>24</v>
      </c>
      <c r="H1310" s="3" t="s">
        <v>3267</v>
      </c>
      <c r="I1310" s="1"/>
    </row>
    <row r="1311" ht="15.75" customHeight="1">
      <c r="A1311" s="2">
        <v>1310.0</v>
      </c>
      <c r="B1311" s="1" t="s">
        <v>1304</v>
      </c>
      <c r="C1311" s="1" t="s">
        <v>3441</v>
      </c>
      <c r="D1311" s="1" t="s">
        <v>3442</v>
      </c>
      <c r="E1311" s="2">
        <v>5.70038356243E11</v>
      </c>
      <c r="F1311" s="1" t="s">
        <v>935</v>
      </c>
      <c r="G1311" s="1" t="s">
        <v>90</v>
      </c>
      <c r="H1311" s="3" t="s">
        <v>3267</v>
      </c>
      <c r="I1311" s="1"/>
    </row>
    <row r="1312" ht="15.75" customHeight="1">
      <c r="A1312" s="2">
        <v>1311.0</v>
      </c>
      <c r="B1312" s="1" t="s">
        <v>1551</v>
      </c>
      <c r="C1312" s="1" t="s">
        <v>308</v>
      </c>
      <c r="D1312" s="1" t="s">
        <v>1209</v>
      </c>
      <c r="E1312" s="2">
        <v>5.70038356247E11</v>
      </c>
      <c r="F1312" s="1" t="s">
        <v>3443</v>
      </c>
      <c r="G1312" s="1" t="s">
        <v>121</v>
      </c>
      <c r="H1312" s="3" t="s">
        <v>3267</v>
      </c>
      <c r="I1312" s="1"/>
    </row>
    <row r="1313" ht="15.75" customHeight="1">
      <c r="A1313" s="2">
        <v>1312.0</v>
      </c>
      <c r="B1313" s="1" t="s">
        <v>3444</v>
      </c>
      <c r="C1313" s="1" t="s">
        <v>1732</v>
      </c>
      <c r="D1313" s="1" t="s">
        <v>3445</v>
      </c>
      <c r="E1313" s="2">
        <v>5.70038356248E11</v>
      </c>
      <c r="F1313" s="1" t="s">
        <v>3446</v>
      </c>
      <c r="G1313" s="1" t="s">
        <v>18</v>
      </c>
      <c r="H1313" s="3" t="s">
        <v>3267</v>
      </c>
      <c r="I1313" s="1"/>
    </row>
    <row r="1314" ht="15.75" customHeight="1">
      <c r="A1314" s="2">
        <v>1313.0</v>
      </c>
      <c r="B1314" s="1" t="s">
        <v>549</v>
      </c>
      <c r="C1314" s="1" t="s">
        <v>3447</v>
      </c>
      <c r="D1314" s="1" t="s">
        <v>1476</v>
      </c>
      <c r="E1314" s="2">
        <v>5.70038356249E11</v>
      </c>
      <c r="F1314" s="1" t="s">
        <v>3448</v>
      </c>
      <c r="G1314" s="1" t="s">
        <v>90</v>
      </c>
      <c r="H1314" s="3" t="s">
        <v>3267</v>
      </c>
      <c r="I1314" s="1"/>
    </row>
    <row r="1315" ht="15.75" customHeight="1">
      <c r="A1315" s="2">
        <v>1314.0</v>
      </c>
      <c r="B1315" s="1" t="s">
        <v>3449</v>
      </c>
      <c r="C1315" s="1" t="s">
        <v>3450</v>
      </c>
      <c r="D1315" s="1" t="s">
        <v>2223</v>
      </c>
      <c r="E1315" s="2">
        <v>5.7003835625E11</v>
      </c>
      <c r="F1315" s="1" t="s">
        <v>1363</v>
      </c>
      <c r="G1315" s="1" t="s">
        <v>90</v>
      </c>
      <c r="H1315" s="3" t="s">
        <v>3267</v>
      </c>
      <c r="I1315" s="1"/>
    </row>
    <row r="1316" ht="15.75" customHeight="1">
      <c r="A1316" s="2">
        <v>1315.0</v>
      </c>
      <c r="B1316" s="1" t="s">
        <v>1133</v>
      </c>
      <c r="C1316" s="1" t="s">
        <v>3451</v>
      </c>
      <c r="D1316" s="1" t="s">
        <v>1476</v>
      </c>
      <c r="E1316" s="2">
        <v>5.70038356252E11</v>
      </c>
      <c r="F1316" s="1" t="s">
        <v>3452</v>
      </c>
      <c r="G1316" s="1" t="s">
        <v>90</v>
      </c>
      <c r="H1316" s="3" t="s">
        <v>3267</v>
      </c>
      <c r="I1316" s="1"/>
    </row>
    <row r="1317" ht="15.75" customHeight="1">
      <c r="A1317" s="2">
        <v>1316.0</v>
      </c>
      <c r="B1317" s="1" t="s">
        <v>488</v>
      </c>
      <c r="C1317" s="1" t="s">
        <v>3453</v>
      </c>
      <c r="D1317" s="1" t="s">
        <v>62</v>
      </c>
      <c r="E1317" s="2">
        <v>5.70038356253E11</v>
      </c>
      <c r="F1317" s="1" t="s">
        <v>2251</v>
      </c>
      <c r="G1317" s="1" t="s">
        <v>90</v>
      </c>
      <c r="H1317" s="3" t="s">
        <v>3267</v>
      </c>
      <c r="I1317" s="1"/>
    </row>
    <row r="1318" ht="15.75" customHeight="1">
      <c r="A1318" s="2">
        <v>1317.0</v>
      </c>
      <c r="B1318" s="1" t="s">
        <v>3454</v>
      </c>
      <c r="C1318" s="1" t="s">
        <v>3455</v>
      </c>
      <c r="D1318" s="1" t="s">
        <v>3456</v>
      </c>
      <c r="E1318" s="2">
        <v>5.70038356254E11</v>
      </c>
      <c r="F1318" s="1" t="s">
        <v>3457</v>
      </c>
      <c r="G1318" s="1" t="s">
        <v>90</v>
      </c>
      <c r="H1318" s="3" t="s">
        <v>3267</v>
      </c>
      <c r="I1318" s="1"/>
    </row>
    <row r="1319" ht="15.75" customHeight="1">
      <c r="A1319" s="2">
        <v>1318.0</v>
      </c>
      <c r="B1319" s="1" t="s">
        <v>3458</v>
      </c>
      <c r="C1319" s="1" t="s">
        <v>3459</v>
      </c>
      <c r="D1319" s="1" t="s">
        <v>62</v>
      </c>
      <c r="E1319" s="2">
        <v>5.70038356255E11</v>
      </c>
      <c r="F1319" s="1" t="s">
        <v>2893</v>
      </c>
      <c r="G1319" s="1" t="s">
        <v>90</v>
      </c>
      <c r="H1319" s="3" t="s">
        <v>3267</v>
      </c>
      <c r="I1319" s="1"/>
    </row>
    <row r="1320" ht="15.75" customHeight="1">
      <c r="A1320" s="2">
        <v>1319.0</v>
      </c>
      <c r="B1320" s="1" t="s">
        <v>1412</v>
      </c>
      <c r="C1320" s="1" t="s">
        <v>3460</v>
      </c>
      <c r="D1320" s="1" t="s">
        <v>62</v>
      </c>
      <c r="E1320" s="2">
        <v>5.70038356256E11</v>
      </c>
      <c r="F1320" s="1" t="s">
        <v>274</v>
      </c>
      <c r="G1320" s="1" t="s">
        <v>90</v>
      </c>
      <c r="H1320" s="3" t="s">
        <v>3267</v>
      </c>
      <c r="I1320" s="1"/>
    </row>
    <row r="1321" ht="15.75" customHeight="1">
      <c r="A1321" s="2">
        <v>1320.0</v>
      </c>
      <c r="B1321" s="1" t="s">
        <v>66</v>
      </c>
      <c r="C1321" s="1" t="s">
        <v>106</v>
      </c>
      <c r="D1321" s="1" t="s">
        <v>3461</v>
      </c>
      <c r="E1321" s="2">
        <v>5.7003835626E11</v>
      </c>
      <c r="F1321" s="1" t="s">
        <v>3462</v>
      </c>
      <c r="G1321" s="1" t="s">
        <v>90</v>
      </c>
      <c r="H1321" s="3" t="s">
        <v>3267</v>
      </c>
      <c r="I1321" s="1"/>
    </row>
    <row r="1322" ht="15.75" customHeight="1">
      <c r="A1322" s="2">
        <v>1321.0</v>
      </c>
      <c r="B1322" s="1" t="s">
        <v>1065</v>
      </c>
      <c r="C1322" s="1" t="s">
        <v>3463</v>
      </c>
      <c r="D1322" s="1" t="s">
        <v>3464</v>
      </c>
      <c r="E1322" s="2">
        <v>5.70038356264E11</v>
      </c>
      <c r="F1322" s="1" t="s">
        <v>3465</v>
      </c>
      <c r="G1322" s="1" t="s">
        <v>24</v>
      </c>
      <c r="H1322" s="3" t="s">
        <v>3267</v>
      </c>
      <c r="I1322" s="1"/>
    </row>
    <row r="1323" ht="15.75" customHeight="1">
      <c r="A1323" s="2">
        <v>1322.0</v>
      </c>
      <c r="B1323" s="1" t="s">
        <v>3466</v>
      </c>
      <c r="C1323" s="1" t="s">
        <v>254</v>
      </c>
      <c r="D1323" s="1" t="s">
        <v>3467</v>
      </c>
      <c r="E1323" s="2">
        <v>5.70038356266E11</v>
      </c>
      <c r="F1323" s="1" t="s">
        <v>3468</v>
      </c>
      <c r="G1323" s="1" t="s">
        <v>24</v>
      </c>
      <c r="H1323" s="3" t="s">
        <v>3267</v>
      </c>
      <c r="I1323" s="1"/>
    </row>
    <row r="1324" ht="15.75" customHeight="1">
      <c r="A1324" s="2">
        <v>1323.0</v>
      </c>
      <c r="B1324" s="1" t="s">
        <v>79</v>
      </c>
      <c r="C1324" s="1" t="s">
        <v>1304</v>
      </c>
      <c r="D1324" s="1" t="s">
        <v>3469</v>
      </c>
      <c r="E1324" s="2">
        <v>5.70038356268E11</v>
      </c>
      <c r="F1324" s="1" t="s">
        <v>3470</v>
      </c>
      <c r="G1324" s="1" t="s">
        <v>90</v>
      </c>
      <c r="H1324" s="3" t="s">
        <v>3267</v>
      </c>
      <c r="I1324" s="1"/>
    </row>
    <row r="1325" ht="15.75" customHeight="1">
      <c r="A1325" s="2">
        <v>1324.0</v>
      </c>
      <c r="B1325" s="1" t="s">
        <v>2006</v>
      </c>
      <c r="C1325" s="1" t="s">
        <v>3471</v>
      </c>
      <c r="D1325" s="1" t="s">
        <v>583</v>
      </c>
      <c r="E1325" s="2">
        <v>5.70038356275E11</v>
      </c>
      <c r="F1325" s="1" t="s">
        <v>3472</v>
      </c>
      <c r="G1325" s="1" t="s">
        <v>90</v>
      </c>
      <c r="H1325" s="3" t="s">
        <v>3267</v>
      </c>
      <c r="I1325" s="1"/>
    </row>
    <row r="1326" ht="15.75" customHeight="1">
      <c r="A1326" s="2">
        <v>1325.0</v>
      </c>
      <c r="B1326" s="1" t="s">
        <v>57</v>
      </c>
      <c r="C1326" s="1" t="s">
        <v>3473</v>
      </c>
      <c r="D1326" s="1" t="s">
        <v>504</v>
      </c>
      <c r="E1326" s="2">
        <v>5.70038356279E11</v>
      </c>
      <c r="F1326" s="1" t="s">
        <v>3474</v>
      </c>
      <c r="G1326" s="1" t="s">
        <v>24</v>
      </c>
      <c r="H1326" s="3" t="s">
        <v>3267</v>
      </c>
      <c r="I1326" s="1"/>
    </row>
    <row r="1327" ht="15.75" customHeight="1">
      <c r="A1327" s="2">
        <v>1326.0</v>
      </c>
      <c r="B1327" s="1" t="s">
        <v>3475</v>
      </c>
      <c r="C1327" s="1" t="s">
        <v>3476</v>
      </c>
      <c r="D1327" s="1" t="s">
        <v>583</v>
      </c>
      <c r="E1327" s="2">
        <v>5.70038356282E11</v>
      </c>
      <c r="F1327" s="1" t="s">
        <v>3477</v>
      </c>
      <c r="G1327" s="1" t="s">
        <v>38</v>
      </c>
      <c r="H1327" s="3" t="s">
        <v>3267</v>
      </c>
      <c r="I1327" s="1"/>
    </row>
    <row r="1328" ht="15.75" customHeight="1">
      <c r="A1328" s="2">
        <v>1327.0</v>
      </c>
      <c r="B1328" s="1" t="s">
        <v>827</v>
      </c>
      <c r="C1328" s="1" t="s">
        <v>3476</v>
      </c>
      <c r="D1328" s="1" t="s">
        <v>583</v>
      </c>
      <c r="E1328" s="2">
        <v>5.70038356283E11</v>
      </c>
      <c r="F1328" s="1" t="s">
        <v>1461</v>
      </c>
      <c r="G1328" s="1" t="s">
        <v>47</v>
      </c>
      <c r="H1328" s="3" t="s">
        <v>3267</v>
      </c>
      <c r="I1328" s="1"/>
    </row>
    <row r="1329" ht="15.75" customHeight="1">
      <c r="A1329" s="2">
        <v>1328.0</v>
      </c>
      <c r="B1329" s="1" t="s">
        <v>3478</v>
      </c>
      <c r="C1329" s="1" t="s">
        <v>3479</v>
      </c>
      <c r="D1329" s="1" t="s">
        <v>3480</v>
      </c>
      <c r="E1329" s="2">
        <v>5.70038356284E11</v>
      </c>
      <c r="F1329" s="1" t="s">
        <v>2022</v>
      </c>
      <c r="G1329" s="1" t="s">
        <v>18</v>
      </c>
      <c r="H1329" s="3" t="s">
        <v>3267</v>
      </c>
      <c r="I1329" s="1"/>
    </row>
    <row r="1330" ht="15.75" customHeight="1">
      <c r="A1330" s="2">
        <v>1329.0</v>
      </c>
      <c r="B1330" s="1" t="s">
        <v>14</v>
      </c>
      <c r="C1330" s="1" t="s">
        <v>3481</v>
      </c>
      <c r="D1330" s="1" t="s">
        <v>3482</v>
      </c>
      <c r="E1330" s="2">
        <v>5.70038356285E11</v>
      </c>
      <c r="F1330" s="1" t="s">
        <v>3483</v>
      </c>
      <c r="G1330" s="1" t="s">
        <v>90</v>
      </c>
      <c r="H1330" s="3" t="s">
        <v>3267</v>
      </c>
      <c r="I1330" s="1"/>
    </row>
    <row r="1331" ht="15.75" customHeight="1">
      <c r="A1331" s="2">
        <v>1330.0</v>
      </c>
      <c r="B1331" s="1" t="s">
        <v>1934</v>
      </c>
      <c r="C1331" s="1" t="s">
        <v>2698</v>
      </c>
      <c r="D1331" s="1" t="s">
        <v>3484</v>
      </c>
      <c r="E1331" s="2">
        <v>5.70038356286E11</v>
      </c>
      <c r="F1331" s="1" t="s">
        <v>3485</v>
      </c>
      <c r="G1331" s="1" t="s">
        <v>90</v>
      </c>
      <c r="H1331" s="3" t="s">
        <v>3267</v>
      </c>
      <c r="I1331" s="1"/>
    </row>
    <row r="1332" ht="15.75" customHeight="1">
      <c r="A1332" s="2">
        <v>1331.0</v>
      </c>
      <c r="B1332" s="1" t="s">
        <v>3486</v>
      </c>
      <c r="C1332" s="1" t="s">
        <v>1508</v>
      </c>
      <c r="D1332" s="1" t="s">
        <v>3487</v>
      </c>
      <c r="E1332" s="2">
        <v>5.70038356287E11</v>
      </c>
      <c r="F1332" s="1" t="s">
        <v>3488</v>
      </c>
      <c r="G1332" s="1" t="s">
        <v>90</v>
      </c>
      <c r="H1332" s="3" t="s">
        <v>3267</v>
      </c>
      <c r="I1332" s="1"/>
    </row>
    <row r="1333" ht="15.75" customHeight="1">
      <c r="A1333" s="2">
        <v>1332.0</v>
      </c>
      <c r="B1333" s="1" t="s">
        <v>2734</v>
      </c>
      <c r="C1333" s="1" t="s">
        <v>3354</v>
      </c>
      <c r="D1333" s="1" t="s">
        <v>3355</v>
      </c>
      <c r="E1333" s="2">
        <v>5.70038356288E11</v>
      </c>
      <c r="F1333" s="1" t="s">
        <v>3489</v>
      </c>
      <c r="G1333" s="1" t="s">
        <v>24</v>
      </c>
      <c r="H1333" s="3" t="s">
        <v>3267</v>
      </c>
      <c r="I1333" s="1"/>
    </row>
    <row r="1334" ht="15.75" customHeight="1">
      <c r="A1334" s="2">
        <v>1333.0</v>
      </c>
      <c r="B1334" s="1" t="s">
        <v>14</v>
      </c>
      <c r="C1334" s="1" t="s">
        <v>488</v>
      </c>
      <c r="D1334" s="1" t="s">
        <v>3490</v>
      </c>
      <c r="E1334" s="2">
        <v>5.70038356289E11</v>
      </c>
      <c r="F1334" s="1" t="s">
        <v>3491</v>
      </c>
      <c r="G1334" s="1" t="s">
        <v>90</v>
      </c>
      <c r="H1334" s="3" t="s">
        <v>3267</v>
      </c>
      <c r="I1334" s="1"/>
    </row>
    <row r="1335" ht="15.75" customHeight="1">
      <c r="A1335" s="2">
        <v>1334.0</v>
      </c>
      <c r="B1335" s="1" t="s">
        <v>2610</v>
      </c>
      <c r="C1335" s="1" t="s">
        <v>542</v>
      </c>
      <c r="D1335" s="1" t="s">
        <v>3492</v>
      </c>
      <c r="E1335" s="2">
        <v>5.7003835629E11</v>
      </c>
      <c r="F1335" s="1" t="s">
        <v>3493</v>
      </c>
      <c r="G1335" s="1" t="s">
        <v>90</v>
      </c>
      <c r="H1335" s="3" t="s">
        <v>3267</v>
      </c>
      <c r="I1335" s="1"/>
    </row>
    <row r="1336" ht="15.75" customHeight="1">
      <c r="A1336" s="2">
        <v>1335.0</v>
      </c>
      <c r="B1336" s="1" t="s">
        <v>520</v>
      </c>
      <c r="C1336" s="1" t="s">
        <v>3494</v>
      </c>
      <c r="D1336" s="1" t="s">
        <v>3495</v>
      </c>
      <c r="E1336" s="2">
        <v>5.70038356291E11</v>
      </c>
      <c r="F1336" s="1" t="s">
        <v>3496</v>
      </c>
      <c r="G1336" s="1" t="s">
        <v>38</v>
      </c>
      <c r="H1336" s="3" t="s">
        <v>3267</v>
      </c>
      <c r="I1336" s="1"/>
    </row>
    <row r="1337" ht="15.75" customHeight="1">
      <c r="A1337" s="2">
        <v>1336.0</v>
      </c>
      <c r="B1337" s="1" t="s">
        <v>508</v>
      </c>
      <c r="C1337" s="1" t="s">
        <v>1508</v>
      </c>
      <c r="D1337" s="1" t="s">
        <v>3497</v>
      </c>
      <c r="E1337" s="2">
        <v>5.70038356292E11</v>
      </c>
      <c r="F1337" s="1" t="s">
        <v>3498</v>
      </c>
      <c r="G1337" s="1" t="s">
        <v>90</v>
      </c>
      <c r="H1337" s="3" t="s">
        <v>3267</v>
      </c>
      <c r="I1337" s="1"/>
    </row>
    <row r="1338" ht="15.75" customHeight="1">
      <c r="A1338" s="2">
        <v>1337.0</v>
      </c>
      <c r="B1338" s="1" t="s">
        <v>434</v>
      </c>
      <c r="C1338" s="1" t="s">
        <v>3499</v>
      </c>
      <c r="D1338" s="1" t="s">
        <v>3500</v>
      </c>
      <c r="E1338" s="2">
        <v>5.70038356294E11</v>
      </c>
      <c r="F1338" s="1" t="s">
        <v>1487</v>
      </c>
      <c r="G1338" s="1" t="s">
        <v>90</v>
      </c>
      <c r="H1338" s="3" t="s">
        <v>3267</v>
      </c>
      <c r="I1338" s="1"/>
    </row>
    <row r="1339" ht="15.75" customHeight="1">
      <c r="A1339" s="2">
        <v>1338.0</v>
      </c>
      <c r="B1339" s="1" t="s">
        <v>25</v>
      </c>
      <c r="C1339" s="1" t="s">
        <v>2082</v>
      </c>
      <c r="D1339" s="1" t="s">
        <v>3501</v>
      </c>
      <c r="E1339" s="2">
        <v>5.70038356299E11</v>
      </c>
      <c r="F1339" s="1" t="s">
        <v>3502</v>
      </c>
      <c r="G1339" s="1" t="s">
        <v>18</v>
      </c>
      <c r="H1339" s="3" t="s">
        <v>3267</v>
      </c>
      <c r="I1339" s="1"/>
    </row>
    <row r="1340" ht="15.75" customHeight="1">
      <c r="A1340" s="2">
        <v>1339.0</v>
      </c>
      <c r="B1340" s="1" t="s">
        <v>1818</v>
      </c>
      <c r="C1340" s="1" t="s">
        <v>1253</v>
      </c>
      <c r="D1340" s="1" t="s">
        <v>3503</v>
      </c>
      <c r="E1340" s="2">
        <v>5.70038356308E11</v>
      </c>
      <c r="F1340" s="1" t="s">
        <v>3504</v>
      </c>
      <c r="G1340" s="1" t="s">
        <v>593</v>
      </c>
      <c r="H1340" s="3" t="s">
        <v>3267</v>
      </c>
      <c r="I1340" s="1"/>
    </row>
    <row r="1341" ht="15.75" customHeight="1">
      <c r="A1341" s="2">
        <v>1340.0</v>
      </c>
      <c r="B1341" s="1" t="s">
        <v>3505</v>
      </c>
      <c r="C1341" s="1" t="s">
        <v>340</v>
      </c>
      <c r="D1341" s="1" t="s">
        <v>283</v>
      </c>
      <c r="E1341" s="2">
        <v>5.7003835631E11</v>
      </c>
      <c r="F1341" s="1" t="s">
        <v>3506</v>
      </c>
      <c r="G1341" s="1" t="s">
        <v>121</v>
      </c>
      <c r="H1341" s="3" t="s">
        <v>3267</v>
      </c>
      <c r="I1341" s="1"/>
    </row>
    <row r="1342" ht="15.75" customHeight="1">
      <c r="A1342" s="2">
        <v>1341.0</v>
      </c>
      <c r="B1342" s="1" t="s">
        <v>3507</v>
      </c>
      <c r="C1342" s="1" t="s">
        <v>3508</v>
      </c>
      <c r="D1342" s="1" t="s">
        <v>3509</v>
      </c>
      <c r="E1342" s="2">
        <v>5.70038356311E11</v>
      </c>
      <c r="F1342" s="1" t="s">
        <v>3510</v>
      </c>
      <c r="G1342" s="1" t="s">
        <v>143</v>
      </c>
      <c r="H1342" s="3" t="s">
        <v>3267</v>
      </c>
      <c r="I1342" s="1"/>
    </row>
    <row r="1343" ht="15.75" customHeight="1">
      <c r="A1343" s="2">
        <v>1342.0</v>
      </c>
      <c r="B1343" s="1" t="s">
        <v>3511</v>
      </c>
      <c r="C1343" s="1" t="s">
        <v>3512</v>
      </c>
      <c r="D1343" s="1" t="s">
        <v>3513</v>
      </c>
      <c r="E1343" s="2">
        <v>5.70038356315E11</v>
      </c>
      <c r="F1343" s="1" t="s">
        <v>3514</v>
      </c>
      <c r="G1343" s="1" t="s">
        <v>24</v>
      </c>
      <c r="H1343" s="3" t="s">
        <v>3267</v>
      </c>
      <c r="I1343" s="1"/>
    </row>
    <row r="1344" ht="15.75" customHeight="1">
      <c r="A1344" s="2">
        <v>1343.0</v>
      </c>
      <c r="B1344" s="1" t="s">
        <v>3515</v>
      </c>
      <c r="C1344" s="1" t="s">
        <v>3516</v>
      </c>
      <c r="D1344" s="1" t="s">
        <v>3509</v>
      </c>
      <c r="E1344" s="2">
        <v>5.70038356317E11</v>
      </c>
      <c r="F1344" s="1" t="s">
        <v>3517</v>
      </c>
      <c r="G1344" s="1" t="s">
        <v>12</v>
      </c>
      <c r="H1344" s="3" t="s">
        <v>3267</v>
      </c>
      <c r="I1344" s="1"/>
    </row>
    <row r="1345" ht="15.75" customHeight="1">
      <c r="A1345" s="2">
        <v>1344.0</v>
      </c>
      <c r="B1345" s="1" t="s">
        <v>3518</v>
      </c>
      <c r="C1345" s="1" t="s">
        <v>1065</v>
      </c>
      <c r="D1345" s="1" t="s">
        <v>1451</v>
      </c>
      <c r="E1345" s="2">
        <v>5.70038356319E11</v>
      </c>
      <c r="F1345" s="1" t="s">
        <v>3519</v>
      </c>
      <c r="G1345" s="1" t="s">
        <v>90</v>
      </c>
      <c r="H1345" s="3" t="s">
        <v>3267</v>
      </c>
      <c r="I1345" s="1"/>
    </row>
    <row r="1346" ht="15.75" customHeight="1">
      <c r="A1346" s="2">
        <v>1345.0</v>
      </c>
      <c r="B1346" s="1" t="s">
        <v>780</v>
      </c>
      <c r="C1346" s="1" t="s">
        <v>3459</v>
      </c>
      <c r="D1346" s="1" t="s">
        <v>62</v>
      </c>
      <c r="E1346" s="2">
        <v>5.7003835632E11</v>
      </c>
      <c r="F1346" s="1" t="s">
        <v>3520</v>
      </c>
      <c r="G1346" s="1" t="s">
        <v>2327</v>
      </c>
      <c r="H1346" s="3" t="s">
        <v>3267</v>
      </c>
      <c r="I1346" s="1"/>
    </row>
    <row r="1347" ht="15.75" customHeight="1">
      <c r="A1347" s="2">
        <v>1346.0</v>
      </c>
      <c r="B1347" s="1" t="s">
        <v>330</v>
      </c>
      <c r="C1347" s="1" t="s">
        <v>3459</v>
      </c>
      <c r="D1347" s="1" t="s">
        <v>62</v>
      </c>
      <c r="E1347" s="2">
        <v>5.70038356321E11</v>
      </c>
      <c r="F1347" s="1" t="s">
        <v>3521</v>
      </c>
      <c r="G1347" s="1" t="s">
        <v>2327</v>
      </c>
      <c r="H1347" s="3" t="s">
        <v>3267</v>
      </c>
      <c r="I1347" s="1"/>
    </row>
    <row r="1348" ht="15.75" customHeight="1">
      <c r="A1348" s="2">
        <v>1347.0</v>
      </c>
      <c r="B1348" s="1" t="s">
        <v>775</v>
      </c>
      <c r="C1348" s="1" t="s">
        <v>3152</v>
      </c>
      <c r="D1348" s="1" t="s">
        <v>320</v>
      </c>
      <c r="E1348" s="2">
        <v>5.70038356323E11</v>
      </c>
      <c r="F1348" s="1" t="s">
        <v>3522</v>
      </c>
      <c r="G1348" s="1" t="s">
        <v>90</v>
      </c>
      <c r="H1348" s="3" t="s">
        <v>3267</v>
      </c>
      <c r="I1348" s="1"/>
    </row>
    <row r="1349" ht="15.75" customHeight="1">
      <c r="A1349" s="2">
        <v>1348.0</v>
      </c>
      <c r="B1349" s="1" t="s">
        <v>1412</v>
      </c>
      <c r="C1349" s="1" t="s">
        <v>3152</v>
      </c>
      <c r="D1349" s="1" t="s">
        <v>320</v>
      </c>
      <c r="E1349" s="2">
        <v>5.70038356324E11</v>
      </c>
      <c r="F1349" s="1" t="s">
        <v>3523</v>
      </c>
      <c r="G1349" s="1" t="s">
        <v>90</v>
      </c>
      <c r="H1349" s="3" t="s">
        <v>3267</v>
      </c>
      <c r="I1349" s="1"/>
    </row>
    <row r="1350" ht="15.75" customHeight="1">
      <c r="A1350" s="2">
        <v>1349.0</v>
      </c>
      <c r="B1350" s="1" t="s">
        <v>215</v>
      </c>
      <c r="C1350" s="1" t="s">
        <v>3152</v>
      </c>
      <c r="D1350" s="1" t="s">
        <v>320</v>
      </c>
      <c r="E1350" s="2">
        <v>5.70038356325E11</v>
      </c>
      <c r="F1350" s="1" t="s">
        <v>3524</v>
      </c>
      <c r="G1350" s="1" t="s">
        <v>90</v>
      </c>
      <c r="H1350" s="3" t="s">
        <v>3267</v>
      </c>
      <c r="I1350" s="1"/>
    </row>
    <row r="1351" ht="15.75" customHeight="1">
      <c r="A1351" s="2">
        <v>1350.0</v>
      </c>
      <c r="B1351" s="1" t="s">
        <v>318</v>
      </c>
      <c r="C1351" s="1" t="s">
        <v>3152</v>
      </c>
      <c r="D1351" s="1" t="s">
        <v>320</v>
      </c>
      <c r="E1351" s="2">
        <v>5.70038356326E11</v>
      </c>
      <c r="F1351" s="1" t="s">
        <v>3525</v>
      </c>
      <c r="G1351" s="1" t="s">
        <v>90</v>
      </c>
      <c r="H1351" s="3" t="s">
        <v>3267</v>
      </c>
      <c r="I1351" s="1"/>
    </row>
    <row r="1352" ht="15.75" customHeight="1">
      <c r="A1352" s="2">
        <v>1351.0</v>
      </c>
      <c r="B1352" s="1" t="s">
        <v>2542</v>
      </c>
      <c r="C1352" s="1" t="s">
        <v>318</v>
      </c>
      <c r="D1352" s="1" t="s">
        <v>744</v>
      </c>
      <c r="E1352" s="2">
        <v>5.70038356327E11</v>
      </c>
      <c r="F1352" s="1" t="s">
        <v>69</v>
      </c>
      <c r="G1352" s="1" t="s">
        <v>90</v>
      </c>
      <c r="H1352" s="3" t="s">
        <v>3267</v>
      </c>
      <c r="I1352" s="1"/>
    </row>
    <row r="1353" ht="15.75" customHeight="1">
      <c r="A1353" s="2">
        <v>1352.0</v>
      </c>
      <c r="B1353" s="1" t="s">
        <v>66</v>
      </c>
      <c r="C1353" s="1" t="s">
        <v>245</v>
      </c>
      <c r="D1353" s="1" t="s">
        <v>3526</v>
      </c>
      <c r="E1353" s="2">
        <v>5.70038356328E11</v>
      </c>
      <c r="F1353" s="1" t="s">
        <v>523</v>
      </c>
      <c r="G1353" s="1" t="s">
        <v>90</v>
      </c>
      <c r="H1353" s="3" t="s">
        <v>3267</v>
      </c>
      <c r="I1353" s="1"/>
    </row>
    <row r="1354" ht="15.75" customHeight="1">
      <c r="A1354" s="2">
        <v>1353.0</v>
      </c>
      <c r="B1354" s="1" t="s">
        <v>3171</v>
      </c>
      <c r="C1354" s="1" t="s">
        <v>1661</v>
      </c>
      <c r="D1354" s="1" t="s">
        <v>3369</v>
      </c>
      <c r="E1354" s="2">
        <v>5.7003835633E11</v>
      </c>
      <c r="F1354" s="1" t="s">
        <v>3527</v>
      </c>
      <c r="G1354" s="1" t="s">
        <v>24</v>
      </c>
      <c r="H1354" s="3" t="s">
        <v>3267</v>
      </c>
      <c r="I1354" s="1"/>
    </row>
    <row r="1355" ht="15.75" customHeight="1">
      <c r="A1355" s="2">
        <v>1354.0</v>
      </c>
      <c r="B1355" s="1" t="s">
        <v>3528</v>
      </c>
      <c r="C1355" s="1" t="s">
        <v>1484</v>
      </c>
      <c r="D1355" s="1" t="s">
        <v>3387</v>
      </c>
      <c r="E1355" s="2">
        <v>5.70038356333E11</v>
      </c>
      <c r="F1355" s="1" t="s">
        <v>3529</v>
      </c>
      <c r="G1355" s="1" t="s">
        <v>121</v>
      </c>
      <c r="H1355" s="3" t="s">
        <v>3267</v>
      </c>
      <c r="I1355" s="1"/>
    </row>
    <row r="1356" ht="15.75" customHeight="1">
      <c r="A1356" s="2">
        <v>1355.0</v>
      </c>
      <c r="B1356" s="1" t="s">
        <v>3530</v>
      </c>
      <c r="C1356" s="1" t="s">
        <v>1088</v>
      </c>
      <c r="D1356" s="1" t="s">
        <v>3531</v>
      </c>
      <c r="E1356" s="2">
        <v>5.70038356337E11</v>
      </c>
      <c r="F1356" s="1" t="s">
        <v>3532</v>
      </c>
      <c r="G1356" s="1" t="s">
        <v>18</v>
      </c>
      <c r="H1356" s="3" t="s">
        <v>3267</v>
      </c>
      <c r="I1356" s="1"/>
    </row>
    <row r="1357" ht="15.75" customHeight="1">
      <c r="A1357" s="2">
        <v>1356.0</v>
      </c>
      <c r="B1357" s="1" t="s">
        <v>66</v>
      </c>
      <c r="C1357" s="1" t="s">
        <v>3533</v>
      </c>
      <c r="D1357" s="1" t="s">
        <v>3372</v>
      </c>
      <c r="E1357" s="2">
        <v>5.7003835634E11</v>
      </c>
      <c r="F1357" s="1" t="s">
        <v>3534</v>
      </c>
      <c r="G1357" s="1" t="s">
        <v>90</v>
      </c>
      <c r="H1357" s="3" t="s">
        <v>3267</v>
      </c>
      <c r="I1357" s="1"/>
    </row>
    <row r="1358" ht="15.75" customHeight="1">
      <c r="A1358" s="2">
        <v>1357.0</v>
      </c>
      <c r="B1358" s="1" t="s">
        <v>1304</v>
      </c>
      <c r="C1358" s="1" t="s">
        <v>3535</v>
      </c>
      <c r="D1358" s="1" t="s">
        <v>3495</v>
      </c>
      <c r="E1358" s="2">
        <v>5.70038356342E11</v>
      </c>
      <c r="F1358" s="1" t="s">
        <v>3536</v>
      </c>
      <c r="G1358" s="1" t="s">
        <v>90</v>
      </c>
      <c r="H1358" s="3" t="s">
        <v>3267</v>
      </c>
      <c r="I1358" s="1"/>
    </row>
    <row r="1359" ht="15.75" customHeight="1">
      <c r="A1359" s="2">
        <v>1358.0</v>
      </c>
      <c r="B1359" s="1" t="s">
        <v>3537</v>
      </c>
      <c r="C1359" s="1" t="s">
        <v>3533</v>
      </c>
      <c r="D1359" s="1" t="s">
        <v>3372</v>
      </c>
      <c r="E1359" s="2">
        <v>5.70038356343E11</v>
      </c>
      <c r="F1359" s="1" t="s">
        <v>3538</v>
      </c>
      <c r="G1359" s="1" t="s">
        <v>90</v>
      </c>
      <c r="H1359" s="3" t="s">
        <v>3267</v>
      </c>
      <c r="I1359" s="1"/>
    </row>
    <row r="1360" ht="15.75" customHeight="1">
      <c r="A1360" s="2">
        <v>1359.0</v>
      </c>
      <c r="B1360" s="1" t="s">
        <v>165</v>
      </c>
      <c r="C1360" s="1" t="s">
        <v>3276</v>
      </c>
      <c r="D1360" s="1" t="s">
        <v>3539</v>
      </c>
      <c r="E1360" s="2">
        <v>5.70038356344E11</v>
      </c>
      <c r="F1360" s="1" t="s">
        <v>3540</v>
      </c>
      <c r="G1360" s="1" t="s">
        <v>24</v>
      </c>
      <c r="H1360" s="3" t="s">
        <v>3267</v>
      </c>
      <c r="I1360" s="1"/>
    </row>
    <row r="1361" ht="15.75" customHeight="1">
      <c r="A1361" s="2">
        <v>1360.0</v>
      </c>
      <c r="B1361" s="1" t="s">
        <v>2849</v>
      </c>
      <c r="C1361" s="1" t="s">
        <v>3499</v>
      </c>
      <c r="D1361" s="1" t="s">
        <v>3541</v>
      </c>
      <c r="E1361" s="2">
        <v>5.70038356348E11</v>
      </c>
      <c r="F1361" s="1" t="s">
        <v>3542</v>
      </c>
      <c r="G1361" s="1" t="s">
        <v>90</v>
      </c>
      <c r="H1361" s="3" t="s">
        <v>3267</v>
      </c>
      <c r="I1361" s="1"/>
    </row>
    <row r="1362" ht="15.75" customHeight="1">
      <c r="A1362" s="2">
        <v>1361.0</v>
      </c>
      <c r="B1362" s="1" t="s">
        <v>907</v>
      </c>
      <c r="C1362" s="1" t="s">
        <v>1508</v>
      </c>
      <c r="D1362" s="1" t="s">
        <v>3487</v>
      </c>
      <c r="E1362" s="2">
        <v>5.70038356349E11</v>
      </c>
      <c r="F1362" s="1" t="s">
        <v>3543</v>
      </c>
      <c r="G1362" s="1" t="s">
        <v>90</v>
      </c>
      <c r="H1362" s="3" t="s">
        <v>3267</v>
      </c>
      <c r="I1362" s="1"/>
    </row>
    <row r="1363" ht="15.75" customHeight="1">
      <c r="A1363" s="2">
        <v>1362.0</v>
      </c>
      <c r="B1363" s="1" t="s">
        <v>1052</v>
      </c>
      <c r="C1363" s="1" t="s">
        <v>3381</v>
      </c>
      <c r="D1363" s="1" t="s">
        <v>3495</v>
      </c>
      <c r="E1363" s="2">
        <v>5.7003835635E11</v>
      </c>
      <c r="F1363" s="1" t="s">
        <v>3544</v>
      </c>
      <c r="G1363" s="1" t="s">
        <v>90</v>
      </c>
      <c r="H1363" s="3" t="s">
        <v>3267</v>
      </c>
      <c r="I1363" s="1"/>
    </row>
    <row r="1364" ht="15.75" customHeight="1">
      <c r="A1364" s="2">
        <v>1363.0</v>
      </c>
      <c r="B1364" s="1" t="s">
        <v>3545</v>
      </c>
      <c r="C1364" s="1" t="s">
        <v>3546</v>
      </c>
      <c r="D1364" s="1" t="s">
        <v>3547</v>
      </c>
      <c r="E1364" s="2">
        <v>5.70038356353E11</v>
      </c>
      <c r="F1364" s="1" t="s">
        <v>104</v>
      </c>
      <c r="G1364" s="1" t="s">
        <v>90</v>
      </c>
      <c r="H1364" s="3" t="s">
        <v>3267</v>
      </c>
      <c r="I1364" s="1"/>
    </row>
    <row r="1365" ht="15.75" customHeight="1">
      <c r="A1365" s="2">
        <v>1364.0</v>
      </c>
      <c r="B1365" s="1" t="s">
        <v>3548</v>
      </c>
      <c r="C1365" s="1" t="s">
        <v>340</v>
      </c>
      <c r="D1365" s="1" t="s">
        <v>207</v>
      </c>
      <c r="E1365" s="2">
        <v>5.70038356355E11</v>
      </c>
      <c r="F1365" s="1" t="s">
        <v>3549</v>
      </c>
      <c r="G1365" s="1" t="s">
        <v>121</v>
      </c>
      <c r="H1365" s="3" t="s">
        <v>3267</v>
      </c>
      <c r="I1365" s="1"/>
    </row>
    <row r="1366" ht="15.75" customHeight="1">
      <c r="A1366" s="2">
        <v>1365.0</v>
      </c>
      <c r="B1366" s="1" t="s">
        <v>3550</v>
      </c>
      <c r="C1366" s="1" t="s">
        <v>1088</v>
      </c>
      <c r="D1366" s="1" t="s">
        <v>3551</v>
      </c>
      <c r="E1366" s="2">
        <v>5.70038356356E11</v>
      </c>
      <c r="F1366" s="1" t="s">
        <v>3552</v>
      </c>
      <c r="G1366" s="1" t="s">
        <v>121</v>
      </c>
      <c r="H1366" s="3" t="s">
        <v>3267</v>
      </c>
      <c r="I1366" s="1"/>
    </row>
    <row r="1367" ht="15.75" customHeight="1">
      <c r="A1367" s="2">
        <v>1366.0</v>
      </c>
      <c r="B1367" s="1" t="s">
        <v>3553</v>
      </c>
      <c r="C1367" s="1" t="s">
        <v>1304</v>
      </c>
      <c r="D1367" s="1" t="s">
        <v>1102</v>
      </c>
      <c r="E1367" s="2">
        <v>5.70038356357E11</v>
      </c>
      <c r="F1367" s="1" t="s">
        <v>3554</v>
      </c>
      <c r="G1367" s="1" t="s">
        <v>90</v>
      </c>
      <c r="H1367" s="3" t="s">
        <v>3267</v>
      </c>
      <c r="I1367" s="1"/>
    </row>
    <row r="1368" ht="15.75" customHeight="1">
      <c r="A1368" s="2">
        <v>1367.0</v>
      </c>
      <c r="B1368" s="1" t="s">
        <v>311</v>
      </c>
      <c r="C1368" s="1" t="s">
        <v>330</v>
      </c>
      <c r="D1368" s="1" t="s">
        <v>697</v>
      </c>
      <c r="E1368" s="2">
        <v>5.70038356358E11</v>
      </c>
      <c r="F1368" s="1" t="s">
        <v>3555</v>
      </c>
      <c r="G1368" s="1" t="s">
        <v>24</v>
      </c>
      <c r="H1368" s="3" t="s">
        <v>3267</v>
      </c>
      <c r="I1368" s="1"/>
    </row>
    <row r="1369" ht="15.75" customHeight="1">
      <c r="A1369" s="2">
        <v>1368.0</v>
      </c>
      <c r="B1369" s="1" t="s">
        <v>1517</v>
      </c>
      <c r="C1369" s="1" t="s">
        <v>3556</v>
      </c>
      <c r="D1369" s="1" t="s">
        <v>486</v>
      </c>
      <c r="E1369" s="2">
        <v>5.7003835636E11</v>
      </c>
      <c r="F1369" s="1" t="s">
        <v>3557</v>
      </c>
      <c r="G1369" s="1" t="s">
        <v>980</v>
      </c>
      <c r="H1369" s="3" t="s">
        <v>3267</v>
      </c>
      <c r="I1369" s="1"/>
    </row>
    <row r="1370" ht="15.75" customHeight="1">
      <c r="A1370" s="2">
        <v>1369.0</v>
      </c>
      <c r="B1370" s="1" t="s">
        <v>1183</v>
      </c>
      <c r="C1370" s="1" t="s">
        <v>2774</v>
      </c>
      <c r="D1370" s="1" t="s">
        <v>1436</v>
      </c>
      <c r="E1370" s="2">
        <v>5.70038356364E11</v>
      </c>
      <c r="F1370" s="1" t="s">
        <v>3558</v>
      </c>
      <c r="G1370" s="1" t="s">
        <v>38</v>
      </c>
      <c r="H1370" s="3" t="s">
        <v>3267</v>
      </c>
      <c r="I1370" s="1"/>
    </row>
    <row r="1371" ht="15.75" customHeight="1">
      <c r="A1371" s="2">
        <v>1370.0</v>
      </c>
      <c r="B1371" s="1" t="s">
        <v>807</v>
      </c>
      <c r="C1371" s="1" t="s">
        <v>2612</v>
      </c>
      <c r="D1371" s="1" t="s">
        <v>1265</v>
      </c>
      <c r="E1371" s="2">
        <v>5.70038356367E11</v>
      </c>
      <c r="F1371" s="1" t="s">
        <v>3559</v>
      </c>
      <c r="G1371" s="1" t="s">
        <v>90</v>
      </c>
      <c r="H1371" s="3" t="s">
        <v>3267</v>
      </c>
      <c r="I1371" s="1"/>
    </row>
    <row r="1372" ht="15.75" customHeight="1">
      <c r="A1372" s="2">
        <v>1371.0</v>
      </c>
      <c r="B1372" s="1" t="s">
        <v>3560</v>
      </c>
      <c r="C1372" s="1" t="s">
        <v>1339</v>
      </c>
      <c r="D1372" s="1" t="s">
        <v>3561</v>
      </c>
      <c r="E1372" s="2">
        <v>5.70038356371E11</v>
      </c>
      <c r="F1372" s="1" t="s">
        <v>3562</v>
      </c>
      <c r="G1372" s="1" t="s">
        <v>38</v>
      </c>
      <c r="H1372" s="3" t="s">
        <v>3267</v>
      </c>
      <c r="I1372" s="1"/>
    </row>
    <row r="1373" ht="15.75" customHeight="1">
      <c r="A1373" s="2">
        <v>1372.0</v>
      </c>
      <c r="B1373" s="1" t="s">
        <v>3563</v>
      </c>
      <c r="C1373" s="1" t="s">
        <v>1088</v>
      </c>
      <c r="D1373" s="1" t="s">
        <v>2223</v>
      </c>
      <c r="E1373" s="2">
        <v>5.70038356372E11</v>
      </c>
      <c r="F1373" s="1" t="s">
        <v>3564</v>
      </c>
      <c r="G1373" s="1" t="s">
        <v>90</v>
      </c>
      <c r="H1373" s="3" t="s">
        <v>3267</v>
      </c>
      <c r="I1373" s="1"/>
    </row>
    <row r="1374" ht="15.75" customHeight="1">
      <c r="A1374" s="2">
        <v>1373.0</v>
      </c>
      <c r="B1374" s="1" t="s">
        <v>3499</v>
      </c>
      <c r="C1374" s="1" t="s">
        <v>1589</v>
      </c>
      <c r="D1374" s="1" t="s">
        <v>3565</v>
      </c>
      <c r="E1374" s="2">
        <v>5.70038356373E11</v>
      </c>
      <c r="F1374" s="1" t="s">
        <v>3566</v>
      </c>
      <c r="G1374" s="1" t="s">
        <v>90</v>
      </c>
      <c r="H1374" s="3" t="s">
        <v>3267</v>
      </c>
      <c r="I1374" s="1"/>
    </row>
    <row r="1375" ht="15.75" customHeight="1">
      <c r="A1375" s="2">
        <v>1374.0</v>
      </c>
      <c r="B1375" s="1" t="s">
        <v>3567</v>
      </c>
      <c r="C1375" s="1" t="s">
        <v>334</v>
      </c>
      <c r="D1375" s="1" t="s">
        <v>2223</v>
      </c>
      <c r="E1375" s="2">
        <v>5.70038356375E11</v>
      </c>
      <c r="F1375" s="1" t="s">
        <v>3568</v>
      </c>
      <c r="G1375" s="1" t="s">
        <v>90</v>
      </c>
      <c r="H1375" s="3" t="s">
        <v>3267</v>
      </c>
      <c r="I1375" s="1"/>
    </row>
    <row r="1376" ht="15.75" customHeight="1">
      <c r="A1376" s="2">
        <v>1375.0</v>
      </c>
      <c r="B1376" s="1" t="s">
        <v>3569</v>
      </c>
      <c r="C1376" s="1" t="s">
        <v>3570</v>
      </c>
      <c r="D1376" s="1" t="s">
        <v>3571</v>
      </c>
      <c r="E1376" s="2">
        <v>5.70038356376E11</v>
      </c>
      <c r="F1376" s="1" t="s">
        <v>3572</v>
      </c>
      <c r="G1376" s="1" t="s">
        <v>24</v>
      </c>
      <c r="H1376" s="3" t="s">
        <v>3267</v>
      </c>
      <c r="I1376" s="1"/>
    </row>
    <row r="1377" ht="15.75" customHeight="1">
      <c r="A1377" s="2">
        <v>1376.0</v>
      </c>
      <c r="B1377" s="1" t="s">
        <v>72</v>
      </c>
      <c r="C1377" s="1" t="s">
        <v>323</v>
      </c>
      <c r="D1377" s="1" t="s">
        <v>3355</v>
      </c>
      <c r="E1377" s="2">
        <v>5.70038356377E11</v>
      </c>
      <c r="F1377" s="1" t="s">
        <v>1461</v>
      </c>
      <c r="G1377" s="1" t="s">
        <v>90</v>
      </c>
      <c r="H1377" s="3" t="s">
        <v>3267</v>
      </c>
      <c r="I1377" s="1"/>
    </row>
    <row r="1378" ht="15.75" customHeight="1">
      <c r="A1378" s="2">
        <v>1377.0</v>
      </c>
      <c r="B1378" s="1" t="s">
        <v>3573</v>
      </c>
      <c r="C1378" s="1" t="s">
        <v>713</v>
      </c>
      <c r="D1378" s="1" t="s">
        <v>3574</v>
      </c>
      <c r="E1378" s="2">
        <v>5.7003835638E11</v>
      </c>
      <c r="F1378" s="1" t="s">
        <v>3575</v>
      </c>
      <c r="G1378" s="1" t="s">
        <v>121</v>
      </c>
      <c r="H1378" s="3" t="s">
        <v>3267</v>
      </c>
      <c r="I1378" s="1"/>
    </row>
    <row r="1379" ht="15.75" customHeight="1">
      <c r="A1379" s="2">
        <v>1378.0</v>
      </c>
      <c r="B1379" s="1" t="s">
        <v>3576</v>
      </c>
      <c r="C1379" s="1" t="s">
        <v>340</v>
      </c>
      <c r="D1379" s="1" t="s">
        <v>1479</v>
      </c>
      <c r="E1379" s="2">
        <v>5.70038356381E11</v>
      </c>
      <c r="F1379" s="1" t="s">
        <v>256</v>
      </c>
      <c r="G1379" s="1" t="s">
        <v>143</v>
      </c>
      <c r="H1379" s="3" t="s">
        <v>3267</v>
      </c>
      <c r="I1379" s="1"/>
    </row>
    <row r="1380" ht="15.75" customHeight="1">
      <c r="A1380" s="2">
        <v>1379.0</v>
      </c>
      <c r="B1380" s="1" t="s">
        <v>3577</v>
      </c>
      <c r="C1380" s="1" t="s">
        <v>3578</v>
      </c>
      <c r="D1380" s="1" t="s">
        <v>3579</v>
      </c>
      <c r="E1380" s="2">
        <v>5.70038356382E11</v>
      </c>
      <c r="F1380" s="1" t="s">
        <v>3580</v>
      </c>
      <c r="G1380" s="1" t="s">
        <v>593</v>
      </c>
      <c r="H1380" s="3" t="s">
        <v>3267</v>
      </c>
      <c r="I1380" s="1"/>
    </row>
    <row r="1381" ht="15.75" customHeight="1">
      <c r="A1381" s="2">
        <v>1380.0</v>
      </c>
      <c r="B1381" s="1" t="s">
        <v>3581</v>
      </c>
      <c r="C1381" s="1" t="s">
        <v>285</v>
      </c>
      <c r="D1381" s="1" t="s">
        <v>3582</v>
      </c>
      <c r="E1381" s="2">
        <v>5.70038356383E11</v>
      </c>
      <c r="F1381" s="1" t="s">
        <v>3583</v>
      </c>
      <c r="G1381" s="1" t="s">
        <v>593</v>
      </c>
      <c r="H1381" s="3" t="s">
        <v>3267</v>
      </c>
      <c r="I1381" s="1"/>
    </row>
    <row r="1382" ht="15.75" customHeight="1">
      <c r="A1382" s="2">
        <v>1381.0</v>
      </c>
      <c r="B1382" s="1" t="s">
        <v>3584</v>
      </c>
      <c r="C1382" s="1" t="s">
        <v>1926</v>
      </c>
      <c r="D1382" s="1" t="s">
        <v>1203</v>
      </c>
      <c r="E1382" s="2">
        <v>5.70038356384E11</v>
      </c>
      <c r="F1382" s="1" t="s">
        <v>920</v>
      </c>
      <c r="G1382" s="1" t="s">
        <v>121</v>
      </c>
      <c r="H1382" s="3" t="s">
        <v>3267</v>
      </c>
      <c r="I1382" s="1"/>
    </row>
    <row r="1383" ht="15.75" customHeight="1">
      <c r="A1383" s="2">
        <v>1382.0</v>
      </c>
      <c r="B1383" s="1" t="s">
        <v>257</v>
      </c>
      <c r="C1383" s="1" t="s">
        <v>1471</v>
      </c>
      <c r="D1383" s="1" t="s">
        <v>103</v>
      </c>
      <c r="E1383" s="2">
        <v>5.70038356385E11</v>
      </c>
      <c r="F1383" s="1" t="s">
        <v>3585</v>
      </c>
      <c r="G1383" s="1" t="s">
        <v>24</v>
      </c>
      <c r="H1383" s="3" t="s">
        <v>3267</v>
      </c>
      <c r="I1383" s="1"/>
    </row>
    <row r="1384" ht="15.75" customHeight="1">
      <c r="A1384" s="2">
        <v>1383.0</v>
      </c>
      <c r="B1384" s="1" t="s">
        <v>1619</v>
      </c>
      <c r="C1384" s="1" t="s">
        <v>1339</v>
      </c>
      <c r="D1384" s="1" t="s">
        <v>955</v>
      </c>
      <c r="E1384" s="2">
        <v>5.70038356387E11</v>
      </c>
      <c r="F1384" s="1" t="s">
        <v>3586</v>
      </c>
      <c r="G1384" s="1" t="s">
        <v>90</v>
      </c>
      <c r="H1384" s="3" t="s">
        <v>3267</v>
      </c>
      <c r="I1384" s="1"/>
    </row>
    <row r="1385" ht="15.75" customHeight="1">
      <c r="A1385" s="2">
        <v>1384.0</v>
      </c>
      <c r="B1385" s="1" t="s">
        <v>311</v>
      </c>
      <c r="C1385" s="1" t="s">
        <v>3587</v>
      </c>
      <c r="D1385" s="1" t="s">
        <v>587</v>
      </c>
      <c r="E1385" s="2">
        <v>5.70038356389E11</v>
      </c>
      <c r="F1385" s="1" t="s">
        <v>953</v>
      </c>
      <c r="G1385" s="1" t="s">
        <v>38</v>
      </c>
      <c r="H1385" s="3" t="s">
        <v>3267</v>
      </c>
      <c r="I1385" s="1"/>
    </row>
    <row r="1386" ht="15.75" customHeight="1">
      <c r="A1386" s="2">
        <v>1385.0</v>
      </c>
      <c r="B1386" s="1" t="s">
        <v>106</v>
      </c>
      <c r="C1386" s="1" t="s">
        <v>3588</v>
      </c>
      <c r="D1386" s="1" t="s">
        <v>2223</v>
      </c>
      <c r="E1386" s="2">
        <v>5.70038356394E11</v>
      </c>
      <c r="F1386" s="1" t="s">
        <v>3589</v>
      </c>
      <c r="G1386" s="1" t="s">
        <v>90</v>
      </c>
      <c r="H1386" s="3" t="s">
        <v>3267</v>
      </c>
      <c r="I1386" s="1"/>
    </row>
    <row r="1387" ht="15.75" customHeight="1">
      <c r="A1387" s="2">
        <v>1386.0</v>
      </c>
      <c r="B1387" s="1" t="s">
        <v>3590</v>
      </c>
      <c r="C1387" s="1" t="s">
        <v>1856</v>
      </c>
      <c r="D1387" s="1" t="s">
        <v>3591</v>
      </c>
      <c r="E1387" s="2">
        <v>5.70038356397E11</v>
      </c>
      <c r="F1387" s="1" t="s">
        <v>3592</v>
      </c>
      <c r="G1387" s="1" t="s">
        <v>24</v>
      </c>
      <c r="H1387" s="3" t="s">
        <v>3267</v>
      </c>
      <c r="I1387" s="1"/>
    </row>
    <row r="1388" ht="15.75" customHeight="1">
      <c r="A1388" s="2">
        <v>1387.0</v>
      </c>
      <c r="B1388" s="1" t="s">
        <v>459</v>
      </c>
      <c r="C1388" s="1" t="s">
        <v>3593</v>
      </c>
      <c r="D1388" s="1" t="s">
        <v>3464</v>
      </c>
      <c r="E1388" s="2">
        <v>5.70038356401E11</v>
      </c>
      <c r="F1388" s="1" t="s">
        <v>3594</v>
      </c>
      <c r="G1388" s="1" t="s">
        <v>24</v>
      </c>
      <c r="H1388" s="3" t="s">
        <v>3595</v>
      </c>
      <c r="I1388" s="1"/>
    </row>
    <row r="1389" ht="15.75" customHeight="1">
      <c r="A1389" s="2">
        <v>1388.0</v>
      </c>
      <c r="B1389" s="1" t="s">
        <v>3596</v>
      </c>
      <c r="C1389" s="1" t="s">
        <v>891</v>
      </c>
      <c r="D1389" s="1" t="s">
        <v>3597</v>
      </c>
      <c r="E1389" s="2">
        <v>5.70038356404E11</v>
      </c>
      <c r="F1389" s="1" t="s">
        <v>3598</v>
      </c>
      <c r="G1389" s="1" t="s">
        <v>38</v>
      </c>
      <c r="H1389" s="3" t="s">
        <v>3599</v>
      </c>
      <c r="I1389" s="1"/>
    </row>
    <row r="1390" ht="15.75" customHeight="1">
      <c r="A1390" s="2">
        <v>1389.0</v>
      </c>
      <c r="B1390" s="1" t="s">
        <v>3600</v>
      </c>
      <c r="C1390" s="1" t="s">
        <v>3601</v>
      </c>
      <c r="D1390" s="1" t="s">
        <v>475</v>
      </c>
      <c r="E1390" s="2">
        <v>5.70038356406E11</v>
      </c>
      <c r="F1390" s="1" t="s">
        <v>3602</v>
      </c>
      <c r="G1390" s="1" t="s">
        <v>383</v>
      </c>
      <c r="H1390" s="3" t="s">
        <v>3595</v>
      </c>
      <c r="I1390" s="1"/>
    </row>
    <row r="1391" ht="15.75" customHeight="1">
      <c r="A1391" s="2">
        <v>1390.0</v>
      </c>
      <c r="B1391" s="1" t="s">
        <v>333</v>
      </c>
      <c r="C1391" s="1" t="s">
        <v>3584</v>
      </c>
      <c r="D1391" s="1" t="s">
        <v>751</v>
      </c>
      <c r="E1391" s="2">
        <v>5.70038356414E11</v>
      </c>
      <c r="F1391" s="1" t="s">
        <v>732</v>
      </c>
      <c r="G1391" s="1" t="s">
        <v>121</v>
      </c>
      <c r="H1391" s="3" t="s">
        <v>3595</v>
      </c>
      <c r="I1391" s="1"/>
    </row>
    <row r="1392" ht="15.75" customHeight="1">
      <c r="A1392" s="2">
        <v>1391.0</v>
      </c>
      <c r="B1392" s="1" t="s">
        <v>257</v>
      </c>
      <c r="C1392" s="1" t="s">
        <v>3603</v>
      </c>
      <c r="D1392" s="1" t="s">
        <v>3604</v>
      </c>
      <c r="E1392" s="2">
        <v>5.7003835642E11</v>
      </c>
      <c r="F1392" s="1" t="s">
        <v>3605</v>
      </c>
      <c r="G1392" s="1" t="s">
        <v>24</v>
      </c>
      <c r="H1392" s="3" t="s">
        <v>3606</v>
      </c>
      <c r="I1392" s="1"/>
    </row>
    <row r="1393" ht="15.75" customHeight="1">
      <c r="A1393" s="2">
        <v>1392.0</v>
      </c>
      <c r="B1393" s="1" t="s">
        <v>3607</v>
      </c>
      <c r="C1393" s="1" t="s">
        <v>257</v>
      </c>
      <c r="D1393" s="1" t="s">
        <v>135</v>
      </c>
      <c r="E1393" s="2">
        <v>5.70038356422E11</v>
      </c>
      <c r="F1393" s="1" t="s">
        <v>3608</v>
      </c>
      <c r="G1393" s="1" t="s">
        <v>47</v>
      </c>
      <c r="H1393" s="3" t="s">
        <v>3267</v>
      </c>
      <c r="I1393" s="1"/>
    </row>
    <row r="1394" ht="15.75" customHeight="1">
      <c r="A1394" s="2">
        <v>1393.0</v>
      </c>
      <c r="B1394" s="1" t="s">
        <v>1784</v>
      </c>
      <c r="C1394" s="1" t="s">
        <v>257</v>
      </c>
      <c r="D1394" s="1" t="s">
        <v>135</v>
      </c>
      <c r="E1394" s="2">
        <v>5.70038356423E11</v>
      </c>
      <c r="F1394" s="1" t="s">
        <v>3609</v>
      </c>
      <c r="G1394" s="1" t="s">
        <v>24</v>
      </c>
      <c r="H1394" s="3" t="s">
        <v>3267</v>
      </c>
      <c r="I1394" s="1"/>
    </row>
    <row r="1395" ht="15.75" customHeight="1">
      <c r="A1395" s="2">
        <v>1394.0</v>
      </c>
      <c r="B1395" s="1" t="s">
        <v>2642</v>
      </c>
      <c r="C1395" s="1" t="s">
        <v>3603</v>
      </c>
      <c r="D1395" s="1" t="s">
        <v>3604</v>
      </c>
      <c r="E1395" s="2">
        <v>5.70038356426E11</v>
      </c>
      <c r="F1395" s="1" t="s">
        <v>3610</v>
      </c>
      <c r="G1395" s="1" t="s">
        <v>24</v>
      </c>
      <c r="H1395" s="3" t="s">
        <v>3595</v>
      </c>
      <c r="I1395" s="1"/>
    </row>
    <row r="1396" ht="15.75" customHeight="1">
      <c r="A1396" s="2">
        <v>1395.0</v>
      </c>
      <c r="B1396" s="1" t="s">
        <v>3611</v>
      </c>
      <c r="C1396" s="1" t="s">
        <v>3612</v>
      </c>
      <c r="D1396" s="1" t="s">
        <v>494</v>
      </c>
      <c r="E1396" s="2">
        <v>5.70038356429E11</v>
      </c>
      <c r="F1396" s="1" t="s">
        <v>3613</v>
      </c>
      <c r="G1396" s="1" t="s">
        <v>24</v>
      </c>
      <c r="H1396" s="3" t="s">
        <v>3599</v>
      </c>
      <c r="I1396" s="1"/>
    </row>
    <row r="1397" ht="15.75" customHeight="1">
      <c r="A1397" s="2">
        <v>1396.0</v>
      </c>
      <c r="B1397" s="1" t="s">
        <v>3614</v>
      </c>
      <c r="C1397" s="1" t="s">
        <v>3615</v>
      </c>
      <c r="D1397" s="1" t="s">
        <v>217</v>
      </c>
      <c r="E1397" s="2">
        <v>5.7003835643E11</v>
      </c>
      <c r="F1397" s="1" t="s">
        <v>3616</v>
      </c>
      <c r="G1397" s="1" t="s">
        <v>47</v>
      </c>
      <c r="H1397" s="3" t="s">
        <v>3267</v>
      </c>
      <c r="I1397" s="1"/>
    </row>
    <row r="1398" ht="15.75" customHeight="1">
      <c r="A1398" s="2">
        <v>1397.0</v>
      </c>
      <c r="B1398" s="1" t="s">
        <v>3617</v>
      </c>
      <c r="C1398" s="1" t="s">
        <v>3618</v>
      </c>
      <c r="D1398" s="1" t="s">
        <v>217</v>
      </c>
      <c r="E1398" s="2">
        <v>5.70038356433E11</v>
      </c>
      <c r="F1398" s="1" t="s">
        <v>3619</v>
      </c>
      <c r="G1398" s="1" t="s">
        <v>24</v>
      </c>
      <c r="H1398" s="3" t="s">
        <v>3595</v>
      </c>
      <c r="I1398" s="1"/>
    </row>
    <row r="1399" ht="15.75" customHeight="1">
      <c r="A1399" s="2">
        <v>1398.0</v>
      </c>
      <c r="B1399" s="1" t="s">
        <v>3584</v>
      </c>
      <c r="C1399" s="1" t="s">
        <v>459</v>
      </c>
      <c r="D1399" s="1" t="s">
        <v>2421</v>
      </c>
      <c r="E1399" s="2">
        <v>5.70038356434E11</v>
      </c>
      <c r="F1399" s="1" t="s">
        <v>851</v>
      </c>
      <c r="G1399" s="1" t="s">
        <v>121</v>
      </c>
      <c r="H1399" s="3" t="s">
        <v>3599</v>
      </c>
      <c r="I1399" s="1"/>
    </row>
    <row r="1400" ht="15.75" customHeight="1">
      <c r="A1400" s="2">
        <v>1399.0</v>
      </c>
      <c r="B1400" s="1" t="s">
        <v>123</v>
      </c>
      <c r="C1400" s="1" t="s">
        <v>257</v>
      </c>
      <c r="D1400" s="1" t="s">
        <v>550</v>
      </c>
      <c r="E1400" s="2">
        <v>5.70038356435E11</v>
      </c>
      <c r="F1400" s="1" t="s">
        <v>3620</v>
      </c>
      <c r="G1400" s="1" t="s">
        <v>18</v>
      </c>
      <c r="H1400" s="3" t="s">
        <v>3267</v>
      </c>
      <c r="I1400" s="1"/>
    </row>
    <row r="1401" ht="15.75" customHeight="1">
      <c r="A1401" s="2">
        <v>1400.0</v>
      </c>
      <c r="B1401" s="1" t="s">
        <v>3621</v>
      </c>
      <c r="C1401" s="1" t="s">
        <v>3584</v>
      </c>
      <c r="D1401" s="1" t="s">
        <v>73</v>
      </c>
      <c r="E1401" s="2">
        <v>5.70038356436E11</v>
      </c>
      <c r="F1401" s="1" t="s">
        <v>3542</v>
      </c>
      <c r="G1401" s="1" t="s">
        <v>24</v>
      </c>
      <c r="H1401" s="3" t="s">
        <v>3595</v>
      </c>
      <c r="I1401" s="1"/>
    </row>
    <row r="1402" ht="15.75" customHeight="1">
      <c r="A1402" s="2">
        <v>1401.0</v>
      </c>
      <c r="B1402" s="1" t="s">
        <v>1668</v>
      </c>
      <c r="C1402" s="1" t="s">
        <v>459</v>
      </c>
      <c r="D1402" s="1" t="s">
        <v>2421</v>
      </c>
      <c r="E1402" s="2">
        <v>5.70038356437E11</v>
      </c>
      <c r="F1402" s="1" t="s">
        <v>3622</v>
      </c>
      <c r="G1402" s="1" t="s">
        <v>38</v>
      </c>
      <c r="H1402" s="3" t="s">
        <v>3599</v>
      </c>
      <c r="I1402" s="1"/>
    </row>
    <row r="1403" ht="15.75" customHeight="1">
      <c r="A1403" s="2">
        <v>1402.0</v>
      </c>
      <c r="B1403" s="1" t="s">
        <v>3454</v>
      </c>
      <c r="C1403" s="1" t="s">
        <v>3623</v>
      </c>
      <c r="D1403" s="1" t="s">
        <v>1458</v>
      </c>
      <c r="E1403" s="2">
        <v>5.70038356439E11</v>
      </c>
      <c r="F1403" s="1" t="s">
        <v>3624</v>
      </c>
      <c r="G1403" s="1" t="s">
        <v>24</v>
      </c>
      <c r="H1403" s="3" t="s">
        <v>3606</v>
      </c>
      <c r="I1403" s="1"/>
    </row>
    <row r="1404" ht="15.75" customHeight="1">
      <c r="A1404" s="2">
        <v>1403.0</v>
      </c>
      <c r="B1404" s="1" t="s">
        <v>149</v>
      </c>
      <c r="C1404" s="1" t="s">
        <v>542</v>
      </c>
      <c r="D1404" s="1" t="s">
        <v>3625</v>
      </c>
      <c r="E1404" s="2">
        <v>5.70038356443E11</v>
      </c>
      <c r="F1404" s="1" t="s">
        <v>3626</v>
      </c>
      <c r="G1404" s="1" t="s">
        <v>38</v>
      </c>
      <c r="H1404" s="3" t="s">
        <v>3606</v>
      </c>
      <c r="I1404" s="1"/>
    </row>
    <row r="1405" ht="15.75" customHeight="1">
      <c r="A1405" s="2">
        <v>1404.0</v>
      </c>
      <c r="B1405" s="1" t="s">
        <v>542</v>
      </c>
      <c r="C1405" s="1" t="s">
        <v>1277</v>
      </c>
      <c r="D1405" s="1" t="s">
        <v>3627</v>
      </c>
      <c r="E1405" s="2">
        <v>5.70038356445E11</v>
      </c>
      <c r="F1405" s="1" t="s">
        <v>3628</v>
      </c>
      <c r="G1405" s="1" t="s">
        <v>24</v>
      </c>
      <c r="H1405" s="3" t="s">
        <v>3267</v>
      </c>
      <c r="I1405" s="1"/>
    </row>
    <row r="1406" ht="15.75" customHeight="1">
      <c r="A1406" s="2">
        <v>1405.0</v>
      </c>
      <c r="B1406" s="1" t="s">
        <v>3629</v>
      </c>
      <c r="C1406" s="1" t="s">
        <v>3630</v>
      </c>
      <c r="D1406" s="1" t="s">
        <v>3631</v>
      </c>
      <c r="E1406" s="2">
        <v>5.70038356452E11</v>
      </c>
      <c r="F1406" s="1" t="s">
        <v>607</v>
      </c>
      <c r="G1406" s="1" t="s">
        <v>12</v>
      </c>
      <c r="H1406" s="3" t="s">
        <v>3595</v>
      </c>
      <c r="I1406" s="1"/>
    </row>
    <row r="1407" ht="15.75" customHeight="1">
      <c r="A1407" s="2">
        <v>1406.0</v>
      </c>
      <c r="B1407" s="1" t="s">
        <v>1732</v>
      </c>
      <c r="C1407" s="1" t="s">
        <v>3615</v>
      </c>
      <c r="D1407" s="1" t="s">
        <v>3632</v>
      </c>
      <c r="E1407" s="2">
        <v>5.70038356458E11</v>
      </c>
      <c r="F1407" s="1" t="s">
        <v>3633</v>
      </c>
      <c r="G1407" s="1" t="s">
        <v>24</v>
      </c>
      <c r="H1407" s="3" t="s">
        <v>3595</v>
      </c>
      <c r="I1407" s="1"/>
    </row>
    <row r="1408" ht="15.75" customHeight="1">
      <c r="A1408" s="2">
        <v>1407.0</v>
      </c>
      <c r="B1408" s="1" t="s">
        <v>3634</v>
      </c>
      <c r="C1408" s="1" t="s">
        <v>3635</v>
      </c>
      <c r="D1408" s="1" t="s">
        <v>3636</v>
      </c>
      <c r="E1408" s="2">
        <v>5.70038356465E11</v>
      </c>
      <c r="F1408" s="1" t="s">
        <v>3637</v>
      </c>
      <c r="G1408" s="1" t="s">
        <v>24</v>
      </c>
      <c r="H1408" s="3" t="s">
        <v>3267</v>
      </c>
      <c r="I1408" s="1"/>
    </row>
    <row r="1409" ht="15.75" customHeight="1">
      <c r="A1409" s="2">
        <v>1408.0</v>
      </c>
      <c r="B1409" s="1" t="s">
        <v>106</v>
      </c>
      <c r="C1409" s="1" t="s">
        <v>3638</v>
      </c>
      <c r="D1409" s="1" t="s">
        <v>3636</v>
      </c>
      <c r="E1409" s="2">
        <v>5.70038356466E11</v>
      </c>
      <c r="F1409" s="1" t="s">
        <v>3639</v>
      </c>
      <c r="G1409" s="1" t="s">
        <v>24</v>
      </c>
      <c r="H1409" s="3" t="s">
        <v>3267</v>
      </c>
      <c r="I1409" s="1"/>
    </row>
    <row r="1410" ht="15.75" customHeight="1">
      <c r="A1410" s="2">
        <v>1409.0</v>
      </c>
      <c r="B1410" s="1" t="s">
        <v>3640</v>
      </c>
      <c r="C1410" s="1" t="s">
        <v>3641</v>
      </c>
      <c r="D1410" s="1" t="s">
        <v>77</v>
      </c>
      <c r="E1410" s="2">
        <v>5.70038356467E11</v>
      </c>
      <c r="F1410" s="1" t="s">
        <v>3318</v>
      </c>
      <c r="G1410" s="1" t="s">
        <v>90</v>
      </c>
      <c r="H1410" s="3" t="s">
        <v>3267</v>
      </c>
      <c r="I1410" s="1"/>
    </row>
    <row r="1411" ht="15.75" customHeight="1">
      <c r="A1411" s="2">
        <v>1410.0</v>
      </c>
      <c r="B1411" s="1" t="s">
        <v>254</v>
      </c>
      <c r="C1411" s="1" t="s">
        <v>3641</v>
      </c>
      <c r="D1411" s="1" t="s">
        <v>77</v>
      </c>
      <c r="E1411" s="2">
        <v>5.70038356468E11</v>
      </c>
      <c r="F1411" s="1" t="s">
        <v>3642</v>
      </c>
      <c r="G1411" s="1" t="s">
        <v>24</v>
      </c>
      <c r="H1411" s="3" t="s">
        <v>3267</v>
      </c>
      <c r="I1411" s="1"/>
    </row>
    <row r="1412" ht="15.75" customHeight="1">
      <c r="A1412" s="2">
        <v>1411.0</v>
      </c>
      <c r="B1412" s="1" t="s">
        <v>3643</v>
      </c>
      <c r="C1412" s="1" t="s">
        <v>3644</v>
      </c>
      <c r="D1412" s="1" t="s">
        <v>77</v>
      </c>
      <c r="E1412" s="2">
        <v>5.70038356469E11</v>
      </c>
      <c r="F1412" s="1" t="s">
        <v>3645</v>
      </c>
      <c r="G1412" s="1" t="s">
        <v>24</v>
      </c>
      <c r="H1412" s="3" t="s">
        <v>3267</v>
      </c>
      <c r="I1412" s="1"/>
    </row>
    <row r="1413" ht="15.75" customHeight="1">
      <c r="A1413" s="2">
        <v>1412.0</v>
      </c>
      <c r="B1413" s="1" t="s">
        <v>3646</v>
      </c>
      <c r="C1413" s="1" t="s">
        <v>3647</v>
      </c>
      <c r="D1413" s="1" t="s">
        <v>3648</v>
      </c>
      <c r="E1413" s="2">
        <v>5.70038356472E11</v>
      </c>
      <c r="F1413" s="1" t="s">
        <v>3649</v>
      </c>
      <c r="G1413" s="1" t="s">
        <v>24</v>
      </c>
      <c r="H1413" s="3" t="s">
        <v>3595</v>
      </c>
      <c r="I1413" s="1"/>
    </row>
    <row r="1414" ht="15.75" customHeight="1">
      <c r="A1414" s="2">
        <v>1413.0</v>
      </c>
      <c r="B1414" s="1" t="s">
        <v>1350</v>
      </c>
      <c r="C1414" s="1" t="s">
        <v>1732</v>
      </c>
      <c r="D1414" s="1" t="s">
        <v>62</v>
      </c>
      <c r="E1414" s="2">
        <v>5.70038356473E11</v>
      </c>
      <c r="F1414" s="1" t="s">
        <v>3650</v>
      </c>
      <c r="G1414" s="1" t="s">
        <v>24</v>
      </c>
      <c r="H1414" s="3" t="s">
        <v>3267</v>
      </c>
      <c r="I1414" s="1"/>
    </row>
    <row r="1415" ht="15.75" customHeight="1">
      <c r="A1415" s="2">
        <v>1414.0</v>
      </c>
      <c r="B1415" s="1" t="s">
        <v>1339</v>
      </c>
      <c r="C1415" s="1" t="s">
        <v>3651</v>
      </c>
      <c r="D1415" s="1" t="s">
        <v>3652</v>
      </c>
      <c r="E1415" s="2">
        <v>5.70038356475E11</v>
      </c>
      <c r="F1415" s="1" t="s">
        <v>3653</v>
      </c>
      <c r="G1415" s="1" t="s">
        <v>90</v>
      </c>
      <c r="H1415" s="3" t="s">
        <v>3267</v>
      </c>
      <c r="I1415" s="1"/>
    </row>
    <row r="1416" ht="15.75" customHeight="1">
      <c r="A1416" s="2">
        <v>1415.0</v>
      </c>
      <c r="B1416" s="1" t="s">
        <v>3654</v>
      </c>
      <c r="C1416" s="1" t="s">
        <v>3651</v>
      </c>
      <c r="D1416" s="1" t="s">
        <v>3652</v>
      </c>
      <c r="E1416" s="2">
        <v>5.70038356476E11</v>
      </c>
      <c r="F1416" s="1" t="s">
        <v>3655</v>
      </c>
      <c r="G1416" s="1" t="s">
        <v>38</v>
      </c>
      <c r="H1416" s="3" t="s">
        <v>3267</v>
      </c>
      <c r="I1416" s="1"/>
    </row>
    <row r="1417" ht="15.75" customHeight="1">
      <c r="A1417" s="2">
        <v>1416.0</v>
      </c>
      <c r="B1417" s="1" t="s">
        <v>590</v>
      </c>
      <c r="C1417" s="1" t="s">
        <v>807</v>
      </c>
      <c r="D1417" s="1" t="s">
        <v>3656</v>
      </c>
      <c r="E1417" s="2">
        <v>5.70038356477E11</v>
      </c>
      <c r="F1417" s="1" t="s">
        <v>3657</v>
      </c>
      <c r="G1417" s="1" t="s">
        <v>24</v>
      </c>
      <c r="H1417" s="3" t="s">
        <v>3267</v>
      </c>
      <c r="I1417" s="1"/>
    </row>
    <row r="1418" ht="15.75" customHeight="1">
      <c r="A1418" s="2">
        <v>1417.0</v>
      </c>
      <c r="B1418" s="1" t="s">
        <v>3658</v>
      </c>
      <c r="C1418" s="1" t="s">
        <v>3659</v>
      </c>
      <c r="D1418" s="1" t="s">
        <v>3660</v>
      </c>
      <c r="E1418" s="2">
        <v>5.70038356478E11</v>
      </c>
      <c r="F1418" s="1" t="s">
        <v>3661</v>
      </c>
      <c r="G1418" s="1" t="s">
        <v>90</v>
      </c>
      <c r="H1418" s="3" t="s">
        <v>3595</v>
      </c>
      <c r="I1418" s="1"/>
    </row>
    <row r="1419" ht="15.75" customHeight="1">
      <c r="A1419" s="2">
        <v>1418.0</v>
      </c>
      <c r="B1419" s="1" t="s">
        <v>559</v>
      </c>
      <c r="C1419" s="1" t="s">
        <v>3662</v>
      </c>
      <c r="D1419" s="1" t="s">
        <v>3663</v>
      </c>
      <c r="E1419" s="2">
        <v>5.70038356481E11</v>
      </c>
      <c r="F1419" s="1" t="s">
        <v>3664</v>
      </c>
      <c r="G1419" s="1" t="s">
        <v>18</v>
      </c>
      <c r="H1419" s="3" t="s">
        <v>3267</v>
      </c>
      <c r="I1419" s="1"/>
    </row>
    <row r="1420" ht="15.75" customHeight="1">
      <c r="A1420" s="2">
        <v>1419.0</v>
      </c>
      <c r="B1420" s="1" t="s">
        <v>3458</v>
      </c>
      <c r="C1420" s="1" t="s">
        <v>32</v>
      </c>
      <c r="D1420" s="1" t="s">
        <v>781</v>
      </c>
      <c r="E1420" s="2">
        <v>5.70038356491E11</v>
      </c>
      <c r="F1420" s="1" t="s">
        <v>3114</v>
      </c>
      <c r="G1420" s="1" t="s">
        <v>24</v>
      </c>
      <c r="H1420" s="3" t="s">
        <v>3267</v>
      </c>
      <c r="I1420" s="1"/>
    </row>
    <row r="1421" ht="15.75" customHeight="1">
      <c r="A1421" s="2">
        <v>1420.0</v>
      </c>
      <c r="B1421" s="1" t="s">
        <v>682</v>
      </c>
      <c r="C1421" s="1" t="s">
        <v>3665</v>
      </c>
      <c r="D1421" s="1" t="s">
        <v>3666</v>
      </c>
      <c r="E1421" s="2">
        <v>5.70038356499E11</v>
      </c>
      <c r="F1421" s="1" t="s">
        <v>360</v>
      </c>
      <c r="G1421" s="1" t="s">
        <v>24</v>
      </c>
      <c r="H1421" s="3" t="s">
        <v>3267</v>
      </c>
      <c r="I1421" s="1"/>
    </row>
    <row r="1422" ht="15.75" customHeight="1">
      <c r="A1422" s="2">
        <v>1421.0</v>
      </c>
      <c r="B1422" s="1" t="s">
        <v>3667</v>
      </c>
      <c r="C1422" s="1" t="s">
        <v>3668</v>
      </c>
      <c r="D1422" s="1" t="s">
        <v>3669</v>
      </c>
      <c r="E1422" s="2">
        <v>5.70038356502E11</v>
      </c>
      <c r="F1422" s="1" t="s">
        <v>3670</v>
      </c>
      <c r="G1422" s="1" t="s">
        <v>383</v>
      </c>
      <c r="H1422" s="3" t="s">
        <v>3267</v>
      </c>
      <c r="I1422" s="1"/>
    </row>
    <row r="1423" ht="15.75" customHeight="1">
      <c r="A1423" s="2">
        <v>1422.0</v>
      </c>
      <c r="B1423" s="1" t="s">
        <v>488</v>
      </c>
      <c r="C1423" s="1" t="s">
        <v>2133</v>
      </c>
      <c r="D1423" s="1" t="s">
        <v>3671</v>
      </c>
      <c r="E1423" s="2">
        <v>5.70038356507E11</v>
      </c>
      <c r="F1423" s="1" t="s">
        <v>3672</v>
      </c>
      <c r="G1423" s="1" t="s">
        <v>24</v>
      </c>
      <c r="H1423" s="3" t="s">
        <v>3267</v>
      </c>
      <c r="I1423" s="1"/>
    </row>
    <row r="1424" ht="15.75" customHeight="1">
      <c r="A1424" s="2">
        <v>1423.0</v>
      </c>
      <c r="B1424" s="1" t="s">
        <v>3673</v>
      </c>
      <c r="C1424" s="1" t="s">
        <v>3674</v>
      </c>
      <c r="D1424" s="1" t="s">
        <v>1238</v>
      </c>
      <c r="E1424" s="2">
        <v>5.70038356509E11</v>
      </c>
      <c r="F1424" s="1" t="s">
        <v>3675</v>
      </c>
      <c r="G1424" s="1" t="s">
        <v>24</v>
      </c>
      <c r="H1424" s="3" t="s">
        <v>3267</v>
      </c>
      <c r="I1424" s="1"/>
    </row>
    <row r="1425" ht="15.75" customHeight="1">
      <c r="A1425" s="2">
        <v>1424.0</v>
      </c>
      <c r="B1425" s="1" t="s">
        <v>3676</v>
      </c>
      <c r="C1425" s="1" t="s">
        <v>3677</v>
      </c>
      <c r="D1425" s="1" t="s">
        <v>1203</v>
      </c>
      <c r="E1425" s="2">
        <v>5.7003835651E11</v>
      </c>
      <c r="F1425" s="1" t="s">
        <v>3678</v>
      </c>
      <c r="G1425" s="1" t="s">
        <v>143</v>
      </c>
      <c r="H1425" s="3" t="s">
        <v>3267</v>
      </c>
      <c r="I1425" s="1"/>
    </row>
    <row r="1426" ht="15.75" customHeight="1">
      <c r="A1426" s="2">
        <v>1425.0</v>
      </c>
      <c r="B1426" s="1" t="s">
        <v>79</v>
      </c>
      <c r="C1426" s="1" t="s">
        <v>1232</v>
      </c>
      <c r="D1426" s="1" t="s">
        <v>3679</v>
      </c>
      <c r="E1426" s="2">
        <v>5.70038356511E11</v>
      </c>
      <c r="F1426" s="1" t="s">
        <v>3279</v>
      </c>
      <c r="G1426" s="1" t="s">
        <v>18</v>
      </c>
      <c r="H1426" s="3" t="s">
        <v>3267</v>
      </c>
      <c r="I1426" s="1"/>
    </row>
    <row r="1427" ht="15.75" customHeight="1">
      <c r="A1427" s="2">
        <v>1426.0</v>
      </c>
      <c r="B1427" s="1" t="s">
        <v>2133</v>
      </c>
      <c r="C1427" s="1" t="s">
        <v>489</v>
      </c>
      <c r="D1427" s="1" t="s">
        <v>801</v>
      </c>
      <c r="E1427" s="2">
        <v>5.70038356513E11</v>
      </c>
      <c r="F1427" s="1" t="s">
        <v>3067</v>
      </c>
      <c r="G1427" s="1" t="s">
        <v>18</v>
      </c>
      <c r="H1427" s="3" t="s">
        <v>3267</v>
      </c>
      <c r="I1427" s="1"/>
    </row>
    <row r="1428" ht="15.75" customHeight="1">
      <c r="A1428" s="2">
        <v>1427.0</v>
      </c>
      <c r="B1428" s="1" t="s">
        <v>629</v>
      </c>
      <c r="C1428" s="1" t="s">
        <v>3680</v>
      </c>
      <c r="D1428" s="1" t="s">
        <v>576</v>
      </c>
      <c r="E1428" s="2">
        <v>5.70038356514E11</v>
      </c>
      <c r="F1428" s="1" t="s">
        <v>3681</v>
      </c>
      <c r="G1428" s="1" t="s">
        <v>90</v>
      </c>
      <c r="H1428" s="3" t="s">
        <v>3267</v>
      </c>
      <c r="I1428" s="1"/>
    </row>
    <row r="1429" ht="15.75" customHeight="1">
      <c r="A1429" s="2">
        <v>1428.0</v>
      </c>
      <c r="B1429" s="1" t="s">
        <v>3682</v>
      </c>
      <c r="C1429" s="1" t="s">
        <v>3683</v>
      </c>
      <c r="D1429" s="1" t="s">
        <v>1238</v>
      </c>
      <c r="E1429" s="2">
        <v>5.70038356515E11</v>
      </c>
      <c r="F1429" s="1" t="s">
        <v>3684</v>
      </c>
      <c r="G1429" s="1" t="s">
        <v>18</v>
      </c>
      <c r="H1429" s="3" t="s">
        <v>3267</v>
      </c>
      <c r="I1429" s="1"/>
    </row>
    <row r="1430" ht="15.75" customHeight="1">
      <c r="A1430" s="2">
        <v>1429.0</v>
      </c>
      <c r="B1430" s="1" t="s">
        <v>762</v>
      </c>
      <c r="C1430" s="1" t="s">
        <v>3674</v>
      </c>
      <c r="D1430" s="1" t="s">
        <v>1238</v>
      </c>
      <c r="E1430" s="2">
        <v>5.70038356516E11</v>
      </c>
      <c r="F1430" s="1" t="s">
        <v>3685</v>
      </c>
      <c r="G1430" s="1" t="s">
        <v>38</v>
      </c>
      <c r="H1430" s="3" t="s">
        <v>3267</v>
      </c>
      <c r="I1430" s="1"/>
    </row>
    <row r="1431" ht="15.75" customHeight="1">
      <c r="A1431" s="2">
        <v>1430.0</v>
      </c>
      <c r="B1431" s="1" t="s">
        <v>3686</v>
      </c>
      <c r="C1431" s="1" t="s">
        <v>682</v>
      </c>
      <c r="D1431" s="1" t="s">
        <v>335</v>
      </c>
      <c r="E1431" s="2">
        <v>5.70038356517E11</v>
      </c>
      <c r="F1431" s="1" t="s">
        <v>3687</v>
      </c>
      <c r="G1431" s="1" t="s">
        <v>38</v>
      </c>
      <c r="H1431" s="3" t="s">
        <v>3267</v>
      </c>
      <c r="I1431" s="1"/>
    </row>
    <row r="1432" ht="15.75" customHeight="1">
      <c r="A1432" s="2">
        <v>1431.0</v>
      </c>
      <c r="B1432" s="1" t="s">
        <v>3688</v>
      </c>
      <c r="C1432" s="1" t="s">
        <v>682</v>
      </c>
      <c r="D1432" s="1" t="s">
        <v>335</v>
      </c>
      <c r="E1432" s="2">
        <v>5.70038356518E11</v>
      </c>
      <c r="F1432" s="1" t="s">
        <v>3689</v>
      </c>
      <c r="G1432" s="1" t="s">
        <v>38</v>
      </c>
      <c r="H1432" s="3" t="s">
        <v>3267</v>
      </c>
      <c r="I1432" s="1"/>
    </row>
    <row r="1433" ht="15.75" customHeight="1">
      <c r="A1433" s="2">
        <v>1432.0</v>
      </c>
      <c r="B1433" s="1" t="s">
        <v>621</v>
      </c>
      <c r="C1433" s="1" t="s">
        <v>3690</v>
      </c>
      <c r="D1433" s="1" t="s">
        <v>494</v>
      </c>
      <c r="E1433" s="2">
        <v>5.70038356519E11</v>
      </c>
      <c r="F1433" s="1" t="s">
        <v>3691</v>
      </c>
      <c r="G1433" s="1" t="s">
        <v>90</v>
      </c>
      <c r="H1433" s="3" t="s">
        <v>3595</v>
      </c>
      <c r="I1433" s="1"/>
    </row>
    <row r="1434" ht="15.75" customHeight="1">
      <c r="A1434" s="2">
        <v>1433.0</v>
      </c>
      <c r="B1434" s="1" t="s">
        <v>3618</v>
      </c>
      <c r="C1434" s="1" t="s">
        <v>286</v>
      </c>
      <c r="D1434" s="1" t="s">
        <v>3692</v>
      </c>
      <c r="E1434" s="2">
        <v>5.7003835652E11</v>
      </c>
      <c r="F1434" s="1" t="s">
        <v>3693</v>
      </c>
      <c r="G1434" s="1" t="s">
        <v>38</v>
      </c>
      <c r="H1434" s="3" t="s">
        <v>3694</v>
      </c>
      <c r="I1434" s="1"/>
    </row>
    <row r="1435" ht="15.75" customHeight="1">
      <c r="A1435" s="2">
        <v>1434.0</v>
      </c>
      <c r="B1435" s="1" t="s">
        <v>263</v>
      </c>
      <c r="C1435" s="1" t="s">
        <v>1832</v>
      </c>
      <c r="D1435" s="1" t="s">
        <v>3695</v>
      </c>
      <c r="E1435" s="2">
        <v>5.70038356523E11</v>
      </c>
      <c r="F1435" s="1" t="s">
        <v>3696</v>
      </c>
      <c r="G1435" s="1" t="s">
        <v>24</v>
      </c>
      <c r="H1435" s="3" t="s">
        <v>3267</v>
      </c>
      <c r="I1435" s="1"/>
    </row>
    <row r="1436" ht="15.75" customHeight="1">
      <c r="A1436" s="2">
        <v>1435.0</v>
      </c>
      <c r="B1436" s="1" t="s">
        <v>1287</v>
      </c>
      <c r="C1436" s="1" t="s">
        <v>3697</v>
      </c>
      <c r="D1436" s="1" t="s">
        <v>3627</v>
      </c>
      <c r="E1436" s="2">
        <v>5.7003835653E11</v>
      </c>
      <c r="F1436" s="1" t="s">
        <v>1221</v>
      </c>
      <c r="G1436" s="1" t="s">
        <v>24</v>
      </c>
      <c r="H1436" s="3" t="s">
        <v>3267</v>
      </c>
      <c r="I1436" s="1"/>
    </row>
    <row r="1437" ht="15.75" customHeight="1">
      <c r="A1437" s="2">
        <v>1436.0</v>
      </c>
      <c r="B1437" s="1" t="s">
        <v>285</v>
      </c>
      <c r="C1437" s="1" t="s">
        <v>3459</v>
      </c>
      <c r="D1437" s="1" t="s">
        <v>576</v>
      </c>
      <c r="E1437" s="2">
        <v>5.70038356531E11</v>
      </c>
      <c r="F1437" s="1" t="s">
        <v>3698</v>
      </c>
      <c r="G1437" s="1" t="s">
        <v>24</v>
      </c>
      <c r="H1437" s="3" t="s">
        <v>3267</v>
      </c>
      <c r="I1437" s="1"/>
    </row>
    <row r="1438" ht="15.75" customHeight="1">
      <c r="A1438" s="2">
        <v>1437.0</v>
      </c>
      <c r="B1438" s="1" t="s">
        <v>1133</v>
      </c>
      <c r="C1438" s="1" t="s">
        <v>3697</v>
      </c>
      <c r="D1438" s="1" t="s">
        <v>3627</v>
      </c>
      <c r="E1438" s="2">
        <v>5.70038356535E11</v>
      </c>
      <c r="F1438" s="1" t="s">
        <v>2961</v>
      </c>
      <c r="G1438" s="1" t="s">
        <v>38</v>
      </c>
      <c r="H1438" s="3" t="s">
        <v>3267</v>
      </c>
      <c r="I1438" s="1"/>
    </row>
    <row r="1439" ht="15.75" customHeight="1">
      <c r="A1439" s="2">
        <v>1438.0</v>
      </c>
      <c r="B1439" s="1" t="s">
        <v>118</v>
      </c>
      <c r="C1439" s="1" t="s">
        <v>3699</v>
      </c>
      <c r="D1439" s="1" t="s">
        <v>3700</v>
      </c>
      <c r="E1439" s="2">
        <v>5.70038356536E11</v>
      </c>
      <c r="F1439" s="1" t="s">
        <v>3701</v>
      </c>
      <c r="G1439" s="1" t="s">
        <v>24</v>
      </c>
      <c r="H1439" s="3" t="s">
        <v>3267</v>
      </c>
      <c r="I1439" s="1"/>
    </row>
    <row r="1440" ht="15.75" customHeight="1">
      <c r="A1440" s="2">
        <v>1439.0</v>
      </c>
      <c r="B1440" s="1" t="s">
        <v>403</v>
      </c>
      <c r="C1440" s="1" t="s">
        <v>3697</v>
      </c>
      <c r="D1440" s="1" t="s">
        <v>3702</v>
      </c>
      <c r="E1440" s="2">
        <v>5.70038356537E11</v>
      </c>
      <c r="F1440" s="1" t="s">
        <v>3703</v>
      </c>
      <c r="G1440" s="1" t="s">
        <v>24</v>
      </c>
      <c r="H1440" s="3" t="s">
        <v>3267</v>
      </c>
      <c r="I1440" s="1"/>
    </row>
    <row r="1441" ht="15.75" customHeight="1">
      <c r="A1441" s="2">
        <v>1440.0</v>
      </c>
      <c r="B1441" s="1" t="s">
        <v>2899</v>
      </c>
      <c r="C1441" s="1" t="s">
        <v>403</v>
      </c>
      <c r="D1441" s="1" t="s">
        <v>3704</v>
      </c>
      <c r="E1441" s="2">
        <v>5.70038356538E11</v>
      </c>
      <c r="F1441" s="1" t="s">
        <v>3705</v>
      </c>
      <c r="G1441" s="1" t="s">
        <v>47</v>
      </c>
      <c r="H1441" s="3" t="s">
        <v>3267</v>
      </c>
      <c r="I1441" s="1"/>
    </row>
    <row r="1442" ht="15.75" customHeight="1">
      <c r="A1442" s="2">
        <v>1441.0</v>
      </c>
      <c r="B1442" s="1" t="s">
        <v>2764</v>
      </c>
      <c r="C1442" s="1" t="s">
        <v>3697</v>
      </c>
      <c r="D1442" s="1" t="s">
        <v>3627</v>
      </c>
      <c r="E1442" s="2">
        <v>5.70038356542E11</v>
      </c>
      <c r="F1442" s="1" t="s">
        <v>3706</v>
      </c>
      <c r="G1442" s="1" t="s">
        <v>24</v>
      </c>
      <c r="H1442" s="3" t="s">
        <v>3267</v>
      </c>
      <c r="I1442" s="1"/>
    </row>
    <row r="1443" ht="15.75" customHeight="1">
      <c r="A1443" s="2">
        <v>1442.0</v>
      </c>
      <c r="B1443" s="1" t="s">
        <v>3707</v>
      </c>
      <c r="C1443" s="1" t="s">
        <v>3708</v>
      </c>
      <c r="D1443" s="1" t="s">
        <v>3709</v>
      </c>
      <c r="E1443" s="2">
        <v>5.70038356543E11</v>
      </c>
      <c r="F1443" s="1" t="s">
        <v>3710</v>
      </c>
      <c r="G1443" s="1" t="s">
        <v>24</v>
      </c>
      <c r="H1443" s="3" t="s">
        <v>3267</v>
      </c>
      <c r="I1443" s="1"/>
    </row>
    <row r="1444" ht="15.75" customHeight="1">
      <c r="A1444" s="2">
        <v>1443.0</v>
      </c>
      <c r="B1444" s="1" t="s">
        <v>118</v>
      </c>
      <c r="C1444" s="1" t="s">
        <v>591</v>
      </c>
      <c r="D1444" s="1" t="s">
        <v>62</v>
      </c>
      <c r="E1444" s="2">
        <v>5.70038356548E11</v>
      </c>
      <c r="F1444" s="1" t="s">
        <v>3711</v>
      </c>
      <c r="G1444" s="1" t="s">
        <v>24</v>
      </c>
      <c r="H1444" s="3" t="s">
        <v>3267</v>
      </c>
      <c r="I1444" s="1"/>
    </row>
    <row r="1445" ht="15.75" customHeight="1">
      <c r="A1445" s="2">
        <v>1444.0</v>
      </c>
      <c r="B1445" s="1" t="s">
        <v>3712</v>
      </c>
      <c r="C1445" s="1" t="s">
        <v>3713</v>
      </c>
      <c r="D1445" s="1" t="s">
        <v>3714</v>
      </c>
      <c r="E1445" s="2">
        <v>5.7003835655E11</v>
      </c>
      <c r="F1445" s="1" t="s">
        <v>2547</v>
      </c>
      <c r="G1445" s="1" t="s">
        <v>24</v>
      </c>
      <c r="H1445" s="3" t="s">
        <v>3267</v>
      </c>
      <c r="I1445" s="1"/>
    </row>
    <row r="1446" ht="15.75" customHeight="1">
      <c r="A1446" s="2">
        <v>1445.0</v>
      </c>
      <c r="B1446" s="1" t="s">
        <v>39</v>
      </c>
      <c r="C1446" s="1" t="s">
        <v>3697</v>
      </c>
      <c r="D1446" s="1" t="s">
        <v>324</v>
      </c>
      <c r="E1446" s="2">
        <v>5.70038356554E11</v>
      </c>
      <c r="F1446" s="1" t="s">
        <v>3715</v>
      </c>
      <c r="G1446" s="1" t="s">
        <v>38</v>
      </c>
      <c r="H1446" s="3" t="s">
        <v>3267</v>
      </c>
      <c r="I1446" s="1"/>
    </row>
    <row r="1447" ht="15.75" customHeight="1">
      <c r="A1447" s="2">
        <v>1446.0</v>
      </c>
      <c r="B1447" s="1" t="s">
        <v>1714</v>
      </c>
      <c r="C1447" s="1" t="s">
        <v>3716</v>
      </c>
      <c r="D1447" s="1" t="s">
        <v>904</v>
      </c>
      <c r="E1447" s="2">
        <v>5.7003835656E11</v>
      </c>
      <c r="F1447" s="1" t="s">
        <v>3717</v>
      </c>
      <c r="G1447" s="1" t="s">
        <v>18</v>
      </c>
      <c r="H1447" s="3" t="s">
        <v>3267</v>
      </c>
      <c r="I1447" s="1"/>
    </row>
    <row r="1448" ht="15.75" customHeight="1">
      <c r="A1448" s="2">
        <v>1447.0</v>
      </c>
      <c r="B1448" s="1" t="s">
        <v>323</v>
      </c>
      <c r="C1448" s="1" t="s">
        <v>1367</v>
      </c>
      <c r="D1448" s="1" t="s">
        <v>3627</v>
      </c>
      <c r="E1448" s="2">
        <v>5.70038356564E11</v>
      </c>
      <c r="F1448" s="1" t="s">
        <v>253</v>
      </c>
      <c r="G1448" s="1" t="s">
        <v>24</v>
      </c>
      <c r="H1448" s="3" t="s">
        <v>3267</v>
      </c>
      <c r="I1448" s="1"/>
    </row>
    <row r="1449" ht="15.75" customHeight="1">
      <c r="A1449" s="2">
        <v>1448.0</v>
      </c>
      <c r="B1449" s="1" t="s">
        <v>3718</v>
      </c>
      <c r="C1449" s="1" t="s">
        <v>3719</v>
      </c>
      <c r="D1449" s="1" t="s">
        <v>3720</v>
      </c>
      <c r="E1449" s="2">
        <v>5.70038356566E11</v>
      </c>
      <c r="F1449" s="1" t="s">
        <v>3721</v>
      </c>
      <c r="G1449" s="1" t="s">
        <v>90</v>
      </c>
      <c r="H1449" s="3" t="s">
        <v>3267</v>
      </c>
      <c r="I1449" s="1"/>
    </row>
    <row r="1450" ht="15.75" customHeight="1">
      <c r="A1450" s="2">
        <v>1449.0</v>
      </c>
      <c r="B1450" s="1" t="s">
        <v>780</v>
      </c>
      <c r="C1450" s="1" t="s">
        <v>1065</v>
      </c>
      <c r="D1450" s="1" t="s">
        <v>781</v>
      </c>
      <c r="E1450" s="2">
        <v>5.70038356569E11</v>
      </c>
      <c r="F1450" s="1" t="s">
        <v>3722</v>
      </c>
      <c r="G1450" s="1" t="s">
        <v>90</v>
      </c>
      <c r="H1450" s="3" t="s">
        <v>3267</v>
      </c>
      <c r="I1450" s="1"/>
    </row>
    <row r="1451" ht="15.75" customHeight="1">
      <c r="A1451" s="2">
        <v>1450.0</v>
      </c>
      <c r="B1451" s="1" t="s">
        <v>72</v>
      </c>
      <c r="C1451" s="1" t="s">
        <v>3723</v>
      </c>
      <c r="D1451" s="1" t="s">
        <v>62</v>
      </c>
      <c r="E1451" s="2">
        <v>5.7003835657E11</v>
      </c>
      <c r="F1451" s="1" t="s">
        <v>3724</v>
      </c>
      <c r="G1451" s="1" t="s">
        <v>24</v>
      </c>
      <c r="H1451" s="3" t="s">
        <v>3267</v>
      </c>
      <c r="I1451" s="1"/>
    </row>
    <row r="1452" ht="15.75" customHeight="1">
      <c r="A1452" s="2">
        <v>1451.0</v>
      </c>
      <c r="B1452" s="1" t="s">
        <v>1367</v>
      </c>
      <c r="C1452" s="1" t="s">
        <v>3459</v>
      </c>
      <c r="D1452" s="1" t="s">
        <v>576</v>
      </c>
      <c r="E1452" s="2">
        <v>5.70038356574E11</v>
      </c>
      <c r="F1452" s="1" t="s">
        <v>3725</v>
      </c>
      <c r="G1452" s="1" t="s">
        <v>38</v>
      </c>
      <c r="H1452" s="3" t="s">
        <v>3267</v>
      </c>
      <c r="I1452" s="1"/>
    </row>
    <row r="1453" ht="15.75" customHeight="1">
      <c r="A1453" s="2">
        <v>1452.0</v>
      </c>
      <c r="B1453" s="1" t="s">
        <v>1065</v>
      </c>
      <c r="C1453" s="1" t="s">
        <v>1367</v>
      </c>
      <c r="D1453" s="1" t="s">
        <v>3726</v>
      </c>
      <c r="E1453" s="2">
        <v>5.70038356576E11</v>
      </c>
      <c r="F1453" s="1" t="s">
        <v>3727</v>
      </c>
      <c r="G1453" s="1" t="s">
        <v>90</v>
      </c>
      <c r="H1453" s="3" t="s">
        <v>3267</v>
      </c>
      <c r="I1453" s="1"/>
    </row>
    <row r="1454" ht="15.75" customHeight="1">
      <c r="A1454" s="2">
        <v>1453.0</v>
      </c>
      <c r="B1454" s="1" t="s">
        <v>3728</v>
      </c>
      <c r="C1454" s="1" t="s">
        <v>3729</v>
      </c>
      <c r="D1454" s="1" t="s">
        <v>3730</v>
      </c>
      <c r="E1454" s="2">
        <v>5.70038356577E11</v>
      </c>
      <c r="F1454" s="1" t="s">
        <v>3731</v>
      </c>
      <c r="G1454" s="1" t="s">
        <v>24</v>
      </c>
      <c r="H1454" s="3" t="s">
        <v>3267</v>
      </c>
      <c r="I1454" s="1"/>
    </row>
    <row r="1455" ht="15.75" customHeight="1">
      <c r="A1455" s="2">
        <v>1454.0</v>
      </c>
      <c r="B1455" s="1" t="s">
        <v>1484</v>
      </c>
      <c r="C1455" s="1" t="s">
        <v>3732</v>
      </c>
      <c r="D1455" s="1" t="s">
        <v>3733</v>
      </c>
      <c r="E1455" s="2">
        <v>5.7003835658E11</v>
      </c>
      <c r="F1455" s="1" t="s">
        <v>3734</v>
      </c>
      <c r="G1455" s="1" t="s">
        <v>24</v>
      </c>
      <c r="H1455" s="3" t="s">
        <v>3267</v>
      </c>
      <c r="I1455" s="1"/>
    </row>
    <row r="1456" ht="15.75" customHeight="1">
      <c r="A1456" s="2">
        <v>1455.0</v>
      </c>
      <c r="B1456" s="1" t="s">
        <v>3735</v>
      </c>
      <c r="C1456" s="1" t="s">
        <v>1484</v>
      </c>
      <c r="D1456" s="1" t="s">
        <v>62</v>
      </c>
      <c r="E1456" s="2">
        <v>5.70038356582E11</v>
      </c>
      <c r="F1456" s="1" t="s">
        <v>3736</v>
      </c>
      <c r="G1456" s="1" t="s">
        <v>90</v>
      </c>
      <c r="H1456" s="3" t="s">
        <v>3267</v>
      </c>
      <c r="I1456" s="1"/>
    </row>
    <row r="1457" ht="15.75" customHeight="1">
      <c r="A1457" s="2">
        <v>1456.0</v>
      </c>
      <c r="B1457" s="1" t="s">
        <v>3737</v>
      </c>
      <c r="C1457" s="1" t="s">
        <v>3738</v>
      </c>
      <c r="D1457" s="1" t="s">
        <v>1270</v>
      </c>
      <c r="E1457" s="2">
        <v>5.70038356584E11</v>
      </c>
      <c r="F1457" s="1" t="s">
        <v>3739</v>
      </c>
      <c r="G1457" s="1" t="s">
        <v>47</v>
      </c>
      <c r="H1457" s="3" t="s">
        <v>3267</v>
      </c>
      <c r="I1457" s="1"/>
    </row>
    <row r="1458" ht="15.75" customHeight="1">
      <c r="A1458" s="2">
        <v>1457.0</v>
      </c>
      <c r="B1458" s="1" t="s">
        <v>3740</v>
      </c>
      <c r="C1458" s="1" t="s">
        <v>3741</v>
      </c>
      <c r="D1458" s="1" t="s">
        <v>1270</v>
      </c>
      <c r="E1458" s="2">
        <v>5.70038356586E11</v>
      </c>
      <c r="F1458" s="1" t="s">
        <v>3742</v>
      </c>
      <c r="G1458" s="1" t="s">
        <v>38</v>
      </c>
      <c r="H1458" s="3" t="s">
        <v>3267</v>
      </c>
      <c r="I1458" s="1"/>
    </row>
    <row r="1459" ht="15.75" customHeight="1">
      <c r="A1459" s="2">
        <v>1458.0</v>
      </c>
      <c r="B1459" s="1" t="s">
        <v>125</v>
      </c>
      <c r="C1459" s="1" t="s">
        <v>3743</v>
      </c>
      <c r="D1459" s="1" t="s">
        <v>1270</v>
      </c>
      <c r="E1459" s="2">
        <v>5.70038356589E11</v>
      </c>
      <c r="F1459" s="1" t="s">
        <v>3701</v>
      </c>
      <c r="G1459" s="1" t="s">
        <v>38</v>
      </c>
      <c r="H1459" s="3" t="s">
        <v>3267</v>
      </c>
      <c r="I1459" s="1"/>
    </row>
    <row r="1460" ht="15.75" customHeight="1">
      <c r="A1460" s="2">
        <v>1459.0</v>
      </c>
      <c r="B1460" s="1" t="s">
        <v>133</v>
      </c>
      <c r="C1460" s="1" t="s">
        <v>3744</v>
      </c>
      <c r="D1460" s="1" t="s">
        <v>3745</v>
      </c>
      <c r="E1460" s="2">
        <v>5.70038356591E11</v>
      </c>
      <c r="F1460" s="1" t="s">
        <v>3746</v>
      </c>
      <c r="G1460" s="1" t="s">
        <v>24</v>
      </c>
      <c r="H1460" s="3" t="s">
        <v>3267</v>
      </c>
      <c r="I1460" s="1"/>
    </row>
    <row r="1461" ht="15.75" customHeight="1">
      <c r="A1461" s="2">
        <v>1460.0</v>
      </c>
      <c r="B1461" s="1" t="s">
        <v>3747</v>
      </c>
      <c r="C1461" s="1" t="s">
        <v>1865</v>
      </c>
      <c r="D1461" s="1" t="s">
        <v>3748</v>
      </c>
      <c r="E1461" s="2">
        <v>5.70038356592E11</v>
      </c>
      <c r="F1461" s="1" t="s">
        <v>2620</v>
      </c>
      <c r="G1461" s="1" t="s">
        <v>24</v>
      </c>
      <c r="H1461" s="3" t="s">
        <v>3267</v>
      </c>
      <c r="I1461" s="1"/>
    </row>
    <row r="1462" ht="15.75" customHeight="1">
      <c r="A1462" s="2">
        <v>1461.0</v>
      </c>
      <c r="B1462" s="1" t="s">
        <v>3749</v>
      </c>
      <c r="C1462" s="1" t="s">
        <v>3750</v>
      </c>
      <c r="D1462" s="1" t="s">
        <v>1265</v>
      </c>
      <c r="E1462" s="2">
        <v>5.70038356593E11</v>
      </c>
      <c r="F1462" s="1" t="s">
        <v>3751</v>
      </c>
      <c r="G1462" s="1" t="s">
        <v>90</v>
      </c>
      <c r="H1462" s="3" t="s">
        <v>3267</v>
      </c>
      <c r="I1462" s="1"/>
    </row>
    <row r="1463" ht="15.75" customHeight="1">
      <c r="A1463" s="2">
        <v>1462.0</v>
      </c>
      <c r="B1463" s="1" t="s">
        <v>1088</v>
      </c>
      <c r="C1463" s="1" t="s">
        <v>3752</v>
      </c>
      <c r="D1463" s="1" t="s">
        <v>1265</v>
      </c>
      <c r="E1463" s="2">
        <v>5.70038356596E11</v>
      </c>
      <c r="F1463" s="1" t="s">
        <v>1738</v>
      </c>
      <c r="G1463" s="1" t="s">
        <v>90</v>
      </c>
      <c r="H1463" s="3" t="s">
        <v>3267</v>
      </c>
      <c r="I1463" s="1"/>
    </row>
    <row r="1464" ht="15.75" customHeight="1">
      <c r="A1464" s="2">
        <v>1463.0</v>
      </c>
      <c r="B1464" s="1" t="s">
        <v>66</v>
      </c>
      <c r="C1464" s="1" t="s">
        <v>3719</v>
      </c>
      <c r="D1464" s="1" t="s">
        <v>3753</v>
      </c>
      <c r="E1464" s="2">
        <v>5.70038356603E11</v>
      </c>
      <c r="F1464" s="1" t="s">
        <v>3754</v>
      </c>
      <c r="G1464" s="1" t="s">
        <v>90</v>
      </c>
      <c r="H1464" s="3" t="s">
        <v>3267</v>
      </c>
      <c r="I1464" s="1"/>
    </row>
    <row r="1465" ht="15.75" customHeight="1">
      <c r="A1465" s="2">
        <v>1464.0</v>
      </c>
      <c r="B1465" s="1" t="s">
        <v>130</v>
      </c>
      <c r="C1465" s="1" t="s">
        <v>3755</v>
      </c>
      <c r="D1465" s="1" t="s">
        <v>1270</v>
      </c>
      <c r="E1465" s="2">
        <v>5.70038356605E11</v>
      </c>
      <c r="F1465" s="1" t="s">
        <v>3756</v>
      </c>
      <c r="G1465" s="1" t="s">
        <v>38</v>
      </c>
      <c r="H1465" s="3" t="s">
        <v>3267</v>
      </c>
      <c r="I1465" s="1"/>
    </row>
    <row r="1466" ht="15.75" customHeight="1">
      <c r="A1466" s="2">
        <v>1465.0</v>
      </c>
      <c r="B1466" s="1" t="s">
        <v>330</v>
      </c>
      <c r="C1466" s="1" t="s">
        <v>3665</v>
      </c>
      <c r="D1466" s="1" t="s">
        <v>3757</v>
      </c>
      <c r="E1466" s="2">
        <v>5.70038356607E11</v>
      </c>
      <c r="F1466" s="1" t="s">
        <v>3758</v>
      </c>
      <c r="G1466" s="1" t="s">
        <v>38</v>
      </c>
      <c r="H1466" s="3" t="s">
        <v>3267</v>
      </c>
      <c r="I1466" s="1"/>
    </row>
    <row r="1467" ht="15.75" customHeight="1">
      <c r="A1467" s="2">
        <v>1466.0</v>
      </c>
      <c r="B1467" s="1" t="s">
        <v>3759</v>
      </c>
      <c r="C1467" s="1" t="s">
        <v>635</v>
      </c>
      <c r="D1467" s="1" t="s">
        <v>307</v>
      </c>
      <c r="E1467" s="2">
        <v>5.70038356608E11</v>
      </c>
      <c r="F1467" s="1" t="s">
        <v>3760</v>
      </c>
      <c r="G1467" s="1" t="s">
        <v>18</v>
      </c>
      <c r="H1467" s="3" t="s">
        <v>3267</v>
      </c>
      <c r="I1467" s="1"/>
    </row>
    <row r="1468" ht="15.75" customHeight="1">
      <c r="A1468" s="2">
        <v>1467.0</v>
      </c>
      <c r="B1468" s="1" t="s">
        <v>3761</v>
      </c>
      <c r="C1468" s="1" t="s">
        <v>1088</v>
      </c>
      <c r="D1468" s="1" t="s">
        <v>3762</v>
      </c>
      <c r="E1468" s="2">
        <v>5.70038356609E11</v>
      </c>
      <c r="F1468" s="1" t="s">
        <v>3763</v>
      </c>
      <c r="G1468" s="1" t="s">
        <v>24</v>
      </c>
      <c r="H1468" s="3" t="s">
        <v>3267</v>
      </c>
      <c r="I1468" s="1"/>
    </row>
    <row r="1469" ht="15.75" customHeight="1">
      <c r="A1469" s="2">
        <v>1468.0</v>
      </c>
      <c r="B1469" s="1" t="s">
        <v>3764</v>
      </c>
      <c r="C1469" s="1" t="s">
        <v>3765</v>
      </c>
      <c r="D1469" s="1" t="s">
        <v>3766</v>
      </c>
      <c r="E1469" s="2">
        <v>5.70038356612E11</v>
      </c>
      <c r="F1469" s="1" t="s">
        <v>3767</v>
      </c>
      <c r="G1469" s="1" t="s">
        <v>90</v>
      </c>
      <c r="H1469" s="3" t="s">
        <v>3267</v>
      </c>
      <c r="I1469" s="1"/>
    </row>
    <row r="1470" ht="15.75" customHeight="1">
      <c r="A1470" s="2">
        <v>1469.0</v>
      </c>
      <c r="B1470" s="1" t="s">
        <v>3768</v>
      </c>
      <c r="C1470" s="1" t="s">
        <v>1368</v>
      </c>
      <c r="D1470" s="1" t="s">
        <v>3769</v>
      </c>
      <c r="E1470" s="2">
        <v>5.70038356616E11</v>
      </c>
      <c r="F1470" s="1" t="s">
        <v>3770</v>
      </c>
      <c r="G1470" s="1" t="s">
        <v>18</v>
      </c>
      <c r="H1470" s="3" t="s">
        <v>3267</v>
      </c>
      <c r="I1470" s="1"/>
    </row>
    <row r="1471" ht="15.75" customHeight="1">
      <c r="A1471" s="2">
        <v>1470.0</v>
      </c>
      <c r="B1471" s="1" t="s">
        <v>3771</v>
      </c>
      <c r="C1471" s="1" t="s">
        <v>3772</v>
      </c>
      <c r="D1471" s="1" t="s">
        <v>576</v>
      </c>
      <c r="E1471" s="2">
        <v>5.70038356624E11</v>
      </c>
      <c r="F1471" s="1" t="s">
        <v>3773</v>
      </c>
      <c r="G1471" s="1" t="s">
        <v>24</v>
      </c>
      <c r="H1471" s="3" t="s">
        <v>3267</v>
      </c>
      <c r="I1471" s="1"/>
    </row>
    <row r="1472" ht="15.75" customHeight="1">
      <c r="A1472" s="2">
        <v>1471.0</v>
      </c>
      <c r="B1472" s="1" t="s">
        <v>848</v>
      </c>
      <c r="C1472" s="1" t="s">
        <v>344</v>
      </c>
      <c r="D1472" s="1" t="s">
        <v>324</v>
      </c>
      <c r="E1472" s="2">
        <v>5.70038356625E11</v>
      </c>
      <c r="F1472" s="1" t="s">
        <v>3774</v>
      </c>
      <c r="G1472" s="1" t="s">
        <v>18</v>
      </c>
      <c r="H1472" s="3" t="s">
        <v>3267</v>
      </c>
      <c r="I1472" s="1"/>
    </row>
    <row r="1473" ht="15.75" customHeight="1">
      <c r="A1473" s="2">
        <v>1472.0</v>
      </c>
      <c r="B1473" s="1" t="s">
        <v>3775</v>
      </c>
      <c r="C1473" s="1" t="s">
        <v>3776</v>
      </c>
      <c r="D1473" s="1" t="s">
        <v>1575</v>
      </c>
      <c r="E1473" s="2">
        <v>5.70038356626E11</v>
      </c>
      <c r="F1473" s="1" t="s">
        <v>3777</v>
      </c>
      <c r="G1473" s="1" t="s">
        <v>18</v>
      </c>
      <c r="H1473" s="3" t="s">
        <v>3267</v>
      </c>
      <c r="I1473" s="1"/>
    </row>
    <row r="1474" ht="15.75" customHeight="1">
      <c r="A1474" s="2">
        <v>1473.0</v>
      </c>
      <c r="B1474" s="1" t="s">
        <v>149</v>
      </c>
      <c r="C1474" s="1" t="s">
        <v>263</v>
      </c>
      <c r="D1474" s="1" t="s">
        <v>320</v>
      </c>
      <c r="E1474" s="2">
        <v>5.70038356627E11</v>
      </c>
      <c r="F1474" s="1" t="s">
        <v>1969</v>
      </c>
      <c r="G1474" s="1" t="s">
        <v>18</v>
      </c>
      <c r="H1474" s="3" t="s">
        <v>3267</v>
      </c>
      <c r="I1474" s="1"/>
    </row>
    <row r="1475" ht="15.75" customHeight="1">
      <c r="A1475" s="2">
        <v>1474.0</v>
      </c>
      <c r="B1475" s="1" t="s">
        <v>3778</v>
      </c>
      <c r="C1475" s="1" t="s">
        <v>3779</v>
      </c>
      <c r="D1475" s="1" t="s">
        <v>3780</v>
      </c>
      <c r="E1475" s="2" t="s">
        <v>3781</v>
      </c>
      <c r="F1475" s="1" t="s">
        <v>3782</v>
      </c>
      <c r="G1475" s="1" t="s">
        <v>3783</v>
      </c>
      <c r="H1475" s="3" t="s">
        <v>3784</v>
      </c>
      <c r="I1475" s="1" t="s">
        <v>2188</v>
      </c>
      <c r="J1475" s="5" t="s">
        <v>3785</v>
      </c>
    </row>
    <row r="1476" ht="15.75" customHeight="1">
      <c r="A1476" s="2">
        <v>1475.0</v>
      </c>
      <c r="B1476" s="1" t="s">
        <v>3786</v>
      </c>
      <c r="C1476" s="1" t="s">
        <v>3787</v>
      </c>
      <c r="D1476" s="1" t="s">
        <v>3788</v>
      </c>
      <c r="E1476" s="2" t="s">
        <v>3789</v>
      </c>
      <c r="F1476" s="1" t="s">
        <v>3790</v>
      </c>
      <c r="G1476" s="1" t="s">
        <v>3791</v>
      </c>
      <c r="H1476" s="3" t="s">
        <v>3784</v>
      </c>
      <c r="I1476" s="1" t="s">
        <v>2188</v>
      </c>
      <c r="J1476" s="5" t="s">
        <v>3785</v>
      </c>
    </row>
    <row r="1477" ht="15.75" customHeight="1">
      <c r="A1477" s="5">
        <v>1476.0</v>
      </c>
      <c r="B1477" s="5" t="s">
        <v>3792</v>
      </c>
      <c r="C1477" s="5" t="s">
        <v>3793</v>
      </c>
      <c r="D1477" s="5" t="s">
        <v>3788</v>
      </c>
      <c r="E1477" s="5" t="s">
        <v>3794</v>
      </c>
      <c r="F1477" s="5" t="s">
        <v>3795</v>
      </c>
      <c r="G1477" s="5" t="s">
        <v>3796</v>
      </c>
      <c r="H1477" s="5" t="s">
        <v>3784</v>
      </c>
      <c r="I1477" s="5" t="s">
        <v>2188</v>
      </c>
      <c r="J1477" s="5" t="s">
        <v>3785</v>
      </c>
    </row>
    <row r="1478" ht="15.75" customHeight="1">
      <c r="A1478" s="5">
        <v>1477.0</v>
      </c>
      <c r="B1478" s="5" t="s">
        <v>3797</v>
      </c>
      <c r="C1478" s="5" t="s">
        <v>3798</v>
      </c>
      <c r="D1478" s="5" t="s">
        <v>3799</v>
      </c>
      <c r="E1478" s="5" t="s">
        <v>3800</v>
      </c>
      <c r="F1478" s="5" t="s">
        <v>3801</v>
      </c>
      <c r="G1478" s="5" t="s">
        <v>3802</v>
      </c>
      <c r="H1478" s="5" t="s">
        <v>3784</v>
      </c>
      <c r="I1478" s="5" t="s">
        <v>2188</v>
      </c>
      <c r="J1478" s="5" t="s">
        <v>3785</v>
      </c>
    </row>
    <row r="1479" ht="15.75" customHeight="1">
      <c r="A1479" s="5">
        <v>1478.0</v>
      </c>
      <c r="B1479" s="5" t="s">
        <v>3803</v>
      </c>
      <c r="C1479" s="5" t="s">
        <v>3804</v>
      </c>
      <c r="D1479" s="5" t="s">
        <v>3788</v>
      </c>
      <c r="E1479" s="5" t="s">
        <v>3805</v>
      </c>
      <c r="F1479" s="5" t="s">
        <v>3806</v>
      </c>
      <c r="G1479" s="5" t="s">
        <v>3807</v>
      </c>
      <c r="H1479" s="5" t="s">
        <v>3784</v>
      </c>
      <c r="I1479" s="5" t="s">
        <v>2188</v>
      </c>
      <c r="J1479" s="5" t="s">
        <v>3785</v>
      </c>
    </row>
    <row r="1480" ht="15.75" customHeight="1">
      <c r="A1480" s="5">
        <v>1479.0</v>
      </c>
      <c r="B1480" s="5" t="s">
        <v>3808</v>
      </c>
      <c r="C1480" s="5" t="s">
        <v>3809</v>
      </c>
      <c r="D1480" s="5" t="s">
        <v>2450</v>
      </c>
      <c r="E1480" s="5" t="s">
        <v>3810</v>
      </c>
      <c r="F1480" s="5" t="s">
        <v>3811</v>
      </c>
      <c r="G1480" s="5" t="s">
        <v>3807</v>
      </c>
      <c r="H1480" s="5" t="s">
        <v>3784</v>
      </c>
      <c r="I1480" s="5" t="s">
        <v>2188</v>
      </c>
      <c r="J1480" s="5" t="s">
        <v>3785</v>
      </c>
    </row>
    <row r="1481" ht="15.75" customHeight="1">
      <c r="A1481" s="5">
        <v>1480.0</v>
      </c>
      <c r="B1481" s="5" t="s">
        <v>3812</v>
      </c>
      <c r="C1481" s="5" t="s">
        <v>3809</v>
      </c>
      <c r="D1481" s="5" t="s">
        <v>2450</v>
      </c>
      <c r="E1481" s="5" t="s">
        <v>3813</v>
      </c>
      <c r="F1481" s="5" t="s">
        <v>3814</v>
      </c>
      <c r="G1481" s="5" t="s">
        <v>3815</v>
      </c>
      <c r="H1481" s="5" t="s">
        <v>3784</v>
      </c>
      <c r="I1481" s="5" t="s">
        <v>2188</v>
      </c>
      <c r="J1481" s="5" t="s">
        <v>3785</v>
      </c>
    </row>
    <row r="1482" ht="15.75" customHeight="1">
      <c r="A1482" s="5">
        <v>1481.0</v>
      </c>
      <c r="B1482" s="5" t="s">
        <v>3816</v>
      </c>
      <c r="C1482" s="5" t="s">
        <v>3817</v>
      </c>
      <c r="D1482" s="5" t="s">
        <v>3818</v>
      </c>
      <c r="E1482" s="5" t="s">
        <v>3819</v>
      </c>
      <c r="F1482" s="5" t="s">
        <v>3820</v>
      </c>
      <c r="G1482" s="5" t="s">
        <v>3815</v>
      </c>
      <c r="H1482" s="5" t="s">
        <v>3784</v>
      </c>
      <c r="I1482" s="5" t="s">
        <v>2188</v>
      </c>
      <c r="J1482" s="5" t="s">
        <v>3785</v>
      </c>
    </row>
    <row r="1483" ht="15.75" customHeight="1">
      <c r="A1483" s="5">
        <v>1482.0</v>
      </c>
      <c r="B1483" s="5" t="s">
        <v>3821</v>
      </c>
      <c r="C1483" s="5" t="s">
        <v>3809</v>
      </c>
      <c r="D1483" s="5" t="s">
        <v>2450</v>
      </c>
      <c r="E1483" s="5" t="s">
        <v>3822</v>
      </c>
      <c r="F1483" s="5" t="s">
        <v>3823</v>
      </c>
      <c r="G1483" s="5" t="s">
        <v>3815</v>
      </c>
      <c r="H1483" s="5" t="s">
        <v>3784</v>
      </c>
      <c r="I1483" s="5" t="s">
        <v>2188</v>
      </c>
      <c r="J1483" s="5" t="s">
        <v>3785</v>
      </c>
    </row>
    <row r="1484" ht="15.75" customHeight="1">
      <c r="A1484" s="5">
        <v>1483.0</v>
      </c>
      <c r="B1484" s="5" t="s">
        <v>3824</v>
      </c>
      <c r="C1484" s="5" t="s">
        <v>3809</v>
      </c>
      <c r="D1484" s="5" t="s">
        <v>2450</v>
      </c>
      <c r="E1484" s="5" t="s">
        <v>3825</v>
      </c>
      <c r="F1484" s="5" t="s">
        <v>3826</v>
      </c>
      <c r="G1484" s="5" t="s">
        <v>3791</v>
      </c>
      <c r="H1484" s="5" t="s">
        <v>3784</v>
      </c>
      <c r="I1484" s="5" t="s">
        <v>2188</v>
      </c>
      <c r="J1484" s="5" t="s">
        <v>3785</v>
      </c>
    </row>
    <row r="1485" ht="15.75" customHeight="1">
      <c r="A1485" s="5">
        <v>1484.0</v>
      </c>
      <c r="B1485" s="5" t="s">
        <v>3827</v>
      </c>
      <c r="C1485" s="5" t="s">
        <v>3828</v>
      </c>
      <c r="D1485" s="5" t="s">
        <v>3829</v>
      </c>
      <c r="E1485" s="5" t="s">
        <v>3830</v>
      </c>
      <c r="F1485" s="5" t="s">
        <v>3831</v>
      </c>
      <c r="G1485" s="5" t="s">
        <v>3807</v>
      </c>
      <c r="H1485" s="5" t="s">
        <v>3784</v>
      </c>
      <c r="I1485" s="5" t="s">
        <v>2188</v>
      </c>
      <c r="J1485" s="5" t="s">
        <v>3785</v>
      </c>
    </row>
    <row r="1486" ht="15.75" customHeight="1">
      <c r="A1486" s="5">
        <v>1485.0</v>
      </c>
      <c r="B1486" s="5" t="s">
        <v>3832</v>
      </c>
      <c r="C1486" s="5" t="s">
        <v>3833</v>
      </c>
      <c r="D1486" s="5" t="s">
        <v>3834</v>
      </c>
      <c r="E1486" s="5" t="s">
        <v>3835</v>
      </c>
      <c r="F1486" s="5" t="s">
        <v>3836</v>
      </c>
      <c r="G1486" s="5" t="s">
        <v>3807</v>
      </c>
      <c r="H1486" s="5" t="s">
        <v>3784</v>
      </c>
      <c r="I1486" s="5" t="s">
        <v>2188</v>
      </c>
      <c r="J1486" s="5" t="s">
        <v>3785</v>
      </c>
    </row>
    <row r="1487" ht="15.75" customHeight="1">
      <c r="A1487" s="5">
        <v>1486.0</v>
      </c>
      <c r="B1487" s="5" t="s">
        <v>3837</v>
      </c>
      <c r="C1487" s="5" t="s">
        <v>3838</v>
      </c>
      <c r="D1487" s="5" t="s">
        <v>3839</v>
      </c>
      <c r="E1487" s="5" t="s">
        <v>3840</v>
      </c>
      <c r="F1487" s="5" t="s">
        <v>3841</v>
      </c>
      <c r="G1487" s="5" t="s">
        <v>3807</v>
      </c>
      <c r="H1487" s="5" t="s">
        <v>3784</v>
      </c>
      <c r="I1487" s="5" t="s">
        <v>2188</v>
      </c>
      <c r="J1487" s="5" t="s">
        <v>3785</v>
      </c>
    </row>
    <row r="1488" ht="15.75" customHeight="1">
      <c r="A1488" s="5">
        <v>1487.0</v>
      </c>
      <c r="B1488" s="5" t="s">
        <v>3842</v>
      </c>
      <c r="C1488" s="5" t="s">
        <v>3843</v>
      </c>
      <c r="D1488" s="5" t="s">
        <v>3844</v>
      </c>
      <c r="E1488" s="5" t="s">
        <v>3845</v>
      </c>
      <c r="F1488" s="5" t="s">
        <v>3846</v>
      </c>
      <c r="G1488" s="5" t="s">
        <v>3807</v>
      </c>
      <c r="H1488" s="5" t="s">
        <v>3784</v>
      </c>
      <c r="I1488" s="5" t="s">
        <v>2188</v>
      </c>
      <c r="J1488" s="5" t="s">
        <v>3785</v>
      </c>
    </row>
    <row r="1489" ht="15.75" customHeight="1">
      <c r="A1489" s="5">
        <v>1488.0</v>
      </c>
      <c r="B1489" s="5" t="s">
        <v>3847</v>
      </c>
      <c r="C1489" s="5" t="s">
        <v>3843</v>
      </c>
      <c r="D1489" s="5" t="s">
        <v>3844</v>
      </c>
      <c r="E1489" s="5" t="s">
        <v>3848</v>
      </c>
      <c r="F1489" s="5" t="s">
        <v>3849</v>
      </c>
      <c r="G1489" s="5" t="s">
        <v>3850</v>
      </c>
      <c r="H1489" s="5" t="s">
        <v>3784</v>
      </c>
      <c r="I1489" s="5" t="s">
        <v>2188</v>
      </c>
      <c r="J1489" s="5" t="s">
        <v>3785</v>
      </c>
    </row>
    <row r="1490" ht="15.75" customHeight="1">
      <c r="A1490" s="5">
        <v>1489.0</v>
      </c>
      <c r="B1490" s="5" t="s">
        <v>3851</v>
      </c>
      <c r="C1490" s="5" t="s">
        <v>3852</v>
      </c>
      <c r="D1490" s="5" t="s">
        <v>3853</v>
      </c>
      <c r="E1490" s="5" t="s">
        <v>3854</v>
      </c>
      <c r="F1490" s="5" t="s">
        <v>3855</v>
      </c>
      <c r="G1490" s="5" t="s">
        <v>3807</v>
      </c>
      <c r="H1490" s="5" t="s">
        <v>3784</v>
      </c>
      <c r="I1490" s="5" t="s">
        <v>2188</v>
      </c>
      <c r="J1490" s="5" t="s">
        <v>3785</v>
      </c>
    </row>
    <row r="1491" ht="15.75" customHeight="1">
      <c r="A1491" s="5">
        <v>1490.0</v>
      </c>
      <c r="B1491" s="5" t="s">
        <v>3856</v>
      </c>
      <c r="C1491" s="5" t="s">
        <v>3857</v>
      </c>
      <c r="D1491" s="5" t="s">
        <v>3858</v>
      </c>
      <c r="E1491" s="5" t="s">
        <v>3859</v>
      </c>
      <c r="F1491" s="5" t="s">
        <v>3860</v>
      </c>
      <c r="G1491" s="5" t="s">
        <v>3807</v>
      </c>
      <c r="H1491" s="5" t="s">
        <v>3784</v>
      </c>
      <c r="I1491" s="5" t="s">
        <v>2188</v>
      </c>
      <c r="J1491" s="5" t="s">
        <v>3785</v>
      </c>
    </row>
    <row r="1492" ht="15.75" customHeight="1">
      <c r="A1492" s="5">
        <v>1491.0</v>
      </c>
      <c r="B1492" s="5" t="s">
        <v>3861</v>
      </c>
      <c r="C1492" s="5" t="s">
        <v>3862</v>
      </c>
      <c r="D1492" s="5" t="s">
        <v>3863</v>
      </c>
      <c r="E1492" s="5" t="s">
        <v>3864</v>
      </c>
      <c r="F1492" s="5" t="s">
        <v>3865</v>
      </c>
      <c r="G1492" s="5" t="s">
        <v>3866</v>
      </c>
      <c r="H1492" s="5" t="s">
        <v>3784</v>
      </c>
      <c r="I1492" s="5" t="s">
        <v>2188</v>
      </c>
      <c r="J1492" s="5" t="s">
        <v>3785</v>
      </c>
    </row>
    <row r="1493" ht="15.75" customHeight="1">
      <c r="A1493" s="5">
        <v>1492.0</v>
      </c>
      <c r="B1493" s="5" t="s">
        <v>3867</v>
      </c>
      <c r="C1493" s="5" t="s">
        <v>3868</v>
      </c>
      <c r="D1493" s="5" t="s">
        <v>3869</v>
      </c>
      <c r="E1493" s="5" t="s">
        <v>3870</v>
      </c>
      <c r="F1493" s="5" t="s">
        <v>3871</v>
      </c>
      <c r="G1493" s="5" t="s">
        <v>3815</v>
      </c>
      <c r="H1493" s="5" t="s">
        <v>3784</v>
      </c>
      <c r="I1493" s="5" t="s">
        <v>2188</v>
      </c>
      <c r="J1493" s="5" t="s">
        <v>3785</v>
      </c>
    </row>
    <row r="1494" ht="15.75" customHeight="1">
      <c r="A1494" s="5">
        <v>1493.0</v>
      </c>
      <c r="B1494" s="5" t="s">
        <v>3872</v>
      </c>
      <c r="C1494" s="5" t="s">
        <v>3868</v>
      </c>
      <c r="D1494" s="5" t="s">
        <v>3869</v>
      </c>
      <c r="E1494" s="5" t="s">
        <v>3873</v>
      </c>
      <c r="F1494" s="5" t="s">
        <v>3874</v>
      </c>
      <c r="G1494" s="5" t="s">
        <v>3815</v>
      </c>
      <c r="H1494" s="5" t="s">
        <v>3784</v>
      </c>
      <c r="I1494" s="5" t="s">
        <v>2188</v>
      </c>
      <c r="J1494" s="5" t="s">
        <v>3785</v>
      </c>
    </row>
    <row r="1495" ht="15.75" customHeight="1">
      <c r="A1495" s="2">
        <v>1494.0</v>
      </c>
      <c r="B1495" s="1" t="s">
        <v>3875</v>
      </c>
      <c r="C1495" s="1" t="s">
        <v>3876</v>
      </c>
      <c r="D1495" s="1" t="s">
        <v>3877</v>
      </c>
      <c r="E1495" s="2" t="s">
        <v>3878</v>
      </c>
      <c r="F1495" s="1" t="s">
        <v>3879</v>
      </c>
      <c r="G1495" s="1" t="s">
        <v>3791</v>
      </c>
      <c r="H1495" s="3" t="s">
        <v>3784</v>
      </c>
      <c r="I1495" s="1" t="s">
        <v>2188</v>
      </c>
      <c r="J1495" s="5" t="s">
        <v>3785</v>
      </c>
    </row>
    <row r="1496" ht="15.75" customHeight="1">
      <c r="A1496" s="2">
        <v>1495.0</v>
      </c>
      <c r="B1496" s="1" t="s">
        <v>3867</v>
      </c>
      <c r="C1496" s="1" t="s">
        <v>3880</v>
      </c>
      <c r="D1496" s="1" t="s">
        <v>3881</v>
      </c>
      <c r="E1496" s="2" t="s">
        <v>3882</v>
      </c>
      <c r="F1496" s="1" t="s">
        <v>3883</v>
      </c>
      <c r="G1496" s="1" t="s">
        <v>3807</v>
      </c>
      <c r="H1496" s="3" t="s">
        <v>3784</v>
      </c>
      <c r="I1496" s="1" t="s">
        <v>2188</v>
      </c>
      <c r="J1496" s="5" t="s">
        <v>3785</v>
      </c>
    </row>
    <row r="1497" ht="15.75" customHeight="1">
      <c r="A1497" s="2">
        <v>1496.0</v>
      </c>
      <c r="B1497" s="1" t="s">
        <v>3884</v>
      </c>
      <c r="C1497" s="1" t="s">
        <v>3804</v>
      </c>
      <c r="D1497" s="1" t="s">
        <v>3885</v>
      </c>
      <c r="E1497" s="2" t="s">
        <v>3886</v>
      </c>
      <c r="F1497" s="1" t="s">
        <v>3887</v>
      </c>
      <c r="G1497" s="1" t="s">
        <v>3807</v>
      </c>
      <c r="H1497" s="3" t="s">
        <v>3784</v>
      </c>
      <c r="I1497" s="1" t="s">
        <v>2188</v>
      </c>
      <c r="J1497" s="5" t="s">
        <v>3785</v>
      </c>
    </row>
    <row r="1498" ht="15.75" customHeight="1">
      <c r="A1498" s="2">
        <v>1497.0</v>
      </c>
      <c r="B1498" s="1" t="s">
        <v>3888</v>
      </c>
      <c r="C1498" s="1" t="s">
        <v>3889</v>
      </c>
      <c r="D1498" s="1" t="s">
        <v>3890</v>
      </c>
      <c r="E1498" s="2" t="s">
        <v>3891</v>
      </c>
      <c r="F1498" s="1" t="s">
        <v>3892</v>
      </c>
      <c r="G1498" s="1" t="s">
        <v>3791</v>
      </c>
      <c r="H1498" s="3" t="s">
        <v>3784</v>
      </c>
      <c r="I1498" s="1" t="s">
        <v>2188</v>
      </c>
      <c r="J1498" s="5" t="s">
        <v>3785</v>
      </c>
    </row>
    <row r="1499" ht="15.75" customHeight="1">
      <c r="A1499" s="2">
        <v>1498.0</v>
      </c>
      <c r="B1499" s="1" t="s">
        <v>3893</v>
      </c>
      <c r="C1499" s="1" t="s">
        <v>3833</v>
      </c>
      <c r="D1499" s="1" t="s">
        <v>3894</v>
      </c>
      <c r="E1499" s="2" t="s">
        <v>3895</v>
      </c>
      <c r="F1499" s="1" t="s">
        <v>3896</v>
      </c>
      <c r="G1499" s="1" t="s">
        <v>3807</v>
      </c>
      <c r="H1499" s="3" t="s">
        <v>3784</v>
      </c>
      <c r="I1499" s="1" t="s">
        <v>2188</v>
      </c>
      <c r="J1499" s="5" t="s">
        <v>3785</v>
      </c>
    </row>
    <row r="1500" ht="15.75" customHeight="1">
      <c r="A1500" s="2">
        <v>1499.0</v>
      </c>
      <c r="B1500" s="1" t="s">
        <v>3897</v>
      </c>
      <c r="C1500" s="1" t="s">
        <v>3898</v>
      </c>
      <c r="D1500" s="1" t="s">
        <v>3899</v>
      </c>
      <c r="E1500" s="2" t="s">
        <v>3900</v>
      </c>
      <c r="F1500" s="1" t="s">
        <v>3901</v>
      </c>
      <c r="G1500" s="1" t="s">
        <v>3807</v>
      </c>
      <c r="H1500" s="3" t="s">
        <v>3784</v>
      </c>
      <c r="I1500" s="1" t="s">
        <v>2188</v>
      </c>
      <c r="J1500" s="5" t="s">
        <v>3785</v>
      </c>
    </row>
    <row r="1501" ht="15.75" customHeight="1">
      <c r="A1501" s="2">
        <v>1500.0</v>
      </c>
      <c r="B1501" s="1" t="s">
        <v>3902</v>
      </c>
      <c r="C1501" s="1" t="s">
        <v>3903</v>
      </c>
      <c r="D1501" s="1" t="s">
        <v>3904</v>
      </c>
      <c r="E1501" s="2" t="s">
        <v>3905</v>
      </c>
      <c r="F1501" s="1" t="s">
        <v>3906</v>
      </c>
      <c r="G1501" s="1" t="s">
        <v>3807</v>
      </c>
      <c r="H1501" s="3" t="s">
        <v>3784</v>
      </c>
      <c r="I1501" s="1" t="s">
        <v>2188</v>
      </c>
      <c r="J1501" s="5" t="s">
        <v>3785</v>
      </c>
    </row>
    <row r="1502" ht="15.75" customHeight="1">
      <c r="A1502" s="2">
        <v>1501.0</v>
      </c>
      <c r="B1502" s="1" t="s">
        <v>3907</v>
      </c>
      <c r="C1502" s="1" t="s">
        <v>3838</v>
      </c>
      <c r="D1502" s="1" t="s">
        <v>2450</v>
      </c>
      <c r="E1502" s="2" t="s">
        <v>3908</v>
      </c>
      <c r="F1502" s="1" t="s">
        <v>3909</v>
      </c>
      <c r="G1502" s="1" t="s">
        <v>3807</v>
      </c>
      <c r="H1502" s="3" t="s">
        <v>3784</v>
      </c>
      <c r="I1502" s="1" t="s">
        <v>2188</v>
      </c>
      <c r="J1502" s="5" t="s">
        <v>3785</v>
      </c>
    </row>
    <row r="1503" ht="15.75" customHeight="1">
      <c r="A1503" s="2">
        <v>1502.0</v>
      </c>
      <c r="B1503" s="1" t="s">
        <v>3910</v>
      </c>
      <c r="C1503" s="1" t="s">
        <v>3911</v>
      </c>
      <c r="D1503" s="1" t="s">
        <v>3899</v>
      </c>
      <c r="E1503" s="2" t="s">
        <v>3912</v>
      </c>
      <c r="F1503" s="1" t="s">
        <v>3913</v>
      </c>
      <c r="G1503" s="1" t="s">
        <v>3914</v>
      </c>
      <c r="H1503" s="3" t="s">
        <v>3784</v>
      </c>
      <c r="I1503" s="1" t="s">
        <v>2188</v>
      </c>
      <c r="J1503" s="5" t="s">
        <v>3785</v>
      </c>
    </row>
    <row r="1504" ht="15.75" customHeight="1">
      <c r="A1504" s="2">
        <v>1503.0</v>
      </c>
      <c r="B1504" s="1" t="s">
        <v>3915</v>
      </c>
      <c r="C1504" s="1" t="s">
        <v>3916</v>
      </c>
      <c r="D1504" s="1" t="s">
        <v>3917</v>
      </c>
      <c r="E1504" s="2" t="s">
        <v>3918</v>
      </c>
      <c r="F1504" s="1" t="s">
        <v>3919</v>
      </c>
      <c r="G1504" s="1" t="s">
        <v>3791</v>
      </c>
      <c r="H1504" s="3" t="s">
        <v>3784</v>
      </c>
      <c r="I1504" s="1" t="s">
        <v>2188</v>
      </c>
      <c r="J1504" s="5" t="s">
        <v>3785</v>
      </c>
    </row>
    <row r="1505" ht="15.75" customHeight="1">
      <c r="A1505" s="2">
        <v>1504.0</v>
      </c>
      <c r="B1505" s="1" t="s">
        <v>3920</v>
      </c>
      <c r="C1505" s="1" t="s">
        <v>3898</v>
      </c>
      <c r="D1505" s="1" t="s">
        <v>3899</v>
      </c>
      <c r="E1505" s="2" t="s">
        <v>3921</v>
      </c>
      <c r="F1505" s="1" t="s">
        <v>3922</v>
      </c>
      <c r="G1505" s="1" t="s">
        <v>3807</v>
      </c>
      <c r="H1505" s="3" t="s">
        <v>3784</v>
      </c>
      <c r="I1505" s="1" t="s">
        <v>2188</v>
      </c>
      <c r="J1505" s="5" t="s">
        <v>3785</v>
      </c>
    </row>
    <row r="1506" ht="15.75" customHeight="1">
      <c r="A1506" s="2">
        <v>1505.0</v>
      </c>
      <c r="B1506" s="1" t="s">
        <v>3923</v>
      </c>
      <c r="C1506" s="1" t="s">
        <v>3924</v>
      </c>
      <c r="D1506" s="1" t="s">
        <v>3925</v>
      </c>
      <c r="E1506" s="2" t="s">
        <v>3926</v>
      </c>
      <c r="F1506" s="1" t="s">
        <v>3927</v>
      </c>
      <c r="G1506" s="1" t="s">
        <v>3783</v>
      </c>
      <c r="H1506" s="3" t="s">
        <v>3784</v>
      </c>
      <c r="I1506" s="1" t="s">
        <v>2188</v>
      </c>
      <c r="J1506" s="5" t="s">
        <v>3785</v>
      </c>
    </row>
    <row r="1507" ht="15.75" customHeight="1">
      <c r="A1507" s="2">
        <v>1506.0</v>
      </c>
      <c r="B1507" s="1" t="s">
        <v>3928</v>
      </c>
      <c r="C1507" s="1" t="s">
        <v>3929</v>
      </c>
      <c r="D1507" s="1" t="s">
        <v>3930</v>
      </c>
      <c r="E1507" s="2" t="s">
        <v>3931</v>
      </c>
      <c r="F1507" s="1" t="s">
        <v>3932</v>
      </c>
      <c r="G1507" s="1" t="s">
        <v>3866</v>
      </c>
      <c r="H1507" s="3" t="s">
        <v>3784</v>
      </c>
      <c r="I1507" s="1" t="s">
        <v>2188</v>
      </c>
      <c r="J1507" s="5" t="s">
        <v>3785</v>
      </c>
    </row>
    <row r="1508" ht="15.75" customHeight="1">
      <c r="A1508" s="2">
        <v>1507.0</v>
      </c>
      <c r="B1508" s="1" t="s">
        <v>3933</v>
      </c>
      <c r="C1508" s="1" t="s">
        <v>3934</v>
      </c>
      <c r="D1508" s="1" t="s">
        <v>3894</v>
      </c>
      <c r="E1508" s="2" t="s">
        <v>3935</v>
      </c>
      <c r="F1508" s="1" t="s">
        <v>3936</v>
      </c>
      <c r="G1508" s="1" t="s">
        <v>3796</v>
      </c>
      <c r="H1508" s="3" t="s">
        <v>3784</v>
      </c>
      <c r="I1508" s="1" t="s">
        <v>2188</v>
      </c>
      <c r="J1508" s="5" t="s">
        <v>3785</v>
      </c>
    </row>
    <row r="1509" ht="15.75" customHeight="1">
      <c r="A1509" s="2">
        <v>1508.0</v>
      </c>
      <c r="B1509" s="1" t="s">
        <v>3937</v>
      </c>
      <c r="C1509" s="1" t="s">
        <v>3938</v>
      </c>
      <c r="D1509" s="1" t="s">
        <v>3939</v>
      </c>
      <c r="E1509" s="2" t="s">
        <v>3940</v>
      </c>
      <c r="F1509" s="1" t="s">
        <v>3941</v>
      </c>
      <c r="G1509" s="1" t="s">
        <v>3791</v>
      </c>
      <c r="H1509" s="3" t="s">
        <v>3784</v>
      </c>
      <c r="I1509" s="1" t="s">
        <v>2188</v>
      </c>
      <c r="J1509" s="5" t="s">
        <v>3785</v>
      </c>
    </row>
    <row r="1510" ht="15.75" customHeight="1">
      <c r="A1510" s="2">
        <v>1509.0</v>
      </c>
      <c r="B1510" s="1" t="s">
        <v>3942</v>
      </c>
      <c r="C1510" s="1" t="s">
        <v>3943</v>
      </c>
      <c r="D1510" s="1" t="s">
        <v>3944</v>
      </c>
      <c r="E1510" s="2" t="s">
        <v>3945</v>
      </c>
      <c r="F1510" s="1" t="s">
        <v>3946</v>
      </c>
      <c r="G1510" s="1" t="s">
        <v>3947</v>
      </c>
      <c r="H1510" s="3" t="s">
        <v>3784</v>
      </c>
      <c r="I1510" s="1" t="s">
        <v>2188</v>
      </c>
      <c r="J1510" s="5" t="s">
        <v>3785</v>
      </c>
    </row>
    <row r="1511" ht="15.75" customHeight="1">
      <c r="A1511" s="2">
        <v>1510.0</v>
      </c>
      <c r="B1511" s="1" t="s">
        <v>3948</v>
      </c>
      <c r="C1511" s="1" t="s">
        <v>3938</v>
      </c>
      <c r="D1511" s="1" t="s">
        <v>3939</v>
      </c>
      <c r="E1511" s="2" t="s">
        <v>3949</v>
      </c>
      <c r="F1511" s="1" t="s">
        <v>3950</v>
      </c>
      <c r="G1511" s="1" t="s">
        <v>3791</v>
      </c>
      <c r="H1511" s="3" t="s">
        <v>3784</v>
      </c>
      <c r="I1511" s="1" t="s">
        <v>2188</v>
      </c>
      <c r="J1511" s="5" t="s">
        <v>3785</v>
      </c>
    </row>
    <row r="1512" ht="15.75" customHeight="1">
      <c r="A1512" s="2">
        <v>1511.0</v>
      </c>
      <c r="B1512" s="1" t="s">
        <v>3951</v>
      </c>
      <c r="C1512" s="1" t="s">
        <v>3952</v>
      </c>
      <c r="D1512" s="1" t="s">
        <v>3953</v>
      </c>
      <c r="E1512" s="2" t="s">
        <v>3954</v>
      </c>
      <c r="F1512" s="1" t="s">
        <v>3955</v>
      </c>
      <c r="G1512" s="1" t="s">
        <v>3807</v>
      </c>
      <c r="H1512" s="3" t="s">
        <v>3784</v>
      </c>
      <c r="I1512" s="1" t="s">
        <v>2188</v>
      </c>
      <c r="J1512" s="5" t="s">
        <v>3785</v>
      </c>
    </row>
    <row r="1513" ht="15.75" customHeight="1">
      <c r="A1513" s="2">
        <v>1512.0</v>
      </c>
      <c r="B1513" s="1" t="s">
        <v>3956</v>
      </c>
      <c r="C1513" s="1" t="s">
        <v>3957</v>
      </c>
      <c r="D1513" s="1" t="s">
        <v>3958</v>
      </c>
      <c r="E1513" s="2" t="s">
        <v>3959</v>
      </c>
      <c r="F1513" s="1" t="s">
        <v>3960</v>
      </c>
      <c r="G1513" s="1" t="s">
        <v>3807</v>
      </c>
      <c r="H1513" s="3" t="s">
        <v>3784</v>
      </c>
      <c r="I1513" s="1" t="s">
        <v>2188</v>
      </c>
      <c r="J1513" s="5" t="s">
        <v>3785</v>
      </c>
    </row>
    <row r="1514" ht="15.75" customHeight="1">
      <c r="A1514" s="2">
        <v>1513.0</v>
      </c>
      <c r="B1514" s="1" t="s">
        <v>3961</v>
      </c>
      <c r="C1514" s="1" t="s">
        <v>3962</v>
      </c>
      <c r="D1514" s="1" t="s">
        <v>3899</v>
      </c>
      <c r="E1514" s="2" t="s">
        <v>3963</v>
      </c>
      <c r="F1514" s="1" t="s">
        <v>3964</v>
      </c>
      <c r="G1514" s="1" t="s">
        <v>3850</v>
      </c>
      <c r="H1514" s="3" t="s">
        <v>3784</v>
      </c>
      <c r="I1514" s="1" t="s">
        <v>2188</v>
      </c>
      <c r="J1514" s="5" t="s">
        <v>3785</v>
      </c>
    </row>
    <row r="1515" ht="15.75" customHeight="1">
      <c r="A1515" s="2">
        <v>1514.0</v>
      </c>
      <c r="B1515" s="1" t="s">
        <v>3965</v>
      </c>
      <c r="C1515" s="1" t="s">
        <v>3966</v>
      </c>
      <c r="D1515" s="1" t="s">
        <v>3967</v>
      </c>
      <c r="E1515" s="2" t="s">
        <v>3968</v>
      </c>
      <c r="F1515" s="1" t="s">
        <v>3969</v>
      </c>
      <c r="G1515" s="1" t="s">
        <v>3807</v>
      </c>
      <c r="H1515" s="3" t="s">
        <v>3784</v>
      </c>
      <c r="I1515" s="1" t="s">
        <v>2188</v>
      </c>
      <c r="J1515" s="5" t="s">
        <v>3785</v>
      </c>
    </row>
    <row r="1516" ht="15.75" customHeight="1">
      <c r="A1516" s="2">
        <v>1515.0</v>
      </c>
      <c r="B1516" s="1" t="s">
        <v>3970</v>
      </c>
      <c r="C1516" s="1" t="s">
        <v>3971</v>
      </c>
      <c r="D1516" s="1" t="s">
        <v>3972</v>
      </c>
      <c r="E1516" s="2" t="s">
        <v>3973</v>
      </c>
      <c r="F1516" s="1" t="s">
        <v>3974</v>
      </c>
      <c r="G1516" s="1" t="s">
        <v>3807</v>
      </c>
      <c r="H1516" s="3" t="s">
        <v>3784</v>
      </c>
      <c r="I1516" s="1" t="s">
        <v>2188</v>
      </c>
      <c r="J1516" s="5" t="s">
        <v>3785</v>
      </c>
    </row>
    <row r="1517" ht="15.75" customHeight="1">
      <c r="A1517" s="2">
        <v>1516.0</v>
      </c>
      <c r="B1517" s="1" t="s">
        <v>3975</v>
      </c>
      <c r="C1517" s="1" t="s">
        <v>3976</v>
      </c>
      <c r="D1517" s="1" t="s">
        <v>3977</v>
      </c>
      <c r="E1517" s="2" t="s">
        <v>3978</v>
      </c>
      <c r="F1517" s="1" t="s">
        <v>3979</v>
      </c>
      <c r="G1517" s="1" t="s">
        <v>3807</v>
      </c>
      <c r="H1517" s="3" t="s">
        <v>3784</v>
      </c>
      <c r="I1517" s="1" t="s">
        <v>2188</v>
      </c>
      <c r="J1517" s="5" t="s">
        <v>3785</v>
      </c>
    </row>
    <row r="1518" ht="15.75" customHeight="1">
      <c r="A1518" s="2">
        <v>1517.0</v>
      </c>
      <c r="B1518" s="1" t="s">
        <v>3980</v>
      </c>
      <c r="C1518" s="1" t="s">
        <v>3976</v>
      </c>
      <c r="D1518" s="1" t="s">
        <v>3977</v>
      </c>
      <c r="E1518" s="2" t="s">
        <v>3981</v>
      </c>
      <c r="F1518" s="1" t="s">
        <v>3982</v>
      </c>
      <c r="G1518" s="1" t="s">
        <v>3807</v>
      </c>
      <c r="H1518" s="3" t="s">
        <v>3784</v>
      </c>
      <c r="I1518" s="1" t="s">
        <v>2188</v>
      </c>
      <c r="J1518" s="5" t="s">
        <v>3785</v>
      </c>
    </row>
    <row r="1519" ht="15.75" customHeight="1">
      <c r="A1519" s="2">
        <v>1518.0</v>
      </c>
      <c r="B1519" s="1" t="s">
        <v>3983</v>
      </c>
      <c r="C1519" s="1" t="s">
        <v>3984</v>
      </c>
      <c r="D1519" s="1" t="s">
        <v>3985</v>
      </c>
      <c r="E1519" s="2" t="s">
        <v>3986</v>
      </c>
      <c r="F1519" s="1" t="s">
        <v>3987</v>
      </c>
      <c r="G1519" s="1" t="s">
        <v>3807</v>
      </c>
      <c r="H1519" s="3" t="s">
        <v>3784</v>
      </c>
      <c r="I1519" s="1" t="s">
        <v>2188</v>
      </c>
      <c r="J1519" s="5" t="s">
        <v>3785</v>
      </c>
    </row>
    <row r="1520" ht="15.75" customHeight="1">
      <c r="A1520" s="2">
        <v>1519.0</v>
      </c>
      <c r="B1520" s="1" t="s">
        <v>3988</v>
      </c>
      <c r="C1520" s="1" t="s">
        <v>3984</v>
      </c>
      <c r="D1520" s="1" t="s">
        <v>3985</v>
      </c>
      <c r="E1520" s="2" t="s">
        <v>3989</v>
      </c>
      <c r="F1520" s="1" t="s">
        <v>3990</v>
      </c>
      <c r="G1520" s="1" t="s">
        <v>3791</v>
      </c>
      <c r="H1520" s="3" t="s">
        <v>3784</v>
      </c>
      <c r="I1520" s="1" t="s">
        <v>2188</v>
      </c>
      <c r="J1520" s="5" t="s">
        <v>3785</v>
      </c>
    </row>
    <row r="1521" ht="15.75" customHeight="1">
      <c r="A1521" s="2">
        <v>1520.0</v>
      </c>
      <c r="B1521" s="1" t="s">
        <v>3991</v>
      </c>
      <c r="C1521" s="1" t="s">
        <v>3952</v>
      </c>
      <c r="D1521" s="1" t="s">
        <v>3992</v>
      </c>
      <c r="E1521" s="2" t="s">
        <v>3993</v>
      </c>
      <c r="F1521" s="1" t="s">
        <v>3994</v>
      </c>
      <c r="G1521" s="1" t="s">
        <v>3807</v>
      </c>
      <c r="H1521" s="3" t="s">
        <v>3784</v>
      </c>
      <c r="I1521" s="1" t="s">
        <v>2188</v>
      </c>
      <c r="J1521" s="5" t="s">
        <v>3785</v>
      </c>
    </row>
    <row r="1522" ht="15.75" customHeight="1">
      <c r="A1522" s="2">
        <v>1521.0</v>
      </c>
      <c r="B1522" s="1" t="s">
        <v>3995</v>
      </c>
      <c r="C1522" s="1" t="s">
        <v>3962</v>
      </c>
      <c r="D1522" s="1" t="s">
        <v>3996</v>
      </c>
      <c r="E1522" s="2" t="s">
        <v>3997</v>
      </c>
      <c r="F1522" s="1" t="s">
        <v>3998</v>
      </c>
      <c r="G1522" s="1" t="s">
        <v>3850</v>
      </c>
      <c r="H1522" s="3" t="s">
        <v>3784</v>
      </c>
      <c r="I1522" s="1" t="s">
        <v>2188</v>
      </c>
      <c r="J1522" s="5" t="s">
        <v>3785</v>
      </c>
    </row>
    <row r="1523" ht="15.75" customHeight="1">
      <c r="A1523" s="2">
        <v>1522.0</v>
      </c>
      <c r="B1523" s="1" t="s">
        <v>3999</v>
      </c>
      <c r="C1523" s="1" t="s">
        <v>3976</v>
      </c>
      <c r="D1523" s="1" t="s">
        <v>3977</v>
      </c>
      <c r="E1523" s="2" t="s">
        <v>4000</v>
      </c>
      <c r="F1523" s="1" t="s">
        <v>4001</v>
      </c>
      <c r="G1523" s="1" t="s">
        <v>3807</v>
      </c>
      <c r="H1523" s="3" t="s">
        <v>3784</v>
      </c>
      <c r="I1523" s="1" t="s">
        <v>2188</v>
      </c>
      <c r="J1523" s="5" t="s">
        <v>3785</v>
      </c>
    </row>
    <row r="1524" ht="15.75" customHeight="1">
      <c r="A1524" s="2">
        <v>1523.0</v>
      </c>
      <c r="B1524" s="1" t="s">
        <v>4002</v>
      </c>
      <c r="C1524" s="1" t="s">
        <v>4003</v>
      </c>
      <c r="D1524" s="1" t="s">
        <v>4004</v>
      </c>
      <c r="E1524" s="2" t="s">
        <v>4005</v>
      </c>
      <c r="F1524" s="1" t="s">
        <v>4006</v>
      </c>
      <c r="G1524" s="1" t="s">
        <v>3807</v>
      </c>
      <c r="H1524" s="3" t="s">
        <v>3784</v>
      </c>
      <c r="I1524" s="1" t="s">
        <v>2188</v>
      </c>
      <c r="J1524" s="5" t="s">
        <v>3785</v>
      </c>
    </row>
    <row r="1525" ht="15.75" customHeight="1">
      <c r="A1525" s="2">
        <v>1524.0</v>
      </c>
      <c r="B1525" s="1" t="s">
        <v>4007</v>
      </c>
      <c r="C1525" s="1" t="s">
        <v>4008</v>
      </c>
      <c r="D1525" s="1" t="s">
        <v>4009</v>
      </c>
      <c r="E1525" s="2" t="s">
        <v>4010</v>
      </c>
      <c r="F1525" s="1" t="s">
        <v>4011</v>
      </c>
      <c r="G1525" s="1" t="s">
        <v>3807</v>
      </c>
      <c r="H1525" s="3" t="s">
        <v>3784</v>
      </c>
      <c r="I1525" s="1" t="s">
        <v>2188</v>
      </c>
      <c r="J1525" s="5" t="s">
        <v>3785</v>
      </c>
    </row>
    <row r="1526" ht="15.75" customHeight="1">
      <c r="A1526" s="2">
        <v>1525.0</v>
      </c>
      <c r="B1526" s="1" t="s">
        <v>4012</v>
      </c>
      <c r="C1526" s="1" t="s">
        <v>4003</v>
      </c>
      <c r="D1526" s="1" t="s">
        <v>4004</v>
      </c>
      <c r="E1526" s="2" t="s">
        <v>4013</v>
      </c>
      <c r="F1526" s="1" t="s">
        <v>4014</v>
      </c>
      <c r="G1526" s="1" t="s">
        <v>3850</v>
      </c>
      <c r="H1526" s="3" t="s">
        <v>3784</v>
      </c>
      <c r="I1526" s="1" t="s">
        <v>2188</v>
      </c>
      <c r="J1526" s="5" t="s">
        <v>3785</v>
      </c>
    </row>
    <row r="1527" ht="15.75" customHeight="1">
      <c r="A1527" s="2">
        <v>1526.0</v>
      </c>
      <c r="B1527" s="1" t="s">
        <v>4015</v>
      </c>
      <c r="C1527" s="1" t="s">
        <v>4016</v>
      </c>
      <c r="D1527" s="1" t="s">
        <v>4017</v>
      </c>
      <c r="E1527" s="2" t="s">
        <v>4018</v>
      </c>
      <c r="F1527" s="1" t="s">
        <v>4019</v>
      </c>
      <c r="G1527" s="1" t="s">
        <v>3807</v>
      </c>
      <c r="H1527" s="3" t="s">
        <v>3784</v>
      </c>
      <c r="I1527" s="1" t="s">
        <v>2188</v>
      </c>
      <c r="J1527" s="5" t="s">
        <v>3785</v>
      </c>
    </row>
    <row r="1528" ht="15.75" customHeight="1">
      <c r="A1528" s="2">
        <v>1527.0</v>
      </c>
      <c r="B1528" s="1" t="s">
        <v>4020</v>
      </c>
      <c r="C1528" s="1" t="s">
        <v>4016</v>
      </c>
      <c r="D1528" s="1" t="s">
        <v>4021</v>
      </c>
      <c r="E1528" s="2" t="s">
        <v>4022</v>
      </c>
      <c r="F1528" s="1" t="s">
        <v>4023</v>
      </c>
      <c r="G1528" s="1" t="s">
        <v>3807</v>
      </c>
      <c r="H1528" s="3" t="s">
        <v>3784</v>
      </c>
      <c r="I1528" s="1" t="s">
        <v>2188</v>
      </c>
      <c r="J1528" s="5" t="s">
        <v>3785</v>
      </c>
    </row>
    <row r="1529" ht="15.75" customHeight="1">
      <c r="A1529" s="2">
        <v>1528.0</v>
      </c>
      <c r="B1529" s="1" t="s">
        <v>4015</v>
      </c>
      <c r="C1529" s="1" t="s">
        <v>4024</v>
      </c>
      <c r="D1529" s="1" t="s">
        <v>4025</v>
      </c>
      <c r="E1529" s="2" t="s">
        <v>4026</v>
      </c>
      <c r="F1529" s="1" t="s">
        <v>4027</v>
      </c>
      <c r="G1529" s="1" t="s">
        <v>3807</v>
      </c>
      <c r="H1529" s="3" t="s">
        <v>3784</v>
      </c>
      <c r="I1529" s="1" t="s">
        <v>2188</v>
      </c>
      <c r="J1529" s="5" t="s">
        <v>3785</v>
      </c>
    </row>
    <row r="1530" ht="15.75" customHeight="1">
      <c r="A1530" s="2">
        <v>1529.0</v>
      </c>
      <c r="B1530" s="1" t="s">
        <v>4015</v>
      </c>
      <c r="C1530" s="1" t="s">
        <v>4028</v>
      </c>
      <c r="D1530" s="1" t="s">
        <v>4029</v>
      </c>
      <c r="E1530" s="2" t="s">
        <v>4030</v>
      </c>
      <c r="F1530" s="1" t="s">
        <v>4031</v>
      </c>
      <c r="G1530" s="1" t="s">
        <v>3807</v>
      </c>
      <c r="H1530" s="3" t="s">
        <v>3784</v>
      </c>
      <c r="I1530" s="1" t="s">
        <v>2188</v>
      </c>
      <c r="J1530" s="5" t="s">
        <v>3785</v>
      </c>
    </row>
    <row r="1531" ht="15.75" customHeight="1">
      <c r="A1531" s="2">
        <v>1530.0</v>
      </c>
      <c r="B1531" s="1" t="s">
        <v>4032</v>
      </c>
      <c r="C1531" s="1" t="s">
        <v>4033</v>
      </c>
      <c r="D1531" s="1" t="s">
        <v>4029</v>
      </c>
      <c r="E1531" s="2" t="s">
        <v>4034</v>
      </c>
      <c r="F1531" s="1" t="s">
        <v>4035</v>
      </c>
      <c r="G1531" s="1" t="s">
        <v>3850</v>
      </c>
      <c r="H1531" s="3" t="s">
        <v>3784</v>
      </c>
      <c r="I1531" s="1" t="s">
        <v>2188</v>
      </c>
      <c r="J1531" s="5" t="s">
        <v>3785</v>
      </c>
    </row>
    <row r="1532" ht="15.75" customHeight="1">
      <c r="A1532" s="2">
        <v>1531.0</v>
      </c>
      <c r="B1532" s="1" t="s">
        <v>4036</v>
      </c>
      <c r="C1532" s="1" t="s">
        <v>4033</v>
      </c>
      <c r="D1532" s="1" t="s">
        <v>4037</v>
      </c>
      <c r="E1532" s="2" t="s">
        <v>4038</v>
      </c>
      <c r="F1532" s="1" t="s">
        <v>4039</v>
      </c>
      <c r="G1532" s="1" t="s">
        <v>3791</v>
      </c>
      <c r="H1532" s="3" t="s">
        <v>3784</v>
      </c>
      <c r="I1532" s="1" t="s">
        <v>2188</v>
      </c>
      <c r="J1532" s="5" t="s">
        <v>3785</v>
      </c>
    </row>
    <row r="1533" ht="15.75" customHeight="1">
      <c r="A1533" s="2">
        <v>1532.0</v>
      </c>
      <c r="B1533" s="1" t="s">
        <v>4040</v>
      </c>
      <c r="C1533" s="1" t="s">
        <v>4041</v>
      </c>
      <c r="D1533" s="1" t="s">
        <v>4042</v>
      </c>
      <c r="E1533" s="2" t="s">
        <v>4043</v>
      </c>
      <c r="F1533" s="1" t="s">
        <v>4044</v>
      </c>
      <c r="G1533" s="1" t="s">
        <v>3850</v>
      </c>
      <c r="H1533" s="3" t="s">
        <v>3784</v>
      </c>
      <c r="I1533" s="1" t="s">
        <v>2188</v>
      </c>
      <c r="J1533" s="5" t="s">
        <v>3785</v>
      </c>
    </row>
    <row r="1534" ht="15.75" customHeight="1">
      <c r="A1534" s="2">
        <v>1533.0</v>
      </c>
      <c r="B1534" s="1" t="s">
        <v>4045</v>
      </c>
      <c r="C1534" s="1" t="s">
        <v>4041</v>
      </c>
      <c r="D1534" s="1" t="s">
        <v>4046</v>
      </c>
      <c r="E1534" s="2" t="s">
        <v>4047</v>
      </c>
      <c r="F1534" s="1" t="s">
        <v>4048</v>
      </c>
      <c r="G1534" s="1" t="s">
        <v>3807</v>
      </c>
      <c r="H1534" s="3" t="s">
        <v>3784</v>
      </c>
      <c r="I1534" s="1" t="s">
        <v>2188</v>
      </c>
      <c r="J1534" s="5" t="s">
        <v>3785</v>
      </c>
    </row>
    <row r="1535" ht="15.75" customHeight="1">
      <c r="A1535" s="2">
        <v>1534.0</v>
      </c>
      <c r="B1535" s="1" t="s">
        <v>4049</v>
      </c>
      <c r="C1535" s="1" t="s">
        <v>4050</v>
      </c>
      <c r="D1535" s="1" t="s">
        <v>4051</v>
      </c>
      <c r="E1535" s="2" t="s">
        <v>4052</v>
      </c>
      <c r="F1535" s="1" t="s">
        <v>4053</v>
      </c>
      <c r="G1535" s="1" t="s">
        <v>3807</v>
      </c>
      <c r="H1535" s="3" t="s">
        <v>3784</v>
      </c>
      <c r="I1535" s="1" t="s">
        <v>2188</v>
      </c>
      <c r="J1535" s="5" t="s">
        <v>3785</v>
      </c>
    </row>
    <row r="1536" ht="15.75" customHeight="1">
      <c r="A1536" s="2">
        <v>1535.0</v>
      </c>
      <c r="B1536" s="1" t="s">
        <v>4054</v>
      </c>
      <c r="C1536" s="1" t="s">
        <v>4055</v>
      </c>
      <c r="D1536" s="1" t="s">
        <v>3788</v>
      </c>
      <c r="E1536" s="2" t="s">
        <v>4056</v>
      </c>
      <c r="F1536" s="1" t="s">
        <v>4057</v>
      </c>
      <c r="G1536" s="1" t="s">
        <v>3807</v>
      </c>
      <c r="H1536" s="3" t="s">
        <v>3784</v>
      </c>
      <c r="I1536" s="1" t="s">
        <v>2188</v>
      </c>
      <c r="J1536" s="5" t="s">
        <v>3785</v>
      </c>
    </row>
    <row r="1537" ht="15.75" customHeight="1">
      <c r="A1537" s="2">
        <v>1536.0</v>
      </c>
      <c r="B1537" s="1" t="s">
        <v>4058</v>
      </c>
      <c r="C1537" s="1" t="s">
        <v>4059</v>
      </c>
      <c r="D1537" s="1" t="s">
        <v>4060</v>
      </c>
      <c r="E1537" s="2" t="s">
        <v>4061</v>
      </c>
      <c r="F1537" s="1" t="s">
        <v>4062</v>
      </c>
      <c r="G1537" s="1" t="s">
        <v>3807</v>
      </c>
      <c r="H1537" s="3" t="s">
        <v>3784</v>
      </c>
      <c r="I1537" s="1" t="s">
        <v>2188</v>
      </c>
      <c r="J1537" s="5" t="s">
        <v>3785</v>
      </c>
    </row>
    <row r="1538" ht="15.75" customHeight="1">
      <c r="A1538" s="2">
        <v>1537.0</v>
      </c>
      <c r="B1538" s="1" t="s">
        <v>4063</v>
      </c>
      <c r="C1538" s="1" t="s">
        <v>4064</v>
      </c>
      <c r="D1538" s="1" t="s">
        <v>3788</v>
      </c>
      <c r="E1538" s="2" t="s">
        <v>4065</v>
      </c>
      <c r="F1538" s="1" t="s">
        <v>4066</v>
      </c>
      <c r="G1538" s="1" t="s">
        <v>3807</v>
      </c>
      <c r="H1538" s="3" t="s">
        <v>3784</v>
      </c>
      <c r="I1538" s="1" t="s">
        <v>2188</v>
      </c>
      <c r="J1538" s="5" t="s">
        <v>3785</v>
      </c>
    </row>
    <row r="1539" ht="15.75" customHeight="1">
      <c r="A1539" s="2">
        <v>1538.0</v>
      </c>
      <c r="B1539" s="1" t="s">
        <v>4067</v>
      </c>
      <c r="C1539" s="1" t="s">
        <v>4068</v>
      </c>
      <c r="D1539" s="1" t="s">
        <v>4069</v>
      </c>
      <c r="E1539" s="2" t="s">
        <v>4070</v>
      </c>
      <c r="F1539" s="1" t="s">
        <v>4071</v>
      </c>
      <c r="G1539" s="1" t="s">
        <v>3807</v>
      </c>
      <c r="H1539" s="3" t="s">
        <v>3784</v>
      </c>
      <c r="I1539" s="1" t="s">
        <v>2188</v>
      </c>
      <c r="J1539" s="5" t="s">
        <v>3785</v>
      </c>
    </row>
    <row r="1540" ht="15.75" customHeight="1">
      <c r="A1540" s="2">
        <v>1539.0</v>
      </c>
      <c r="B1540" s="1" t="s">
        <v>4072</v>
      </c>
      <c r="C1540" s="1" t="s">
        <v>4073</v>
      </c>
      <c r="D1540" s="1" t="s">
        <v>4074</v>
      </c>
      <c r="E1540" s="2" t="s">
        <v>4075</v>
      </c>
      <c r="F1540" s="1" t="s">
        <v>4076</v>
      </c>
      <c r="G1540" s="1" t="s">
        <v>3807</v>
      </c>
      <c r="H1540" s="3" t="s">
        <v>3784</v>
      </c>
      <c r="I1540" s="1" t="s">
        <v>2188</v>
      </c>
      <c r="J1540" s="5" t="s">
        <v>3785</v>
      </c>
    </row>
    <row r="1541" ht="15.75" customHeight="1">
      <c r="A1541" s="2">
        <v>1540.0</v>
      </c>
      <c r="B1541" s="1" t="s">
        <v>4077</v>
      </c>
      <c r="C1541" s="1" t="s">
        <v>4003</v>
      </c>
      <c r="D1541" s="1" t="s">
        <v>4004</v>
      </c>
      <c r="E1541" s="2" t="s">
        <v>4078</v>
      </c>
      <c r="F1541" s="1" t="s">
        <v>3820</v>
      </c>
      <c r="G1541" s="1" t="s">
        <v>3807</v>
      </c>
      <c r="H1541" s="3" t="s">
        <v>3784</v>
      </c>
      <c r="I1541" s="1" t="s">
        <v>2188</v>
      </c>
      <c r="J1541" s="5" t="s">
        <v>3785</v>
      </c>
    </row>
    <row r="1542" ht="15.75" customHeight="1">
      <c r="A1542" s="2">
        <v>1541.0</v>
      </c>
      <c r="B1542" s="1" t="s">
        <v>4079</v>
      </c>
      <c r="C1542" s="1" t="s">
        <v>4080</v>
      </c>
      <c r="D1542" s="1" t="s">
        <v>4081</v>
      </c>
      <c r="E1542" s="2" t="s">
        <v>4082</v>
      </c>
      <c r="F1542" s="1" t="s">
        <v>4083</v>
      </c>
      <c r="G1542" s="1" t="s">
        <v>3807</v>
      </c>
      <c r="H1542" s="3" t="s">
        <v>3784</v>
      </c>
      <c r="I1542" s="1" t="s">
        <v>2188</v>
      </c>
      <c r="J1542" s="5" t="s">
        <v>3785</v>
      </c>
    </row>
    <row r="1543" ht="15.75" customHeight="1">
      <c r="A1543" s="2">
        <v>1542.0</v>
      </c>
      <c r="B1543" s="1" t="s">
        <v>4084</v>
      </c>
      <c r="C1543" s="1" t="s">
        <v>4085</v>
      </c>
      <c r="D1543" s="1" t="s">
        <v>4086</v>
      </c>
      <c r="E1543" s="2" t="s">
        <v>4087</v>
      </c>
      <c r="F1543" s="1" t="s">
        <v>4088</v>
      </c>
      <c r="G1543" s="1" t="s">
        <v>3807</v>
      </c>
      <c r="H1543" s="3" t="s">
        <v>3784</v>
      </c>
      <c r="I1543" s="1" t="s">
        <v>2188</v>
      </c>
      <c r="J1543" s="5" t="s">
        <v>3785</v>
      </c>
    </row>
    <row r="1544" ht="15.75" customHeight="1">
      <c r="A1544" s="2">
        <v>1543.0</v>
      </c>
      <c r="B1544" s="1" t="s">
        <v>4089</v>
      </c>
      <c r="C1544" s="1" t="s">
        <v>4090</v>
      </c>
      <c r="D1544" s="1" t="s">
        <v>3894</v>
      </c>
      <c r="E1544" s="2" t="s">
        <v>4091</v>
      </c>
      <c r="F1544" s="1" t="s">
        <v>4092</v>
      </c>
      <c r="G1544" s="1" t="s">
        <v>3807</v>
      </c>
      <c r="H1544" s="3" t="s">
        <v>3784</v>
      </c>
      <c r="I1544" s="1" t="s">
        <v>2188</v>
      </c>
      <c r="J1544" s="5" t="s">
        <v>3785</v>
      </c>
    </row>
    <row r="1545" ht="15.75" customHeight="1">
      <c r="A1545" s="2">
        <v>1544.0</v>
      </c>
      <c r="B1545" s="1" t="s">
        <v>4093</v>
      </c>
      <c r="C1545" s="1" t="s">
        <v>4094</v>
      </c>
      <c r="D1545" s="1" t="s">
        <v>4095</v>
      </c>
      <c r="E1545" s="2" t="s">
        <v>4096</v>
      </c>
      <c r="F1545" s="1" t="s">
        <v>4097</v>
      </c>
      <c r="G1545" s="1" t="s">
        <v>3807</v>
      </c>
      <c r="H1545" s="3" t="s">
        <v>3784</v>
      </c>
      <c r="I1545" s="1" t="s">
        <v>2188</v>
      </c>
      <c r="J1545" s="5" t="s">
        <v>3785</v>
      </c>
    </row>
    <row r="1546" ht="15.75" customHeight="1">
      <c r="A1546" s="2">
        <v>1545.0</v>
      </c>
      <c r="B1546" s="1" t="s">
        <v>4098</v>
      </c>
      <c r="C1546" s="1" t="s">
        <v>3952</v>
      </c>
      <c r="D1546" s="1" t="s">
        <v>4099</v>
      </c>
      <c r="E1546" s="2" t="s">
        <v>4100</v>
      </c>
      <c r="F1546" s="1" t="s">
        <v>4101</v>
      </c>
      <c r="G1546" s="1" t="s">
        <v>3807</v>
      </c>
      <c r="H1546" s="3" t="s">
        <v>3784</v>
      </c>
      <c r="I1546" s="1" t="s">
        <v>2188</v>
      </c>
      <c r="J1546" s="5" t="s">
        <v>3785</v>
      </c>
    </row>
    <row r="1547" ht="15.75" customHeight="1">
      <c r="A1547" s="2">
        <v>1546.0</v>
      </c>
      <c r="B1547" s="1" t="s">
        <v>4102</v>
      </c>
      <c r="C1547" s="1" t="s">
        <v>4103</v>
      </c>
      <c r="D1547" s="1" t="s">
        <v>4104</v>
      </c>
      <c r="E1547" s="2" t="s">
        <v>4105</v>
      </c>
      <c r="F1547" s="1" t="s">
        <v>4106</v>
      </c>
      <c r="G1547" s="1" t="s">
        <v>3807</v>
      </c>
      <c r="H1547" s="3" t="s">
        <v>3784</v>
      </c>
      <c r="I1547" s="1" t="s">
        <v>2188</v>
      </c>
      <c r="J1547" s="5" t="s">
        <v>3785</v>
      </c>
    </row>
    <row r="1548" ht="15.75" customHeight="1">
      <c r="A1548" s="2">
        <v>1547.0</v>
      </c>
      <c r="B1548" s="1" t="s">
        <v>4107</v>
      </c>
      <c r="C1548" s="1" t="s">
        <v>4108</v>
      </c>
      <c r="D1548" s="1" t="s">
        <v>4109</v>
      </c>
      <c r="E1548" s="2" t="s">
        <v>4110</v>
      </c>
      <c r="F1548" s="1" t="s">
        <v>4111</v>
      </c>
      <c r="G1548" s="1" t="s">
        <v>3807</v>
      </c>
      <c r="H1548" s="3" t="s">
        <v>3784</v>
      </c>
      <c r="I1548" s="1" t="s">
        <v>2188</v>
      </c>
      <c r="J1548" s="5" t="s">
        <v>3785</v>
      </c>
    </row>
    <row r="1549" ht="15.75" customHeight="1">
      <c r="A1549" s="2">
        <v>1548.0</v>
      </c>
      <c r="B1549" s="1" t="s">
        <v>3867</v>
      </c>
      <c r="C1549" s="1" t="s">
        <v>4112</v>
      </c>
      <c r="D1549" s="1" t="s">
        <v>4060</v>
      </c>
      <c r="E1549" s="2" t="s">
        <v>4113</v>
      </c>
      <c r="F1549" s="1" t="s">
        <v>4114</v>
      </c>
      <c r="G1549" s="1" t="s">
        <v>3791</v>
      </c>
      <c r="H1549" s="3" t="s">
        <v>3784</v>
      </c>
      <c r="I1549" s="1" t="s">
        <v>2188</v>
      </c>
      <c r="J1549" s="5" t="s">
        <v>3785</v>
      </c>
    </row>
    <row r="1550" ht="15.75" customHeight="1">
      <c r="A1550" s="2">
        <v>1549.0</v>
      </c>
      <c r="B1550" s="1" t="s">
        <v>4115</v>
      </c>
      <c r="C1550" s="1" t="s">
        <v>4080</v>
      </c>
      <c r="D1550" s="1" t="s">
        <v>4116</v>
      </c>
      <c r="E1550" s="2" t="s">
        <v>4117</v>
      </c>
      <c r="F1550" s="1" t="s">
        <v>4118</v>
      </c>
      <c r="G1550" s="1" t="s">
        <v>3807</v>
      </c>
      <c r="H1550" s="3" t="s">
        <v>3784</v>
      </c>
      <c r="I1550" s="1" t="s">
        <v>2188</v>
      </c>
      <c r="J1550" s="5" t="s">
        <v>3785</v>
      </c>
    </row>
    <row r="1551" ht="15.75" customHeight="1">
      <c r="A1551" s="2">
        <v>1550.0</v>
      </c>
      <c r="B1551" s="1" t="s">
        <v>4119</v>
      </c>
      <c r="C1551" s="1" t="s">
        <v>3952</v>
      </c>
      <c r="D1551" s="1" t="s">
        <v>4120</v>
      </c>
      <c r="E1551" s="2" t="s">
        <v>4121</v>
      </c>
      <c r="F1551" s="1" t="s">
        <v>4122</v>
      </c>
      <c r="G1551" s="1" t="s">
        <v>3791</v>
      </c>
      <c r="H1551" s="3" t="s">
        <v>3784</v>
      </c>
      <c r="I1551" s="1" t="s">
        <v>2188</v>
      </c>
      <c r="J1551" s="5" t="s">
        <v>3785</v>
      </c>
    </row>
    <row r="1552" ht="15.75" customHeight="1">
      <c r="A1552" s="2">
        <v>1551.0</v>
      </c>
      <c r="B1552" s="1" t="s">
        <v>4123</v>
      </c>
      <c r="C1552" s="1" t="s">
        <v>3952</v>
      </c>
      <c r="D1552" s="1" t="s">
        <v>4120</v>
      </c>
      <c r="E1552" s="2" t="s">
        <v>4124</v>
      </c>
      <c r="F1552" s="1" t="s">
        <v>4125</v>
      </c>
      <c r="G1552" s="1" t="s">
        <v>3791</v>
      </c>
      <c r="H1552" s="3" t="s">
        <v>3784</v>
      </c>
      <c r="I1552" s="1" t="s">
        <v>2188</v>
      </c>
      <c r="J1552" s="5" t="s">
        <v>3785</v>
      </c>
    </row>
    <row r="1553" ht="15.75" customHeight="1">
      <c r="A1553" s="2">
        <v>1552.0</v>
      </c>
      <c r="B1553" s="1" t="s">
        <v>4126</v>
      </c>
      <c r="C1553" s="1" t="s">
        <v>3952</v>
      </c>
      <c r="D1553" s="1" t="s">
        <v>4120</v>
      </c>
      <c r="E1553" s="2" t="s">
        <v>4127</v>
      </c>
      <c r="F1553" s="1" t="s">
        <v>4128</v>
      </c>
      <c r="G1553" s="1" t="s">
        <v>3807</v>
      </c>
      <c r="H1553" s="3" t="s">
        <v>3784</v>
      </c>
      <c r="I1553" s="1" t="s">
        <v>2188</v>
      </c>
      <c r="J1553" s="5" t="s">
        <v>3785</v>
      </c>
    </row>
    <row r="1554" ht="15.75" customHeight="1">
      <c r="A1554" s="2">
        <v>1553.0</v>
      </c>
      <c r="B1554" s="1" t="s">
        <v>4129</v>
      </c>
      <c r="C1554" s="1" t="s">
        <v>4130</v>
      </c>
      <c r="D1554" s="1" t="s">
        <v>4029</v>
      </c>
      <c r="E1554" s="2" t="s">
        <v>4131</v>
      </c>
      <c r="F1554" s="1" t="s">
        <v>4132</v>
      </c>
      <c r="G1554" s="1" t="s">
        <v>3807</v>
      </c>
      <c r="H1554" s="3" t="s">
        <v>3784</v>
      </c>
      <c r="I1554" s="1" t="s">
        <v>2188</v>
      </c>
      <c r="J1554" s="5" t="s">
        <v>3785</v>
      </c>
    </row>
    <row r="1555" ht="15.75" customHeight="1">
      <c r="A1555" s="2">
        <v>1554.0</v>
      </c>
      <c r="B1555" s="6" t="s">
        <v>4133</v>
      </c>
      <c r="C1555" s="1" t="s">
        <v>4134</v>
      </c>
      <c r="D1555" s="1" t="s">
        <v>3958</v>
      </c>
      <c r="E1555" s="1" t="s">
        <v>4135</v>
      </c>
      <c r="F1555" s="3" t="s">
        <v>4136</v>
      </c>
      <c r="G1555" s="1" t="s">
        <v>3796</v>
      </c>
      <c r="H1555" s="5" t="s">
        <v>3784</v>
      </c>
      <c r="I1555" s="5" t="s">
        <v>2188</v>
      </c>
      <c r="J1555" s="5" t="s">
        <v>3785</v>
      </c>
    </row>
    <row r="1556" ht="15.75" customHeight="1">
      <c r="A1556" s="2">
        <v>1555.0</v>
      </c>
      <c r="B1556" s="1" t="s">
        <v>4137</v>
      </c>
      <c r="C1556" s="1" t="s">
        <v>4138</v>
      </c>
      <c r="D1556" s="1" t="s">
        <v>4139</v>
      </c>
      <c r="E1556" s="2" t="s">
        <v>4140</v>
      </c>
      <c r="F1556" s="1" t="s">
        <v>4141</v>
      </c>
      <c r="G1556" s="1" t="s">
        <v>3807</v>
      </c>
      <c r="H1556" s="3" t="s">
        <v>3784</v>
      </c>
      <c r="I1556" s="1" t="s">
        <v>2188</v>
      </c>
      <c r="J1556" s="5" t="s">
        <v>3785</v>
      </c>
    </row>
    <row r="1557" ht="15.75" customHeight="1">
      <c r="A1557" s="2">
        <v>1556.0</v>
      </c>
      <c r="B1557" s="1" t="s">
        <v>4142</v>
      </c>
      <c r="C1557" s="1" t="s">
        <v>4143</v>
      </c>
      <c r="D1557" s="1" t="s">
        <v>4144</v>
      </c>
      <c r="E1557" s="2" t="s">
        <v>4145</v>
      </c>
      <c r="F1557" s="1" t="s">
        <v>4146</v>
      </c>
      <c r="G1557" s="1" t="s">
        <v>3807</v>
      </c>
      <c r="H1557" s="3" t="s">
        <v>3784</v>
      </c>
      <c r="I1557" s="1" t="s">
        <v>2188</v>
      </c>
      <c r="J1557" s="5" t="s">
        <v>3785</v>
      </c>
    </row>
    <row r="1558" ht="15.75" customHeight="1">
      <c r="A1558" s="2">
        <v>1557.0</v>
      </c>
      <c r="B1558" s="1" t="s">
        <v>4147</v>
      </c>
      <c r="C1558" s="1" t="s">
        <v>3903</v>
      </c>
      <c r="D1558" s="1" t="s">
        <v>3904</v>
      </c>
      <c r="E1558" s="2" t="s">
        <v>4148</v>
      </c>
      <c r="F1558" s="1" t="s">
        <v>4149</v>
      </c>
      <c r="G1558" s="1" t="s">
        <v>3796</v>
      </c>
      <c r="H1558" s="3" t="s">
        <v>3784</v>
      </c>
      <c r="I1558" s="1" t="s">
        <v>2188</v>
      </c>
      <c r="J1558" s="5" t="s">
        <v>3785</v>
      </c>
    </row>
    <row r="1559" ht="15.75" customHeight="1">
      <c r="A1559" s="2">
        <v>1558.0</v>
      </c>
      <c r="B1559" s="1" t="s">
        <v>4150</v>
      </c>
      <c r="C1559" s="1" t="s">
        <v>3804</v>
      </c>
      <c r="D1559" s="1" t="s">
        <v>4151</v>
      </c>
      <c r="E1559" s="2" t="s">
        <v>4152</v>
      </c>
      <c r="F1559" s="1" t="s">
        <v>4153</v>
      </c>
      <c r="G1559" s="1" t="s">
        <v>3807</v>
      </c>
      <c r="H1559" s="3" t="s">
        <v>3784</v>
      </c>
      <c r="I1559" s="1" t="s">
        <v>2188</v>
      </c>
      <c r="J1559" s="5" t="s">
        <v>3785</v>
      </c>
    </row>
    <row r="1560" ht="15.75" customHeight="1">
      <c r="A1560" s="2">
        <v>1559.0</v>
      </c>
      <c r="B1560" s="1" t="s">
        <v>4154</v>
      </c>
      <c r="C1560" s="1" t="s">
        <v>3862</v>
      </c>
      <c r="D1560" s="1" t="s">
        <v>4155</v>
      </c>
      <c r="E1560" s="2" t="s">
        <v>4156</v>
      </c>
      <c r="F1560" s="1" t="s">
        <v>4157</v>
      </c>
      <c r="G1560" s="1" t="s">
        <v>3807</v>
      </c>
      <c r="H1560" s="3" t="s">
        <v>3784</v>
      </c>
      <c r="I1560" s="1" t="s">
        <v>2188</v>
      </c>
      <c r="J1560" s="5" t="s">
        <v>3785</v>
      </c>
    </row>
    <row r="1561" ht="15.75" customHeight="1">
      <c r="A1561" s="2">
        <v>1560.0</v>
      </c>
      <c r="B1561" s="1" t="s">
        <v>3816</v>
      </c>
      <c r="C1561" s="1" t="s">
        <v>4158</v>
      </c>
      <c r="D1561" s="1" t="s">
        <v>4104</v>
      </c>
      <c r="E1561" s="2" t="s">
        <v>4159</v>
      </c>
      <c r="F1561" s="1" t="s">
        <v>4160</v>
      </c>
      <c r="G1561" s="1" t="s">
        <v>3807</v>
      </c>
      <c r="H1561" s="3" t="s">
        <v>3784</v>
      </c>
      <c r="I1561" s="1" t="s">
        <v>2188</v>
      </c>
      <c r="J1561" s="5" t="s">
        <v>3785</v>
      </c>
    </row>
    <row r="1562" ht="15.75" customHeight="1">
      <c r="A1562" s="2">
        <v>1561.0</v>
      </c>
      <c r="B1562" s="1" t="s">
        <v>4115</v>
      </c>
      <c r="C1562" s="1" t="s">
        <v>3804</v>
      </c>
      <c r="D1562" s="1" t="s">
        <v>3788</v>
      </c>
      <c r="E1562" s="2" t="s">
        <v>4161</v>
      </c>
      <c r="F1562" s="1" t="s">
        <v>4162</v>
      </c>
      <c r="G1562" s="1" t="s">
        <v>3791</v>
      </c>
      <c r="H1562" s="3" t="s">
        <v>3784</v>
      </c>
      <c r="I1562" s="1" t="s">
        <v>2188</v>
      </c>
      <c r="J1562" s="5" t="s">
        <v>3785</v>
      </c>
    </row>
    <row r="1563" ht="15.75" customHeight="1">
      <c r="A1563" s="2">
        <v>1562.0</v>
      </c>
      <c r="B1563" s="1" t="s">
        <v>4163</v>
      </c>
      <c r="C1563" s="1" t="s">
        <v>4164</v>
      </c>
      <c r="D1563" s="1" t="s">
        <v>4165</v>
      </c>
      <c r="E1563" s="2" t="s">
        <v>4166</v>
      </c>
      <c r="F1563" s="1" t="s">
        <v>4167</v>
      </c>
      <c r="G1563" s="1" t="s">
        <v>3791</v>
      </c>
      <c r="H1563" s="3" t="s">
        <v>3784</v>
      </c>
      <c r="I1563" s="1" t="s">
        <v>2188</v>
      </c>
      <c r="J1563" s="5" t="s">
        <v>3785</v>
      </c>
    </row>
    <row r="1564" ht="15.75" customHeight="1">
      <c r="A1564" s="2">
        <v>1563.0</v>
      </c>
      <c r="B1564" s="1" t="s">
        <v>4007</v>
      </c>
      <c r="C1564" s="1" t="s">
        <v>4164</v>
      </c>
      <c r="D1564" s="1" t="s">
        <v>4165</v>
      </c>
      <c r="E1564" s="2" t="s">
        <v>4168</v>
      </c>
      <c r="F1564" s="1" t="s">
        <v>4169</v>
      </c>
      <c r="G1564" s="1" t="s">
        <v>3807</v>
      </c>
      <c r="H1564" s="3" t="s">
        <v>3784</v>
      </c>
      <c r="I1564" s="1" t="s">
        <v>2188</v>
      </c>
      <c r="J1564" s="5" t="s">
        <v>3785</v>
      </c>
    </row>
    <row r="1565" ht="15.75" customHeight="1">
      <c r="A1565" s="2">
        <v>1564.0</v>
      </c>
      <c r="B1565" s="1" t="s">
        <v>4170</v>
      </c>
      <c r="C1565" s="1" t="s">
        <v>4171</v>
      </c>
      <c r="D1565" s="1" t="s">
        <v>4172</v>
      </c>
      <c r="E1565" s="2" t="s">
        <v>4173</v>
      </c>
      <c r="F1565" s="1" t="s">
        <v>4174</v>
      </c>
      <c r="G1565" s="1" t="s">
        <v>3807</v>
      </c>
      <c r="H1565" s="3" t="s">
        <v>3784</v>
      </c>
      <c r="I1565" s="1" t="s">
        <v>2188</v>
      </c>
      <c r="J1565" s="5" t="s">
        <v>3785</v>
      </c>
    </row>
    <row r="1566" ht="15.75" customHeight="1">
      <c r="A1566" s="2">
        <v>1565.0</v>
      </c>
      <c r="B1566" s="1" t="s">
        <v>4175</v>
      </c>
      <c r="C1566" s="1" t="s">
        <v>4176</v>
      </c>
      <c r="D1566" s="1" t="s">
        <v>4177</v>
      </c>
      <c r="E1566" s="2" t="s">
        <v>4178</v>
      </c>
      <c r="F1566" s="1" t="s">
        <v>4179</v>
      </c>
      <c r="G1566" s="1" t="s">
        <v>3791</v>
      </c>
      <c r="H1566" s="3" t="s">
        <v>3784</v>
      </c>
      <c r="I1566" s="1" t="s">
        <v>2188</v>
      </c>
      <c r="J1566" s="5" t="s">
        <v>3785</v>
      </c>
    </row>
    <row r="1567" ht="15.75" customHeight="1">
      <c r="A1567" s="2">
        <v>1566.0</v>
      </c>
      <c r="B1567" s="1" t="s">
        <v>4180</v>
      </c>
      <c r="C1567" s="1" t="s">
        <v>4181</v>
      </c>
      <c r="D1567" s="1" t="s">
        <v>4182</v>
      </c>
      <c r="E1567" s="2" t="s">
        <v>4183</v>
      </c>
      <c r="F1567" s="1" t="s">
        <v>4184</v>
      </c>
      <c r="G1567" s="1" t="s">
        <v>3791</v>
      </c>
      <c r="H1567" s="3" t="s">
        <v>3784</v>
      </c>
      <c r="I1567" s="1" t="s">
        <v>2188</v>
      </c>
      <c r="J1567" s="5" t="s">
        <v>3785</v>
      </c>
    </row>
    <row r="1568" ht="15.75" customHeight="1">
      <c r="A1568" s="2">
        <v>1567.0</v>
      </c>
      <c r="B1568" s="1" t="s">
        <v>4185</v>
      </c>
      <c r="C1568" s="1" t="s">
        <v>4186</v>
      </c>
      <c r="D1568" s="1" t="s">
        <v>4187</v>
      </c>
      <c r="E1568" s="2" t="s">
        <v>4188</v>
      </c>
      <c r="F1568" s="1" t="s">
        <v>4189</v>
      </c>
      <c r="G1568" s="1" t="s">
        <v>3807</v>
      </c>
      <c r="H1568" s="3" t="s">
        <v>3784</v>
      </c>
      <c r="I1568" s="1" t="s">
        <v>2188</v>
      </c>
      <c r="J1568" s="5" t="s">
        <v>3785</v>
      </c>
    </row>
    <row r="1569" ht="15.75" customHeight="1">
      <c r="A1569" s="2">
        <v>1568.0</v>
      </c>
      <c r="B1569" s="1" t="s">
        <v>4190</v>
      </c>
      <c r="C1569" s="1" t="s">
        <v>4191</v>
      </c>
      <c r="D1569" s="1" t="s">
        <v>4192</v>
      </c>
      <c r="E1569" s="2" t="s">
        <v>4193</v>
      </c>
      <c r="F1569" s="1" t="s">
        <v>4194</v>
      </c>
      <c r="G1569" s="1" t="s">
        <v>3807</v>
      </c>
      <c r="H1569" s="3" t="s">
        <v>3784</v>
      </c>
      <c r="I1569" s="1" t="s">
        <v>2188</v>
      </c>
      <c r="J1569" s="5" t="s">
        <v>3785</v>
      </c>
    </row>
    <row r="1570" ht="15.75" customHeight="1">
      <c r="A1570" s="2">
        <v>1569.0</v>
      </c>
      <c r="B1570" s="1" t="s">
        <v>4195</v>
      </c>
      <c r="C1570" s="1" t="s">
        <v>4191</v>
      </c>
      <c r="D1570" s="1" t="s">
        <v>4196</v>
      </c>
      <c r="E1570" s="2" t="s">
        <v>4197</v>
      </c>
      <c r="F1570" s="1" t="s">
        <v>4071</v>
      </c>
      <c r="G1570" s="1" t="s">
        <v>3850</v>
      </c>
      <c r="H1570" s="3" t="s">
        <v>3784</v>
      </c>
      <c r="I1570" s="1" t="s">
        <v>2188</v>
      </c>
      <c r="J1570" s="5" t="s">
        <v>3785</v>
      </c>
    </row>
    <row r="1571" ht="15.75" customHeight="1">
      <c r="A1571" s="2">
        <v>1570.0</v>
      </c>
      <c r="B1571" s="1" t="s">
        <v>4198</v>
      </c>
      <c r="C1571" s="1" t="s">
        <v>4199</v>
      </c>
      <c r="D1571" s="1" t="s">
        <v>4200</v>
      </c>
      <c r="E1571" s="2" t="s">
        <v>4201</v>
      </c>
      <c r="F1571" s="1" t="s">
        <v>4202</v>
      </c>
      <c r="G1571" s="1" t="s">
        <v>3791</v>
      </c>
      <c r="H1571" s="3" t="s">
        <v>3784</v>
      </c>
      <c r="I1571" s="1" t="s">
        <v>2188</v>
      </c>
      <c r="J1571" s="5" t="s">
        <v>3785</v>
      </c>
    </row>
    <row r="1572" ht="15.75" customHeight="1">
      <c r="A1572" s="2">
        <v>1571.0</v>
      </c>
      <c r="B1572" s="1" t="s">
        <v>3856</v>
      </c>
      <c r="C1572" s="1" t="s">
        <v>4203</v>
      </c>
      <c r="D1572" s="1" t="s">
        <v>4204</v>
      </c>
      <c r="E1572" s="2" t="s">
        <v>4205</v>
      </c>
      <c r="F1572" s="1" t="s">
        <v>4206</v>
      </c>
      <c r="G1572" s="1" t="s">
        <v>3791</v>
      </c>
      <c r="H1572" s="3" t="s">
        <v>3784</v>
      </c>
      <c r="I1572" s="1" t="s">
        <v>2188</v>
      </c>
      <c r="J1572" s="5" t="s">
        <v>3785</v>
      </c>
    </row>
    <row r="1573" ht="15.75" customHeight="1">
      <c r="A1573" s="2">
        <v>1572.0</v>
      </c>
      <c r="B1573" s="1" t="s">
        <v>4207</v>
      </c>
      <c r="C1573" s="1" t="s">
        <v>4203</v>
      </c>
      <c r="D1573" s="1" t="s">
        <v>4208</v>
      </c>
      <c r="E1573" s="2" t="s">
        <v>4209</v>
      </c>
      <c r="F1573" s="1" t="s">
        <v>4210</v>
      </c>
      <c r="G1573" s="1" t="s">
        <v>3807</v>
      </c>
      <c r="H1573" s="3" t="s">
        <v>3784</v>
      </c>
      <c r="I1573" s="1" t="s">
        <v>2188</v>
      </c>
      <c r="J1573" s="5" t="s">
        <v>3785</v>
      </c>
    </row>
    <row r="1574" ht="15.75" customHeight="1">
      <c r="A1574" s="2">
        <v>1573.0</v>
      </c>
      <c r="B1574" s="1" t="s">
        <v>4211</v>
      </c>
      <c r="C1574" s="1" t="s">
        <v>4143</v>
      </c>
      <c r="D1574" s="1" t="s">
        <v>4204</v>
      </c>
      <c r="E1574" s="2" t="s">
        <v>4212</v>
      </c>
      <c r="F1574" s="1" t="s">
        <v>4213</v>
      </c>
      <c r="G1574" s="1" t="s">
        <v>3807</v>
      </c>
      <c r="H1574" s="3" t="s">
        <v>3784</v>
      </c>
      <c r="I1574" s="1" t="s">
        <v>2188</v>
      </c>
      <c r="J1574" s="5" t="s">
        <v>3785</v>
      </c>
    </row>
    <row r="1575" ht="15.75" customHeight="1">
      <c r="A1575" s="2">
        <v>1574.0</v>
      </c>
      <c r="B1575" s="1" t="s">
        <v>4214</v>
      </c>
      <c r="C1575" s="1" t="s">
        <v>3962</v>
      </c>
      <c r="D1575" s="1" t="s">
        <v>4215</v>
      </c>
      <c r="E1575" s="2" t="s">
        <v>4216</v>
      </c>
      <c r="F1575" s="1" t="s">
        <v>4217</v>
      </c>
      <c r="G1575" s="1" t="s">
        <v>3850</v>
      </c>
      <c r="H1575" s="3" t="s">
        <v>3784</v>
      </c>
      <c r="I1575" s="1" t="s">
        <v>2188</v>
      </c>
      <c r="J1575" s="5" t="s">
        <v>3785</v>
      </c>
    </row>
    <row r="1576" ht="15.75" customHeight="1">
      <c r="A1576" s="2">
        <v>1575.0</v>
      </c>
      <c r="B1576" s="1" t="s">
        <v>4218</v>
      </c>
      <c r="C1576" s="1" t="s">
        <v>4219</v>
      </c>
      <c r="D1576" s="1" t="s">
        <v>4220</v>
      </c>
      <c r="E1576" s="2" t="s">
        <v>4221</v>
      </c>
      <c r="F1576" s="1" t="s">
        <v>4222</v>
      </c>
      <c r="G1576" s="1" t="s">
        <v>3807</v>
      </c>
      <c r="H1576" s="3" t="s">
        <v>3784</v>
      </c>
      <c r="I1576" s="1" t="s">
        <v>2188</v>
      </c>
      <c r="J1576" s="5" t="s">
        <v>3785</v>
      </c>
    </row>
    <row r="1577" ht="15.75" customHeight="1">
      <c r="A1577" s="2">
        <v>1576.0</v>
      </c>
      <c r="B1577" s="1" t="s">
        <v>4223</v>
      </c>
      <c r="C1577" s="1" t="s">
        <v>4224</v>
      </c>
      <c r="D1577" s="1" t="s">
        <v>3894</v>
      </c>
      <c r="E1577" s="2" t="s">
        <v>4225</v>
      </c>
      <c r="F1577" s="1" t="s">
        <v>4226</v>
      </c>
      <c r="G1577" s="1" t="s">
        <v>3807</v>
      </c>
      <c r="H1577" s="3" t="s">
        <v>3784</v>
      </c>
      <c r="I1577" s="1" t="s">
        <v>2188</v>
      </c>
      <c r="J1577" s="5" t="s">
        <v>3785</v>
      </c>
    </row>
    <row r="1578" ht="15.75" customHeight="1">
      <c r="A1578" s="2">
        <v>1577.0</v>
      </c>
      <c r="B1578" s="1" t="s">
        <v>3937</v>
      </c>
      <c r="C1578" s="1" t="s">
        <v>4143</v>
      </c>
      <c r="D1578" s="1" t="s">
        <v>4227</v>
      </c>
      <c r="E1578" s="2" t="s">
        <v>4228</v>
      </c>
      <c r="F1578" s="1" t="s">
        <v>4229</v>
      </c>
      <c r="G1578" s="1" t="s">
        <v>3807</v>
      </c>
      <c r="H1578" s="3" t="s">
        <v>3784</v>
      </c>
      <c r="I1578" s="1" t="s">
        <v>2188</v>
      </c>
      <c r="J1578" s="5" t="s">
        <v>3785</v>
      </c>
    </row>
    <row r="1579" ht="15.75" customHeight="1">
      <c r="A1579" s="2">
        <v>1578.0</v>
      </c>
      <c r="B1579" s="1" t="s">
        <v>4230</v>
      </c>
      <c r="C1579" s="1" t="s">
        <v>4143</v>
      </c>
      <c r="D1579" s="1" t="s">
        <v>4227</v>
      </c>
      <c r="E1579" s="2" t="s">
        <v>4231</v>
      </c>
      <c r="F1579" s="1" t="s">
        <v>4232</v>
      </c>
      <c r="G1579" s="1" t="s">
        <v>3807</v>
      </c>
      <c r="H1579" s="3" t="s">
        <v>3784</v>
      </c>
      <c r="I1579" s="1" t="s">
        <v>2188</v>
      </c>
      <c r="J1579" s="5" t="s">
        <v>3785</v>
      </c>
    </row>
    <row r="1580" ht="15.75" customHeight="1">
      <c r="A1580" s="2">
        <v>1579.0</v>
      </c>
      <c r="B1580" s="1" t="s">
        <v>4233</v>
      </c>
      <c r="C1580" s="1" t="s">
        <v>4234</v>
      </c>
      <c r="D1580" s="1" t="s">
        <v>4235</v>
      </c>
      <c r="E1580" s="2" t="s">
        <v>4236</v>
      </c>
      <c r="F1580" s="1" t="s">
        <v>4237</v>
      </c>
      <c r="G1580" s="1" t="s">
        <v>3866</v>
      </c>
      <c r="H1580" s="3" t="s">
        <v>3784</v>
      </c>
      <c r="I1580" s="1" t="s">
        <v>2188</v>
      </c>
      <c r="J1580" s="5" t="s">
        <v>3785</v>
      </c>
    </row>
    <row r="1581" ht="15.75" customHeight="1">
      <c r="A1581" s="2">
        <v>1580.0</v>
      </c>
      <c r="B1581" s="1" t="s">
        <v>4238</v>
      </c>
      <c r="C1581" s="1" t="s">
        <v>4059</v>
      </c>
      <c r="D1581" s="1" t="s">
        <v>4239</v>
      </c>
      <c r="E1581" s="2" t="s">
        <v>4240</v>
      </c>
      <c r="F1581" s="1" t="s">
        <v>4241</v>
      </c>
      <c r="G1581" s="1" t="s">
        <v>3850</v>
      </c>
      <c r="H1581" s="3" t="s">
        <v>3784</v>
      </c>
      <c r="I1581" s="1" t="s">
        <v>2188</v>
      </c>
      <c r="J1581" s="5" t="s">
        <v>3785</v>
      </c>
    </row>
    <row r="1582" ht="15.75" customHeight="1">
      <c r="A1582" s="2">
        <v>1581.0</v>
      </c>
      <c r="B1582" s="1" t="s">
        <v>4242</v>
      </c>
      <c r="C1582" s="1" t="s">
        <v>4243</v>
      </c>
      <c r="D1582" s="1" t="s">
        <v>4244</v>
      </c>
      <c r="E1582" s="2" t="s">
        <v>4245</v>
      </c>
      <c r="F1582" s="1" t="s">
        <v>4246</v>
      </c>
      <c r="G1582" s="1" t="s">
        <v>3807</v>
      </c>
      <c r="H1582" s="3" t="s">
        <v>3784</v>
      </c>
      <c r="I1582" s="1" t="s">
        <v>2188</v>
      </c>
      <c r="J1582" s="5" t="s">
        <v>3785</v>
      </c>
    </row>
    <row r="1583" ht="15.75" customHeight="1">
      <c r="A1583" s="2">
        <v>1582.0</v>
      </c>
      <c r="B1583" s="1" t="s">
        <v>3803</v>
      </c>
      <c r="C1583" s="1" t="s">
        <v>4219</v>
      </c>
      <c r="D1583" s="1" t="s">
        <v>4220</v>
      </c>
      <c r="E1583" s="2" t="s">
        <v>4247</v>
      </c>
      <c r="F1583" s="1" t="s">
        <v>4248</v>
      </c>
      <c r="G1583" s="1" t="s">
        <v>3807</v>
      </c>
      <c r="H1583" s="3" t="s">
        <v>3784</v>
      </c>
      <c r="I1583" s="1" t="s">
        <v>2188</v>
      </c>
      <c r="J1583" s="5" t="s">
        <v>3785</v>
      </c>
    </row>
    <row r="1584" ht="15.75" customHeight="1">
      <c r="A1584" s="2">
        <v>1583.0</v>
      </c>
      <c r="B1584" s="1" t="s">
        <v>4249</v>
      </c>
      <c r="C1584" s="1" t="s">
        <v>4143</v>
      </c>
      <c r="D1584" s="1" t="s">
        <v>4250</v>
      </c>
      <c r="E1584" s="2" t="s">
        <v>4251</v>
      </c>
      <c r="F1584" s="1" t="s">
        <v>4252</v>
      </c>
      <c r="G1584" s="1" t="s">
        <v>3807</v>
      </c>
      <c r="H1584" s="3" t="s">
        <v>3784</v>
      </c>
      <c r="I1584" s="1" t="s">
        <v>2188</v>
      </c>
      <c r="J1584" s="5" t="s">
        <v>3785</v>
      </c>
    </row>
    <row r="1585" ht="15.75" customHeight="1">
      <c r="A1585" s="2">
        <v>1584.0</v>
      </c>
      <c r="B1585" s="1" t="s">
        <v>4253</v>
      </c>
      <c r="C1585" s="1" t="s">
        <v>4158</v>
      </c>
      <c r="D1585" s="1" t="s">
        <v>4254</v>
      </c>
      <c r="E1585" s="2" t="s">
        <v>4255</v>
      </c>
      <c r="F1585" s="1" t="s">
        <v>4256</v>
      </c>
      <c r="G1585" s="1" t="s">
        <v>3807</v>
      </c>
      <c r="H1585" s="3" t="s">
        <v>3784</v>
      </c>
      <c r="I1585" s="1" t="s">
        <v>2188</v>
      </c>
      <c r="J1585" s="5" t="s">
        <v>3785</v>
      </c>
    </row>
    <row r="1586" ht="15.75" customHeight="1">
      <c r="A1586" s="2">
        <v>1585.0</v>
      </c>
      <c r="B1586" s="1" t="s">
        <v>4257</v>
      </c>
      <c r="C1586" s="1" t="s">
        <v>4176</v>
      </c>
      <c r="D1586" s="1" t="s">
        <v>4177</v>
      </c>
      <c r="E1586" s="2" t="s">
        <v>4258</v>
      </c>
      <c r="F1586" s="1" t="s">
        <v>4259</v>
      </c>
      <c r="G1586" s="1" t="s">
        <v>3807</v>
      </c>
      <c r="H1586" s="3" t="s">
        <v>3784</v>
      </c>
      <c r="I1586" s="1" t="s">
        <v>2188</v>
      </c>
      <c r="J1586" s="5" t="s">
        <v>3785</v>
      </c>
    </row>
    <row r="1587" ht="15.75" customHeight="1">
      <c r="A1587" s="2">
        <v>1586.0</v>
      </c>
      <c r="B1587" s="1" t="s">
        <v>4260</v>
      </c>
      <c r="C1587" s="1" t="s">
        <v>4171</v>
      </c>
      <c r="D1587" s="1" t="s">
        <v>4261</v>
      </c>
      <c r="E1587" s="2" t="s">
        <v>4262</v>
      </c>
      <c r="F1587" s="1" t="s">
        <v>4263</v>
      </c>
      <c r="G1587" s="1" t="s">
        <v>3807</v>
      </c>
      <c r="H1587" s="3" t="s">
        <v>3784</v>
      </c>
      <c r="I1587" s="1" t="s">
        <v>2188</v>
      </c>
      <c r="J1587" s="5" t="s">
        <v>3785</v>
      </c>
    </row>
    <row r="1588" ht="15.75" customHeight="1">
      <c r="A1588" s="2">
        <v>1587.0</v>
      </c>
      <c r="B1588" s="1" t="s">
        <v>4264</v>
      </c>
      <c r="C1588" s="1" t="s">
        <v>4186</v>
      </c>
      <c r="D1588" s="1" t="s">
        <v>4265</v>
      </c>
      <c r="E1588" s="2" t="s">
        <v>4266</v>
      </c>
      <c r="F1588" s="1" t="s">
        <v>4267</v>
      </c>
      <c r="G1588" s="1" t="s">
        <v>3807</v>
      </c>
      <c r="H1588" s="3" t="s">
        <v>3784</v>
      </c>
      <c r="I1588" s="1" t="s">
        <v>2188</v>
      </c>
      <c r="J1588" s="5" t="s">
        <v>3785</v>
      </c>
    </row>
    <row r="1589" ht="15.75" customHeight="1">
      <c r="A1589" s="2">
        <v>1588.0</v>
      </c>
      <c r="B1589" s="1" t="s">
        <v>4268</v>
      </c>
      <c r="C1589" s="1" t="s">
        <v>4158</v>
      </c>
      <c r="D1589" s="1" t="s">
        <v>4269</v>
      </c>
      <c r="E1589" s="2" t="s">
        <v>4270</v>
      </c>
      <c r="F1589" s="1" t="s">
        <v>4271</v>
      </c>
      <c r="G1589" s="1" t="s">
        <v>3791</v>
      </c>
      <c r="H1589" s="3" t="s">
        <v>3784</v>
      </c>
      <c r="I1589" s="1" t="s">
        <v>2188</v>
      </c>
      <c r="J1589" s="5" t="s">
        <v>3785</v>
      </c>
    </row>
    <row r="1590" ht="15.75" customHeight="1">
      <c r="A1590" s="2">
        <v>1589.0</v>
      </c>
      <c r="B1590" s="1" t="s">
        <v>4272</v>
      </c>
      <c r="C1590" s="1" t="s">
        <v>4273</v>
      </c>
      <c r="D1590" s="1" t="s">
        <v>4274</v>
      </c>
      <c r="E1590" s="2" t="s">
        <v>4275</v>
      </c>
      <c r="F1590" s="1" t="s">
        <v>4276</v>
      </c>
      <c r="G1590" s="1" t="s">
        <v>3807</v>
      </c>
      <c r="H1590" s="3" t="s">
        <v>3784</v>
      </c>
      <c r="I1590" s="1" t="s">
        <v>2188</v>
      </c>
      <c r="J1590" s="5" t="s">
        <v>3785</v>
      </c>
    </row>
    <row r="1591" ht="15.75" customHeight="1">
      <c r="A1591" s="2">
        <v>1590.0</v>
      </c>
      <c r="B1591" s="1" t="s">
        <v>4277</v>
      </c>
      <c r="C1591" s="1" t="s">
        <v>4278</v>
      </c>
      <c r="D1591" s="1" t="s">
        <v>4279</v>
      </c>
      <c r="E1591" s="2" t="s">
        <v>4280</v>
      </c>
      <c r="F1591" s="1" t="s">
        <v>4281</v>
      </c>
      <c r="G1591" s="1" t="s">
        <v>3807</v>
      </c>
      <c r="H1591" s="3" t="s">
        <v>3784</v>
      </c>
      <c r="I1591" s="1" t="s">
        <v>2188</v>
      </c>
      <c r="J1591" s="5" t="s">
        <v>3785</v>
      </c>
    </row>
    <row r="1592" ht="15.75" customHeight="1">
      <c r="A1592" s="2">
        <v>1591.0</v>
      </c>
      <c r="B1592" s="1" t="s">
        <v>4282</v>
      </c>
      <c r="C1592" s="1" t="s">
        <v>4283</v>
      </c>
      <c r="D1592" s="1" t="s">
        <v>4284</v>
      </c>
      <c r="E1592" s="2" t="s">
        <v>4285</v>
      </c>
      <c r="F1592" s="1" t="s">
        <v>4286</v>
      </c>
      <c r="G1592" s="1" t="s">
        <v>3807</v>
      </c>
      <c r="H1592" s="3" t="s">
        <v>3784</v>
      </c>
      <c r="I1592" s="1" t="s">
        <v>2188</v>
      </c>
      <c r="J1592" s="5" t="s">
        <v>3785</v>
      </c>
    </row>
    <row r="1593" ht="15.75" customHeight="1">
      <c r="A1593" s="2">
        <v>1592.0</v>
      </c>
      <c r="B1593" s="1" t="s">
        <v>4287</v>
      </c>
      <c r="C1593" s="1" t="s">
        <v>4288</v>
      </c>
      <c r="D1593" s="1" t="s">
        <v>4289</v>
      </c>
      <c r="E1593" s="2" t="s">
        <v>4290</v>
      </c>
      <c r="F1593" s="1" t="s">
        <v>4291</v>
      </c>
      <c r="G1593" s="1" t="s">
        <v>3807</v>
      </c>
      <c r="H1593" s="3" t="s">
        <v>3784</v>
      </c>
      <c r="I1593" s="1" t="s">
        <v>2188</v>
      </c>
      <c r="J1593" s="5" t="s">
        <v>3785</v>
      </c>
    </row>
    <row r="1594" ht="15.75" customHeight="1">
      <c r="A1594" s="2">
        <v>1593.0</v>
      </c>
      <c r="B1594" s="1" t="s">
        <v>4292</v>
      </c>
      <c r="C1594" s="1" t="s">
        <v>4293</v>
      </c>
      <c r="D1594" s="1" t="s">
        <v>4289</v>
      </c>
      <c r="E1594" s="2" t="s">
        <v>4294</v>
      </c>
      <c r="F1594" s="1" t="s">
        <v>4295</v>
      </c>
      <c r="G1594" s="1" t="s">
        <v>3807</v>
      </c>
      <c r="H1594" s="3" t="s">
        <v>3784</v>
      </c>
      <c r="I1594" s="1" t="s">
        <v>2188</v>
      </c>
      <c r="J1594" s="5" t="s">
        <v>3785</v>
      </c>
    </row>
    <row r="1595" ht="15.75" customHeight="1">
      <c r="A1595" s="2">
        <v>1594.0</v>
      </c>
      <c r="B1595" s="1" t="s">
        <v>4296</v>
      </c>
      <c r="C1595" s="1" t="s">
        <v>4041</v>
      </c>
      <c r="D1595" s="1" t="s">
        <v>4297</v>
      </c>
      <c r="E1595" s="2" t="s">
        <v>4298</v>
      </c>
      <c r="F1595" s="1" t="s">
        <v>4299</v>
      </c>
      <c r="G1595" s="1" t="s">
        <v>3791</v>
      </c>
      <c r="H1595" s="3" t="s">
        <v>3784</v>
      </c>
      <c r="I1595" s="1" t="s">
        <v>2188</v>
      </c>
      <c r="J1595" s="5" t="s">
        <v>3785</v>
      </c>
    </row>
    <row r="1596" ht="15.75" customHeight="1">
      <c r="A1596" s="2">
        <v>1595.0</v>
      </c>
      <c r="B1596" s="1" t="s">
        <v>4264</v>
      </c>
      <c r="C1596" s="1" t="s">
        <v>4300</v>
      </c>
      <c r="D1596" s="1" t="s">
        <v>4301</v>
      </c>
      <c r="E1596" s="2" t="s">
        <v>4302</v>
      </c>
      <c r="F1596" s="1" t="s">
        <v>4303</v>
      </c>
      <c r="G1596" s="1" t="s">
        <v>3807</v>
      </c>
      <c r="H1596" s="3" t="s">
        <v>3784</v>
      </c>
      <c r="I1596" s="1" t="s">
        <v>2188</v>
      </c>
      <c r="J1596" s="5" t="s">
        <v>3785</v>
      </c>
    </row>
    <row r="1597" ht="15.75" customHeight="1">
      <c r="A1597" s="2">
        <v>1596.0</v>
      </c>
      <c r="B1597" s="1" t="s">
        <v>4304</v>
      </c>
      <c r="C1597" s="1" t="s">
        <v>4293</v>
      </c>
      <c r="D1597" s="1" t="s">
        <v>4289</v>
      </c>
      <c r="E1597" s="2" t="s">
        <v>4305</v>
      </c>
      <c r="F1597" s="1" t="s">
        <v>4306</v>
      </c>
      <c r="G1597" s="1" t="s">
        <v>3807</v>
      </c>
      <c r="H1597" s="3" t="s">
        <v>3784</v>
      </c>
      <c r="I1597" s="1" t="s">
        <v>2188</v>
      </c>
      <c r="J1597" s="5" t="s">
        <v>3785</v>
      </c>
    </row>
    <row r="1598" ht="15.75" customHeight="1">
      <c r="A1598" s="2">
        <v>1597.0</v>
      </c>
      <c r="B1598" s="1" t="s">
        <v>4307</v>
      </c>
      <c r="C1598" s="1" t="s">
        <v>4308</v>
      </c>
      <c r="D1598" s="1" t="s">
        <v>4309</v>
      </c>
      <c r="E1598" s="2" t="s">
        <v>4310</v>
      </c>
      <c r="F1598" s="1" t="s">
        <v>4311</v>
      </c>
      <c r="G1598" s="1" t="s">
        <v>3807</v>
      </c>
      <c r="H1598" s="3" t="s">
        <v>3784</v>
      </c>
      <c r="I1598" s="1" t="s">
        <v>2188</v>
      </c>
      <c r="J1598" s="5" t="s">
        <v>3785</v>
      </c>
    </row>
    <row r="1599" ht="15.75" customHeight="1">
      <c r="A1599" s="2">
        <v>1598.0</v>
      </c>
      <c r="B1599" s="1" t="s">
        <v>4312</v>
      </c>
      <c r="C1599" s="1" t="s">
        <v>4313</v>
      </c>
      <c r="D1599" s="1" t="s">
        <v>4314</v>
      </c>
      <c r="E1599" s="2" t="s">
        <v>4315</v>
      </c>
      <c r="F1599" s="1" t="s">
        <v>4316</v>
      </c>
      <c r="G1599" s="1" t="s">
        <v>3850</v>
      </c>
      <c r="H1599" s="3" t="s">
        <v>3784</v>
      </c>
      <c r="I1599" s="1" t="s">
        <v>2188</v>
      </c>
      <c r="J1599" s="5" t="s">
        <v>3785</v>
      </c>
    </row>
    <row r="1600" ht="15.75" customHeight="1">
      <c r="A1600" s="2">
        <v>1599.0</v>
      </c>
      <c r="B1600" s="1" t="s">
        <v>3920</v>
      </c>
      <c r="C1600" s="1" t="s">
        <v>4317</v>
      </c>
      <c r="D1600" s="1" t="s">
        <v>4309</v>
      </c>
      <c r="E1600" s="2" t="s">
        <v>4318</v>
      </c>
      <c r="F1600" s="1" t="s">
        <v>4319</v>
      </c>
      <c r="G1600" s="1" t="s">
        <v>3807</v>
      </c>
      <c r="H1600" s="3" t="s">
        <v>3784</v>
      </c>
      <c r="I1600" s="1" t="s">
        <v>2188</v>
      </c>
      <c r="J1600" s="5" t="s">
        <v>3785</v>
      </c>
    </row>
    <row r="1601" ht="15.75" customHeight="1">
      <c r="A1601" s="2">
        <v>1600.0</v>
      </c>
      <c r="B1601" s="1" t="s">
        <v>4320</v>
      </c>
      <c r="C1601" s="1" t="s">
        <v>4321</v>
      </c>
      <c r="D1601" s="1" t="s">
        <v>4322</v>
      </c>
      <c r="E1601" s="2" t="s">
        <v>4323</v>
      </c>
      <c r="F1601" s="1" t="s">
        <v>4324</v>
      </c>
      <c r="G1601" s="1" t="s">
        <v>3791</v>
      </c>
      <c r="H1601" s="3" t="s">
        <v>3784</v>
      </c>
      <c r="I1601" s="1" t="s">
        <v>2188</v>
      </c>
      <c r="J1601" s="5" t="s">
        <v>3785</v>
      </c>
    </row>
    <row r="1602" ht="15.75" customHeight="1">
      <c r="A1602" s="2">
        <v>1601.0</v>
      </c>
      <c r="B1602" s="1" t="s">
        <v>4325</v>
      </c>
      <c r="C1602" s="1" t="s">
        <v>4326</v>
      </c>
      <c r="D1602" s="1" t="s">
        <v>4327</v>
      </c>
      <c r="E1602" s="2" t="s">
        <v>4328</v>
      </c>
      <c r="F1602" s="1" t="s">
        <v>4329</v>
      </c>
      <c r="G1602" s="1" t="s">
        <v>3807</v>
      </c>
      <c r="H1602" s="3" t="s">
        <v>3784</v>
      </c>
      <c r="I1602" s="1" t="s">
        <v>2188</v>
      </c>
      <c r="J1602" s="5" t="s">
        <v>3785</v>
      </c>
    </row>
    <row r="1603" ht="15.75" customHeight="1">
      <c r="A1603" s="2">
        <v>1602.0</v>
      </c>
      <c r="B1603" s="1" t="s">
        <v>4330</v>
      </c>
      <c r="C1603" s="1" t="s">
        <v>4331</v>
      </c>
      <c r="D1603" s="1" t="s">
        <v>4250</v>
      </c>
      <c r="E1603" s="2" t="s">
        <v>4332</v>
      </c>
      <c r="F1603" s="1" t="s">
        <v>4333</v>
      </c>
      <c r="G1603" s="1" t="s">
        <v>3807</v>
      </c>
      <c r="H1603" s="3" t="s">
        <v>3784</v>
      </c>
      <c r="I1603" s="1" t="s">
        <v>2188</v>
      </c>
      <c r="J1603" s="5" t="s">
        <v>3785</v>
      </c>
    </row>
    <row r="1604" ht="15.75" customHeight="1">
      <c r="A1604" s="2">
        <v>1603.0</v>
      </c>
      <c r="B1604" s="1" t="s">
        <v>4334</v>
      </c>
      <c r="C1604" s="1" t="s">
        <v>4112</v>
      </c>
      <c r="D1604" s="1" t="s">
        <v>4335</v>
      </c>
      <c r="E1604" s="2" t="s">
        <v>4336</v>
      </c>
      <c r="F1604" s="1" t="s">
        <v>4337</v>
      </c>
      <c r="G1604" s="1" t="s">
        <v>3807</v>
      </c>
      <c r="H1604" s="3" t="s">
        <v>3784</v>
      </c>
      <c r="I1604" s="1" t="s">
        <v>2188</v>
      </c>
      <c r="J1604" s="5" t="s">
        <v>3785</v>
      </c>
    </row>
    <row r="1605" ht="15.75" customHeight="1">
      <c r="A1605" s="2">
        <v>1604.0</v>
      </c>
      <c r="B1605" s="1" t="s">
        <v>4338</v>
      </c>
      <c r="C1605" s="1" t="s">
        <v>4339</v>
      </c>
      <c r="D1605" s="1" t="s">
        <v>4340</v>
      </c>
      <c r="E1605" s="2" t="s">
        <v>4341</v>
      </c>
      <c r="F1605" s="1" t="s">
        <v>4342</v>
      </c>
      <c r="G1605" s="1" t="s">
        <v>3807</v>
      </c>
      <c r="H1605" s="3" t="s">
        <v>3784</v>
      </c>
      <c r="I1605" s="1" t="s">
        <v>2188</v>
      </c>
      <c r="J1605" s="5" t="s">
        <v>3785</v>
      </c>
    </row>
    <row r="1606" ht="15.75" customHeight="1">
      <c r="A1606" s="2">
        <v>1605.0</v>
      </c>
      <c r="B1606" s="1" t="s">
        <v>4343</v>
      </c>
      <c r="C1606" s="1" t="s">
        <v>4344</v>
      </c>
      <c r="D1606" s="1" t="s">
        <v>4345</v>
      </c>
      <c r="E1606" s="2" t="s">
        <v>4346</v>
      </c>
      <c r="F1606" s="1" t="s">
        <v>4347</v>
      </c>
      <c r="G1606" s="1" t="s">
        <v>3791</v>
      </c>
      <c r="H1606" s="3" t="s">
        <v>3784</v>
      </c>
      <c r="I1606" s="1" t="s">
        <v>2188</v>
      </c>
      <c r="J1606" s="5" t="s">
        <v>3785</v>
      </c>
    </row>
    <row r="1607" ht="15.75" customHeight="1">
      <c r="A1607" s="2">
        <v>1606.0</v>
      </c>
      <c r="B1607" s="1" t="s">
        <v>4348</v>
      </c>
      <c r="C1607" s="1" t="s">
        <v>4349</v>
      </c>
      <c r="D1607" s="1" t="s">
        <v>4350</v>
      </c>
      <c r="E1607" s="2" t="s">
        <v>4351</v>
      </c>
      <c r="F1607" s="1" t="s">
        <v>4352</v>
      </c>
      <c r="G1607" s="1" t="s">
        <v>3807</v>
      </c>
      <c r="H1607" s="3" t="s">
        <v>3784</v>
      </c>
      <c r="I1607" s="1" t="s">
        <v>2188</v>
      </c>
      <c r="J1607" s="5" t="s">
        <v>3785</v>
      </c>
    </row>
    <row r="1608" ht="15.75" customHeight="1">
      <c r="A1608" s="2">
        <v>1607.0</v>
      </c>
      <c r="B1608" s="1" t="s">
        <v>4175</v>
      </c>
      <c r="C1608" s="1" t="s">
        <v>4353</v>
      </c>
      <c r="D1608" s="1" t="s">
        <v>4069</v>
      </c>
      <c r="E1608" s="2" t="s">
        <v>4354</v>
      </c>
      <c r="F1608" s="1" t="s">
        <v>4355</v>
      </c>
      <c r="G1608" s="1" t="s">
        <v>4356</v>
      </c>
      <c r="H1608" s="3" t="s">
        <v>3784</v>
      </c>
      <c r="I1608" s="1" t="s">
        <v>2188</v>
      </c>
      <c r="J1608" s="5" t="s">
        <v>3785</v>
      </c>
    </row>
    <row r="1609" ht="15.75" customHeight="1">
      <c r="A1609" s="2">
        <v>1608.0</v>
      </c>
      <c r="B1609" s="1" t="s">
        <v>3956</v>
      </c>
      <c r="C1609" s="1" t="s">
        <v>4357</v>
      </c>
      <c r="D1609" s="1" t="s">
        <v>4358</v>
      </c>
      <c r="E1609" s="2" t="s">
        <v>4359</v>
      </c>
      <c r="F1609" s="1" t="s">
        <v>4360</v>
      </c>
      <c r="G1609" s="1" t="s">
        <v>3850</v>
      </c>
      <c r="H1609" s="3" t="s">
        <v>4361</v>
      </c>
      <c r="I1609" s="1" t="s">
        <v>4362</v>
      </c>
      <c r="J1609" s="5" t="s">
        <v>2188</v>
      </c>
      <c r="K1609" s="5" t="s">
        <v>2189</v>
      </c>
    </row>
    <row r="1610" ht="15.75" customHeight="1">
      <c r="A1610" s="2">
        <v>1609.0</v>
      </c>
      <c r="B1610" s="1" t="s">
        <v>4363</v>
      </c>
      <c r="C1610" s="1" t="s">
        <v>4364</v>
      </c>
      <c r="D1610" s="1" t="s">
        <v>4365</v>
      </c>
      <c r="E1610" s="2" t="s">
        <v>4366</v>
      </c>
      <c r="F1610" s="1" t="s">
        <v>4367</v>
      </c>
      <c r="G1610" s="1" t="s">
        <v>3850</v>
      </c>
      <c r="H1610" s="3" t="s">
        <v>4361</v>
      </c>
      <c r="I1610" s="1" t="s">
        <v>4368</v>
      </c>
      <c r="J1610" s="5" t="s">
        <v>2188</v>
      </c>
      <c r="K1610" s="5" t="s">
        <v>2189</v>
      </c>
    </row>
    <row r="1611" ht="15.75" customHeight="1">
      <c r="A1611" s="2">
        <v>1610.0</v>
      </c>
      <c r="B1611" s="1" t="s">
        <v>4369</v>
      </c>
      <c r="C1611" s="1" t="s">
        <v>4370</v>
      </c>
      <c r="D1611" s="1" t="s">
        <v>4371</v>
      </c>
      <c r="E1611" s="2" t="s">
        <v>4372</v>
      </c>
      <c r="F1611" s="1" t="s">
        <v>4373</v>
      </c>
      <c r="G1611" s="1" t="s">
        <v>3791</v>
      </c>
      <c r="H1611" s="3" t="s">
        <v>3784</v>
      </c>
      <c r="I1611" s="1" t="s">
        <v>2188</v>
      </c>
      <c r="J1611" s="5" t="s">
        <v>3785</v>
      </c>
    </row>
    <row r="1612" ht="15.75" customHeight="1">
      <c r="A1612" s="2">
        <v>1611.0</v>
      </c>
      <c r="B1612" s="1" t="s">
        <v>4374</v>
      </c>
      <c r="C1612" s="1" t="s">
        <v>4375</v>
      </c>
      <c r="D1612" s="1" t="s">
        <v>4376</v>
      </c>
      <c r="E1612" s="2" t="s">
        <v>4377</v>
      </c>
      <c r="F1612" s="1" t="s">
        <v>4378</v>
      </c>
      <c r="G1612" s="1" t="s">
        <v>3850</v>
      </c>
      <c r="H1612" s="3" t="s">
        <v>4361</v>
      </c>
      <c r="I1612" s="1" t="s">
        <v>4379</v>
      </c>
      <c r="J1612" s="5" t="s">
        <v>2188</v>
      </c>
      <c r="K1612" s="5" t="s">
        <v>2189</v>
      </c>
    </row>
    <row r="1613" ht="15.75" customHeight="1">
      <c r="A1613" s="2">
        <v>1612.0</v>
      </c>
      <c r="B1613" s="1" t="s">
        <v>4380</v>
      </c>
      <c r="C1613" s="1" t="s">
        <v>4381</v>
      </c>
      <c r="D1613" s="1" t="s">
        <v>4382</v>
      </c>
      <c r="E1613" s="2" t="s">
        <v>4383</v>
      </c>
      <c r="F1613" s="1" t="s">
        <v>4384</v>
      </c>
      <c r="G1613" s="1" t="s">
        <v>3791</v>
      </c>
      <c r="H1613" s="3" t="s">
        <v>3784</v>
      </c>
      <c r="I1613" s="1" t="s">
        <v>2188</v>
      </c>
      <c r="J1613" s="5" t="s">
        <v>3785</v>
      </c>
    </row>
    <row r="1614" ht="15.75" customHeight="1">
      <c r="A1614" s="2">
        <v>1613.0</v>
      </c>
      <c r="B1614" s="1" t="s">
        <v>3816</v>
      </c>
      <c r="C1614" s="1" t="s">
        <v>4385</v>
      </c>
      <c r="D1614" s="1" t="s">
        <v>4386</v>
      </c>
      <c r="E1614" s="2" t="s">
        <v>4387</v>
      </c>
      <c r="F1614" s="1" t="s">
        <v>4388</v>
      </c>
      <c r="G1614" s="1" t="s">
        <v>3807</v>
      </c>
      <c r="H1614" s="3" t="s">
        <v>3784</v>
      </c>
      <c r="I1614" s="1" t="s">
        <v>2188</v>
      </c>
      <c r="J1614" s="5" t="s">
        <v>3785</v>
      </c>
    </row>
    <row r="1615" ht="15.75" customHeight="1">
      <c r="A1615" s="2">
        <v>1614.0</v>
      </c>
      <c r="B1615" s="1" t="s">
        <v>4389</v>
      </c>
      <c r="C1615" s="1" t="s">
        <v>4390</v>
      </c>
      <c r="D1615" s="1" t="s">
        <v>4391</v>
      </c>
      <c r="E1615" s="2" t="s">
        <v>4392</v>
      </c>
      <c r="F1615" s="1" t="s">
        <v>4393</v>
      </c>
      <c r="G1615" s="1" t="s">
        <v>3791</v>
      </c>
      <c r="H1615" s="3" t="s">
        <v>3784</v>
      </c>
      <c r="I1615" s="1" t="s">
        <v>2188</v>
      </c>
      <c r="J1615" s="5" t="s">
        <v>3785</v>
      </c>
    </row>
    <row r="1616" ht="15.75" customHeight="1">
      <c r="A1616" s="2">
        <v>1615.0</v>
      </c>
      <c r="B1616" s="1" t="s">
        <v>4394</v>
      </c>
      <c r="C1616" s="1" t="s">
        <v>4395</v>
      </c>
      <c r="D1616" s="1" t="s">
        <v>4396</v>
      </c>
      <c r="E1616" s="2" t="s">
        <v>4397</v>
      </c>
      <c r="F1616" s="1" t="s">
        <v>4398</v>
      </c>
      <c r="G1616" s="1" t="s">
        <v>3807</v>
      </c>
      <c r="H1616" s="3" t="s">
        <v>3784</v>
      </c>
      <c r="I1616" s="1" t="s">
        <v>2188</v>
      </c>
      <c r="J1616" s="5" t="s">
        <v>3785</v>
      </c>
    </row>
    <row r="1617" ht="15.75" customHeight="1">
      <c r="A1617" s="2">
        <v>1616.0</v>
      </c>
      <c r="B1617" s="1" t="s">
        <v>4399</v>
      </c>
      <c r="C1617" s="1" t="s">
        <v>4400</v>
      </c>
      <c r="D1617" s="1" t="s">
        <v>3899</v>
      </c>
      <c r="E1617" s="2" t="s">
        <v>4401</v>
      </c>
      <c r="F1617" s="1" t="s">
        <v>4402</v>
      </c>
      <c r="G1617" s="1" t="s">
        <v>3866</v>
      </c>
      <c r="H1617" s="3" t="s">
        <v>3784</v>
      </c>
      <c r="I1617" s="1" t="s">
        <v>2188</v>
      </c>
      <c r="J1617" s="5" t="s">
        <v>3785</v>
      </c>
    </row>
    <row r="1618" ht="15.75" customHeight="1">
      <c r="A1618" s="2">
        <v>1617.0</v>
      </c>
      <c r="B1618" s="1" t="s">
        <v>4403</v>
      </c>
      <c r="C1618" s="1" t="s">
        <v>4404</v>
      </c>
      <c r="D1618" s="1" t="s">
        <v>4405</v>
      </c>
      <c r="E1618" s="2" t="s">
        <v>4406</v>
      </c>
      <c r="F1618" s="1" t="s">
        <v>4407</v>
      </c>
      <c r="G1618" s="1" t="s">
        <v>3807</v>
      </c>
      <c r="H1618" s="3" t="s">
        <v>3784</v>
      </c>
      <c r="I1618" s="1" t="s">
        <v>2188</v>
      </c>
      <c r="J1618" s="5" t="s">
        <v>3785</v>
      </c>
    </row>
    <row r="1619" ht="15.75" customHeight="1">
      <c r="A1619" s="2">
        <v>1618.0</v>
      </c>
      <c r="B1619" s="1" t="s">
        <v>4374</v>
      </c>
      <c r="C1619" s="1" t="s">
        <v>4408</v>
      </c>
      <c r="D1619" s="1" t="s">
        <v>3894</v>
      </c>
      <c r="E1619" s="2" t="s">
        <v>4409</v>
      </c>
      <c r="F1619" s="1" t="s">
        <v>4410</v>
      </c>
      <c r="G1619" s="1" t="s">
        <v>3791</v>
      </c>
      <c r="H1619" s="3" t="s">
        <v>3784</v>
      </c>
      <c r="I1619" s="1" t="s">
        <v>2188</v>
      </c>
      <c r="J1619" s="5" t="s">
        <v>3785</v>
      </c>
    </row>
    <row r="1620" ht="15.75" customHeight="1">
      <c r="A1620" s="2">
        <v>1619.0</v>
      </c>
      <c r="B1620" s="1" t="s">
        <v>4411</v>
      </c>
      <c r="C1620" s="1" t="s">
        <v>4412</v>
      </c>
      <c r="D1620" s="1" t="s">
        <v>4413</v>
      </c>
      <c r="E1620" s="2" t="s">
        <v>4414</v>
      </c>
      <c r="F1620" s="1" t="s">
        <v>4415</v>
      </c>
      <c r="G1620" s="1" t="s">
        <v>3796</v>
      </c>
      <c r="H1620" s="3" t="s">
        <v>3784</v>
      </c>
      <c r="I1620" s="1" t="s">
        <v>2188</v>
      </c>
      <c r="J1620" s="5" t="s">
        <v>3785</v>
      </c>
    </row>
    <row r="1621" ht="15.75" customHeight="1">
      <c r="A1621" s="2">
        <v>1620.0</v>
      </c>
      <c r="B1621" s="1" t="s">
        <v>4416</v>
      </c>
      <c r="C1621" s="1" t="s">
        <v>4417</v>
      </c>
      <c r="D1621" s="1" t="s">
        <v>4418</v>
      </c>
      <c r="E1621" s="2" t="s">
        <v>4419</v>
      </c>
      <c r="F1621" s="1" t="s">
        <v>4420</v>
      </c>
      <c r="G1621" s="1" t="s">
        <v>3815</v>
      </c>
      <c r="H1621" s="3" t="s">
        <v>3784</v>
      </c>
      <c r="I1621" s="1" t="s">
        <v>2188</v>
      </c>
      <c r="J1621" s="5" t="s">
        <v>3785</v>
      </c>
    </row>
    <row r="1622" ht="15.75" customHeight="1">
      <c r="A1622" s="2">
        <v>1621.0</v>
      </c>
      <c r="B1622" s="1" t="s">
        <v>4421</v>
      </c>
      <c r="C1622" s="1" t="s">
        <v>4422</v>
      </c>
      <c r="D1622" s="1" t="s">
        <v>4423</v>
      </c>
      <c r="E1622" s="2" t="s">
        <v>4424</v>
      </c>
      <c r="F1622" s="1" t="s">
        <v>4425</v>
      </c>
      <c r="G1622" s="1" t="s">
        <v>3850</v>
      </c>
      <c r="H1622" s="3" t="s">
        <v>3784</v>
      </c>
      <c r="I1622" s="1" t="s">
        <v>2188</v>
      </c>
      <c r="J1622" s="5" t="s">
        <v>3785</v>
      </c>
    </row>
    <row r="1623" ht="15.75" customHeight="1">
      <c r="A1623" s="2">
        <v>1622.0</v>
      </c>
      <c r="B1623" s="1" t="s">
        <v>4426</v>
      </c>
      <c r="C1623" s="1" t="s">
        <v>4427</v>
      </c>
      <c r="D1623" s="1" t="s">
        <v>4428</v>
      </c>
      <c r="E1623" s="2" t="s">
        <v>4429</v>
      </c>
      <c r="F1623" s="1" t="s">
        <v>4430</v>
      </c>
      <c r="G1623" s="1" t="s">
        <v>3807</v>
      </c>
      <c r="H1623" s="3" t="s">
        <v>3784</v>
      </c>
      <c r="I1623" s="1" t="s">
        <v>2188</v>
      </c>
      <c r="J1623" s="5" t="s">
        <v>3785</v>
      </c>
    </row>
    <row r="1624" ht="15.75" customHeight="1">
      <c r="A1624" s="2">
        <v>1623.0</v>
      </c>
      <c r="B1624" s="1" t="s">
        <v>3875</v>
      </c>
      <c r="C1624" s="1" t="s">
        <v>4431</v>
      </c>
      <c r="D1624" s="1" t="s">
        <v>4432</v>
      </c>
      <c r="E1624" s="2" t="s">
        <v>4433</v>
      </c>
      <c r="F1624" s="1" t="s">
        <v>4434</v>
      </c>
      <c r="G1624" s="1" t="s">
        <v>3783</v>
      </c>
      <c r="H1624" s="3" t="s">
        <v>3784</v>
      </c>
      <c r="I1624" s="1" t="s">
        <v>2188</v>
      </c>
      <c r="J1624" s="5" t="s">
        <v>3785</v>
      </c>
    </row>
    <row r="1625" ht="15.75" customHeight="1">
      <c r="A1625" s="2">
        <v>1624.0</v>
      </c>
      <c r="B1625" s="1" t="s">
        <v>3884</v>
      </c>
      <c r="C1625" s="1" t="s">
        <v>4435</v>
      </c>
      <c r="D1625" s="1" t="s">
        <v>4436</v>
      </c>
      <c r="E1625" s="2" t="s">
        <v>4437</v>
      </c>
      <c r="F1625" s="1" t="s">
        <v>4438</v>
      </c>
      <c r="G1625" s="1" t="s">
        <v>3807</v>
      </c>
      <c r="H1625" s="3" t="s">
        <v>3784</v>
      </c>
      <c r="I1625" s="1" t="s">
        <v>2188</v>
      </c>
      <c r="J1625" s="5" t="s">
        <v>3785</v>
      </c>
    </row>
    <row r="1626" ht="15.75" customHeight="1">
      <c r="A1626" s="2">
        <v>1625.0</v>
      </c>
      <c r="B1626" s="1" t="s">
        <v>4439</v>
      </c>
      <c r="C1626" s="1" t="s">
        <v>4440</v>
      </c>
      <c r="D1626" s="1" t="s">
        <v>3904</v>
      </c>
      <c r="E1626" s="2" t="s">
        <v>4441</v>
      </c>
      <c r="F1626" s="1" t="s">
        <v>4407</v>
      </c>
      <c r="G1626" s="1" t="s">
        <v>3807</v>
      </c>
      <c r="H1626" s="3" t="s">
        <v>3784</v>
      </c>
      <c r="I1626" s="1" t="s">
        <v>2188</v>
      </c>
      <c r="J1626" s="5" t="s">
        <v>3785</v>
      </c>
    </row>
    <row r="1627" ht="15.75" customHeight="1">
      <c r="A1627" s="2">
        <v>1626.0</v>
      </c>
      <c r="B1627" s="1" t="s">
        <v>4442</v>
      </c>
      <c r="C1627" s="1" t="s">
        <v>4443</v>
      </c>
      <c r="D1627" s="1" t="s">
        <v>3829</v>
      </c>
      <c r="E1627" s="2" t="s">
        <v>4444</v>
      </c>
      <c r="F1627" s="1" t="s">
        <v>4445</v>
      </c>
      <c r="G1627" s="1" t="s">
        <v>3807</v>
      </c>
      <c r="H1627" s="3" t="s">
        <v>3784</v>
      </c>
      <c r="I1627" s="1" t="s">
        <v>2188</v>
      </c>
      <c r="J1627" s="5" t="s">
        <v>3785</v>
      </c>
    </row>
    <row r="1628" ht="15.75" customHeight="1">
      <c r="A1628" s="2">
        <v>1627.0</v>
      </c>
      <c r="B1628" s="1" t="s">
        <v>4211</v>
      </c>
      <c r="C1628" s="1" t="s">
        <v>4171</v>
      </c>
      <c r="D1628" s="1" t="s">
        <v>4446</v>
      </c>
      <c r="E1628" s="2" t="s">
        <v>4447</v>
      </c>
      <c r="F1628" s="1" t="s">
        <v>4448</v>
      </c>
      <c r="G1628" s="1" t="s">
        <v>4449</v>
      </c>
      <c r="H1628" s="3" t="s">
        <v>3784</v>
      </c>
      <c r="I1628" s="1" t="s">
        <v>2188</v>
      </c>
      <c r="J1628" s="5" t="s">
        <v>3785</v>
      </c>
    </row>
    <row r="1629" ht="15.75" customHeight="1">
      <c r="A1629" s="2">
        <v>1628.0</v>
      </c>
      <c r="B1629" s="1" t="s">
        <v>4450</v>
      </c>
      <c r="C1629" s="1" t="s">
        <v>4451</v>
      </c>
      <c r="D1629" s="1" t="s">
        <v>4452</v>
      </c>
      <c r="E1629" s="2" t="s">
        <v>4453</v>
      </c>
      <c r="F1629" s="1" t="s">
        <v>4454</v>
      </c>
      <c r="G1629" s="1" t="s">
        <v>3783</v>
      </c>
      <c r="H1629" s="3" t="s">
        <v>3784</v>
      </c>
      <c r="I1629" s="1" t="s">
        <v>2188</v>
      </c>
      <c r="J1629" s="5" t="s">
        <v>3785</v>
      </c>
    </row>
    <row r="1630" ht="15.75" customHeight="1">
      <c r="A1630" s="2">
        <v>1629.0</v>
      </c>
      <c r="B1630" s="1" t="s">
        <v>4403</v>
      </c>
      <c r="C1630" s="1" t="s">
        <v>4455</v>
      </c>
      <c r="D1630" s="1" t="s">
        <v>4456</v>
      </c>
      <c r="E1630" s="2" t="s">
        <v>4457</v>
      </c>
      <c r="F1630" s="1" t="s">
        <v>4458</v>
      </c>
      <c r="G1630" s="1" t="s">
        <v>3850</v>
      </c>
      <c r="H1630" s="3" t="s">
        <v>3784</v>
      </c>
      <c r="I1630" s="1" t="s">
        <v>2188</v>
      </c>
      <c r="J1630" s="5" t="s">
        <v>3785</v>
      </c>
    </row>
    <row r="1631" ht="15.75" customHeight="1">
      <c r="A1631" s="2">
        <v>1630.0</v>
      </c>
      <c r="B1631" s="1" t="s">
        <v>3827</v>
      </c>
      <c r="C1631" s="1" t="s">
        <v>4459</v>
      </c>
      <c r="D1631" s="1" t="s">
        <v>4460</v>
      </c>
      <c r="E1631" s="2" t="s">
        <v>4461</v>
      </c>
      <c r="F1631" s="1" t="s">
        <v>4462</v>
      </c>
      <c r="G1631" s="1" t="s">
        <v>3807</v>
      </c>
      <c r="H1631" s="3" t="s">
        <v>3784</v>
      </c>
      <c r="I1631" s="1" t="s">
        <v>2188</v>
      </c>
      <c r="J1631" s="5" t="s">
        <v>3785</v>
      </c>
    </row>
    <row r="1632" ht="15.75" customHeight="1">
      <c r="A1632" s="2">
        <v>1631.0</v>
      </c>
      <c r="B1632" s="1" t="s">
        <v>4463</v>
      </c>
      <c r="C1632" s="1" t="s">
        <v>4464</v>
      </c>
      <c r="D1632" s="1" t="s">
        <v>4465</v>
      </c>
      <c r="E1632" s="2" t="s">
        <v>4466</v>
      </c>
      <c r="F1632" s="1" t="s">
        <v>4467</v>
      </c>
      <c r="G1632" s="1" t="s">
        <v>3947</v>
      </c>
      <c r="H1632" s="3" t="s">
        <v>3784</v>
      </c>
      <c r="I1632" s="1" t="s">
        <v>2188</v>
      </c>
      <c r="J1632" s="5" t="s">
        <v>3785</v>
      </c>
    </row>
    <row r="1633" ht="15.75" customHeight="1">
      <c r="A1633" s="2">
        <v>1632.0</v>
      </c>
      <c r="B1633" s="1" t="s">
        <v>4468</v>
      </c>
      <c r="C1633" s="1" t="s">
        <v>4469</v>
      </c>
      <c r="D1633" s="1" t="s">
        <v>4470</v>
      </c>
      <c r="E1633" s="2" t="s">
        <v>4471</v>
      </c>
      <c r="F1633" s="1" t="s">
        <v>4472</v>
      </c>
      <c r="G1633" s="1" t="s">
        <v>3807</v>
      </c>
      <c r="H1633" s="3" t="s">
        <v>3784</v>
      </c>
      <c r="I1633" s="1" t="s">
        <v>2188</v>
      </c>
      <c r="J1633" s="5" t="s">
        <v>3785</v>
      </c>
    </row>
    <row r="1634" ht="15.75" customHeight="1">
      <c r="A1634" s="2">
        <v>1633.0</v>
      </c>
      <c r="B1634" s="1" t="s">
        <v>4473</v>
      </c>
      <c r="C1634" s="1" t="s">
        <v>4474</v>
      </c>
      <c r="D1634" s="1" t="s">
        <v>4250</v>
      </c>
      <c r="E1634" s="2" t="s">
        <v>4475</v>
      </c>
      <c r="F1634" s="1" t="s">
        <v>4476</v>
      </c>
      <c r="G1634" s="1" t="s">
        <v>3807</v>
      </c>
      <c r="H1634" s="3" t="s">
        <v>3784</v>
      </c>
      <c r="I1634" s="1" t="s">
        <v>2188</v>
      </c>
      <c r="J1634" s="5" t="s">
        <v>3785</v>
      </c>
    </row>
    <row r="1635" ht="15.75" customHeight="1">
      <c r="A1635" s="2">
        <v>1634.0</v>
      </c>
      <c r="B1635" s="1" t="s">
        <v>4477</v>
      </c>
      <c r="C1635" s="1" t="s">
        <v>4478</v>
      </c>
      <c r="D1635" s="1" t="s">
        <v>3829</v>
      </c>
      <c r="E1635" s="2" t="s">
        <v>4479</v>
      </c>
      <c r="F1635" s="1" t="s">
        <v>4480</v>
      </c>
      <c r="G1635" s="1" t="s">
        <v>3866</v>
      </c>
      <c r="H1635" s="3" t="s">
        <v>3784</v>
      </c>
      <c r="I1635" s="1" t="s">
        <v>2188</v>
      </c>
      <c r="J1635" s="5" t="s">
        <v>3785</v>
      </c>
    </row>
    <row r="1636" ht="15.75" customHeight="1">
      <c r="A1636" s="2">
        <v>1635.0</v>
      </c>
      <c r="B1636" s="1" t="s">
        <v>4481</v>
      </c>
      <c r="C1636" s="1" t="s">
        <v>4094</v>
      </c>
      <c r="D1636" s="1" t="s">
        <v>4095</v>
      </c>
      <c r="E1636" s="2" t="s">
        <v>4482</v>
      </c>
      <c r="F1636" s="1" t="s">
        <v>4483</v>
      </c>
      <c r="G1636" s="1" t="s">
        <v>3807</v>
      </c>
      <c r="H1636" s="3" t="s">
        <v>3784</v>
      </c>
      <c r="I1636" s="1" t="s">
        <v>2188</v>
      </c>
      <c r="J1636" s="5" t="s">
        <v>3785</v>
      </c>
    </row>
    <row r="1637" ht="15.75" customHeight="1">
      <c r="A1637" s="2">
        <v>1636.0</v>
      </c>
      <c r="B1637" s="1" t="s">
        <v>4484</v>
      </c>
      <c r="C1637" s="1" t="s">
        <v>4485</v>
      </c>
      <c r="D1637" s="1" t="s">
        <v>4486</v>
      </c>
      <c r="E1637" s="2" t="s">
        <v>4487</v>
      </c>
      <c r="F1637" s="1" t="s">
        <v>4488</v>
      </c>
      <c r="G1637" s="1" t="s">
        <v>3866</v>
      </c>
      <c r="H1637" s="3" t="s">
        <v>3784</v>
      </c>
      <c r="I1637" s="1" t="s">
        <v>2188</v>
      </c>
      <c r="J1637" s="5" t="s">
        <v>3785</v>
      </c>
    </row>
    <row r="1638" ht="15.75" customHeight="1">
      <c r="A1638" s="2">
        <v>1637.0</v>
      </c>
      <c r="B1638" s="1" t="s">
        <v>4489</v>
      </c>
      <c r="C1638" s="1" t="s">
        <v>4490</v>
      </c>
      <c r="D1638" s="1" t="s">
        <v>4491</v>
      </c>
      <c r="E1638" s="2" t="s">
        <v>4492</v>
      </c>
      <c r="F1638" s="1" t="s">
        <v>4388</v>
      </c>
      <c r="G1638" s="1" t="s">
        <v>3807</v>
      </c>
      <c r="H1638" s="3" t="s">
        <v>3784</v>
      </c>
      <c r="I1638" s="1" t="s">
        <v>2188</v>
      </c>
      <c r="J1638" s="5" t="s">
        <v>3785</v>
      </c>
    </row>
    <row r="1639" ht="15.75" customHeight="1">
      <c r="A1639" s="2">
        <v>1638.0</v>
      </c>
      <c r="B1639" s="1" t="s">
        <v>4493</v>
      </c>
      <c r="C1639" s="1" t="s">
        <v>4494</v>
      </c>
      <c r="D1639" s="1" t="s">
        <v>4495</v>
      </c>
      <c r="E1639" s="2" t="s">
        <v>4496</v>
      </c>
      <c r="F1639" s="1" t="s">
        <v>4497</v>
      </c>
      <c r="G1639" s="1" t="s">
        <v>3866</v>
      </c>
      <c r="H1639" s="3" t="s">
        <v>3784</v>
      </c>
      <c r="I1639" s="1" t="s">
        <v>2188</v>
      </c>
      <c r="J1639" s="5" t="s">
        <v>3785</v>
      </c>
    </row>
    <row r="1640" ht="15.75" customHeight="1">
      <c r="A1640" s="2">
        <v>1639.0</v>
      </c>
      <c r="B1640" s="1" t="s">
        <v>4498</v>
      </c>
      <c r="C1640" s="1" t="s">
        <v>4499</v>
      </c>
      <c r="D1640" s="1" t="s">
        <v>4500</v>
      </c>
      <c r="E1640" s="2" t="s">
        <v>4501</v>
      </c>
      <c r="F1640" s="1" t="s">
        <v>4502</v>
      </c>
      <c r="G1640" s="1" t="s">
        <v>3791</v>
      </c>
      <c r="H1640" s="3" t="s">
        <v>3784</v>
      </c>
      <c r="I1640" s="1" t="s">
        <v>2188</v>
      </c>
      <c r="J1640" s="5" t="s">
        <v>3785</v>
      </c>
    </row>
    <row r="1641" ht="15.75" customHeight="1">
      <c r="A1641" s="2">
        <v>1640.0</v>
      </c>
      <c r="B1641" s="1" t="s">
        <v>4503</v>
      </c>
      <c r="C1641" s="1" t="s">
        <v>4504</v>
      </c>
      <c r="D1641" s="1" t="s">
        <v>4505</v>
      </c>
      <c r="E1641" s="2" t="s">
        <v>4506</v>
      </c>
      <c r="F1641" s="1" t="s">
        <v>4507</v>
      </c>
      <c r="G1641" s="1" t="s">
        <v>3791</v>
      </c>
      <c r="H1641" s="3" t="s">
        <v>3784</v>
      </c>
      <c r="I1641" s="1" t="s">
        <v>2188</v>
      </c>
      <c r="J1641" s="5" t="s">
        <v>3785</v>
      </c>
    </row>
    <row r="1642" ht="15.75" customHeight="1">
      <c r="A1642" s="2">
        <v>1641.0</v>
      </c>
      <c r="B1642" s="1" t="s">
        <v>4508</v>
      </c>
      <c r="C1642" s="1" t="s">
        <v>4412</v>
      </c>
      <c r="D1642" s="1" t="s">
        <v>4250</v>
      </c>
      <c r="E1642" s="2" t="s">
        <v>4509</v>
      </c>
      <c r="F1642" s="1" t="s">
        <v>4510</v>
      </c>
      <c r="G1642" s="1" t="s">
        <v>3807</v>
      </c>
      <c r="H1642" s="3" t="s">
        <v>3784</v>
      </c>
      <c r="I1642" s="1" t="s">
        <v>2188</v>
      </c>
      <c r="J1642" s="5" t="s">
        <v>3785</v>
      </c>
    </row>
    <row r="1643" ht="15.75" customHeight="1">
      <c r="A1643" s="2">
        <v>1642.0</v>
      </c>
      <c r="B1643" s="1" t="s">
        <v>4511</v>
      </c>
      <c r="C1643" s="1" t="s">
        <v>4512</v>
      </c>
      <c r="D1643" s="1" t="s">
        <v>4513</v>
      </c>
      <c r="E1643" s="2" t="s">
        <v>4514</v>
      </c>
      <c r="F1643" s="1" t="s">
        <v>4515</v>
      </c>
      <c r="G1643" s="1" t="s">
        <v>3866</v>
      </c>
      <c r="H1643" s="3" t="s">
        <v>3784</v>
      </c>
      <c r="I1643" s="1" t="s">
        <v>2188</v>
      </c>
      <c r="J1643" s="5" t="s">
        <v>3785</v>
      </c>
    </row>
    <row r="1644" ht="15.75" customHeight="1">
      <c r="A1644" s="2">
        <v>1643.0</v>
      </c>
      <c r="B1644" s="1" t="s">
        <v>3786</v>
      </c>
      <c r="C1644" s="1" t="s">
        <v>4516</v>
      </c>
      <c r="D1644" s="1" t="s">
        <v>4517</v>
      </c>
      <c r="E1644" s="2" t="s">
        <v>4518</v>
      </c>
      <c r="F1644" s="1" t="s">
        <v>4519</v>
      </c>
      <c r="G1644" s="1" t="s">
        <v>3807</v>
      </c>
      <c r="H1644" s="3" t="s">
        <v>3784</v>
      </c>
      <c r="I1644" s="1" t="s">
        <v>2188</v>
      </c>
      <c r="J1644" s="5" t="s">
        <v>3785</v>
      </c>
    </row>
    <row r="1645" ht="15.75" customHeight="1">
      <c r="A1645" s="2">
        <v>1644.0</v>
      </c>
      <c r="B1645" s="1" t="s">
        <v>4520</v>
      </c>
      <c r="C1645" s="1" t="s">
        <v>4521</v>
      </c>
      <c r="D1645" s="1" t="s">
        <v>4522</v>
      </c>
      <c r="E1645" s="2" t="s">
        <v>4523</v>
      </c>
      <c r="F1645" s="1" t="s">
        <v>4524</v>
      </c>
      <c r="G1645" s="1" t="s">
        <v>3815</v>
      </c>
      <c r="H1645" s="3" t="s">
        <v>3784</v>
      </c>
      <c r="I1645" s="1" t="s">
        <v>2188</v>
      </c>
      <c r="J1645" s="5" t="s">
        <v>3785</v>
      </c>
    </row>
    <row r="1646" ht="15.75" customHeight="1">
      <c r="A1646" s="2">
        <v>1645.0</v>
      </c>
      <c r="B1646" s="1" t="s">
        <v>4525</v>
      </c>
      <c r="C1646" s="1" t="s">
        <v>4526</v>
      </c>
      <c r="D1646" s="1" t="s">
        <v>4527</v>
      </c>
      <c r="E1646" s="2" t="s">
        <v>4528</v>
      </c>
      <c r="F1646" s="1" t="s">
        <v>4529</v>
      </c>
      <c r="G1646" s="1" t="s">
        <v>3947</v>
      </c>
      <c r="H1646" s="3" t="s">
        <v>3784</v>
      </c>
      <c r="I1646" s="1" t="s">
        <v>2188</v>
      </c>
      <c r="J1646" s="5" t="s">
        <v>3785</v>
      </c>
    </row>
    <row r="1647" ht="15.75" customHeight="1">
      <c r="A1647" s="2">
        <v>1646.0</v>
      </c>
      <c r="B1647" s="1" t="s">
        <v>4530</v>
      </c>
      <c r="C1647" s="1" t="s">
        <v>3938</v>
      </c>
      <c r="D1647" s="1" t="s">
        <v>3899</v>
      </c>
      <c r="E1647" s="2" t="s">
        <v>4531</v>
      </c>
      <c r="F1647" s="1" t="s">
        <v>4532</v>
      </c>
      <c r="G1647" s="1" t="s">
        <v>3807</v>
      </c>
      <c r="H1647" s="3" t="s">
        <v>3784</v>
      </c>
      <c r="I1647" s="1" t="s">
        <v>2188</v>
      </c>
      <c r="J1647" s="5" t="s">
        <v>3785</v>
      </c>
    </row>
    <row r="1648" ht="15.75" customHeight="1">
      <c r="A1648" s="2">
        <v>1647.0</v>
      </c>
      <c r="B1648" s="1" t="s">
        <v>4533</v>
      </c>
      <c r="C1648" s="1" t="s">
        <v>4427</v>
      </c>
      <c r="D1648" s="1" t="s">
        <v>4182</v>
      </c>
      <c r="E1648" s="2" t="s">
        <v>4534</v>
      </c>
      <c r="F1648" s="1" t="s">
        <v>4535</v>
      </c>
      <c r="G1648" s="1" t="s">
        <v>3791</v>
      </c>
      <c r="H1648" s="3" t="s">
        <v>3784</v>
      </c>
      <c r="I1648" s="1" t="s">
        <v>2188</v>
      </c>
      <c r="J1648" s="5" t="s">
        <v>3785</v>
      </c>
    </row>
    <row r="1649" ht="15.75" customHeight="1">
      <c r="A1649" s="2">
        <v>1648.0</v>
      </c>
      <c r="B1649" s="1" t="s">
        <v>4536</v>
      </c>
      <c r="C1649" s="1" t="s">
        <v>3916</v>
      </c>
      <c r="D1649" s="1" t="s">
        <v>4537</v>
      </c>
      <c r="E1649" s="2" t="s">
        <v>4538</v>
      </c>
      <c r="F1649" s="1" t="s">
        <v>4539</v>
      </c>
      <c r="G1649" s="1" t="s">
        <v>3866</v>
      </c>
      <c r="H1649" s="3" t="s">
        <v>3784</v>
      </c>
      <c r="I1649" s="1" t="s">
        <v>2188</v>
      </c>
      <c r="J1649" s="5" t="s">
        <v>3785</v>
      </c>
    </row>
    <row r="1650" ht="15.75" customHeight="1">
      <c r="A1650" s="2">
        <v>1649.0</v>
      </c>
      <c r="B1650" s="1" t="s">
        <v>4540</v>
      </c>
      <c r="C1650" s="1" t="s">
        <v>4541</v>
      </c>
      <c r="D1650" s="1" t="s">
        <v>4542</v>
      </c>
      <c r="E1650" s="2" t="s">
        <v>4543</v>
      </c>
      <c r="F1650" s="1" t="s">
        <v>4544</v>
      </c>
      <c r="G1650" s="1" t="s">
        <v>3866</v>
      </c>
      <c r="H1650" s="3" t="s">
        <v>3784</v>
      </c>
      <c r="I1650" s="1" t="s">
        <v>2188</v>
      </c>
      <c r="J1650" s="5" t="s">
        <v>3785</v>
      </c>
    </row>
    <row r="1651" ht="15.75" customHeight="1">
      <c r="A1651" s="2">
        <v>1650.0</v>
      </c>
      <c r="B1651" s="1" t="s">
        <v>4545</v>
      </c>
      <c r="C1651" s="1" t="s">
        <v>4390</v>
      </c>
      <c r="D1651" s="1" t="s">
        <v>4428</v>
      </c>
      <c r="E1651" s="2" t="s">
        <v>4546</v>
      </c>
      <c r="F1651" s="1" t="s">
        <v>4547</v>
      </c>
      <c r="G1651" s="1" t="s">
        <v>3791</v>
      </c>
      <c r="H1651" s="3" t="s">
        <v>3784</v>
      </c>
      <c r="I1651" s="1" t="s">
        <v>2188</v>
      </c>
      <c r="J1651" s="5" t="s">
        <v>3785</v>
      </c>
    </row>
    <row r="1652" ht="15.75" customHeight="1">
      <c r="A1652" s="2">
        <v>1651.0</v>
      </c>
      <c r="B1652" s="1" t="s">
        <v>4548</v>
      </c>
      <c r="C1652" s="1" t="s">
        <v>4549</v>
      </c>
      <c r="D1652" s="1" t="s">
        <v>4550</v>
      </c>
      <c r="E1652" s="2" t="s">
        <v>4551</v>
      </c>
      <c r="F1652" s="1" t="s">
        <v>4552</v>
      </c>
      <c r="G1652" s="1" t="s">
        <v>3796</v>
      </c>
      <c r="H1652" s="3" t="s">
        <v>3784</v>
      </c>
      <c r="I1652" s="1" t="s">
        <v>2188</v>
      </c>
      <c r="J1652" s="5" t="s">
        <v>3785</v>
      </c>
    </row>
    <row r="1653" ht="15.75" customHeight="1">
      <c r="A1653" s="2">
        <v>1652.0</v>
      </c>
      <c r="B1653" s="1" t="s">
        <v>4553</v>
      </c>
      <c r="C1653" s="1" t="s">
        <v>4554</v>
      </c>
      <c r="D1653" s="1" t="s">
        <v>4555</v>
      </c>
      <c r="E1653" s="2" t="s">
        <v>4556</v>
      </c>
      <c r="F1653" s="1" t="s">
        <v>4557</v>
      </c>
      <c r="G1653" s="1" t="s">
        <v>3807</v>
      </c>
      <c r="H1653" s="3" t="s">
        <v>3784</v>
      </c>
      <c r="I1653" s="1" t="s">
        <v>2188</v>
      </c>
      <c r="J1653" s="5" t="s">
        <v>3785</v>
      </c>
    </row>
    <row r="1654" ht="15.75" customHeight="1">
      <c r="A1654" s="2">
        <v>1653.0</v>
      </c>
      <c r="B1654" s="1" t="s">
        <v>4558</v>
      </c>
      <c r="C1654" s="1" t="s">
        <v>4559</v>
      </c>
      <c r="D1654" s="1" t="s">
        <v>3829</v>
      </c>
      <c r="E1654" s="2" t="s">
        <v>4560</v>
      </c>
      <c r="F1654" s="1" t="s">
        <v>4561</v>
      </c>
      <c r="G1654" s="1" t="s">
        <v>3783</v>
      </c>
      <c r="H1654" s="3" t="s">
        <v>3784</v>
      </c>
      <c r="I1654" s="1" t="s">
        <v>2188</v>
      </c>
      <c r="J1654" s="5" t="s">
        <v>3785</v>
      </c>
    </row>
    <row r="1655" ht="15.75" customHeight="1">
      <c r="A1655" s="2">
        <v>1654.0</v>
      </c>
      <c r="B1655" s="1" t="s">
        <v>4562</v>
      </c>
      <c r="C1655" s="1" t="s">
        <v>4563</v>
      </c>
      <c r="D1655" s="1" t="s">
        <v>4564</v>
      </c>
      <c r="E1655" s="2" t="s">
        <v>4565</v>
      </c>
      <c r="F1655" s="1" t="s">
        <v>4458</v>
      </c>
      <c r="G1655" s="1" t="s">
        <v>3807</v>
      </c>
      <c r="H1655" s="3" t="s">
        <v>3784</v>
      </c>
      <c r="I1655" s="1" t="s">
        <v>2188</v>
      </c>
      <c r="J1655" s="5" t="s">
        <v>3785</v>
      </c>
    </row>
    <row r="1656" ht="15.75" customHeight="1">
      <c r="A1656" s="2">
        <v>1655.0</v>
      </c>
      <c r="B1656" s="1" t="s">
        <v>4566</v>
      </c>
      <c r="C1656" s="1" t="s">
        <v>4567</v>
      </c>
      <c r="D1656" s="1" t="s">
        <v>4568</v>
      </c>
      <c r="E1656" s="2" t="s">
        <v>4569</v>
      </c>
      <c r="F1656" s="1" t="s">
        <v>4570</v>
      </c>
      <c r="G1656" s="1" t="s">
        <v>3791</v>
      </c>
      <c r="H1656" s="3" t="s">
        <v>3784</v>
      </c>
      <c r="I1656" s="1" t="s">
        <v>2188</v>
      </c>
      <c r="J1656" s="5" t="s">
        <v>3785</v>
      </c>
    </row>
    <row r="1657" ht="15.75" customHeight="1">
      <c r="A1657" s="2">
        <v>1656.0</v>
      </c>
      <c r="B1657" s="1" t="s">
        <v>4571</v>
      </c>
      <c r="C1657" s="1" t="s">
        <v>4572</v>
      </c>
      <c r="D1657" s="1" t="s">
        <v>4165</v>
      </c>
      <c r="E1657" s="2" t="s">
        <v>4573</v>
      </c>
      <c r="F1657" s="1" t="s">
        <v>4574</v>
      </c>
      <c r="G1657" s="1" t="s">
        <v>3807</v>
      </c>
      <c r="H1657" s="3" t="s">
        <v>3784</v>
      </c>
      <c r="I1657" s="1" t="s">
        <v>2188</v>
      </c>
      <c r="J1657" s="5" t="s">
        <v>3785</v>
      </c>
    </row>
    <row r="1658" ht="15.75" customHeight="1">
      <c r="A1658" s="2">
        <v>1657.0</v>
      </c>
      <c r="B1658" s="1" t="s">
        <v>4575</v>
      </c>
      <c r="C1658" s="1" t="s">
        <v>4576</v>
      </c>
      <c r="D1658" s="1" t="s">
        <v>4577</v>
      </c>
      <c r="E1658" s="2" t="s">
        <v>4578</v>
      </c>
      <c r="F1658" s="1" t="s">
        <v>4579</v>
      </c>
      <c r="G1658" s="1" t="s">
        <v>3807</v>
      </c>
      <c r="H1658" s="3" t="s">
        <v>3784</v>
      </c>
      <c r="I1658" s="1" t="s">
        <v>2188</v>
      </c>
      <c r="J1658" s="5" t="s">
        <v>3785</v>
      </c>
    </row>
    <row r="1659" ht="15.75" customHeight="1">
      <c r="A1659" s="2">
        <v>1658.0</v>
      </c>
      <c r="B1659" s="1" t="s">
        <v>4580</v>
      </c>
      <c r="C1659" s="1" t="s">
        <v>4581</v>
      </c>
      <c r="D1659" s="1" t="s">
        <v>4582</v>
      </c>
      <c r="E1659" s="2" t="s">
        <v>4583</v>
      </c>
      <c r="F1659" s="1" t="s">
        <v>4584</v>
      </c>
      <c r="G1659" s="1" t="s">
        <v>3850</v>
      </c>
      <c r="H1659" s="3" t="s">
        <v>3784</v>
      </c>
      <c r="I1659" s="1" t="s">
        <v>2188</v>
      </c>
      <c r="J1659" s="5" t="s">
        <v>3785</v>
      </c>
    </row>
    <row r="1660" ht="15.75" customHeight="1">
      <c r="A1660" s="2">
        <v>1659.0</v>
      </c>
      <c r="B1660" s="1" t="s">
        <v>4450</v>
      </c>
      <c r="C1660" s="1" t="s">
        <v>4585</v>
      </c>
      <c r="D1660" s="1" t="s">
        <v>4586</v>
      </c>
      <c r="E1660" s="2" t="s">
        <v>4587</v>
      </c>
      <c r="F1660" s="1" t="s">
        <v>4588</v>
      </c>
      <c r="G1660" s="1" t="s">
        <v>3807</v>
      </c>
      <c r="H1660" s="3" t="s">
        <v>3784</v>
      </c>
      <c r="I1660" s="1" t="s">
        <v>2188</v>
      </c>
      <c r="J1660" s="5" t="s">
        <v>3785</v>
      </c>
    </row>
    <row r="1661" ht="15.75" customHeight="1">
      <c r="A1661" s="2">
        <v>1660.0</v>
      </c>
      <c r="B1661" s="1" t="s">
        <v>4589</v>
      </c>
      <c r="C1661" s="1" t="s">
        <v>4590</v>
      </c>
      <c r="D1661" s="1" t="s">
        <v>4591</v>
      </c>
      <c r="E1661" s="2" t="s">
        <v>4592</v>
      </c>
      <c r="F1661" s="1" t="s">
        <v>4593</v>
      </c>
      <c r="G1661" s="1" t="s">
        <v>3807</v>
      </c>
      <c r="H1661" s="3" t="s">
        <v>3784</v>
      </c>
      <c r="I1661" s="1" t="s">
        <v>2188</v>
      </c>
      <c r="J1661" s="5" t="s">
        <v>3785</v>
      </c>
    </row>
    <row r="1662" ht="15.75" customHeight="1">
      <c r="A1662" s="2">
        <v>1661.0</v>
      </c>
      <c r="B1662" s="1" t="s">
        <v>4450</v>
      </c>
      <c r="C1662" s="1" t="s">
        <v>4390</v>
      </c>
      <c r="D1662" s="1" t="s">
        <v>4382</v>
      </c>
      <c r="E1662" s="2" t="s">
        <v>4594</v>
      </c>
      <c r="F1662" s="1" t="s">
        <v>4595</v>
      </c>
      <c r="G1662" s="1" t="s">
        <v>3866</v>
      </c>
      <c r="H1662" s="3" t="s">
        <v>3784</v>
      </c>
      <c r="I1662" s="1" t="s">
        <v>2188</v>
      </c>
      <c r="J1662" s="5" t="s">
        <v>3785</v>
      </c>
    </row>
    <row r="1663" ht="15.75" customHeight="1">
      <c r="A1663" s="2">
        <v>1662.0</v>
      </c>
      <c r="B1663" s="1" t="s">
        <v>4596</v>
      </c>
      <c r="C1663" s="1" t="s">
        <v>4597</v>
      </c>
      <c r="D1663" s="1" t="s">
        <v>3899</v>
      </c>
      <c r="E1663" s="2" t="s">
        <v>4598</v>
      </c>
      <c r="F1663" s="1" t="s">
        <v>4599</v>
      </c>
      <c r="G1663" s="1" t="s">
        <v>3866</v>
      </c>
      <c r="H1663" s="3" t="s">
        <v>3784</v>
      </c>
      <c r="I1663" s="1" t="s">
        <v>2188</v>
      </c>
      <c r="J1663" s="5" t="s">
        <v>3785</v>
      </c>
    </row>
    <row r="1664" ht="15.75" customHeight="1">
      <c r="A1664" s="2">
        <v>1663.0</v>
      </c>
      <c r="B1664" s="1" t="s">
        <v>4600</v>
      </c>
      <c r="C1664" s="1" t="s">
        <v>4601</v>
      </c>
      <c r="D1664" s="1" t="s">
        <v>4602</v>
      </c>
      <c r="E1664" s="2" t="s">
        <v>4603</v>
      </c>
      <c r="F1664" s="1" t="s">
        <v>4604</v>
      </c>
      <c r="G1664" s="1" t="s">
        <v>3807</v>
      </c>
      <c r="H1664" s="3" t="s">
        <v>3784</v>
      </c>
      <c r="I1664" s="1" t="s">
        <v>2188</v>
      </c>
      <c r="J1664" s="5" t="s">
        <v>3785</v>
      </c>
    </row>
    <row r="1665" ht="15.75" customHeight="1">
      <c r="A1665" s="2">
        <v>1664.0</v>
      </c>
      <c r="B1665" s="1" t="s">
        <v>3956</v>
      </c>
      <c r="C1665" s="1" t="s">
        <v>4590</v>
      </c>
      <c r="D1665" s="1" t="s">
        <v>4605</v>
      </c>
      <c r="E1665" s="2" t="s">
        <v>4606</v>
      </c>
      <c r="F1665" s="1" t="s">
        <v>4607</v>
      </c>
      <c r="G1665" s="1" t="s">
        <v>3807</v>
      </c>
      <c r="H1665" s="3" t="s">
        <v>3784</v>
      </c>
      <c r="I1665" s="1" t="s">
        <v>2188</v>
      </c>
      <c r="J1665" s="5" t="s">
        <v>3785</v>
      </c>
    </row>
    <row r="1666" ht="15.75" customHeight="1">
      <c r="A1666" s="2">
        <v>1665.0</v>
      </c>
      <c r="B1666" s="1" t="s">
        <v>4608</v>
      </c>
      <c r="C1666" s="1" t="s">
        <v>4609</v>
      </c>
      <c r="D1666" s="1" t="s">
        <v>4610</v>
      </c>
      <c r="E1666" s="2" t="s">
        <v>4611</v>
      </c>
      <c r="F1666" s="1" t="s">
        <v>4612</v>
      </c>
      <c r="G1666" s="1" t="s">
        <v>3783</v>
      </c>
      <c r="H1666" s="3" t="s">
        <v>3784</v>
      </c>
      <c r="I1666" s="1" t="s">
        <v>2188</v>
      </c>
      <c r="J1666" s="5" t="s">
        <v>3785</v>
      </c>
    </row>
    <row r="1667" ht="15.75" customHeight="1">
      <c r="A1667" s="2">
        <v>1666.0</v>
      </c>
      <c r="B1667" s="1" t="s">
        <v>4613</v>
      </c>
      <c r="C1667" s="1" t="s">
        <v>4614</v>
      </c>
      <c r="D1667" s="1" t="s">
        <v>4615</v>
      </c>
      <c r="E1667" s="2" t="s">
        <v>4616</v>
      </c>
      <c r="F1667" s="1" t="s">
        <v>4617</v>
      </c>
      <c r="G1667" s="1" t="s">
        <v>3791</v>
      </c>
      <c r="H1667" s="3" t="s">
        <v>3784</v>
      </c>
      <c r="I1667" s="1" t="s">
        <v>2188</v>
      </c>
      <c r="J1667" s="5" t="s">
        <v>3785</v>
      </c>
    </row>
    <row r="1668" ht="15.75" customHeight="1">
      <c r="A1668" s="2">
        <v>1667.0</v>
      </c>
      <c r="B1668" s="1" t="s">
        <v>4618</v>
      </c>
      <c r="C1668" s="1" t="s">
        <v>4619</v>
      </c>
      <c r="D1668" s="1" t="s">
        <v>4620</v>
      </c>
      <c r="E1668" s="2" t="s">
        <v>4621</v>
      </c>
      <c r="F1668" s="1" t="s">
        <v>4622</v>
      </c>
      <c r="G1668" s="1" t="s">
        <v>3796</v>
      </c>
      <c r="H1668" s="3" t="s">
        <v>3784</v>
      </c>
      <c r="I1668" s="1" t="s">
        <v>2188</v>
      </c>
      <c r="J1668" s="5" t="s">
        <v>3785</v>
      </c>
    </row>
    <row r="1669" ht="15.75" customHeight="1">
      <c r="A1669" s="2">
        <v>1668.0</v>
      </c>
      <c r="B1669" s="1" t="s">
        <v>4623</v>
      </c>
      <c r="C1669" s="1" t="s">
        <v>4624</v>
      </c>
      <c r="D1669" s="1" t="s">
        <v>4625</v>
      </c>
      <c r="E1669" s="2" t="s">
        <v>4626</v>
      </c>
      <c r="F1669" s="1" t="s">
        <v>4627</v>
      </c>
      <c r="G1669" s="1" t="s">
        <v>3807</v>
      </c>
      <c r="H1669" s="3" t="s">
        <v>3784</v>
      </c>
      <c r="I1669" s="1" t="s">
        <v>2188</v>
      </c>
      <c r="J1669" s="5" t="s">
        <v>3785</v>
      </c>
    </row>
    <row r="1670" ht="15.75" customHeight="1">
      <c r="A1670" s="2">
        <v>1669.0</v>
      </c>
      <c r="B1670" s="1" t="s">
        <v>4450</v>
      </c>
      <c r="C1670" s="1" t="s">
        <v>4080</v>
      </c>
      <c r="D1670" s="1" t="s">
        <v>4628</v>
      </c>
      <c r="E1670" s="2" t="s">
        <v>4629</v>
      </c>
      <c r="F1670" s="1" t="s">
        <v>4630</v>
      </c>
      <c r="G1670" s="1" t="s">
        <v>3791</v>
      </c>
      <c r="H1670" s="3" t="s">
        <v>3784</v>
      </c>
      <c r="I1670" s="1" t="s">
        <v>2188</v>
      </c>
      <c r="J1670" s="5" t="s">
        <v>3785</v>
      </c>
    </row>
    <row r="1671" ht="15.75" customHeight="1">
      <c r="A1671" s="2">
        <v>1670.0</v>
      </c>
      <c r="B1671" s="1" t="s">
        <v>4631</v>
      </c>
      <c r="C1671" s="1" t="s">
        <v>4632</v>
      </c>
      <c r="D1671" s="1" t="s">
        <v>4633</v>
      </c>
      <c r="E1671" s="2" t="s">
        <v>4634</v>
      </c>
      <c r="F1671" s="1" t="s">
        <v>4635</v>
      </c>
      <c r="G1671" s="1" t="s">
        <v>3791</v>
      </c>
      <c r="H1671" s="3" t="s">
        <v>3784</v>
      </c>
      <c r="I1671" s="1" t="s">
        <v>2188</v>
      </c>
      <c r="J1671" s="5" t="s">
        <v>3785</v>
      </c>
    </row>
    <row r="1672" ht="15.75" customHeight="1">
      <c r="A1672" s="2">
        <v>1671.0</v>
      </c>
      <c r="B1672" s="1" t="s">
        <v>4636</v>
      </c>
      <c r="C1672" s="1" t="s">
        <v>4637</v>
      </c>
      <c r="D1672" s="1" t="s">
        <v>4396</v>
      </c>
      <c r="E1672" s="2" t="s">
        <v>4638</v>
      </c>
      <c r="F1672" s="1" t="s">
        <v>4639</v>
      </c>
      <c r="G1672" s="1" t="s">
        <v>4640</v>
      </c>
      <c r="H1672" s="3" t="s">
        <v>3784</v>
      </c>
      <c r="I1672" s="1" t="s">
        <v>2188</v>
      </c>
      <c r="J1672" s="5" t="s">
        <v>3785</v>
      </c>
    </row>
    <row r="1673" ht="15.75" customHeight="1">
      <c r="A1673" s="2">
        <v>1672.0</v>
      </c>
      <c r="B1673" s="1" t="s">
        <v>4641</v>
      </c>
      <c r="C1673" s="1" t="s">
        <v>4642</v>
      </c>
      <c r="D1673" s="1" t="s">
        <v>4643</v>
      </c>
      <c r="E1673" s="2" t="s">
        <v>4644</v>
      </c>
      <c r="F1673" s="1" t="s">
        <v>4645</v>
      </c>
      <c r="G1673" s="1" t="s">
        <v>3807</v>
      </c>
      <c r="H1673" s="3" t="s">
        <v>3784</v>
      </c>
      <c r="I1673" s="1" t="s">
        <v>2188</v>
      </c>
      <c r="J1673" s="5" t="s">
        <v>3785</v>
      </c>
    </row>
    <row r="1674" ht="15.75" customHeight="1">
      <c r="A1674" s="2">
        <v>1673.0</v>
      </c>
      <c r="B1674" s="1" t="s">
        <v>4646</v>
      </c>
      <c r="C1674" s="1" t="s">
        <v>4647</v>
      </c>
      <c r="D1674" s="1" t="s">
        <v>4648</v>
      </c>
      <c r="E1674" s="2" t="s">
        <v>4649</v>
      </c>
      <c r="F1674" s="1" t="s">
        <v>4650</v>
      </c>
      <c r="G1674" s="1" t="s">
        <v>3807</v>
      </c>
      <c r="H1674" s="3" t="s">
        <v>3784</v>
      </c>
      <c r="I1674" s="1" t="s">
        <v>2188</v>
      </c>
      <c r="J1674" s="5" t="s">
        <v>3785</v>
      </c>
    </row>
    <row r="1675" ht="15.75" customHeight="1">
      <c r="A1675" s="2">
        <v>1674.0</v>
      </c>
      <c r="B1675" s="1" t="s">
        <v>4651</v>
      </c>
      <c r="C1675" s="1" t="s">
        <v>4652</v>
      </c>
      <c r="D1675" s="1" t="s">
        <v>4456</v>
      </c>
      <c r="E1675" s="2" t="s">
        <v>4653</v>
      </c>
      <c r="F1675" s="1" t="s">
        <v>4654</v>
      </c>
      <c r="G1675" s="1" t="s">
        <v>3807</v>
      </c>
      <c r="H1675" s="3" t="s">
        <v>3784</v>
      </c>
      <c r="I1675" s="1" t="s">
        <v>2188</v>
      </c>
      <c r="J1675" s="5" t="s">
        <v>3785</v>
      </c>
    </row>
    <row r="1676" ht="15.75" customHeight="1">
      <c r="A1676" s="2">
        <v>1675.0</v>
      </c>
      <c r="B1676" s="1" t="s">
        <v>4655</v>
      </c>
      <c r="C1676" s="1" t="s">
        <v>4656</v>
      </c>
      <c r="D1676" s="1" t="s">
        <v>4657</v>
      </c>
      <c r="E1676" s="2" t="s">
        <v>4658</v>
      </c>
      <c r="F1676" s="1" t="s">
        <v>4659</v>
      </c>
      <c r="G1676" s="1" t="s">
        <v>3807</v>
      </c>
      <c r="H1676" s="3" t="s">
        <v>3784</v>
      </c>
      <c r="I1676" s="1" t="s">
        <v>2188</v>
      </c>
      <c r="J1676" s="5" t="s">
        <v>3785</v>
      </c>
    </row>
    <row r="1677" ht="15.75" customHeight="1">
      <c r="A1677" s="2">
        <v>1676.0</v>
      </c>
      <c r="B1677" s="1" t="s">
        <v>4660</v>
      </c>
      <c r="C1677" s="1" t="s">
        <v>4243</v>
      </c>
      <c r="D1677" s="1" t="s">
        <v>4661</v>
      </c>
      <c r="E1677" s="2" t="s">
        <v>4662</v>
      </c>
      <c r="F1677" s="1" t="s">
        <v>4663</v>
      </c>
      <c r="G1677" s="1" t="s">
        <v>3807</v>
      </c>
      <c r="H1677" s="3" t="s">
        <v>3784</v>
      </c>
      <c r="I1677" s="1" t="s">
        <v>2188</v>
      </c>
      <c r="J1677" s="5" t="s">
        <v>3785</v>
      </c>
    </row>
    <row r="1678" ht="15.75" customHeight="1">
      <c r="A1678" s="2">
        <v>1677.0</v>
      </c>
      <c r="B1678" s="1" t="s">
        <v>4664</v>
      </c>
      <c r="C1678" s="1" t="s">
        <v>4485</v>
      </c>
      <c r="D1678" s="1" t="s">
        <v>4486</v>
      </c>
      <c r="E1678" s="2" t="s">
        <v>4665</v>
      </c>
      <c r="F1678" s="1" t="s">
        <v>4666</v>
      </c>
      <c r="G1678" s="1" t="s">
        <v>3866</v>
      </c>
      <c r="H1678" s="3" t="s">
        <v>3784</v>
      </c>
      <c r="I1678" s="1" t="s">
        <v>2188</v>
      </c>
      <c r="J1678" s="5" t="s">
        <v>3785</v>
      </c>
    </row>
    <row r="1679" ht="15.75" customHeight="1">
      <c r="A1679" s="2">
        <v>1678.0</v>
      </c>
      <c r="B1679" s="1" t="s">
        <v>4667</v>
      </c>
      <c r="C1679" s="1" t="s">
        <v>4668</v>
      </c>
      <c r="D1679" s="1" t="s">
        <v>4069</v>
      </c>
      <c r="E1679" s="2" t="s">
        <v>4669</v>
      </c>
      <c r="F1679" s="1" t="s">
        <v>4622</v>
      </c>
      <c r="G1679" s="1" t="s">
        <v>3807</v>
      </c>
      <c r="H1679" s="3" t="s">
        <v>3784</v>
      </c>
      <c r="I1679" s="1" t="s">
        <v>2188</v>
      </c>
      <c r="J1679" s="5" t="s">
        <v>3785</v>
      </c>
    </row>
    <row r="1680" ht="15.75" customHeight="1">
      <c r="A1680" s="2">
        <v>1679.0</v>
      </c>
      <c r="B1680" s="1" t="s">
        <v>4670</v>
      </c>
      <c r="C1680" s="1" t="s">
        <v>4671</v>
      </c>
      <c r="D1680" s="1" t="s">
        <v>4672</v>
      </c>
      <c r="E1680" s="2" t="s">
        <v>4673</v>
      </c>
      <c r="F1680" s="1" t="s">
        <v>4674</v>
      </c>
      <c r="G1680" s="1" t="s">
        <v>3866</v>
      </c>
      <c r="H1680" s="3" t="s">
        <v>3784</v>
      </c>
      <c r="I1680" s="1" t="s">
        <v>2188</v>
      </c>
      <c r="J1680" s="5" t="s">
        <v>3785</v>
      </c>
    </row>
    <row r="1681" ht="15.75" customHeight="1">
      <c r="A1681" s="2">
        <v>1680.0</v>
      </c>
      <c r="B1681" s="1" t="s">
        <v>4675</v>
      </c>
      <c r="C1681" s="1" t="s">
        <v>4671</v>
      </c>
      <c r="D1681" s="1" t="s">
        <v>4676</v>
      </c>
      <c r="E1681" s="2" t="s">
        <v>4677</v>
      </c>
      <c r="F1681" s="1" t="s">
        <v>4407</v>
      </c>
      <c r="G1681" s="1" t="s">
        <v>3783</v>
      </c>
      <c r="H1681" s="3" t="s">
        <v>3784</v>
      </c>
      <c r="I1681" s="1" t="s">
        <v>2188</v>
      </c>
      <c r="J1681" s="5" t="s">
        <v>3785</v>
      </c>
    </row>
    <row r="1682" ht="15.75" customHeight="1">
      <c r="A1682" s="2">
        <v>1681.0</v>
      </c>
      <c r="B1682" s="1" t="s">
        <v>4678</v>
      </c>
      <c r="C1682" s="1" t="s">
        <v>4679</v>
      </c>
      <c r="D1682" s="1" t="s">
        <v>4680</v>
      </c>
      <c r="E1682" s="2" t="s">
        <v>4681</v>
      </c>
      <c r="F1682" s="1" t="s">
        <v>4682</v>
      </c>
      <c r="G1682" s="1" t="s">
        <v>3807</v>
      </c>
      <c r="H1682" s="3" t="s">
        <v>3784</v>
      </c>
      <c r="I1682" s="1" t="s">
        <v>2188</v>
      </c>
      <c r="J1682" s="5" t="s">
        <v>3785</v>
      </c>
    </row>
    <row r="1683" ht="15.75" customHeight="1">
      <c r="A1683" s="2">
        <v>1682.0</v>
      </c>
      <c r="B1683" s="1" t="s">
        <v>4683</v>
      </c>
      <c r="C1683" s="1" t="s">
        <v>4684</v>
      </c>
      <c r="D1683" s="1" t="s">
        <v>4685</v>
      </c>
      <c r="E1683" s="2" t="s">
        <v>4686</v>
      </c>
      <c r="F1683" s="1" t="s">
        <v>4687</v>
      </c>
      <c r="G1683" s="1" t="s">
        <v>4640</v>
      </c>
      <c r="H1683" s="3" t="s">
        <v>3784</v>
      </c>
      <c r="I1683" s="1" t="s">
        <v>2188</v>
      </c>
      <c r="J1683" s="5" t="s">
        <v>3785</v>
      </c>
    </row>
    <row r="1684" ht="15.75" customHeight="1">
      <c r="A1684" s="2">
        <v>1683.0</v>
      </c>
      <c r="B1684" s="1" t="s">
        <v>4688</v>
      </c>
      <c r="C1684" s="1" t="s">
        <v>4689</v>
      </c>
      <c r="D1684" s="1" t="s">
        <v>4522</v>
      </c>
      <c r="E1684" s="2" t="s">
        <v>4690</v>
      </c>
      <c r="F1684" s="1" t="s">
        <v>4691</v>
      </c>
      <c r="G1684" s="1" t="s">
        <v>3791</v>
      </c>
      <c r="H1684" s="3" t="s">
        <v>3784</v>
      </c>
      <c r="I1684" s="1" t="s">
        <v>2188</v>
      </c>
      <c r="J1684" s="5" t="s">
        <v>3785</v>
      </c>
    </row>
    <row r="1685" ht="15.75" customHeight="1">
      <c r="A1685" s="2">
        <v>1684.0</v>
      </c>
      <c r="B1685" s="1" t="s">
        <v>4692</v>
      </c>
      <c r="C1685" s="1" t="s">
        <v>4693</v>
      </c>
      <c r="D1685" s="1" t="s">
        <v>4694</v>
      </c>
      <c r="E1685" s="2" t="s">
        <v>4695</v>
      </c>
      <c r="F1685" s="1" t="s">
        <v>4696</v>
      </c>
      <c r="G1685" s="1" t="s">
        <v>3866</v>
      </c>
      <c r="H1685" s="3" t="s">
        <v>3784</v>
      </c>
      <c r="I1685" s="1" t="s">
        <v>2188</v>
      </c>
      <c r="J1685" s="5" t="s">
        <v>3785</v>
      </c>
    </row>
    <row r="1686" ht="15.75" customHeight="1">
      <c r="A1686" s="2">
        <v>1685.0</v>
      </c>
      <c r="B1686" s="1" t="s">
        <v>4697</v>
      </c>
      <c r="C1686" s="1" t="s">
        <v>4698</v>
      </c>
      <c r="D1686" s="1" t="s">
        <v>4699</v>
      </c>
      <c r="E1686" s="2" t="s">
        <v>4700</v>
      </c>
      <c r="F1686" s="1" t="s">
        <v>4701</v>
      </c>
      <c r="G1686" s="1" t="s">
        <v>3791</v>
      </c>
      <c r="H1686" s="3" t="s">
        <v>3784</v>
      </c>
      <c r="I1686" s="1" t="s">
        <v>2188</v>
      </c>
      <c r="J1686" s="5" t="s">
        <v>3785</v>
      </c>
    </row>
    <row r="1687" ht="15.75" customHeight="1">
      <c r="A1687" s="2">
        <v>1686.0</v>
      </c>
      <c r="B1687" s="1" t="s">
        <v>4702</v>
      </c>
      <c r="C1687" s="1" t="s">
        <v>3976</v>
      </c>
      <c r="D1687" s="1" t="s">
        <v>3977</v>
      </c>
      <c r="E1687" s="2" t="s">
        <v>4703</v>
      </c>
      <c r="F1687" s="1" t="s">
        <v>4704</v>
      </c>
      <c r="G1687" s="1" t="s">
        <v>3807</v>
      </c>
      <c r="H1687" s="3" t="s">
        <v>3784</v>
      </c>
      <c r="I1687" s="1" t="s">
        <v>2188</v>
      </c>
      <c r="J1687" s="5" t="s">
        <v>3785</v>
      </c>
    </row>
    <row r="1688" ht="15.75" customHeight="1">
      <c r="A1688" s="2">
        <v>1687.0</v>
      </c>
      <c r="B1688" s="1" t="s">
        <v>4705</v>
      </c>
      <c r="C1688" s="1" t="s">
        <v>4706</v>
      </c>
      <c r="D1688" s="1" t="s">
        <v>4707</v>
      </c>
      <c r="E1688" s="2" t="s">
        <v>4708</v>
      </c>
      <c r="F1688" s="1" t="s">
        <v>4709</v>
      </c>
      <c r="G1688" s="1" t="s">
        <v>3866</v>
      </c>
      <c r="H1688" s="3" t="s">
        <v>3784</v>
      </c>
      <c r="I1688" s="1" t="s">
        <v>2188</v>
      </c>
      <c r="J1688" s="5" t="s">
        <v>3785</v>
      </c>
    </row>
    <row r="1689" ht="15.75" customHeight="1">
      <c r="A1689" s="2">
        <v>1688.0</v>
      </c>
      <c r="B1689" s="1" t="s">
        <v>4710</v>
      </c>
      <c r="C1689" s="1" t="s">
        <v>4706</v>
      </c>
      <c r="D1689" s="1" t="s">
        <v>4711</v>
      </c>
      <c r="E1689" s="2" t="s">
        <v>4712</v>
      </c>
      <c r="F1689" s="1" t="s">
        <v>4713</v>
      </c>
      <c r="G1689" s="1" t="s">
        <v>3850</v>
      </c>
      <c r="H1689" s="3" t="s">
        <v>3784</v>
      </c>
      <c r="I1689" s="1" t="s">
        <v>2188</v>
      </c>
      <c r="J1689" s="5" t="s">
        <v>3785</v>
      </c>
    </row>
    <row r="1690" ht="15.75" customHeight="1">
      <c r="A1690" s="2">
        <v>1689.0</v>
      </c>
      <c r="B1690" s="1" t="s">
        <v>4714</v>
      </c>
      <c r="C1690" s="1" t="s">
        <v>4715</v>
      </c>
      <c r="D1690" s="1" t="s">
        <v>4716</v>
      </c>
      <c r="E1690" s="2" t="s">
        <v>4717</v>
      </c>
      <c r="F1690" s="1" t="s">
        <v>4718</v>
      </c>
      <c r="G1690" s="1" t="s">
        <v>3866</v>
      </c>
      <c r="H1690" s="3" t="s">
        <v>3784</v>
      </c>
      <c r="I1690" s="1" t="s">
        <v>2188</v>
      </c>
      <c r="J1690" s="5" t="s">
        <v>3785</v>
      </c>
    </row>
    <row r="1691" ht="15.75" customHeight="1">
      <c r="A1691" s="2">
        <v>1690.0</v>
      </c>
      <c r="B1691" s="1" t="s">
        <v>4719</v>
      </c>
      <c r="C1691" s="1" t="s">
        <v>4720</v>
      </c>
      <c r="D1691" s="1" t="s">
        <v>4721</v>
      </c>
      <c r="E1691" s="2" t="s">
        <v>4722</v>
      </c>
      <c r="F1691" s="1" t="s">
        <v>4723</v>
      </c>
      <c r="G1691" s="1" t="s">
        <v>3866</v>
      </c>
      <c r="H1691" s="3" t="s">
        <v>3784</v>
      </c>
      <c r="I1691" s="1" t="s">
        <v>2188</v>
      </c>
      <c r="J1691" s="5" t="s">
        <v>3785</v>
      </c>
    </row>
    <row r="1692" ht="15.75" customHeight="1">
      <c r="A1692" s="2">
        <v>1691.0</v>
      </c>
      <c r="B1692" s="1" t="s">
        <v>4646</v>
      </c>
      <c r="C1692" s="1" t="s">
        <v>4724</v>
      </c>
      <c r="D1692" s="1" t="s">
        <v>4182</v>
      </c>
      <c r="E1692" s="2" t="s">
        <v>4725</v>
      </c>
      <c r="F1692" s="1" t="s">
        <v>4726</v>
      </c>
      <c r="G1692" s="1" t="s">
        <v>3796</v>
      </c>
      <c r="H1692" s="3" t="s">
        <v>3784</v>
      </c>
      <c r="I1692" s="1" t="s">
        <v>2188</v>
      </c>
      <c r="J1692" s="5" t="s">
        <v>3785</v>
      </c>
    </row>
    <row r="1693" ht="15.75" customHeight="1">
      <c r="A1693" s="2">
        <v>1692.0</v>
      </c>
      <c r="B1693" s="1" t="s">
        <v>4727</v>
      </c>
      <c r="C1693" s="1" t="s">
        <v>4728</v>
      </c>
      <c r="D1693" s="1" t="s">
        <v>4729</v>
      </c>
      <c r="E1693" s="2" t="s">
        <v>4730</v>
      </c>
      <c r="F1693" s="1" t="s">
        <v>4544</v>
      </c>
      <c r="G1693" s="1" t="s">
        <v>3783</v>
      </c>
      <c r="H1693" s="3" t="s">
        <v>3784</v>
      </c>
      <c r="I1693" s="1" t="s">
        <v>2188</v>
      </c>
      <c r="J1693" s="5" t="s">
        <v>3785</v>
      </c>
    </row>
    <row r="1694" ht="15.75" customHeight="1">
      <c r="A1694" s="2">
        <v>1693.0</v>
      </c>
      <c r="B1694" s="1" t="s">
        <v>4731</v>
      </c>
      <c r="C1694" s="1" t="s">
        <v>4732</v>
      </c>
      <c r="D1694" s="1" t="s">
        <v>4733</v>
      </c>
      <c r="E1694" s="2" t="s">
        <v>4734</v>
      </c>
      <c r="F1694" s="1" t="s">
        <v>4735</v>
      </c>
      <c r="G1694" s="1" t="s">
        <v>4736</v>
      </c>
      <c r="H1694" s="3" t="s">
        <v>3784</v>
      </c>
      <c r="I1694" s="1" t="s">
        <v>2188</v>
      </c>
      <c r="J1694" s="5" t="s">
        <v>3785</v>
      </c>
    </row>
    <row r="1695" ht="15.75" customHeight="1">
      <c r="A1695" s="2">
        <v>1694.0</v>
      </c>
      <c r="B1695" s="1" t="s">
        <v>4664</v>
      </c>
      <c r="C1695" s="1" t="s">
        <v>4737</v>
      </c>
      <c r="D1695" s="1" t="s">
        <v>4738</v>
      </c>
      <c r="E1695" s="2" t="s">
        <v>4739</v>
      </c>
      <c r="F1695" s="1" t="s">
        <v>4740</v>
      </c>
      <c r="G1695" s="1" t="s">
        <v>3850</v>
      </c>
      <c r="H1695" s="3" t="s">
        <v>3784</v>
      </c>
      <c r="I1695" s="1" t="s">
        <v>2188</v>
      </c>
      <c r="J1695" s="5" t="s">
        <v>3785</v>
      </c>
    </row>
    <row r="1696" ht="15.75" customHeight="1">
      <c r="A1696" s="2">
        <v>1695.0</v>
      </c>
      <c r="B1696" s="1" t="s">
        <v>4664</v>
      </c>
      <c r="C1696" s="1" t="s">
        <v>4737</v>
      </c>
      <c r="D1696" s="1" t="s">
        <v>4741</v>
      </c>
      <c r="E1696" s="2" t="s">
        <v>4742</v>
      </c>
      <c r="F1696" s="1" t="s">
        <v>4458</v>
      </c>
      <c r="G1696" s="1" t="s">
        <v>3866</v>
      </c>
      <c r="H1696" s="3" t="s">
        <v>3784</v>
      </c>
      <c r="I1696" s="1" t="s">
        <v>2188</v>
      </c>
      <c r="J1696" s="5" t="s">
        <v>3785</v>
      </c>
    </row>
    <row r="1697" ht="15.75" customHeight="1">
      <c r="A1697" s="2">
        <v>1696.0</v>
      </c>
      <c r="B1697" s="1" t="s">
        <v>3847</v>
      </c>
      <c r="C1697" s="1" t="s">
        <v>4743</v>
      </c>
      <c r="D1697" s="1" t="s">
        <v>4446</v>
      </c>
      <c r="E1697" s="2" t="s">
        <v>4744</v>
      </c>
      <c r="F1697" s="1" t="s">
        <v>4745</v>
      </c>
      <c r="G1697" s="1" t="s">
        <v>3866</v>
      </c>
      <c r="H1697" s="3" t="s">
        <v>4361</v>
      </c>
      <c r="I1697" s="1" t="s">
        <v>4362</v>
      </c>
      <c r="J1697" s="5" t="s">
        <v>2188</v>
      </c>
      <c r="K1697" s="5" t="s">
        <v>2189</v>
      </c>
    </row>
    <row r="1698" ht="15.75" customHeight="1">
      <c r="A1698" s="2">
        <v>1697.0</v>
      </c>
      <c r="B1698" s="1" t="s">
        <v>4746</v>
      </c>
      <c r="C1698" s="1" t="s">
        <v>4747</v>
      </c>
      <c r="D1698" s="1" t="s">
        <v>4009</v>
      </c>
      <c r="E1698" s="2" t="s">
        <v>4748</v>
      </c>
      <c r="F1698" s="1" t="s">
        <v>4749</v>
      </c>
      <c r="G1698" s="1" t="s">
        <v>3791</v>
      </c>
      <c r="H1698" s="3" t="s">
        <v>3784</v>
      </c>
      <c r="I1698" s="1" t="s">
        <v>2188</v>
      </c>
      <c r="J1698" s="5" t="s">
        <v>3785</v>
      </c>
    </row>
    <row r="1699" ht="15.75" customHeight="1">
      <c r="A1699" s="2">
        <v>1698.0</v>
      </c>
      <c r="B1699" s="1" t="s">
        <v>4750</v>
      </c>
      <c r="C1699" s="1" t="s">
        <v>4108</v>
      </c>
      <c r="D1699" s="1" t="s">
        <v>4605</v>
      </c>
      <c r="E1699" s="2" t="s">
        <v>4751</v>
      </c>
      <c r="F1699" s="1" t="s">
        <v>4752</v>
      </c>
      <c r="G1699" s="1" t="s">
        <v>3807</v>
      </c>
      <c r="H1699" s="3" t="s">
        <v>3784</v>
      </c>
      <c r="I1699" s="1" t="s">
        <v>2188</v>
      </c>
      <c r="J1699" s="5" t="s">
        <v>3785</v>
      </c>
    </row>
    <row r="1700" ht="15.75" customHeight="1">
      <c r="A1700" s="2">
        <v>1699.0</v>
      </c>
      <c r="B1700" s="1" t="s">
        <v>4753</v>
      </c>
      <c r="C1700" s="1" t="s">
        <v>4754</v>
      </c>
      <c r="D1700" s="1" t="s">
        <v>4755</v>
      </c>
      <c r="E1700" s="2" t="s">
        <v>4756</v>
      </c>
      <c r="F1700" s="1" t="s">
        <v>4757</v>
      </c>
      <c r="G1700" s="1" t="s">
        <v>3791</v>
      </c>
      <c r="H1700" s="3" t="s">
        <v>3784</v>
      </c>
      <c r="I1700" s="1" t="s">
        <v>2188</v>
      </c>
      <c r="J1700" s="5" t="s">
        <v>3785</v>
      </c>
    </row>
    <row r="1701" ht="15.75" customHeight="1">
      <c r="A1701" s="2">
        <v>1700.0</v>
      </c>
      <c r="B1701" s="1" t="s">
        <v>4758</v>
      </c>
      <c r="C1701" s="1" t="s">
        <v>4759</v>
      </c>
      <c r="D1701" s="1" t="s">
        <v>4760</v>
      </c>
      <c r="E1701" s="2" t="s">
        <v>4761</v>
      </c>
      <c r="F1701" s="1" t="s">
        <v>4762</v>
      </c>
      <c r="G1701" s="1" t="s">
        <v>3791</v>
      </c>
      <c r="H1701" s="3" t="s">
        <v>3784</v>
      </c>
      <c r="I1701" s="1" t="s">
        <v>2188</v>
      </c>
      <c r="J1701" s="5" t="s">
        <v>3785</v>
      </c>
    </row>
    <row r="1702" ht="15.75" customHeight="1">
      <c r="A1702" s="2">
        <v>1701.0</v>
      </c>
      <c r="B1702" s="1" t="s">
        <v>4763</v>
      </c>
      <c r="C1702" s="1" t="s">
        <v>4764</v>
      </c>
      <c r="D1702" s="1" t="s">
        <v>4765</v>
      </c>
      <c r="E1702" s="2" t="s">
        <v>4766</v>
      </c>
      <c r="F1702" s="1" t="s">
        <v>4767</v>
      </c>
      <c r="G1702" s="1" t="s">
        <v>3807</v>
      </c>
      <c r="H1702" s="3" t="s">
        <v>3784</v>
      </c>
      <c r="I1702" s="1" t="s">
        <v>2188</v>
      </c>
      <c r="J1702" s="5" t="s">
        <v>3785</v>
      </c>
    </row>
    <row r="1703" ht="15.75" customHeight="1">
      <c r="A1703" s="2">
        <v>1702.0</v>
      </c>
      <c r="B1703" s="1" t="s">
        <v>4338</v>
      </c>
      <c r="C1703" s="1" t="s">
        <v>4768</v>
      </c>
      <c r="D1703" s="1" t="s">
        <v>4605</v>
      </c>
      <c r="E1703" s="2" t="s">
        <v>4769</v>
      </c>
      <c r="F1703" s="1" t="s">
        <v>4770</v>
      </c>
      <c r="G1703" s="1" t="s">
        <v>3807</v>
      </c>
      <c r="H1703" s="3" t="s">
        <v>3784</v>
      </c>
      <c r="I1703" s="1" t="s">
        <v>2188</v>
      </c>
      <c r="J1703" s="5" t="s">
        <v>3785</v>
      </c>
    </row>
    <row r="1704" ht="15.75" customHeight="1">
      <c r="A1704" s="2">
        <v>1703.0</v>
      </c>
      <c r="B1704" s="1" t="s">
        <v>4771</v>
      </c>
      <c r="C1704" s="1" t="s">
        <v>4772</v>
      </c>
      <c r="D1704" s="1" t="s">
        <v>4773</v>
      </c>
      <c r="E1704" s="2" t="s">
        <v>4774</v>
      </c>
      <c r="F1704" s="1" t="s">
        <v>4775</v>
      </c>
      <c r="G1704" s="1" t="s">
        <v>3815</v>
      </c>
      <c r="H1704" s="3" t="s">
        <v>3784</v>
      </c>
      <c r="I1704" s="1" t="s">
        <v>2188</v>
      </c>
      <c r="J1704" s="5" t="s">
        <v>3785</v>
      </c>
    </row>
    <row r="1705" ht="15.75" customHeight="1">
      <c r="A1705" s="2">
        <v>1704.0</v>
      </c>
      <c r="B1705" s="1" t="s">
        <v>4776</v>
      </c>
      <c r="C1705" s="1" t="s">
        <v>4777</v>
      </c>
      <c r="D1705" s="1" t="s">
        <v>3992</v>
      </c>
      <c r="E1705" s="2" t="s">
        <v>4778</v>
      </c>
      <c r="F1705" s="1" t="s">
        <v>4779</v>
      </c>
      <c r="G1705" s="1" t="s">
        <v>3850</v>
      </c>
      <c r="H1705" s="3" t="s">
        <v>3784</v>
      </c>
      <c r="I1705" s="1" t="s">
        <v>2188</v>
      </c>
      <c r="J1705" s="5" t="s">
        <v>3785</v>
      </c>
    </row>
    <row r="1706" ht="15.75" customHeight="1">
      <c r="A1706" s="2">
        <v>1705.0</v>
      </c>
      <c r="B1706" s="1" t="s">
        <v>4780</v>
      </c>
      <c r="C1706" s="1" t="s">
        <v>4781</v>
      </c>
      <c r="D1706" s="1" t="s">
        <v>4782</v>
      </c>
      <c r="E1706" s="2" t="s">
        <v>4783</v>
      </c>
      <c r="F1706" s="1" t="s">
        <v>4784</v>
      </c>
      <c r="G1706" s="1" t="s">
        <v>3807</v>
      </c>
      <c r="H1706" s="3" t="s">
        <v>3784</v>
      </c>
      <c r="I1706" s="1" t="s">
        <v>2188</v>
      </c>
      <c r="J1706" s="5" t="s">
        <v>3785</v>
      </c>
    </row>
    <row r="1707" ht="15.75" customHeight="1">
      <c r="A1707" s="2">
        <v>1706.0</v>
      </c>
      <c r="B1707" s="1" t="s">
        <v>4233</v>
      </c>
      <c r="C1707" s="1" t="s">
        <v>4785</v>
      </c>
      <c r="D1707" s="1" t="s">
        <v>4564</v>
      </c>
      <c r="E1707" s="2" t="s">
        <v>4786</v>
      </c>
      <c r="F1707" s="1" t="s">
        <v>4458</v>
      </c>
      <c r="G1707" s="1" t="s">
        <v>3807</v>
      </c>
      <c r="H1707" s="3" t="s">
        <v>3784</v>
      </c>
      <c r="I1707" s="1" t="s">
        <v>2188</v>
      </c>
      <c r="J1707" s="5" t="s">
        <v>3785</v>
      </c>
    </row>
    <row r="1708" ht="15.75" customHeight="1">
      <c r="A1708" s="2">
        <v>1707.0</v>
      </c>
      <c r="B1708" s="1" t="s">
        <v>4787</v>
      </c>
      <c r="C1708" s="1" t="s">
        <v>4788</v>
      </c>
      <c r="D1708" s="1" t="s">
        <v>4789</v>
      </c>
      <c r="E1708" s="2" t="s">
        <v>4790</v>
      </c>
      <c r="F1708" s="1" t="s">
        <v>4791</v>
      </c>
      <c r="G1708" s="1" t="s">
        <v>3866</v>
      </c>
      <c r="H1708" s="3" t="s">
        <v>4792</v>
      </c>
      <c r="I1708" s="1" t="s">
        <v>2188</v>
      </c>
      <c r="J1708" s="5" t="s">
        <v>2189</v>
      </c>
    </row>
    <row r="1709" ht="15.75" customHeight="1">
      <c r="A1709" s="2">
        <v>1708.0</v>
      </c>
      <c r="B1709" s="1" t="s">
        <v>4793</v>
      </c>
      <c r="C1709" s="1" t="s">
        <v>4794</v>
      </c>
      <c r="D1709" s="1" t="s">
        <v>4795</v>
      </c>
      <c r="E1709" s="2" t="s">
        <v>4796</v>
      </c>
      <c r="F1709" s="1" t="s">
        <v>4797</v>
      </c>
      <c r="G1709" s="1" t="s">
        <v>3807</v>
      </c>
      <c r="H1709" s="3" t="s">
        <v>3784</v>
      </c>
      <c r="I1709" s="1" t="s">
        <v>2188</v>
      </c>
      <c r="J1709" s="5" t="s">
        <v>3785</v>
      </c>
    </row>
    <row r="1710" ht="15.75" customHeight="1">
      <c r="A1710" s="2">
        <v>1709.0</v>
      </c>
      <c r="B1710" s="1" t="s">
        <v>4798</v>
      </c>
      <c r="C1710" s="1" t="s">
        <v>4799</v>
      </c>
      <c r="D1710" s="1" t="s">
        <v>4800</v>
      </c>
      <c r="E1710" s="2" t="s">
        <v>4801</v>
      </c>
      <c r="F1710" s="1" t="s">
        <v>4802</v>
      </c>
      <c r="G1710" s="1" t="s">
        <v>3807</v>
      </c>
      <c r="H1710" s="3" t="s">
        <v>3784</v>
      </c>
      <c r="I1710" s="1" t="s">
        <v>2188</v>
      </c>
      <c r="J1710" s="5" t="s">
        <v>3785</v>
      </c>
    </row>
    <row r="1711" ht="15.75" customHeight="1">
      <c r="A1711" s="2">
        <v>1710.0</v>
      </c>
      <c r="B1711" s="1" t="s">
        <v>4803</v>
      </c>
      <c r="C1711" s="1" t="s">
        <v>4804</v>
      </c>
      <c r="D1711" s="1" t="s">
        <v>4805</v>
      </c>
      <c r="E1711" s="2" t="s">
        <v>4806</v>
      </c>
      <c r="F1711" s="1" t="s">
        <v>4807</v>
      </c>
      <c r="G1711" s="1" t="s">
        <v>3866</v>
      </c>
      <c r="H1711" s="3" t="s">
        <v>3784</v>
      </c>
      <c r="I1711" s="1" t="s">
        <v>2188</v>
      </c>
      <c r="J1711" s="5" t="s">
        <v>3785</v>
      </c>
    </row>
    <row r="1712" ht="15.75" customHeight="1">
      <c r="A1712" s="2">
        <v>1711.0</v>
      </c>
      <c r="B1712" s="1" t="s">
        <v>4808</v>
      </c>
      <c r="C1712" s="1" t="s">
        <v>4809</v>
      </c>
      <c r="D1712" s="1" t="s">
        <v>4810</v>
      </c>
      <c r="E1712" s="2" t="s">
        <v>4811</v>
      </c>
      <c r="F1712" s="1" t="s">
        <v>4812</v>
      </c>
      <c r="G1712" s="1" t="s">
        <v>3807</v>
      </c>
      <c r="H1712" s="3" t="s">
        <v>3784</v>
      </c>
      <c r="I1712" s="1" t="s">
        <v>2188</v>
      </c>
      <c r="J1712" s="5" t="s">
        <v>3785</v>
      </c>
    </row>
    <row r="1713" ht="15.75" customHeight="1">
      <c r="A1713" s="2">
        <v>1712.0</v>
      </c>
      <c r="B1713" s="1" t="s">
        <v>4813</v>
      </c>
      <c r="C1713" s="1" t="s">
        <v>4814</v>
      </c>
      <c r="D1713" s="1" t="s">
        <v>4815</v>
      </c>
      <c r="E1713" s="2" t="s">
        <v>4816</v>
      </c>
      <c r="F1713" s="1" t="s">
        <v>4740</v>
      </c>
      <c r="G1713" s="1" t="s">
        <v>3796</v>
      </c>
      <c r="H1713" s="3" t="s">
        <v>3784</v>
      </c>
      <c r="I1713" s="1" t="s">
        <v>2188</v>
      </c>
      <c r="J1713" s="5" t="s">
        <v>3785</v>
      </c>
    </row>
    <row r="1714" ht="15.75" customHeight="1">
      <c r="A1714" s="2">
        <v>1713.0</v>
      </c>
      <c r="B1714" s="1" t="s">
        <v>4817</v>
      </c>
      <c r="C1714" s="1" t="s">
        <v>4732</v>
      </c>
      <c r="D1714" s="1" t="s">
        <v>4818</v>
      </c>
      <c r="E1714" s="2" t="s">
        <v>4819</v>
      </c>
      <c r="F1714" s="1" t="s">
        <v>4820</v>
      </c>
      <c r="G1714" s="1" t="s">
        <v>3866</v>
      </c>
      <c r="H1714" s="3" t="s">
        <v>3784</v>
      </c>
      <c r="I1714" s="1" t="s">
        <v>2188</v>
      </c>
      <c r="J1714" s="5" t="s">
        <v>3785</v>
      </c>
    </row>
    <row r="1715" ht="15.75" customHeight="1">
      <c r="A1715" s="2">
        <v>1714.0</v>
      </c>
      <c r="B1715" s="1" t="s">
        <v>4821</v>
      </c>
      <c r="C1715" s="1" t="s">
        <v>4822</v>
      </c>
      <c r="D1715" s="1" t="s">
        <v>4823</v>
      </c>
      <c r="E1715" s="2" t="s">
        <v>4824</v>
      </c>
      <c r="F1715" s="1" t="s">
        <v>4726</v>
      </c>
      <c r="G1715" s="1" t="s">
        <v>3815</v>
      </c>
      <c r="H1715" s="3" t="s">
        <v>3784</v>
      </c>
      <c r="I1715" s="1" t="s">
        <v>2188</v>
      </c>
      <c r="J1715" s="5" t="s">
        <v>3785</v>
      </c>
    </row>
    <row r="1716" ht="15.75" customHeight="1">
      <c r="A1716" s="2">
        <v>1715.0</v>
      </c>
      <c r="B1716" s="1" t="s">
        <v>4825</v>
      </c>
      <c r="C1716" s="1" t="s">
        <v>4826</v>
      </c>
      <c r="D1716" s="1" t="s">
        <v>4827</v>
      </c>
      <c r="E1716" s="2" t="s">
        <v>4828</v>
      </c>
      <c r="F1716" s="1" t="s">
        <v>4829</v>
      </c>
      <c r="G1716" s="1" t="s">
        <v>3807</v>
      </c>
      <c r="H1716" s="3" t="s">
        <v>3784</v>
      </c>
      <c r="I1716" s="1" t="s">
        <v>2188</v>
      </c>
      <c r="J1716" s="5" t="s">
        <v>3785</v>
      </c>
    </row>
    <row r="1717" ht="15.75" customHeight="1">
      <c r="A1717" s="2">
        <v>1716.0</v>
      </c>
      <c r="B1717" s="1" t="s">
        <v>4830</v>
      </c>
      <c r="C1717" s="1" t="s">
        <v>4831</v>
      </c>
      <c r="D1717" s="1" t="s">
        <v>4832</v>
      </c>
      <c r="E1717" s="2" t="s">
        <v>4833</v>
      </c>
      <c r="F1717" s="1" t="s">
        <v>4834</v>
      </c>
      <c r="G1717" s="1" t="s">
        <v>3807</v>
      </c>
      <c r="H1717" s="3" t="s">
        <v>3784</v>
      </c>
      <c r="I1717" s="1" t="s">
        <v>2188</v>
      </c>
      <c r="J1717" s="5" t="s">
        <v>3785</v>
      </c>
    </row>
    <row r="1718" ht="15.75" customHeight="1">
      <c r="A1718" s="2">
        <v>1717.0</v>
      </c>
      <c r="B1718" s="1" t="s">
        <v>4835</v>
      </c>
      <c r="C1718" s="1" t="s">
        <v>4836</v>
      </c>
      <c r="D1718" s="1" t="s">
        <v>4250</v>
      </c>
      <c r="E1718" s="2" t="s">
        <v>4837</v>
      </c>
      <c r="F1718" s="1" t="s">
        <v>4723</v>
      </c>
      <c r="G1718" s="1" t="s">
        <v>3783</v>
      </c>
      <c r="H1718" s="3" t="s">
        <v>3784</v>
      </c>
      <c r="I1718" s="1" t="s">
        <v>2188</v>
      </c>
      <c r="J1718" s="5" t="s">
        <v>3785</v>
      </c>
    </row>
    <row r="1719" ht="15.75" customHeight="1">
      <c r="A1719" s="2">
        <v>1718.0</v>
      </c>
      <c r="B1719" s="1" t="s">
        <v>4838</v>
      </c>
      <c r="C1719" s="1" t="s">
        <v>4839</v>
      </c>
      <c r="D1719" s="1" t="s">
        <v>4840</v>
      </c>
      <c r="E1719" s="2" t="s">
        <v>4841</v>
      </c>
      <c r="F1719" s="1" t="s">
        <v>4842</v>
      </c>
      <c r="G1719" s="1" t="s">
        <v>3807</v>
      </c>
      <c r="H1719" s="3" t="s">
        <v>3784</v>
      </c>
      <c r="I1719" s="1" t="s">
        <v>2188</v>
      </c>
      <c r="J1719" s="5" t="s">
        <v>3785</v>
      </c>
    </row>
    <row r="1720" ht="15.75" customHeight="1">
      <c r="A1720" s="2">
        <v>1719.0</v>
      </c>
      <c r="B1720" s="1" t="s">
        <v>4843</v>
      </c>
      <c r="C1720" s="1" t="s">
        <v>3938</v>
      </c>
      <c r="D1720" s="1" t="s">
        <v>3899</v>
      </c>
      <c r="E1720" s="2" t="s">
        <v>4844</v>
      </c>
      <c r="F1720" s="1" t="s">
        <v>4767</v>
      </c>
      <c r="G1720" s="1" t="s">
        <v>3807</v>
      </c>
      <c r="H1720" s="3" t="s">
        <v>3784</v>
      </c>
      <c r="I1720" s="1" t="s">
        <v>2188</v>
      </c>
      <c r="J1720" s="5" t="s">
        <v>3785</v>
      </c>
    </row>
    <row r="1721" ht="15.75" customHeight="1">
      <c r="A1721" s="2">
        <v>1720.0</v>
      </c>
      <c r="B1721" s="1" t="s">
        <v>4403</v>
      </c>
      <c r="C1721" s="1" t="s">
        <v>4845</v>
      </c>
      <c r="D1721" s="1" t="s">
        <v>4846</v>
      </c>
      <c r="E1721" s="2" t="s">
        <v>4847</v>
      </c>
      <c r="F1721" s="1" t="s">
        <v>4848</v>
      </c>
      <c r="G1721" s="1" t="s">
        <v>3807</v>
      </c>
      <c r="H1721" s="3" t="s">
        <v>3784</v>
      </c>
      <c r="I1721" s="1" t="s">
        <v>2188</v>
      </c>
      <c r="J1721" s="5" t="s">
        <v>3785</v>
      </c>
    </row>
    <row r="1722" ht="15.75" customHeight="1">
      <c r="A1722" s="2">
        <v>1721.0</v>
      </c>
      <c r="B1722" s="1" t="s">
        <v>3856</v>
      </c>
      <c r="C1722" s="1" t="s">
        <v>4849</v>
      </c>
      <c r="D1722" s="1" t="s">
        <v>4850</v>
      </c>
      <c r="E1722" s="2" t="s">
        <v>4851</v>
      </c>
      <c r="F1722" s="1" t="s">
        <v>4430</v>
      </c>
      <c r="G1722" s="1" t="s">
        <v>3807</v>
      </c>
      <c r="H1722" s="3" t="s">
        <v>3784</v>
      </c>
      <c r="I1722" s="1" t="s">
        <v>2188</v>
      </c>
      <c r="J1722" s="5" t="s">
        <v>3785</v>
      </c>
    </row>
    <row r="1723" ht="15.75" customHeight="1">
      <c r="A1723" s="2">
        <v>1722.0</v>
      </c>
      <c r="B1723" s="1" t="s">
        <v>4852</v>
      </c>
      <c r="C1723" s="1" t="s">
        <v>4853</v>
      </c>
      <c r="D1723" s="1" t="s">
        <v>4854</v>
      </c>
      <c r="E1723" s="2" t="s">
        <v>4855</v>
      </c>
      <c r="F1723" s="1" t="s">
        <v>4856</v>
      </c>
      <c r="G1723" s="1" t="s">
        <v>3815</v>
      </c>
      <c r="H1723" s="3" t="s">
        <v>3784</v>
      </c>
      <c r="I1723" s="1" t="s">
        <v>2188</v>
      </c>
      <c r="J1723" s="5" t="s">
        <v>3785</v>
      </c>
    </row>
    <row r="1724" ht="15.75" customHeight="1">
      <c r="A1724" s="2">
        <v>1723.0</v>
      </c>
      <c r="B1724" s="1" t="s">
        <v>4857</v>
      </c>
      <c r="C1724" s="1" t="s">
        <v>4858</v>
      </c>
      <c r="D1724" s="1" t="s">
        <v>4340</v>
      </c>
      <c r="E1724" s="2" t="s">
        <v>4859</v>
      </c>
      <c r="F1724" s="1" t="s">
        <v>4860</v>
      </c>
      <c r="G1724" s="1" t="s">
        <v>3791</v>
      </c>
      <c r="H1724" s="3" t="s">
        <v>3784</v>
      </c>
      <c r="I1724" s="1" t="s">
        <v>2188</v>
      </c>
      <c r="J1724" s="5" t="s">
        <v>3785</v>
      </c>
    </row>
    <row r="1725" ht="15.75" customHeight="1">
      <c r="A1725" s="2">
        <v>1724.0</v>
      </c>
      <c r="B1725" s="1" t="s">
        <v>4861</v>
      </c>
      <c r="C1725" s="1" t="s">
        <v>4862</v>
      </c>
      <c r="D1725" s="1" t="s">
        <v>4863</v>
      </c>
      <c r="E1725" s="2" t="s">
        <v>4864</v>
      </c>
      <c r="F1725" s="1" t="s">
        <v>4865</v>
      </c>
      <c r="G1725" s="1" t="s">
        <v>3850</v>
      </c>
      <c r="H1725" s="3" t="s">
        <v>3784</v>
      </c>
      <c r="I1725" s="1" t="s">
        <v>2188</v>
      </c>
      <c r="J1725" s="5" t="s">
        <v>3785</v>
      </c>
    </row>
    <row r="1726" ht="15.75" customHeight="1">
      <c r="A1726" s="2">
        <v>1725.0</v>
      </c>
      <c r="B1726" s="1" t="s">
        <v>4866</v>
      </c>
      <c r="C1726" s="1" t="s">
        <v>4867</v>
      </c>
      <c r="D1726" s="1" t="s">
        <v>4760</v>
      </c>
      <c r="E1726" s="2" t="s">
        <v>4868</v>
      </c>
      <c r="F1726" s="1" t="s">
        <v>4869</v>
      </c>
      <c r="G1726" s="1" t="s">
        <v>4640</v>
      </c>
      <c r="H1726" s="3" t="s">
        <v>3784</v>
      </c>
      <c r="I1726" s="1" t="s">
        <v>2188</v>
      </c>
      <c r="J1726" s="5" t="s">
        <v>3785</v>
      </c>
    </row>
    <row r="1727" ht="15.75" customHeight="1">
      <c r="A1727" s="2">
        <v>1726.0</v>
      </c>
      <c r="B1727" s="1" t="s">
        <v>4870</v>
      </c>
      <c r="C1727" s="1" t="s">
        <v>4871</v>
      </c>
      <c r="D1727" s="1" t="s">
        <v>1238</v>
      </c>
      <c r="E1727" s="2">
        <v>5.70038000219E11</v>
      </c>
      <c r="F1727" s="1" t="s">
        <v>4872</v>
      </c>
      <c r="G1727" s="1" t="s">
        <v>24</v>
      </c>
      <c r="H1727" s="3" t="s">
        <v>4873</v>
      </c>
      <c r="I1727" s="1"/>
      <c r="J1727" s="1"/>
      <c r="K1727" s="1"/>
    </row>
    <row r="1728" ht="15.75" customHeight="1">
      <c r="A1728" s="2">
        <v>1727.0</v>
      </c>
      <c r="B1728" s="1" t="s">
        <v>4874</v>
      </c>
      <c r="C1728" s="1" t="s">
        <v>4875</v>
      </c>
      <c r="D1728" s="1" t="s">
        <v>4876</v>
      </c>
      <c r="E1728" s="2">
        <v>5.70038000227E11</v>
      </c>
      <c r="F1728" s="1" t="s">
        <v>4877</v>
      </c>
      <c r="G1728" s="1" t="s">
        <v>24</v>
      </c>
      <c r="H1728" s="3" t="s">
        <v>4873</v>
      </c>
      <c r="I1728" s="1"/>
      <c r="J1728" s="1"/>
      <c r="K1728" s="1"/>
    </row>
    <row r="1729" ht="15.75" customHeight="1">
      <c r="A1729" s="2">
        <v>1728.0</v>
      </c>
      <c r="B1729" s="1" t="s">
        <v>4878</v>
      </c>
      <c r="C1729" s="1" t="s">
        <v>1484</v>
      </c>
      <c r="D1729" s="1" t="s">
        <v>4879</v>
      </c>
      <c r="E1729" s="2">
        <v>5.70038000229E11</v>
      </c>
      <c r="F1729" s="1" t="s">
        <v>4880</v>
      </c>
      <c r="G1729" s="1" t="s">
        <v>143</v>
      </c>
      <c r="H1729" s="3" t="s">
        <v>4873</v>
      </c>
      <c r="I1729" s="1"/>
      <c r="J1729" s="1"/>
      <c r="K1729" s="1"/>
    </row>
    <row r="1730" ht="15.75" customHeight="1">
      <c r="A1730" s="2">
        <v>1729.0</v>
      </c>
      <c r="B1730" s="1" t="s">
        <v>4881</v>
      </c>
      <c r="C1730" s="1" t="s">
        <v>1232</v>
      </c>
      <c r="D1730" s="1" t="s">
        <v>587</v>
      </c>
      <c r="E1730" s="2">
        <v>5.70038000232E11</v>
      </c>
      <c r="F1730" s="1" t="s">
        <v>4882</v>
      </c>
      <c r="G1730" s="1" t="s">
        <v>4883</v>
      </c>
      <c r="H1730" s="3" t="s">
        <v>4873</v>
      </c>
      <c r="I1730" s="1"/>
      <c r="J1730" s="1"/>
      <c r="K1730" s="1"/>
    </row>
    <row r="1731" ht="15.75" customHeight="1">
      <c r="A1731" s="2">
        <v>1730.0</v>
      </c>
      <c r="B1731" s="1" t="s">
        <v>191</v>
      </c>
      <c r="C1731" s="1" t="s">
        <v>492</v>
      </c>
      <c r="D1731" s="1" t="s">
        <v>787</v>
      </c>
      <c r="E1731" s="2">
        <v>5.70038000238E11</v>
      </c>
      <c r="F1731" s="1" t="s">
        <v>4884</v>
      </c>
      <c r="G1731" s="1" t="s">
        <v>143</v>
      </c>
      <c r="H1731" s="3" t="s">
        <v>4873</v>
      </c>
      <c r="I1731" s="1"/>
      <c r="J1731" s="1"/>
      <c r="K1731" s="1"/>
    </row>
    <row r="1732" ht="15.75" customHeight="1">
      <c r="A1732" s="2">
        <v>1731.0</v>
      </c>
      <c r="B1732" s="1" t="s">
        <v>4885</v>
      </c>
      <c r="C1732" s="1" t="s">
        <v>2204</v>
      </c>
      <c r="D1732" s="1" t="s">
        <v>10</v>
      </c>
      <c r="E1732" s="2">
        <v>5.7003800024E11</v>
      </c>
      <c r="F1732" s="1" t="s">
        <v>4886</v>
      </c>
      <c r="G1732" s="1" t="s">
        <v>18</v>
      </c>
      <c r="H1732" s="3" t="s">
        <v>4873</v>
      </c>
      <c r="I1732" s="1"/>
      <c r="J1732" s="1"/>
      <c r="K1732" s="1"/>
    </row>
    <row r="1733" ht="15.75" customHeight="1">
      <c r="A1733" s="2">
        <v>1732.0</v>
      </c>
      <c r="B1733" s="1" t="s">
        <v>2480</v>
      </c>
      <c r="C1733" s="1" t="s">
        <v>4887</v>
      </c>
      <c r="D1733" s="1" t="s">
        <v>4888</v>
      </c>
      <c r="E1733" s="2">
        <v>5.70038000242E11</v>
      </c>
      <c r="F1733" s="1" t="s">
        <v>4889</v>
      </c>
      <c r="G1733" s="1" t="s">
        <v>143</v>
      </c>
      <c r="H1733" s="3" t="s">
        <v>4873</v>
      </c>
      <c r="I1733" s="1"/>
      <c r="J1733" s="1"/>
      <c r="K1733" s="1"/>
    </row>
    <row r="1734" ht="15.75" customHeight="1">
      <c r="A1734" s="2">
        <v>1733.0</v>
      </c>
      <c r="B1734" s="1" t="s">
        <v>4890</v>
      </c>
      <c r="C1734" s="1" t="s">
        <v>39</v>
      </c>
      <c r="D1734" s="1" t="s">
        <v>4891</v>
      </c>
      <c r="E1734" s="2">
        <v>5.70038000247E11</v>
      </c>
      <c r="F1734" s="1" t="s">
        <v>4892</v>
      </c>
      <c r="G1734" s="1" t="s">
        <v>47</v>
      </c>
      <c r="H1734" s="3" t="s">
        <v>4873</v>
      </c>
      <c r="I1734" s="1"/>
      <c r="J1734" s="1"/>
      <c r="K1734" s="1"/>
    </row>
    <row r="1735" ht="15.75" customHeight="1">
      <c r="A1735" s="2">
        <v>1734.0</v>
      </c>
      <c r="B1735" s="1" t="s">
        <v>4893</v>
      </c>
      <c r="C1735" s="1" t="s">
        <v>4894</v>
      </c>
      <c r="D1735" s="1" t="s">
        <v>4895</v>
      </c>
      <c r="E1735" s="2">
        <v>5.70038000248E11</v>
      </c>
      <c r="F1735" s="1" t="s">
        <v>4896</v>
      </c>
      <c r="G1735" s="1" t="s">
        <v>24</v>
      </c>
      <c r="H1735" s="3" t="s">
        <v>4873</v>
      </c>
      <c r="I1735" s="1"/>
      <c r="J1735" s="1"/>
      <c r="K1735" s="1"/>
    </row>
    <row r="1736" ht="15.75" customHeight="1">
      <c r="A1736" s="2">
        <v>1735.0</v>
      </c>
      <c r="B1736" s="1" t="s">
        <v>367</v>
      </c>
      <c r="C1736" s="1" t="s">
        <v>4897</v>
      </c>
      <c r="D1736" s="1" t="s">
        <v>4898</v>
      </c>
      <c r="E1736" s="2">
        <v>5.70038000251E11</v>
      </c>
      <c r="F1736" s="1" t="s">
        <v>4899</v>
      </c>
      <c r="G1736" s="1" t="s">
        <v>143</v>
      </c>
      <c r="H1736" s="3" t="s">
        <v>4873</v>
      </c>
      <c r="I1736" s="1"/>
      <c r="J1736" s="1"/>
      <c r="K1736" s="1"/>
    </row>
    <row r="1737" ht="15.75" customHeight="1">
      <c r="A1737" s="2">
        <v>1736.0</v>
      </c>
      <c r="B1737" s="1" t="s">
        <v>4900</v>
      </c>
      <c r="C1737" s="1" t="s">
        <v>4901</v>
      </c>
      <c r="D1737" s="1" t="s">
        <v>4902</v>
      </c>
      <c r="E1737" s="2">
        <v>5.70038000258E11</v>
      </c>
      <c r="F1737" s="1" t="s">
        <v>458</v>
      </c>
      <c r="G1737" s="1" t="s">
        <v>980</v>
      </c>
      <c r="H1737" s="3" t="s">
        <v>4873</v>
      </c>
      <c r="I1737" s="1"/>
      <c r="J1737" s="1"/>
      <c r="K1737" s="1"/>
    </row>
    <row r="1738" ht="15.75" customHeight="1">
      <c r="A1738" s="2">
        <v>1737.0</v>
      </c>
      <c r="B1738" s="1" t="s">
        <v>4903</v>
      </c>
      <c r="C1738" s="1" t="s">
        <v>257</v>
      </c>
      <c r="D1738" s="1" t="s">
        <v>4904</v>
      </c>
      <c r="E1738" s="2">
        <v>5.70038000264E11</v>
      </c>
      <c r="F1738" s="1" t="s">
        <v>4905</v>
      </c>
      <c r="G1738" s="1" t="s">
        <v>4906</v>
      </c>
      <c r="H1738" s="3" t="s">
        <v>4873</v>
      </c>
      <c r="I1738" s="1"/>
      <c r="J1738" s="1"/>
      <c r="K1738" s="1"/>
    </row>
    <row r="1739" ht="15.75" customHeight="1">
      <c r="A1739" s="2">
        <v>1738.0</v>
      </c>
      <c r="B1739" s="1" t="s">
        <v>1416</v>
      </c>
      <c r="C1739" s="1" t="s">
        <v>4907</v>
      </c>
      <c r="D1739" s="1" t="s">
        <v>307</v>
      </c>
      <c r="E1739" s="2">
        <v>5.70038000266E11</v>
      </c>
      <c r="F1739" s="1" t="s">
        <v>4908</v>
      </c>
      <c r="G1739" s="1" t="s">
        <v>24</v>
      </c>
      <c r="H1739" s="3" t="s">
        <v>4873</v>
      </c>
      <c r="I1739" s="1"/>
      <c r="J1739" s="1"/>
      <c r="K1739" s="1"/>
    </row>
    <row r="1740" ht="15.75" customHeight="1">
      <c r="A1740" s="2">
        <v>1739.0</v>
      </c>
      <c r="B1740" s="1" t="s">
        <v>578</v>
      </c>
      <c r="C1740" s="1" t="s">
        <v>3413</v>
      </c>
      <c r="D1740" s="1" t="s">
        <v>4909</v>
      </c>
      <c r="E1740" s="2">
        <v>5.70038000291E11</v>
      </c>
      <c r="F1740" s="1" t="s">
        <v>4910</v>
      </c>
      <c r="G1740" s="1" t="s">
        <v>24</v>
      </c>
      <c r="H1740" s="3" t="s">
        <v>4873</v>
      </c>
      <c r="I1740" s="1"/>
      <c r="J1740" s="1"/>
      <c r="K1740" s="1"/>
    </row>
    <row r="1741" ht="15.75" customHeight="1">
      <c r="A1741" s="2">
        <v>1740.0</v>
      </c>
      <c r="B1741" s="1" t="s">
        <v>4911</v>
      </c>
      <c r="C1741" s="1" t="s">
        <v>2619</v>
      </c>
      <c r="D1741" s="1" t="s">
        <v>2223</v>
      </c>
      <c r="E1741" s="2">
        <v>5.70038000296E11</v>
      </c>
      <c r="F1741" s="1" t="s">
        <v>4912</v>
      </c>
      <c r="G1741" s="1" t="s">
        <v>143</v>
      </c>
      <c r="H1741" s="3" t="s">
        <v>4873</v>
      </c>
      <c r="I1741" s="1"/>
      <c r="J1741" s="1"/>
      <c r="K1741" s="1"/>
    </row>
    <row r="1742" ht="15.75" customHeight="1">
      <c r="A1742" s="2">
        <v>1741.0</v>
      </c>
      <c r="B1742" s="1" t="s">
        <v>293</v>
      </c>
      <c r="C1742" s="1" t="s">
        <v>1513</v>
      </c>
      <c r="D1742" s="1" t="s">
        <v>295</v>
      </c>
      <c r="E1742" s="2">
        <v>5.70038000302E11</v>
      </c>
      <c r="F1742" s="1" t="s">
        <v>4913</v>
      </c>
      <c r="G1742" s="1" t="s">
        <v>18</v>
      </c>
      <c r="H1742" s="3" t="s">
        <v>4873</v>
      </c>
      <c r="I1742" s="1"/>
      <c r="J1742" s="1"/>
      <c r="K1742" s="1"/>
    </row>
    <row r="1743" ht="15.75" customHeight="1">
      <c r="A1743" s="2">
        <v>1742.0</v>
      </c>
      <c r="B1743" s="1" t="s">
        <v>4914</v>
      </c>
      <c r="C1743" s="1" t="s">
        <v>1304</v>
      </c>
      <c r="D1743" s="1" t="s">
        <v>4915</v>
      </c>
      <c r="E1743" s="2">
        <v>5.70038000316E11</v>
      </c>
      <c r="F1743" s="1" t="s">
        <v>4916</v>
      </c>
      <c r="G1743" s="1" t="s">
        <v>18</v>
      </c>
      <c r="H1743" s="3" t="s">
        <v>4873</v>
      </c>
      <c r="I1743" s="1"/>
      <c r="J1743" s="1"/>
      <c r="K1743" s="1"/>
    </row>
    <row r="1744" ht="15.75" customHeight="1">
      <c r="A1744" s="2">
        <v>1743.0</v>
      </c>
      <c r="B1744" s="1" t="s">
        <v>517</v>
      </c>
      <c r="C1744" s="1" t="s">
        <v>2133</v>
      </c>
      <c r="D1744" s="1" t="s">
        <v>4917</v>
      </c>
      <c r="E1744" s="2">
        <v>5.7003800034E11</v>
      </c>
      <c r="F1744" s="1" t="s">
        <v>4918</v>
      </c>
      <c r="G1744" s="1" t="s">
        <v>47</v>
      </c>
      <c r="H1744" s="3" t="s">
        <v>4873</v>
      </c>
      <c r="I1744" s="1"/>
      <c r="J1744" s="1"/>
      <c r="K1744" s="1"/>
    </row>
    <row r="1745" ht="15.75" customHeight="1">
      <c r="A1745" s="2">
        <v>1744.0</v>
      </c>
      <c r="B1745" s="1" t="s">
        <v>2241</v>
      </c>
      <c r="C1745" s="1" t="s">
        <v>3283</v>
      </c>
      <c r="D1745" s="1" t="s">
        <v>955</v>
      </c>
      <c r="E1745" s="2">
        <v>5.70038000343E11</v>
      </c>
      <c r="F1745" s="1" t="s">
        <v>4919</v>
      </c>
      <c r="G1745" s="1" t="s">
        <v>24</v>
      </c>
      <c r="H1745" s="3" t="s">
        <v>4873</v>
      </c>
      <c r="I1745" s="1"/>
      <c r="J1745" s="1"/>
      <c r="K1745" s="1"/>
    </row>
    <row r="1746" ht="15.75" customHeight="1">
      <c r="A1746" s="2">
        <v>1745.0</v>
      </c>
      <c r="B1746" s="1" t="s">
        <v>1438</v>
      </c>
      <c r="C1746" s="1" t="s">
        <v>4920</v>
      </c>
      <c r="D1746" s="1" t="s">
        <v>1226</v>
      </c>
      <c r="E1746" s="2">
        <v>5.70038000353E11</v>
      </c>
      <c r="F1746" s="1" t="s">
        <v>4921</v>
      </c>
      <c r="G1746" s="1" t="s">
        <v>24</v>
      </c>
      <c r="H1746" s="3" t="s">
        <v>4873</v>
      </c>
      <c r="I1746" s="1"/>
      <c r="J1746" s="1"/>
      <c r="K1746" s="1"/>
    </row>
    <row r="1747" ht="15.75" customHeight="1">
      <c r="A1747" s="2">
        <v>1746.0</v>
      </c>
      <c r="B1747" s="1" t="s">
        <v>4922</v>
      </c>
      <c r="C1747" s="1" t="s">
        <v>2677</v>
      </c>
      <c r="D1747" s="1" t="s">
        <v>4923</v>
      </c>
      <c r="E1747" s="2">
        <v>5.70038000373E11</v>
      </c>
      <c r="F1747" s="1" t="s">
        <v>4924</v>
      </c>
      <c r="G1747" s="1" t="s">
        <v>18</v>
      </c>
      <c r="H1747" s="3" t="s">
        <v>4873</v>
      </c>
      <c r="I1747" s="1"/>
      <c r="J1747" s="1"/>
      <c r="K1747" s="1"/>
    </row>
    <row r="1748" ht="15.75" customHeight="1">
      <c r="A1748" s="2">
        <v>1747.0</v>
      </c>
      <c r="B1748" s="1" t="s">
        <v>293</v>
      </c>
      <c r="C1748" s="1" t="s">
        <v>709</v>
      </c>
      <c r="D1748" s="1" t="s">
        <v>3539</v>
      </c>
      <c r="E1748" s="2">
        <v>5.70038000375E11</v>
      </c>
      <c r="F1748" s="1" t="s">
        <v>4925</v>
      </c>
      <c r="G1748" s="1" t="s">
        <v>18</v>
      </c>
      <c r="H1748" s="3" t="s">
        <v>4873</v>
      </c>
      <c r="I1748" s="1"/>
      <c r="J1748" s="1"/>
      <c r="K1748" s="1"/>
    </row>
    <row r="1749" ht="15.75" customHeight="1">
      <c r="A1749" s="2">
        <v>1748.0</v>
      </c>
      <c r="B1749" s="1" t="s">
        <v>514</v>
      </c>
      <c r="C1749" s="1" t="s">
        <v>4926</v>
      </c>
      <c r="D1749" s="1" t="s">
        <v>4927</v>
      </c>
      <c r="E1749" s="2">
        <v>5.70038000376E11</v>
      </c>
      <c r="F1749" s="1" t="s">
        <v>4928</v>
      </c>
      <c r="G1749" s="1" t="s">
        <v>47</v>
      </c>
      <c r="H1749" s="3" t="s">
        <v>4873</v>
      </c>
      <c r="I1749" s="1"/>
      <c r="J1749" s="1"/>
      <c r="K1749" s="1"/>
    </row>
    <row r="1750" ht="15.75" customHeight="1">
      <c r="A1750" s="2">
        <v>1749.0</v>
      </c>
      <c r="B1750" s="1" t="s">
        <v>4929</v>
      </c>
      <c r="C1750" s="1" t="s">
        <v>4930</v>
      </c>
      <c r="D1750" s="1" t="s">
        <v>4931</v>
      </c>
      <c r="E1750" s="2">
        <v>5.70038000377E11</v>
      </c>
      <c r="F1750" s="1" t="s">
        <v>4932</v>
      </c>
      <c r="G1750" s="1" t="s">
        <v>47</v>
      </c>
      <c r="H1750" s="3" t="s">
        <v>4873</v>
      </c>
      <c r="I1750" s="1"/>
      <c r="J1750" s="1"/>
      <c r="K1750" s="1"/>
    </row>
    <row r="1751" ht="15.75" customHeight="1">
      <c r="A1751" s="2">
        <v>1750.0</v>
      </c>
      <c r="B1751" s="1" t="s">
        <v>156</v>
      </c>
      <c r="C1751" s="1" t="s">
        <v>4933</v>
      </c>
      <c r="D1751" s="1" t="s">
        <v>62</v>
      </c>
      <c r="E1751" s="2">
        <v>5.70038000396E11</v>
      </c>
      <c r="F1751" s="1" t="s">
        <v>4934</v>
      </c>
      <c r="G1751" s="1" t="s">
        <v>24</v>
      </c>
      <c r="H1751" s="3" t="s">
        <v>4873</v>
      </c>
      <c r="I1751" s="1"/>
      <c r="J1751" s="1"/>
      <c r="K1751" s="1"/>
    </row>
    <row r="1752" ht="15.75" customHeight="1">
      <c r="A1752" s="2">
        <v>1751.0</v>
      </c>
      <c r="B1752" s="1" t="s">
        <v>315</v>
      </c>
      <c r="C1752" s="1" t="s">
        <v>254</v>
      </c>
      <c r="D1752" s="1" t="s">
        <v>62</v>
      </c>
      <c r="E1752" s="2">
        <v>5.70038000413E11</v>
      </c>
      <c r="F1752" s="1" t="s">
        <v>692</v>
      </c>
      <c r="G1752" s="1" t="s">
        <v>24</v>
      </c>
      <c r="H1752" s="3" t="s">
        <v>4873</v>
      </c>
      <c r="I1752" s="1"/>
      <c r="J1752" s="1"/>
      <c r="K1752" s="1"/>
    </row>
    <row r="1753" ht="15.75" customHeight="1">
      <c r="A1753" s="2">
        <v>1752.0</v>
      </c>
      <c r="B1753" s="1" t="s">
        <v>4935</v>
      </c>
      <c r="C1753" s="1" t="s">
        <v>4936</v>
      </c>
      <c r="D1753" s="1" t="s">
        <v>4937</v>
      </c>
      <c r="E1753" s="2">
        <v>5.70038000422E11</v>
      </c>
      <c r="F1753" s="1" t="s">
        <v>4938</v>
      </c>
      <c r="G1753" s="1" t="s">
        <v>143</v>
      </c>
      <c r="H1753" s="3" t="s">
        <v>4873</v>
      </c>
      <c r="I1753" s="1"/>
      <c r="J1753" s="1"/>
      <c r="K1753" s="1"/>
    </row>
    <row r="1754" ht="15.75" customHeight="1">
      <c r="A1754" s="2">
        <v>1753.0</v>
      </c>
      <c r="B1754" s="1" t="s">
        <v>4939</v>
      </c>
      <c r="C1754" s="1" t="s">
        <v>662</v>
      </c>
      <c r="D1754" s="1" t="s">
        <v>4940</v>
      </c>
      <c r="E1754" s="2">
        <v>5.70038000429E11</v>
      </c>
      <c r="F1754" s="1" t="s">
        <v>4941</v>
      </c>
      <c r="G1754" s="1" t="s">
        <v>24</v>
      </c>
      <c r="H1754" s="3" t="s">
        <v>4873</v>
      </c>
      <c r="I1754" s="1"/>
      <c r="J1754" s="1"/>
      <c r="K1754" s="1"/>
    </row>
    <row r="1755" ht="15.75" customHeight="1">
      <c r="A1755" s="2">
        <v>1754.0</v>
      </c>
      <c r="B1755" s="1" t="s">
        <v>4939</v>
      </c>
      <c r="C1755" s="1" t="s">
        <v>4942</v>
      </c>
      <c r="D1755" s="1" t="s">
        <v>4943</v>
      </c>
      <c r="E1755" s="2">
        <v>5.70038000432E11</v>
      </c>
      <c r="F1755" s="1" t="s">
        <v>4944</v>
      </c>
      <c r="G1755" s="1" t="s">
        <v>121</v>
      </c>
      <c r="H1755" s="3" t="s">
        <v>4873</v>
      </c>
      <c r="I1755" s="1"/>
      <c r="J1755" s="1"/>
      <c r="K1755" s="1"/>
    </row>
    <row r="1756" ht="15.75" customHeight="1">
      <c r="A1756" s="2">
        <v>1755.0</v>
      </c>
      <c r="B1756" s="1" t="s">
        <v>4945</v>
      </c>
      <c r="C1756" s="1" t="s">
        <v>555</v>
      </c>
      <c r="D1756" s="1" t="s">
        <v>295</v>
      </c>
      <c r="E1756" s="2">
        <v>5.70038000433E11</v>
      </c>
      <c r="F1756" s="1" t="s">
        <v>4946</v>
      </c>
      <c r="G1756" s="1" t="s">
        <v>38</v>
      </c>
      <c r="H1756" s="3" t="s">
        <v>4873</v>
      </c>
      <c r="I1756" s="1"/>
      <c r="J1756" s="1"/>
      <c r="K1756" s="1"/>
    </row>
    <row r="1757" ht="15.75" customHeight="1">
      <c r="A1757" s="2">
        <v>1756.0</v>
      </c>
      <c r="B1757" s="1" t="s">
        <v>1379</v>
      </c>
      <c r="C1757" s="1" t="s">
        <v>4947</v>
      </c>
      <c r="D1757" s="1" t="s">
        <v>4948</v>
      </c>
      <c r="E1757" s="2">
        <v>5.7003800044E11</v>
      </c>
      <c r="F1757" s="1" t="s">
        <v>4949</v>
      </c>
      <c r="G1757" s="1" t="s">
        <v>47</v>
      </c>
      <c r="H1757" s="3" t="s">
        <v>4873</v>
      </c>
      <c r="I1757" s="1"/>
      <c r="J1757" s="1"/>
      <c r="K1757" s="1"/>
    </row>
    <row r="1758" ht="15.75" customHeight="1">
      <c r="A1758" s="2">
        <v>1757.0</v>
      </c>
      <c r="B1758" s="1" t="s">
        <v>4950</v>
      </c>
      <c r="C1758" s="1" t="s">
        <v>109</v>
      </c>
      <c r="D1758" s="1" t="s">
        <v>141</v>
      </c>
      <c r="E1758" s="2">
        <v>5.70038000441E11</v>
      </c>
      <c r="F1758" s="1" t="s">
        <v>4951</v>
      </c>
      <c r="G1758" s="1" t="s">
        <v>47</v>
      </c>
      <c r="H1758" s="3" t="s">
        <v>4873</v>
      </c>
      <c r="I1758" s="1"/>
      <c r="J1758" s="1"/>
      <c r="K1758" s="1"/>
    </row>
    <row r="1759" ht="15.75" customHeight="1">
      <c r="A1759" s="2">
        <v>1758.0</v>
      </c>
      <c r="B1759" s="1" t="s">
        <v>4952</v>
      </c>
      <c r="C1759" s="1" t="s">
        <v>2819</v>
      </c>
      <c r="D1759" s="1" t="s">
        <v>4953</v>
      </c>
      <c r="E1759" s="2">
        <v>5.70038000451E11</v>
      </c>
      <c r="F1759" s="1" t="s">
        <v>4954</v>
      </c>
      <c r="G1759" s="1" t="s">
        <v>24</v>
      </c>
      <c r="H1759" s="3" t="s">
        <v>4873</v>
      </c>
      <c r="I1759" s="1"/>
      <c r="J1759" s="1"/>
      <c r="K1759" s="1"/>
    </row>
    <row r="1760" ht="15.75" customHeight="1">
      <c r="A1760" s="2">
        <v>1759.0</v>
      </c>
      <c r="B1760" s="1" t="s">
        <v>722</v>
      </c>
      <c r="C1760" s="1" t="s">
        <v>388</v>
      </c>
      <c r="D1760" s="1" t="s">
        <v>3269</v>
      </c>
      <c r="E1760" s="2">
        <v>5.70038000453E11</v>
      </c>
      <c r="F1760" s="1" t="s">
        <v>4955</v>
      </c>
      <c r="G1760" s="1" t="s">
        <v>47</v>
      </c>
      <c r="H1760" s="3" t="s">
        <v>4873</v>
      </c>
      <c r="I1760" s="1"/>
      <c r="J1760" s="1"/>
      <c r="K1760" s="1"/>
    </row>
    <row r="1761" ht="15.75" customHeight="1">
      <c r="A1761" s="2">
        <v>1762.0</v>
      </c>
      <c r="B1761" s="1" t="s">
        <v>4956</v>
      </c>
      <c r="C1761" s="1" t="s">
        <v>4957</v>
      </c>
      <c r="D1761" s="1" t="s">
        <v>4958</v>
      </c>
      <c r="E1761" s="2">
        <v>5.70038000458E11</v>
      </c>
      <c r="F1761" s="1" t="s">
        <v>4959</v>
      </c>
      <c r="G1761" s="1" t="s">
        <v>24</v>
      </c>
      <c r="H1761" s="3" t="s">
        <v>4873</v>
      </c>
      <c r="I1761" s="1"/>
      <c r="J1761" s="1"/>
      <c r="K1761" s="1"/>
    </row>
    <row r="1762" ht="15.75" customHeight="1">
      <c r="A1762" s="2">
        <v>1763.0</v>
      </c>
      <c r="B1762" s="1" t="s">
        <v>4960</v>
      </c>
      <c r="C1762" s="1" t="s">
        <v>2471</v>
      </c>
      <c r="D1762" s="1" t="s">
        <v>4961</v>
      </c>
      <c r="E1762" s="2">
        <v>5.7003800046E11</v>
      </c>
      <c r="F1762" s="1" t="s">
        <v>4955</v>
      </c>
      <c r="G1762" s="1" t="s">
        <v>24</v>
      </c>
      <c r="H1762" s="3" t="s">
        <v>4873</v>
      </c>
      <c r="I1762" s="1"/>
      <c r="J1762" s="1"/>
      <c r="K1762" s="1"/>
    </row>
    <row r="1763" ht="15.75" customHeight="1">
      <c r="A1763" s="2">
        <v>1760.0</v>
      </c>
      <c r="B1763" s="1" t="s">
        <v>70</v>
      </c>
      <c r="C1763" s="1" t="s">
        <v>2885</v>
      </c>
      <c r="D1763" s="1" t="s">
        <v>4962</v>
      </c>
      <c r="E1763" s="2">
        <v>5.70038000456E11</v>
      </c>
      <c r="F1763" s="1" t="s">
        <v>4963</v>
      </c>
      <c r="G1763" s="1" t="s">
        <v>24</v>
      </c>
      <c r="H1763" s="3" t="s">
        <v>4873</v>
      </c>
      <c r="I1763" s="1"/>
      <c r="J1763" s="1"/>
      <c r="K1763" s="1"/>
    </row>
    <row r="1764" ht="15.75" customHeight="1">
      <c r="A1764" s="2">
        <v>1761.0</v>
      </c>
      <c r="B1764" s="1" t="s">
        <v>444</v>
      </c>
      <c r="C1764" s="1" t="s">
        <v>4964</v>
      </c>
      <c r="D1764" s="1" t="s">
        <v>4965</v>
      </c>
      <c r="E1764" s="2">
        <v>5.70038000457E11</v>
      </c>
      <c r="F1764" s="1" t="s">
        <v>4955</v>
      </c>
      <c r="G1764" s="1" t="s">
        <v>24</v>
      </c>
      <c r="H1764" s="3" t="s">
        <v>4873</v>
      </c>
      <c r="I1764" s="1"/>
      <c r="J1764" s="1"/>
      <c r="K1764" s="1"/>
    </row>
    <row r="1765" ht="15.75" customHeight="1">
      <c r="A1765" s="2">
        <v>1764.0</v>
      </c>
      <c r="B1765" s="1" t="s">
        <v>4966</v>
      </c>
      <c r="C1765" s="1" t="s">
        <v>4967</v>
      </c>
      <c r="D1765" s="1" t="s">
        <v>3445</v>
      </c>
      <c r="E1765" s="2">
        <v>5.70038000463E11</v>
      </c>
      <c r="F1765" s="1" t="s">
        <v>4968</v>
      </c>
      <c r="G1765" s="1" t="s">
        <v>24</v>
      </c>
      <c r="H1765" s="3" t="s">
        <v>4873</v>
      </c>
      <c r="I1765" s="1"/>
      <c r="J1765" s="1"/>
      <c r="K1765" s="1"/>
    </row>
    <row r="1766" ht="15.75" customHeight="1">
      <c r="A1766" s="2">
        <v>1765.0</v>
      </c>
      <c r="B1766" s="1" t="s">
        <v>4969</v>
      </c>
      <c r="C1766" s="1" t="s">
        <v>2688</v>
      </c>
      <c r="D1766" s="1" t="s">
        <v>781</v>
      </c>
      <c r="E1766" s="2">
        <v>5.70038000475E11</v>
      </c>
      <c r="F1766" s="1" t="s">
        <v>4970</v>
      </c>
      <c r="G1766" s="1" t="s">
        <v>47</v>
      </c>
      <c r="H1766" s="3" t="s">
        <v>4873</v>
      </c>
      <c r="I1766" s="1"/>
      <c r="J1766" s="1"/>
      <c r="K1766" s="1"/>
    </row>
    <row r="1767" ht="15.75" customHeight="1">
      <c r="A1767" s="2">
        <v>1766.0</v>
      </c>
      <c r="B1767" s="1" t="s">
        <v>1416</v>
      </c>
      <c r="C1767" s="1" t="s">
        <v>542</v>
      </c>
      <c r="D1767" s="1" t="s">
        <v>1209</v>
      </c>
      <c r="E1767" s="2">
        <v>5.70038000478E11</v>
      </c>
      <c r="F1767" s="1" t="s">
        <v>4971</v>
      </c>
      <c r="G1767" s="1" t="s">
        <v>38</v>
      </c>
      <c r="H1767" s="3" t="s">
        <v>4873</v>
      </c>
      <c r="I1767" s="1"/>
      <c r="J1767" s="1"/>
      <c r="K1767" s="1"/>
    </row>
    <row r="1768" ht="15.75" customHeight="1">
      <c r="A1768" s="2">
        <v>1767.0</v>
      </c>
      <c r="B1768" s="1" t="s">
        <v>43</v>
      </c>
      <c r="C1768" s="1" t="s">
        <v>990</v>
      </c>
      <c r="D1768" s="1" t="s">
        <v>4972</v>
      </c>
      <c r="E1768" s="2">
        <v>5.70038000486E11</v>
      </c>
      <c r="F1768" s="1" t="s">
        <v>4973</v>
      </c>
      <c r="G1768" s="1" t="s">
        <v>24</v>
      </c>
      <c r="H1768" s="3" t="s">
        <v>4873</v>
      </c>
      <c r="I1768" s="1"/>
      <c r="J1768" s="1"/>
      <c r="K1768" s="1"/>
    </row>
    <row r="1769" ht="15.75" customHeight="1">
      <c r="A1769" s="2">
        <v>1768.0</v>
      </c>
      <c r="B1769" s="1" t="s">
        <v>4974</v>
      </c>
      <c r="C1769" s="1" t="s">
        <v>4975</v>
      </c>
      <c r="D1769" s="1" t="s">
        <v>4976</v>
      </c>
      <c r="E1769" s="2">
        <v>5.70038000491E11</v>
      </c>
      <c r="F1769" s="1" t="s">
        <v>4977</v>
      </c>
      <c r="G1769" s="1" t="s">
        <v>143</v>
      </c>
      <c r="H1769" s="3" t="s">
        <v>4873</v>
      </c>
      <c r="I1769" s="1"/>
      <c r="J1769" s="1"/>
      <c r="K1769" s="1"/>
    </row>
    <row r="1770" ht="15.75" customHeight="1">
      <c r="A1770" s="2">
        <v>1769.0</v>
      </c>
      <c r="B1770" s="1" t="s">
        <v>3416</v>
      </c>
      <c r="C1770" s="1" t="s">
        <v>4978</v>
      </c>
      <c r="D1770" s="1" t="s">
        <v>685</v>
      </c>
      <c r="E1770" s="2">
        <v>5.70038000492E11</v>
      </c>
      <c r="F1770" s="1" t="s">
        <v>4979</v>
      </c>
      <c r="G1770" s="1" t="s">
        <v>24</v>
      </c>
      <c r="H1770" s="3" t="s">
        <v>4873</v>
      </c>
      <c r="I1770" s="1"/>
      <c r="J1770" s="1"/>
      <c r="K1770" s="1"/>
    </row>
    <row r="1771" ht="15.75" customHeight="1">
      <c r="A1771" s="2">
        <v>1770.0</v>
      </c>
      <c r="B1771" s="1" t="s">
        <v>4980</v>
      </c>
      <c r="C1771" s="1" t="s">
        <v>3458</v>
      </c>
      <c r="D1771" s="1" t="s">
        <v>4981</v>
      </c>
      <c r="E1771" s="2">
        <v>5.70038000498E11</v>
      </c>
      <c r="F1771" s="1" t="s">
        <v>4982</v>
      </c>
      <c r="G1771" s="1" t="s">
        <v>24</v>
      </c>
      <c r="H1771" s="3" t="s">
        <v>4873</v>
      </c>
      <c r="I1771" s="1"/>
      <c r="J1771" s="1"/>
      <c r="K1771" s="1"/>
    </row>
    <row r="1772" ht="15.75" customHeight="1">
      <c r="A1772" s="2">
        <v>1771.0</v>
      </c>
      <c r="B1772" s="6" t="s">
        <v>4983</v>
      </c>
      <c r="C1772" s="1" t="s">
        <v>1588</v>
      </c>
      <c r="D1772" s="1" t="s">
        <v>4984</v>
      </c>
      <c r="E1772" s="2">
        <v>5.70038000499E11</v>
      </c>
      <c r="F1772" s="1" t="s">
        <v>4985</v>
      </c>
      <c r="G1772" s="1" t="s">
        <v>143</v>
      </c>
      <c r="H1772" s="3" t="s">
        <v>4873</v>
      </c>
      <c r="I1772" s="1"/>
      <c r="K1772" s="1"/>
    </row>
    <row r="1773" ht="15.75" customHeight="1">
      <c r="A1773" s="2">
        <v>1772.0</v>
      </c>
      <c r="B1773" s="1" t="s">
        <v>4986</v>
      </c>
      <c r="C1773" s="1" t="s">
        <v>2969</v>
      </c>
      <c r="D1773" s="1" t="s">
        <v>4987</v>
      </c>
      <c r="E1773" s="2">
        <v>5.70038000504E11</v>
      </c>
      <c r="F1773" s="1" t="s">
        <v>4988</v>
      </c>
      <c r="G1773" s="1" t="s">
        <v>47</v>
      </c>
      <c r="H1773" s="3" t="s">
        <v>4873</v>
      </c>
      <c r="I1773" s="1"/>
      <c r="J1773" s="1"/>
      <c r="K1773" s="1"/>
    </row>
    <row r="1774" ht="15.75" customHeight="1">
      <c r="A1774" s="2">
        <v>1773.0</v>
      </c>
      <c r="B1774" s="1" t="s">
        <v>4989</v>
      </c>
      <c r="C1774" s="1" t="s">
        <v>2580</v>
      </c>
      <c r="D1774" s="1" t="s">
        <v>4990</v>
      </c>
      <c r="E1774" s="2">
        <v>5.70038000505E11</v>
      </c>
      <c r="F1774" s="1" t="s">
        <v>4991</v>
      </c>
      <c r="G1774" s="1" t="s">
        <v>47</v>
      </c>
      <c r="H1774" s="3" t="s">
        <v>4873</v>
      </c>
      <c r="I1774" s="1"/>
      <c r="J1774" s="1"/>
      <c r="K1774" s="1"/>
    </row>
    <row r="1775" ht="15.75" customHeight="1">
      <c r="A1775" s="2">
        <v>1774.0</v>
      </c>
      <c r="B1775" s="1" t="s">
        <v>4992</v>
      </c>
      <c r="C1775" s="1" t="s">
        <v>3179</v>
      </c>
      <c r="D1775" s="1" t="s">
        <v>4993</v>
      </c>
      <c r="E1775" s="2">
        <v>5.70038000508E11</v>
      </c>
      <c r="F1775" s="1" t="s">
        <v>4994</v>
      </c>
      <c r="G1775" s="1" t="s">
        <v>18</v>
      </c>
      <c r="H1775" s="3" t="s">
        <v>4873</v>
      </c>
      <c r="I1775" s="1"/>
      <c r="J1775" s="1"/>
      <c r="K1775" s="1"/>
    </row>
    <row r="1776" ht="15.75" customHeight="1">
      <c r="A1776" s="2">
        <v>1775.0</v>
      </c>
      <c r="B1776" s="1" t="s">
        <v>2849</v>
      </c>
      <c r="C1776" s="1" t="s">
        <v>3162</v>
      </c>
      <c r="D1776" s="1" t="s">
        <v>4995</v>
      </c>
      <c r="E1776" s="2">
        <v>5.70038000522E11</v>
      </c>
      <c r="F1776" s="1" t="s">
        <v>4996</v>
      </c>
      <c r="G1776" s="1" t="s">
        <v>24</v>
      </c>
      <c r="H1776" s="3" t="s">
        <v>4873</v>
      </c>
      <c r="I1776" s="1"/>
      <c r="J1776" s="1"/>
      <c r="K1776" s="1"/>
    </row>
    <row r="1777" ht="15.75" customHeight="1">
      <c r="A1777" s="2">
        <v>1776.0</v>
      </c>
      <c r="B1777" s="1" t="s">
        <v>4997</v>
      </c>
      <c r="C1777" s="1" t="s">
        <v>2041</v>
      </c>
      <c r="D1777" s="1" t="s">
        <v>685</v>
      </c>
      <c r="E1777" s="2">
        <v>5.70038000555E11</v>
      </c>
      <c r="F1777" s="1" t="s">
        <v>4998</v>
      </c>
      <c r="G1777" s="1" t="s">
        <v>38</v>
      </c>
      <c r="H1777" s="3" t="s">
        <v>4999</v>
      </c>
      <c r="I1777" s="1"/>
      <c r="J1777" s="1"/>
      <c r="K1777" s="1"/>
    </row>
    <row r="1778" ht="15.75" customHeight="1">
      <c r="A1778" s="2">
        <v>1777.0</v>
      </c>
      <c r="B1778" s="1" t="s">
        <v>5000</v>
      </c>
      <c r="C1778" s="1" t="s">
        <v>5001</v>
      </c>
      <c r="D1778" s="1" t="s">
        <v>5002</v>
      </c>
      <c r="E1778" s="2">
        <v>5.70038000557E11</v>
      </c>
      <c r="F1778" s="1" t="s">
        <v>5003</v>
      </c>
      <c r="G1778" s="1" t="s">
        <v>143</v>
      </c>
      <c r="H1778" s="3" t="s">
        <v>4873</v>
      </c>
      <c r="I1778" s="1"/>
      <c r="J1778" s="1"/>
      <c r="K1778" s="1"/>
    </row>
    <row r="1779" ht="15.75" customHeight="1">
      <c r="A1779" s="2">
        <v>1778.0</v>
      </c>
      <c r="B1779" s="1" t="s">
        <v>5004</v>
      </c>
      <c r="C1779" s="1" t="s">
        <v>1433</v>
      </c>
      <c r="D1779" s="1" t="s">
        <v>5005</v>
      </c>
      <c r="E1779" s="2">
        <v>5.7003800055E11</v>
      </c>
      <c r="F1779" s="1" t="s">
        <v>2861</v>
      </c>
      <c r="G1779" s="1" t="s">
        <v>18</v>
      </c>
      <c r="H1779" s="3" t="s">
        <v>4873</v>
      </c>
      <c r="I1779" s="1"/>
      <c r="J1779" s="1"/>
      <c r="K1779" s="1"/>
    </row>
    <row r="1780" ht="15.75" customHeight="1">
      <c r="A1780" s="2">
        <v>1779.0</v>
      </c>
      <c r="B1780" s="1" t="s">
        <v>3015</v>
      </c>
      <c r="C1780" s="1" t="s">
        <v>5006</v>
      </c>
      <c r="D1780" s="1" t="s">
        <v>291</v>
      </c>
      <c r="E1780" s="2">
        <v>5.70038000551E11</v>
      </c>
      <c r="F1780" s="1" t="s">
        <v>5007</v>
      </c>
      <c r="G1780" s="1" t="s">
        <v>38</v>
      </c>
      <c r="H1780" s="3" t="s">
        <v>4873</v>
      </c>
      <c r="I1780" s="1"/>
      <c r="J1780" s="1"/>
      <c r="K1780" s="1"/>
    </row>
    <row r="1781" ht="15.75" customHeight="1">
      <c r="A1781" s="2">
        <v>1780.0</v>
      </c>
      <c r="B1781" s="1" t="s">
        <v>5008</v>
      </c>
      <c r="C1781" s="1" t="s">
        <v>994</v>
      </c>
      <c r="D1781" s="1" t="s">
        <v>5009</v>
      </c>
      <c r="E1781" s="2">
        <v>5.70038000233E11</v>
      </c>
      <c r="F1781" s="1" t="s">
        <v>5010</v>
      </c>
      <c r="G1781" s="1" t="s">
        <v>24</v>
      </c>
      <c r="H1781" s="3" t="s">
        <v>4873</v>
      </c>
      <c r="I1781" s="1"/>
      <c r="J1781" s="1"/>
      <c r="K1781" s="1"/>
    </row>
    <row r="1782" ht="15.75" customHeight="1">
      <c r="A1782" s="2">
        <v>1781.0</v>
      </c>
      <c r="B1782" s="1" t="s">
        <v>184</v>
      </c>
      <c r="C1782" s="1" t="s">
        <v>1840</v>
      </c>
      <c r="D1782" s="1" t="s">
        <v>5011</v>
      </c>
      <c r="E1782" s="2">
        <v>5.70038000234E11</v>
      </c>
      <c r="F1782" s="1" t="s">
        <v>5012</v>
      </c>
      <c r="G1782" s="1" t="s">
        <v>980</v>
      </c>
      <c r="H1782" s="3" t="s">
        <v>4873</v>
      </c>
      <c r="I1782" s="1"/>
      <c r="J1782" s="1"/>
      <c r="K1782" s="1"/>
    </row>
    <row r="1783" ht="15.75" customHeight="1">
      <c r="A1783" s="2">
        <v>1782.0</v>
      </c>
      <c r="B1783" s="1" t="s">
        <v>5013</v>
      </c>
      <c r="C1783" s="1" t="s">
        <v>5014</v>
      </c>
      <c r="D1783" s="1" t="s">
        <v>359</v>
      </c>
      <c r="E1783" s="2">
        <v>5.7003800025E11</v>
      </c>
      <c r="F1783" s="1" t="s">
        <v>5015</v>
      </c>
      <c r="G1783" s="1" t="s">
        <v>121</v>
      </c>
      <c r="H1783" s="3" t="s">
        <v>4873</v>
      </c>
      <c r="I1783" s="1"/>
      <c r="J1783" s="1"/>
      <c r="K1783" s="1"/>
    </row>
    <row r="1784" ht="15.75" customHeight="1">
      <c r="A1784" s="2">
        <v>1783.0</v>
      </c>
      <c r="B1784" s="1" t="s">
        <v>3576</v>
      </c>
      <c r="C1784" s="1" t="s">
        <v>873</v>
      </c>
      <c r="D1784" s="1" t="s">
        <v>532</v>
      </c>
      <c r="E1784" s="2">
        <v>5.70038000263E11</v>
      </c>
      <c r="F1784" s="1" t="s">
        <v>5016</v>
      </c>
      <c r="G1784" s="1" t="s">
        <v>38</v>
      </c>
      <c r="H1784" s="3" t="s">
        <v>4873</v>
      </c>
      <c r="I1784" s="1"/>
      <c r="J1784" s="1"/>
      <c r="K1784" s="1"/>
    </row>
    <row r="1785" ht="15.75" customHeight="1">
      <c r="A1785" s="2">
        <v>1784.0</v>
      </c>
      <c r="B1785" s="1" t="s">
        <v>5017</v>
      </c>
      <c r="C1785" s="1" t="s">
        <v>5018</v>
      </c>
      <c r="D1785" s="1" t="s">
        <v>801</v>
      </c>
      <c r="E1785" s="2">
        <v>5.70038000294E11</v>
      </c>
      <c r="F1785" s="1" t="s">
        <v>5019</v>
      </c>
      <c r="G1785" s="1" t="s">
        <v>121</v>
      </c>
      <c r="H1785" s="3" t="s">
        <v>4873</v>
      </c>
      <c r="I1785" s="1"/>
      <c r="J1785" s="1"/>
      <c r="K1785" s="1"/>
    </row>
    <row r="1786" ht="15.75" customHeight="1">
      <c r="A1786" s="2">
        <v>1785.0</v>
      </c>
      <c r="B1786" s="1" t="s">
        <v>276</v>
      </c>
      <c r="C1786" s="1" t="s">
        <v>5020</v>
      </c>
      <c r="D1786" s="1" t="s">
        <v>320</v>
      </c>
      <c r="E1786" s="2">
        <v>5.70038000312E11</v>
      </c>
      <c r="F1786" s="1" t="s">
        <v>5021</v>
      </c>
      <c r="G1786" s="1" t="s">
        <v>47</v>
      </c>
      <c r="H1786" s="3" t="s">
        <v>4873</v>
      </c>
      <c r="I1786" s="1"/>
      <c r="J1786" s="1"/>
      <c r="K1786" s="1"/>
    </row>
    <row r="1787" ht="15.75" customHeight="1">
      <c r="A1787" s="2">
        <v>1786.0</v>
      </c>
      <c r="B1787" s="1" t="s">
        <v>1801</v>
      </c>
      <c r="C1787" s="1" t="s">
        <v>3341</v>
      </c>
      <c r="D1787" s="1" t="s">
        <v>781</v>
      </c>
      <c r="E1787" s="2">
        <v>5.70038000324E11</v>
      </c>
      <c r="F1787" s="1" t="s">
        <v>5022</v>
      </c>
      <c r="G1787" s="1" t="s">
        <v>47</v>
      </c>
      <c r="H1787" s="3" t="s">
        <v>4873</v>
      </c>
      <c r="I1787" s="1"/>
      <c r="J1787" s="1"/>
      <c r="K1787" s="1"/>
    </row>
    <row r="1788" ht="15.75" customHeight="1">
      <c r="A1788" s="2">
        <v>1787.0</v>
      </c>
      <c r="B1788" s="1" t="s">
        <v>117</v>
      </c>
      <c r="C1788" s="1" t="s">
        <v>3454</v>
      </c>
      <c r="D1788" s="1" t="s">
        <v>5023</v>
      </c>
      <c r="E1788" s="2">
        <v>5.70038000325E11</v>
      </c>
      <c r="F1788" s="1" t="s">
        <v>5024</v>
      </c>
      <c r="G1788" s="1" t="s">
        <v>38</v>
      </c>
      <c r="H1788" s="3" t="s">
        <v>4873</v>
      </c>
      <c r="I1788" s="1"/>
      <c r="J1788" s="1"/>
      <c r="K1788" s="1"/>
    </row>
    <row r="1789" ht="15.75" customHeight="1">
      <c r="A1789" s="2">
        <v>1788.0</v>
      </c>
      <c r="B1789" s="1" t="s">
        <v>5025</v>
      </c>
      <c r="C1789" s="1" t="s">
        <v>496</v>
      </c>
      <c r="D1789" s="1" t="s">
        <v>478</v>
      </c>
      <c r="E1789" s="2">
        <v>5.70038000326E11</v>
      </c>
      <c r="F1789" s="1" t="s">
        <v>5026</v>
      </c>
      <c r="G1789" s="1" t="s">
        <v>47</v>
      </c>
      <c r="H1789" s="3" t="s">
        <v>4873</v>
      </c>
      <c r="I1789" s="1"/>
      <c r="J1789" s="1"/>
      <c r="K1789" s="1"/>
    </row>
    <row r="1790" ht="15.75" customHeight="1">
      <c r="A1790" s="2">
        <v>1789.0</v>
      </c>
      <c r="B1790" s="1" t="s">
        <v>5027</v>
      </c>
      <c r="C1790" s="1" t="s">
        <v>434</v>
      </c>
      <c r="D1790" s="1" t="s">
        <v>962</v>
      </c>
      <c r="E1790" s="2">
        <v>5.70038000337E11</v>
      </c>
      <c r="F1790" s="1" t="s">
        <v>5028</v>
      </c>
      <c r="G1790" s="1" t="s">
        <v>47</v>
      </c>
      <c r="H1790" s="3" t="s">
        <v>4873</v>
      </c>
      <c r="I1790" s="1"/>
      <c r="J1790" s="1"/>
      <c r="K1790" s="1"/>
    </row>
    <row r="1791" ht="15.75" customHeight="1">
      <c r="A1791" s="2">
        <v>1790.0</v>
      </c>
      <c r="B1791" s="1" t="s">
        <v>5029</v>
      </c>
      <c r="C1791" s="1" t="s">
        <v>308</v>
      </c>
      <c r="D1791" s="1" t="s">
        <v>335</v>
      </c>
      <c r="E1791" s="2">
        <v>5.70038000347E11</v>
      </c>
      <c r="F1791" s="1" t="s">
        <v>5030</v>
      </c>
      <c r="G1791" s="1" t="s">
        <v>47</v>
      </c>
      <c r="H1791" s="3" t="s">
        <v>4873</v>
      </c>
      <c r="I1791" s="1"/>
      <c r="J1791" s="1"/>
      <c r="K1791" s="1"/>
    </row>
    <row r="1792" ht="15.75" customHeight="1">
      <c r="A1792" s="2">
        <v>1791.0</v>
      </c>
      <c r="B1792" s="1" t="s">
        <v>2446</v>
      </c>
      <c r="C1792" s="1" t="s">
        <v>5031</v>
      </c>
      <c r="D1792" s="1" t="s">
        <v>5032</v>
      </c>
      <c r="E1792" s="2">
        <v>5.70038000364E11</v>
      </c>
      <c r="F1792" s="1" t="s">
        <v>5033</v>
      </c>
      <c r="G1792" s="1" t="s">
        <v>121</v>
      </c>
      <c r="H1792" s="3" t="s">
        <v>4873</v>
      </c>
      <c r="I1792" s="1"/>
      <c r="J1792" s="1"/>
      <c r="K1792" s="1"/>
    </row>
    <row r="1793" ht="15.75" customHeight="1">
      <c r="A1793" s="2">
        <v>1792.0</v>
      </c>
      <c r="B1793" s="1" t="s">
        <v>5034</v>
      </c>
      <c r="C1793" s="1" t="s">
        <v>5035</v>
      </c>
      <c r="D1793" s="1" t="s">
        <v>1254</v>
      </c>
      <c r="E1793" s="2">
        <v>5.70038000391E11</v>
      </c>
      <c r="F1793" s="1" t="s">
        <v>5036</v>
      </c>
      <c r="G1793" s="1" t="s">
        <v>18</v>
      </c>
      <c r="H1793" s="3" t="s">
        <v>4873</v>
      </c>
      <c r="I1793" s="1"/>
      <c r="J1793" s="1"/>
      <c r="K1793" s="1"/>
    </row>
    <row r="1794" ht="15.75" customHeight="1">
      <c r="A1794" s="2">
        <v>1793.0</v>
      </c>
      <c r="B1794" s="1" t="s">
        <v>1988</v>
      </c>
      <c r="C1794" s="1" t="s">
        <v>981</v>
      </c>
      <c r="D1794" s="1" t="s">
        <v>3679</v>
      </c>
      <c r="E1794" s="2">
        <v>5.70038000398E11</v>
      </c>
      <c r="F1794" s="1" t="s">
        <v>5037</v>
      </c>
      <c r="G1794" s="1" t="s">
        <v>24</v>
      </c>
      <c r="H1794" s="3" t="s">
        <v>4873</v>
      </c>
      <c r="I1794" s="1"/>
      <c r="J1794" s="1"/>
      <c r="K1794" s="1"/>
    </row>
    <row r="1795" ht="15.75" customHeight="1">
      <c r="A1795" s="2">
        <v>1794.0</v>
      </c>
      <c r="B1795" s="1" t="s">
        <v>5038</v>
      </c>
      <c r="C1795" s="1" t="s">
        <v>5039</v>
      </c>
      <c r="D1795" s="1" t="s">
        <v>5040</v>
      </c>
      <c r="E1795" s="2">
        <v>5.70038000414E11</v>
      </c>
      <c r="F1795" s="1" t="s">
        <v>5041</v>
      </c>
      <c r="G1795" s="1" t="s">
        <v>121</v>
      </c>
      <c r="H1795" s="3" t="s">
        <v>4873</v>
      </c>
      <c r="I1795" s="1"/>
      <c r="J1795" s="1"/>
      <c r="K1795" s="1"/>
    </row>
    <row r="1796" ht="15.75" customHeight="1">
      <c r="A1796" s="2">
        <v>1795.0</v>
      </c>
      <c r="B1796" s="1" t="s">
        <v>5042</v>
      </c>
      <c r="C1796" s="1" t="s">
        <v>2642</v>
      </c>
      <c r="D1796" s="1" t="s">
        <v>2223</v>
      </c>
      <c r="E1796" s="2">
        <v>5.70038000435E11</v>
      </c>
      <c r="F1796" s="1" t="s">
        <v>5043</v>
      </c>
      <c r="G1796" s="1" t="s">
        <v>18</v>
      </c>
      <c r="H1796" s="3" t="s">
        <v>4873</v>
      </c>
      <c r="I1796" s="1"/>
      <c r="J1796" s="1"/>
      <c r="K1796" s="1"/>
    </row>
    <row r="1797" ht="15.75" customHeight="1">
      <c r="A1797" s="2">
        <v>1796.0</v>
      </c>
      <c r="B1797" s="1" t="s">
        <v>815</v>
      </c>
      <c r="C1797" s="1" t="s">
        <v>5044</v>
      </c>
      <c r="D1797" s="1" t="s">
        <v>5045</v>
      </c>
      <c r="E1797" s="2">
        <v>5.70038000446E11</v>
      </c>
      <c r="F1797" s="1" t="s">
        <v>5046</v>
      </c>
      <c r="G1797" s="1" t="s">
        <v>24</v>
      </c>
      <c r="H1797" s="3" t="s">
        <v>4873</v>
      </c>
      <c r="I1797" s="1"/>
      <c r="J1797" s="1"/>
      <c r="K1797" s="1"/>
    </row>
    <row r="1798" ht="15.75" customHeight="1">
      <c r="A1798" s="2">
        <v>1797.0</v>
      </c>
      <c r="B1798" s="1" t="s">
        <v>514</v>
      </c>
      <c r="C1798" s="1" t="s">
        <v>2624</v>
      </c>
      <c r="D1798" s="1" t="s">
        <v>5047</v>
      </c>
      <c r="E1798" s="2">
        <v>5.70038000481E11</v>
      </c>
      <c r="F1798" s="1" t="s">
        <v>5048</v>
      </c>
      <c r="G1798" s="1" t="s">
        <v>47</v>
      </c>
      <c r="H1798" s="3" t="s">
        <v>4873</v>
      </c>
      <c r="I1798" s="1"/>
      <c r="J1798" s="1"/>
      <c r="K1798" s="1"/>
    </row>
    <row r="1799" ht="15.75" customHeight="1">
      <c r="A1799" s="2">
        <v>1798.0</v>
      </c>
      <c r="B1799" s="1" t="s">
        <v>3518</v>
      </c>
      <c r="C1799" s="1" t="s">
        <v>257</v>
      </c>
      <c r="D1799" s="1" t="s">
        <v>5049</v>
      </c>
      <c r="E1799" s="2">
        <v>5.70038000507E11</v>
      </c>
      <c r="F1799" s="1" t="s">
        <v>5050</v>
      </c>
      <c r="G1799" s="1" t="s">
        <v>24</v>
      </c>
      <c r="H1799" s="3" t="s">
        <v>4873</v>
      </c>
      <c r="I1799" s="1"/>
      <c r="J1799" s="1"/>
      <c r="K1799" s="1"/>
    </row>
    <row r="1800" ht="15.75" customHeight="1">
      <c r="A1800" s="2">
        <v>1799.0</v>
      </c>
      <c r="B1800" s="1" t="s">
        <v>5051</v>
      </c>
      <c r="C1800" s="2">
        <v>5.70038000513E11</v>
      </c>
      <c r="D1800" s="1" t="s">
        <v>5051</v>
      </c>
      <c r="E1800" s="1" t="s">
        <v>5052</v>
      </c>
      <c r="F1800" s="1" t="s">
        <v>5053</v>
      </c>
      <c r="G1800" s="1" t="s">
        <v>5054</v>
      </c>
      <c r="H1800" s="1" t="s">
        <v>5055</v>
      </c>
      <c r="I1800" s="1" t="s">
        <v>5056</v>
      </c>
      <c r="J1800" s="1" t="s">
        <v>143</v>
      </c>
      <c r="K1800" s="1" t="s">
        <v>4873</v>
      </c>
    </row>
    <row r="1801" ht="15.75" customHeight="1">
      <c r="A1801" s="2">
        <v>1800.0</v>
      </c>
      <c r="B1801" s="1" t="s">
        <v>3399</v>
      </c>
      <c r="C1801" s="1" t="s">
        <v>54</v>
      </c>
      <c r="D1801" s="1" t="s">
        <v>4987</v>
      </c>
      <c r="E1801" s="2">
        <v>5.70038000514E11</v>
      </c>
      <c r="F1801" s="1" t="s">
        <v>5016</v>
      </c>
      <c r="G1801" s="1" t="s">
        <v>24</v>
      </c>
      <c r="H1801" s="3" t="s">
        <v>4873</v>
      </c>
      <c r="I1801" s="1"/>
      <c r="J1801" s="1"/>
      <c r="K1801" s="1"/>
    </row>
    <row r="1802" ht="15.75" customHeight="1">
      <c r="A1802" s="2">
        <v>1801.0</v>
      </c>
      <c r="B1802" s="1" t="s">
        <v>5057</v>
      </c>
      <c r="C1802" s="1" t="s">
        <v>5058</v>
      </c>
      <c r="D1802" s="1" t="s">
        <v>5059</v>
      </c>
      <c r="E1802" s="2">
        <v>5.70038000553E11</v>
      </c>
      <c r="F1802" s="1" t="s">
        <v>5060</v>
      </c>
      <c r="G1802" s="1" t="s">
        <v>121</v>
      </c>
      <c r="H1802" s="3" t="s">
        <v>5061</v>
      </c>
      <c r="I1802" s="1"/>
      <c r="J1802" s="1"/>
      <c r="K1802" s="1"/>
    </row>
    <row r="1803" ht="15.75" customHeight="1">
      <c r="A1803" s="2">
        <v>1802.0</v>
      </c>
      <c r="B1803" s="1" t="s">
        <v>1016</v>
      </c>
      <c r="C1803" s="1" t="s">
        <v>459</v>
      </c>
      <c r="D1803" s="1" t="s">
        <v>733</v>
      </c>
      <c r="E1803" s="2">
        <v>5.70038000223E11</v>
      </c>
      <c r="F1803" s="1" t="s">
        <v>5062</v>
      </c>
      <c r="G1803" s="1" t="s">
        <v>18</v>
      </c>
      <c r="H1803" s="3" t="s">
        <v>4873</v>
      </c>
      <c r="I1803" s="1"/>
      <c r="J1803" s="1"/>
      <c r="K1803" s="1"/>
    </row>
    <row r="1804" ht="15.75" customHeight="1">
      <c r="A1804" s="2">
        <v>1803.0</v>
      </c>
      <c r="B1804" s="1" t="s">
        <v>5063</v>
      </c>
      <c r="C1804" s="1" t="s">
        <v>333</v>
      </c>
      <c r="D1804" s="1" t="s">
        <v>392</v>
      </c>
      <c r="E1804" s="2">
        <v>5.70038000237E11</v>
      </c>
      <c r="F1804" s="1" t="s">
        <v>5064</v>
      </c>
      <c r="G1804" s="1" t="s">
        <v>38</v>
      </c>
      <c r="H1804" s="3" t="s">
        <v>4873</v>
      </c>
      <c r="I1804" s="1"/>
      <c r="J1804" s="1"/>
      <c r="K1804" s="1"/>
    </row>
    <row r="1805" ht="15.75" customHeight="1">
      <c r="A1805" s="2">
        <v>1804.0</v>
      </c>
      <c r="B1805" s="1" t="s">
        <v>367</v>
      </c>
      <c r="C1805" s="1" t="s">
        <v>538</v>
      </c>
      <c r="D1805" s="1" t="s">
        <v>532</v>
      </c>
      <c r="E1805" s="2">
        <v>5.70038000255E11</v>
      </c>
      <c r="F1805" s="1" t="s">
        <v>5065</v>
      </c>
      <c r="G1805" s="1" t="s">
        <v>18</v>
      </c>
      <c r="H1805" s="3" t="s">
        <v>4873</v>
      </c>
      <c r="I1805" s="1"/>
      <c r="J1805" s="1"/>
      <c r="K1805" s="1"/>
    </row>
    <row r="1806" ht="15.75" customHeight="1">
      <c r="A1806" s="2">
        <v>1805.0</v>
      </c>
      <c r="B1806" s="1" t="s">
        <v>5066</v>
      </c>
      <c r="C1806" s="1" t="s">
        <v>608</v>
      </c>
      <c r="D1806" s="1" t="s">
        <v>5067</v>
      </c>
      <c r="E1806" s="2">
        <v>5.70038000256E11</v>
      </c>
      <c r="F1806" s="1" t="s">
        <v>5068</v>
      </c>
      <c r="G1806" s="1" t="s">
        <v>24</v>
      </c>
      <c r="H1806" s="3" t="s">
        <v>4873</v>
      </c>
      <c r="I1806" s="1"/>
      <c r="J1806" s="1"/>
      <c r="K1806" s="1"/>
    </row>
    <row r="1807" ht="15.75" customHeight="1">
      <c r="A1807" s="2">
        <v>1806.0</v>
      </c>
      <c r="B1807" s="1" t="s">
        <v>5069</v>
      </c>
      <c r="C1807" s="1" t="s">
        <v>5070</v>
      </c>
      <c r="D1807" s="1" t="s">
        <v>5071</v>
      </c>
      <c r="E1807" s="2">
        <v>5.70038000313E11</v>
      </c>
      <c r="F1807" s="1" t="s">
        <v>5072</v>
      </c>
      <c r="G1807" s="1" t="s">
        <v>38</v>
      </c>
      <c r="H1807" s="3" t="s">
        <v>4873</v>
      </c>
      <c r="I1807" s="1"/>
      <c r="J1807" s="1"/>
      <c r="K1807" s="1"/>
    </row>
    <row r="1808" ht="15.75" customHeight="1">
      <c r="A1808" s="2">
        <v>1807.0</v>
      </c>
      <c r="B1808" s="1" t="s">
        <v>2519</v>
      </c>
      <c r="C1808" s="1" t="s">
        <v>1304</v>
      </c>
      <c r="D1808" s="1" t="s">
        <v>4915</v>
      </c>
      <c r="E1808" s="2">
        <v>5.70038000317E11</v>
      </c>
      <c r="F1808" s="1" t="s">
        <v>5073</v>
      </c>
      <c r="G1808" s="1" t="s">
        <v>38</v>
      </c>
      <c r="H1808" s="3" t="s">
        <v>4873</v>
      </c>
      <c r="I1808" s="1"/>
      <c r="J1808" s="1"/>
      <c r="K1808" s="1"/>
    </row>
    <row r="1809" ht="15.75" customHeight="1">
      <c r="A1809" s="2">
        <v>1808.0</v>
      </c>
      <c r="B1809" s="1" t="s">
        <v>5074</v>
      </c>
      <c r="C1809" s="1" t="s">
        <v>5075</v>
      </c>
      <c r="D1809" s="1" t="s">
        <v>5076</v>
      </c>
      <c r="E1809" s="2">
        <v>5.70038000346E11</v>
      </c>
      <c r="F1809" s="1" t="s">
        <v>5077</v>
      </c>
      <c r="G1809" s="1" t="s">
        <v>143</v>
      </c>
      <c r="H1809" s="3" t="s">
        <v>4873</v>
      </c>
      <c r="I1809" s="1"/>
      <c r="J1809" s="1"/>
      <c r="K1809" s="1"/>
    </row>
    <row r="1810" ht="15.75" customHeight="1">
      <c r="A1810" s="2">
        <v>1809.0</v>
      </c>
      <c r="B1810" s="1" t="s">
        <v>5078</v>
      </c>
      <c r="C1810" s="1" t="s">
        <v>39</v>
      </c>
      <c r="D1810" s="1" t="s">
        <v>5079</v>
      </c>
      <c r="E1810" s="2">
        <v>5.70038000348E11</v>
      </c>
      <c r="F1810" s="1" t="s">
        <v>5080</v>
      </c>
      <c r="G1810" s="1" t="s">
        <v>121</v>
      </c>
      <c r="H1810" s="3" t="s">
        <v>4873</v>
      </c>
      <c r="I1810" s="1"/>
      <c r="J1810" s="1"/>
      <c r="K1810" s="1"/>
    </row>
    <row r="1811" ht="15.75" customHeight="1">
      <c r="A1811" s="2">
        <v>1810.0</v>
      </c>
      <c r="B1811" s="1" t="s">
        <v>444</v>
      </c>
      <c r="C1811" s="1" t="s">
        <v>5017</v>
      </c>
      <c r="D1811" s="1" t="s">
        <v>5081</v>
      </c>
      <c r="E1811" s="2">
        <v>5.70038000357E11</v>
      </c>
      <c r="F1811" s="1" t="s">
        <v>5082</v>
      </c>
      <c r="G1811" s="1" t="s">
        <v>24</v>
      </c>
      <c r="H1811" s="3" t="s">
        <v>4873</v>
      </c>
      <c r="I1811" s="1"/>
      <c r="J1811" s="1"/>
      <c r="K1811" s="1"/>
    </row>
    <row r="1812" ht="15.75" customHeight="1">
      <c r="A1812" s="2">
        <v>1811.0</v>
      </c>
      <c r="B1812" s="1" t="s">
        <v>4939</v>
      </c>
      <c r="C1812" s="1" t="s">
        <v>2642</v>
      </c>
      <c r="D1812" s="1" t="s">
        <v>3467</v>
      </c>
      <c r="E1812" s="2">
        <v>5.70038000359E11</v>
      </c>
      <c r="F1812" s="1" t="s">
        <v>5083</v>
      </c>
      <c r="G1812" s="1" t="s">
        <v>18</v>
      </c>
      <c r="H1812" s="3" t="s">
        <v>4873</v>
      </c>
      <c r="I1812" s="1"/>
      <c r="J1812" s="1"/>
      <c r="K1812" s="1"/>
    </row>
    <row r="1813" ht="15.75" customHeight="1">
      <c r="A1813" s="2">
        <v>1812.0</v>
      </c>
      <c r="B1813" s="1" t="s">
        <v>5084</v>
      </c>
      <c r="C1813" s="1" t="s">
        <v>5085</v>
      </c>
      <c r="D1813" s="1" t="s">
        <v>5086</v>
      </c>
      <c r="E1813" s="2">
        <v>5.7003800036E11</v>
      </c>
      <c r="F1813" s="1" t="s">
        <v>5087</v>
      </c>
      <c r="G1813" s="1" t="s">
        <v>24</v>
      </c>
      <c r="H1813" s="3" t="s">
        <v>4873</v>
      </c>
      <c r="I1813" s="1"/>
      <c r="J1813" s="1"/>
      <c r="K1813" s="1"/>
    </row>
    <row r="1814" ht="15.75" customHeight="1">
      <c r="A1814" s="2">
        <v>1813.0</v>
      </c>
      <c r="B1814" s="1" t="s">
        <v>3688</v>
      </c>
      <c r="C1814" s="1" t="s">
        <v>5088</v>
      </c>
      <c r="D1814" s="1" t="s">
        <v>5089</v>
      </c>
      <c r="E1814" s="2">
        <v>5.70038000362E11</v>
      </c>
      <c r="F1814" s="1" t="s">
        <v>5090</v>
      </c>
      <c r="G1814" s="1" t="s">
        <v>593</v>
      </c>
      <c r="H1814" s="3" t="s">
        <v>4873</v>
      </c>
      <c r="I1814" s="1"/>
      <c r="J1814" s="1"/>
      <c r="K1814" s="1"/>
    </row>
    <row r="1815" ht="15.75" customHeight="1">
      <c r="A1815" s="2">
        <v>1814.0</v>
      </c>
      <c r="B1815" s="1" t="s">
        <v>1460</v>
      </c>
      <c r="C1815" s="1" t="s">
        <v>3328</v>
      </c>
      <c r="D1815" s="1" t="s">
        <v>273</v>
      </c>
      <c r="E1815" s="2">
        <v>5.70038000367E11</v>
      </c>
      <c r="F1815" s="1" t="s">
        <v>5091</v>
      </c>
      <c r="G1815" s="1" t="s">
        <v>18</v>
      </c>
      <c r="H1815" s="3" t="s">
        <v>4873</v>
      </c>
      <c r="I1815" s="1"/>
      <c r="J1815" s="1"/>
      <c r="K1815" s="1"/>
    </row>
    <row r="1816" ht="15.75" customHeight="1">
      <c r="A1816" s="2">
        <v>1815.0</v>
      </c>
      <c r="B1816" s="1" t="s">
        <v>444</v>
      </c>
      <c r="C1816" s="1" t="s">
        <v>5092</v>
      </c>
      <c r="D1816" s="1" t="s">
        <v>291</v>
      </c>
      <c r="E1816" s="2">
        <v>5.70038000369E11</v>
      </c>
      <c r="F1816" s="1" t="s">
        <v>5093</v>
      </c>
      <c r="G1816" s="1" t="s">
        <v>121</v>
      </c>
      <c r="H1816" s="3" t="s">
        <v>4873</v>
      </c>
      <c r="I1816" s="1"/>
      <c r="J1816" s="1"/>
      <c r="K1816" s="1"/>
    </row>
    <row r="1817" ht="15.75" customHeight="1">
      <c r="A1817" s="2">
        <v>1816.0</v>
      </c>
      <c r="B1817" s="1" t="s">
        <v>762</v>
      </c>
      <c r="C1817" s="1" t="s">
        <v>2969</v>
      </c>
      <c r="D1817" s="1" t="s">
        <v>115</v>
      </c>
      <c r="E1817" s="2">
        <v>5.7003800038E11</v>
      </c>
      <c r="F1817" s="1" t="s">
        <v>5094</v>
      </c>
      <c r="G1817" s="1" t="s">
        <v>18</v>
      </c>
      <c r="H1817" s="3" t="s">
        <v>4873</v>
      </c>
      <c r="I1817" s="1"/>
      <c r="J1817" s="1"/>
      <c r="K1817" s="1"/>
    </row>
    <row r="1818" ht="15.75" customHeight="1">
      <c r="A1818" s="2">
        <v>1817.0</v>
      </c>
      <c r="B1818" s="1" t="s">
        <v>1588</v>
      </c>
      <c r="C1818" s="1" t="s">
        <v>2670</v>
      </c>
      <c r="D1818" s="1" t="s">
        <v>135</v>
      </c>
      <c r="E1818" s="2">
        <v>5.70038000385E11</v>
      </c>
      <c r="F1818" s="1" t="s">
        <v>5095</v>
      </c>
      <c r="G1818" s="1" t="s">
        <v>980</v>
      </c>
      <c r="H1818" s="3" t="s">
        <v>4873</v>
      </c>
      <c r="I1818" s="1"/>
      <c r="J1818" s="1"/>
      <c r="K1818" s="1"/>
    </row>
    <row r="1819" ht="15.75" customHeight="1">
      <c r="A1819" s="2">
        <v>1818.0</v>
      </c>
      <c r="B1819" s="1" t="s">
        <v>654</v>
      </c>
      <c r="C1819" s="1" t="s">
        <v>5096</v>
      </c>
      <c r="D1819" s="1" t="s">
        <v>801</v>
      </c>
      <c r="E1819" s="2">
        <v>5.70038000393E11</v>
      </c>
      <c r="F1819" s="1" t="s">
        <v>5097</v>
      </c>
      <c r="G1819" s="1" t="s">
        <v>121</v>
      </c>
      <c r="H1819" s="3" t="s">
        <v>4873</v>
      </c>
      <c r="I1819" s="1"/>
      <c r="J1819" s="1"/>
      <c r="K1819" s="1"/>
    </row>
    <row r="1820" ht="15.75" customHeight="1">
      <c r="A1820" s="2">
        <v>1819.0</v>
      </c>
      <c r="B1820" s="1" t="s">
        <v>5098</v>
      </c>
      <c r="C1820" s="1" t="s">
        <v>747</v>
      </c>
      <c r="D1820" s="1" t="s">
        <v>748</v>
      </c>
      <c r="E1820" s="2">
        <v>5.70038000404E11</v>
      </c>
      <c r="F1820" s="1" t="s">
        <v>5099</v>
      </c>
      <c r="G1820" s="1" t="s">
        <v>121</v>
      </c>
      <c r="H1820" s="3" t="s">
        <v>4873</v>
      </c>
      <c r="I1820" s="1"/>
      <c r="J1820" s="1"/>
      <c r="K1820" s="1"/>
    </row>
    <row r="1821" ht="15.75" customHeight="1">
      <c r="A1821" s="2">
        <v>1820.0</v>
      </c>
      <c r="B1821" s="1" t="s">
        <v>902</v>
      </c>
      <c r="C1821" s="1" t="s">
        <v>5100</v>
      </c>
      <c r="D1821" s="1" t="s">
        <v>5101</v>
      </c>
      <c r="E1821" s="2">
        <v>5.70038000405E11</v>
      </c>
      <c r="F1821" s="1" t="s">
        <v>5102</v>
      </c>
      <c r="G1821" s="1" t="s">
        <v>24</v>
      </c>
      <c r="H1821" s="3" t="s">
        <v>4873</v>
      </c>
      <c r="I1821" s="1"/>
      <c r="J1821" s="1"/>
      <c r="K1821" s="1"/>
    </row>
    <row r="1822" ht="15.75" customHeight="1">
      <c r="A1822" s="2">
        <v>1821.0</v>
      </c>
      <c r="B1822" s="1" t="s">
        <v>223</v>
      </c>
      <c r="C1822" s="1" t="s">
        <v>5103</v>
      </c>
      <c r="D1822" s="1" t="s">
        <v>5104</v>
      </c>
      <c r="E1822" s="2">
        <v>5.70038000407E11</v>
      </c>
      <c r="F1822" s="1" t="s">
        <v>5105</v>
      </c>
      <c r="G1822" s="1" t="s">
        <v>24</v>
      </c>
      <c r="H1822" s="3" t="s">
        <v>4873</v>
      </c>
      <c r="I1822" s="1"/>
      <c r="J1822" s="1"/>
      <c r="K1822" s="1"/>
    </row>
    <row r="1823" ht="15.75" customHeight="1">
      <c r="A1823" s="2">
        <v>1822.0</v>
      </c>
      <c r="B1823" s="1" t="s">
        <v>5106</v>
      </c>
      <c r="C1823" s="1" t="s">
        <v>1284</v>
      </c>
      <c r="D1823" s="1" t="s">
        <v>5107</v>
      </c>
      <c r="E1823" s="2">
        <v>5.70038000409E11</v>
      </c>
      <c r="F1823" s="1" t="s">
        <v>5108</v>
      </c>
      <c r="G1823" s="1" t="s">
        <v>47</v>
      </c>
      <c r="H1823" s="3" t="s">
        <v>4873</v>
      </c>
      <c r="I1823" s="1"/>
      <c r="J1823" s="1"/>
      <c r="K1823" s="1"/>
    </row>
    <row r="1824" ht="15.75" customHeight="1">
      <c r="A1824" s="2">
        <v>1823.0</v>
      </c>
      <c r="B1824" s="1" t="s">
        <v>3179</v>
      </c>
      <c r="C1824" s="1" t="s">
        <v>1256</v>
      </c>
      <c r="D1824" s="1" t="s">
        <v>5109</v>
      </c>
      <c r="E1824" s="2">
        <v>5.70038000415E11</v>
      </c>
      <c r="F1824" s="1" t="s">
        <v>5110</v>
      </c>
      <c r="G1824" s="1" t="s">
        <v>121</v>
      </c>
      <c r="H1824" s="3" t="s">
        <v>4873</v>
      </c>
      <c r="I1824" s="1"/>
      <c r="J1824" s="1"/>
      <c r="K1824" s="1"/>
    </row>
    <row r="1825" ht="15.75" customHeight="1">
      <c r="A1825" s="2">
        <v>1824.0</v>
      </c>
      <c r="B1825" s="1" t="s">
        <v>105</v>
      </c>
      <c r="C1825" s="1" t="s">
        <v>81</v>
      </c>
      <c r="D1825" s="1" t="s">
        <v>744</v>
      </c>
      <c r="E1825" s="2">
        <v>5.70038000418E11</v>
      </c>
      <c r="F1825" s="1" t="s">
        <v>5111</v>
      </c>
      <c r="G1825" s="1" t="s">
        <v>121</v>
      </c>
      <c r="H1825" s="3" t="s">
        <v>4873</v>
      </c>
      <c r="I1825" s="1"/>
      <c r="J1825" s="1"/>
      <c r="K1825" s="1"/>
    </row>
    <row r="1826" ht="15.75" customHeight="1">
      <c r="A1826" s="2">
        <v>1825.0</v>
      </c>
      <c r="B1826" s="1" t="s">
        <v>5112</v>
      </c>
      <c r="C1826" s="1" t="s">
        <v>276</v>
      </c>
      <c r="D1826" s="1" t="s">
        <v>10</v>
      </c>
      <c r="E1826" s="2">
        <v>5.70038000421E11</v>
      </c>
      <c r="F1826" s="1" t="s">
        <v>5113</v>
      </c>
      <c r="G1826" s="1" t="s">
        <v>24</v>
      </c>
      <c r="H1826" s="3" t="s">
        <v>4873</v>
      </c>
      <c r="I1826" s="1"/>
      <c r="J1826" s="1"/>
      <c r="K1826" s="1"/>
    </row>
    <row r="1827" ht="15.75" customHeight="1">
      <c r="A1827" s="2">
        <v>1826.0</v>
      </c>
      <c r="B1827" s="1" t="s">
        <v>43</v>
      </c>
      <c r="C1827" s="1" t="s">
        <v>410</v>
      </c>
      <c r="D1827" s="1" t="s">
        <v>5114</v>
      </c>
      <c r="E1827" s="2">
        <v>5.70038000426E11</v>
      </c>
      <c r="F1827" s="1" t="s">
        <v>5110</v>
      </c>
      <c r="G1827" s="1" t="s">
        <v>121</v>
      </c>
      <c r="H1827" s="3" t="s">
        <v>4873</v>
      </c>
      <c r="I1827" s="1"/>
      <c r="J1827" s="1"/>
      <c r="K1827" s="1"/>
    </row>
    <row r="1828" ht="15.75" customHeight="1">
      <c r="A1828" s="2">
        <v>1827.0</v>
      </c>
      <c r="B1828" s="1" t="s">
        <v>187</v>
      </c>
      <c r="C1828" s="1" t="s">
        <v>2685</v>
      </c>
      <c r="D1828" s="1" t="s">
        <v>5115</v>
      </c>
      <c r="E1828" s="2">
        <v>5.70038000428E11</v>
      </c>
      <c r="F1828" s="1" t="s">
        <v>5116</v>
      </c>
      <c r="G1828" s="1" t="s">
        <v>121</v>
      </c>
      <c r="H1828" s="3" t="s">
        <v>4873</v>
      </c>
      <c r="I1828" s="1"/>
      <c r="J1828" s="1"/>
      <c r="K1828" s="1"/>
    </row>
    <row r="1829" ht="15.75" customHeight="1">
      <c r="A1829" s="2">
        <v>1828.0</v>
      </c>
      <c r="B1829" s="1" t="s">
        <v>5117</v>
      </c>
      <c r="C1829" s="1" t="s">
        <v>5118</v>
      </c>
      <c r="D1829" s="1" t="s">
        <v>1709</v>
      </c>
      <c r="E1829" s="2">
        <v>5.7003800043E11</v>
      </c>
      <c r="F1829" s="1" t="s">
        <v>5119</v>
      </c>
      <c r="G1829" s="1" t="s">
        <v>121</v>
      </c>
      <c r="H1829" s="3" t="s">
        <v>4873</v>
      </c>
      <c r="I1829" s="1"/>
      <c r="J1829" s="1"/>
      <c r="K1829" s="1"/>
    </row>
    <row r="1830" ht="15.75" customHeight="1">
      <c r="A1830" s="2">
        <v>1829.0</v>
      </c>
      <c r="B1830" s="1" t="s">
        <v>191</v>
      </c>
      <c r="C1830" s="1" t="s">
        <v>2382</v>
      </c>
      <c r="D1830" s="1" t="s">
        <v>5120</v>
      </c>
      <c r="E1830" s="2">
        <v>5.70038000448E11</v>
      </c>
      <c r="F1830" s="1" t="s">
        <v>5121</v>
      </c>
      <c r="G1830" s="1" t="s">
        <v>24</v>
      </c>
      <c r="H1830" s="3" t="s">
        <v>4873</v>
      </c>
      <c r="I1830" s="1"/>
      <c r="J1830" s="1"/>
      <c r="K1830" s="1"/>
    </row>
    <row r="1831" ht="15.75" customHeight="1">
      <c r="A1831" s="2">
        <v>1830.0</v>
      </c>
      <c r="B1831" s="1" t="s">
        <v>1379</v>
      </c>
      <c r="C1831" s="1" t="s">
        <v>2328</v>
      </c>
      <c r="D1831" s="1" t="s">
        <v>781</v>
      </c>
      <c r="E1831" s="2">
        <v>5.7003800045E11</v>
      </c>
      <c r="F1831" s="1" t="s">
        <v>5122</v>
      </c>
      <c r="G1831" s="1" t="s">
        <v>121</v>
      </c>
      <c r="H1831" s="3" t="s">
        <v>4873</v>
      </c>
      <c r="I1831" s="1"/>
      <c r="J1831" s="1"/>
      <c r="K1831" s="1"/>
    </row>
    <row r="1832" ht="15.75" customHeight="1">
      <c r="A1832" s="2">
        <v>1831.0</v>
      </c>
      <c r="B1832" s="1" t="s">
        <v>5123</v>
      </c>
      <c r="C1832" s="1" t="s">
        <v>5124</v>
      </c>
      <c r="D1832" s="1" t="s">
        <v>4931</v>
      </c>
      <c r="E1832" s="2">
        <v>5.70038000468E11</v>
      </c>
      <c r="F1832" s="1" t="s">
        <v>5094</v>
      </c>
      <c r="G1832" s="1" t="s">
        <v>24</v>
      </c>
      <c r="H1832" s="3" t="s">
        <v>4873</v>
      </c>
      <c r="I1832" s="1"/>
      <c r="J1832" s="1"/>
      <c r="K1832" s="1"/>
    </row>
    <row r="1833" ht="15.75" customHeight="1">
      <c r="A1833" s="2">
        <v>1832.0</v>
      </c>
      <c r="B1833" s="1" t="s">
        <v>514</v>
      </c>
      <c r="C1833" s="1" t="s">
        <v>2323</v>
      </c>
      <c r="D1833" s="1" t="s">
        <v>5125</v>
      </c>
      <c r="E1833" s="2">
        <v>5.70038000476E11</v>
      </c>
      <c r="F1833" s="1" t="s">
        <v>5126</v>
      </c>
      <c r="G1833" s="1" t="s">
        <v>47</v>
      </c>
      <c r="H1833" s="3" t="s">
        <v>4873</v>
      </c>
      <c r="I1833" s="1"/>
      <c r="J1833" s="1"/>
      <c r="K1833" s="1"/>
    </row>
    <row r="1834" ht="15.75" customHeight="1">
      <c r="A1834" s="2">
        <v>1833.0</v>
      </c>
      <c r="B1834" s="1" t="s">
        <v>848</v>
      </c>
      <c r="C1834" s="1" t="s">
        <v>165</v>
      </c>
      <c r="D1834" s="1" t="s">
        <v>3269</v>
      </c>
      <c r="E1834" s="2">
        <v>5.70038000477E11</v>
      </c>
      <c r="F1834" s="1" t="s">
        <v>5110</v>
      </c>
      <c r="G1834" s="1" t="s">
        <v>121</v>
      </c>
      <c r="H1834" s="3" t="s">
        <v>4873</v>
      </c>
      <c r="I1834" s="1"/>
      <c r="J1834" s="1"/>
      <c r="K1834" s="1"/>
    </row>
    <row r="1835" ht="15.75" customHeight="1">
      <c r="A1835" s="2">
        <v>1834.0</v>
      </c>
      <c r="B1835" s="1" t="s">
        <v>5127</v>
      </c>
      <c r="C1835" s="1" t="s">
        <v>1984</v>
      </c>
      <c r="D1835" s="1" t="s">
        <v>5128</v>
      </c>
      <c r="E1835" s="2">
        <v>5.70038000485E11</v>
      </c>
      <c r="F1835" s="1" t="s">
        <v>5126</v>
      </c>
      <c r="G1835" s="1" t="s">
        <v>1663</v>
      </c>
      <c r="H1835" s="3" t="s">
        <v>4873</v>
      </c>
      <c r="I1835" s="1"/>
      <c r="J1835" s="1"/>
      <c r="K1835" s="1"/>
    </row>
    <row r="1836" ht="15.75" customHeight="1">
      <c r="A1836" s="2">
        <v>1835.0</v>
      </c>
      <c r="B1836" s="1" t="s">
        <v>484</v>
      </c>
      <c r="C1836" s="1" t="s">
        <v>1732</v>
      </c>
      <c r="D1836" s="1" t="s">
        <v>62</v>
      </c>
      <c r="E1836" s="2">
        <v>5.70038000495E11</v>
      </c>
      <c r="F1836" s="1" t="s">
        <v>5129</v>
      </c>
      <c r="G1836" s="1" t="s">
        <v>47</v>
      </c>
      <c r="H1836" s="3" t="s">
        <v>4873</v>
      </c>
      <c r="I1836" s="1"/>
      <c r="J1836" s="1"/>
      <c r="K1836" s="1"/>
    </row>
    <row r="1837" ht="15.75" customHeight="1">
      <c r="A1837" s="2">
        <v>1836.0</v>
      </c>
      <c r="B1837" s="1" t="s">
        <v>5130</v>
      </c>
      <c r="C1837" s="1" t="s">
        <v>1976</v>
      </c>
      <c r="D1837" s="1" t="s">
        <v>5131</v>
      </c>
      <c r="E1837" s="2">
        <v>5.70038000523E11</v>
      </c>
      <c r="F1837" s="1" t="s">
        <v>5090</v>
      </c>
      <c r="G1837" s="1" t="s">
        <v>38</v>
      </c>
      <c r="H1837" s="3" t="s">
        <v>5132</v>
      </c>
      <c r="I1837" s="1"/>
      <c r="J1837" s="1"/>
      <c r="K1837" s="1"/>
    </row>
    <row r="1838" ht="15.75" customHeight="1">
      <c r="A1838" s="2">
        <v>1837.0</v>
      </c>
      <c r="B1838" s="1" t="s">
        <v>5133</v>
      </c>
      <c r="C1838" s="1" t="s">
        <v>604</v>
      </c>
      <c r="D1838" s="1" t="s">
        <v>4931</v>
      </c>
      <c r="E1838" s="2">
        <v>5.70038000314E11</v>
      </c>
      <c r="F1838" s="1" t="s">
        <v>5134</v>
      </c>
      <c r="G1838" s="1" t="s">
        <v>47</v>
      </c>
      <c r="H1838" s="3" t="s">
        <v>4873</v>
      </c>
      <c r="I1838" s="1"/>
      <c r="J1838" s="1"/>
      <c r="K1838" s="1"/>
    </row>
    <row r="1839" ht="15.75" customHeight="1">
      <c r="A1839" s="2">
        <v>1838.0</v>
      </c>
      <c r="B1839" s="1" t="s">
        <v>5135</v>
      </c>
      <c r="C1839" s="1" t="s">
        <v>308</v>
      </c>
      <c r="D1839" s="1" t="s">
        <v>5136</v>
      </c>
      <c r="E1839" s="2">
        <v>5.70038000212E11</v>
      </c>
      <c r="F1839" s="1" t="s">
        <v>5137</v>
      </c>
      <c r="G1839" s="1" t="s">
        <v>121</v>
      </c>
      <c r="H1839" s="3" t="s">
        <v>4873</v>
      </c>
      <c r="I1839" s="1"/>
      <c r="J1839" s="1"/>
      <c r="K1839" s="1"/>
    </row>
    <row r="1840" ht="15.75" customHeight="1">
      <c r="A1840" s="2">
        <v>1839.0</v>
      </c>
      <c r="B1840" s="1" t="s">
        <v>4960</v>
      </c>
      <c r="C1840" s="1" t="s">
        <v>5138</v>
      </c>
      <c r="D1840" s="1" t="s">
        <v>5139</v>
      </c>
      <c r="E1840" s="2">
        <v>5.70038000235E11</v>
      </c>
      <c r="F1840" s="1" t="s">
        <v>5140</v>
      </c>
      <c r="G1840" s="1" t="s">
        <v>24</v>
      </c>
      <c r="H1840" s="3" t="s">
        <v>4873</v>
      </c>
      <c r="I1840" s="1"/>
      <c r="J1840" s="1"/>
      <c r="K1840" s="1"/>
    </row>
    <row r="1841" ht="15.75" customHeight="1">
      <c r="A1841" s="2">
        <v>1840.0</v>
      </c>
      <c r="B1841" s="1" t="s">
        <v>827</v>
      </c>
      <c r="C1841" s="1" t="s">
        <v>5141</v>
      </c>
      <c r="D1841" s="1" t="s">
        <v>685</v>
      </c>
      <c r="E1841" s="2">
        <v>5.70038000241E11</v>
      </c>
      <c r="F1841" s="1" t="s">
        <v>5142</v>
      </c>
      <c r="G1841" s="1" t="s">
        <v>24</v>
      </c>
      <c r="H1841" s="3" t="s">
        <v>4873</v>
      </c>
      <c r="I1841" s="1"/>
      <c r="J1841" s="1"/>
      <c r="K1841" s="1"/>
    </row>
    <row r="1842" ht="15.75" customHeight="1">
      <c r="A1842" s="2">
        <v>1841.0</v>
      </c>
      <c r="B1842" s="1" t="s">
        <v>5143</v>
      </c>
      <c r="C1842" s="1" t="s">
        <v>1096</v>
      </c>
      <c r="D1842" s="1" t="s">
        <v>5144</v>
      </c>
      <c r="E1842" s="2">
        <v>5.70038000243E11</v>
      </c>
      <c r="F1842" s="1" t="s">
        <v>5145</v>
      </c>
      <c r="G1842" s="1" t="s">
        <v>18</v>
      </c>
      <c r="H1842" s="3" t="s">
        <v>4873</v>
      </c>
      <c r="I1842" s="1"/>
      <c r="J1842" s="1"/>
      <c r="K1842" s="1"/>
    </row>
    <row r="1843" ht="15.75" customHeight="1">
      <c r="A1843" s="2">
        <v>1842.0</v>
      </c>
      <c r="B1843" s="1" t="s">
        <v>1707</v>
      </c>
      <c r="C1843" s="1" t="s">
        <v>66</v>
      </c>
      <c r="D1843" s="1" t="s">
        <v>1209</v>
      </c>
      <c r="E1843" s="2">
        <v>5.70038000259E11</v>
      </c>
      <c r="F1843" s="1" t="s">
        <v>5145</v>
      </c>
      <c r="G1843" s="1" t="s">
        <v>47</v>
      </c>
      <c r="H1843" s="3" t="s">
        <v>4873</v>
      </c>
      <c r="I1843" s="1"/>
      <c r="J1843" s="1"/>
      <c r="K1843" s="1"/>
    </row>
    <row r="1844" ht="15.75" customHeight="1">
      <c r="A1844" s="2">
        <v>1843.0</v>
      </c>
      <c r="B1844" s="1" t="s">
        <v>827</v>
      </c>
      <c r="C1844" s="1" t="s">
        <v>1304</v>
      </c>
      <c r="D1844" s="1" t="s">
        <v>5146</v>
      </c>
      <c r="E1844" s="2">
        <v>5.70038000265E11</v>
      </c>
      <c r="F1844" s="1" t="s">
        <v>5147</v>
      </c>
      <c r="G1844" s="1" t="s">
        <v>24</v>
      </c>
      <c r="H1844" s="3" t="s">
        <v>4873</v>
      </c>
      <c r="I1844" s="1"/>
      <c r="J1844" s="1"/>
      <c r="K1844" s="1"/>
    </row>
    <row r="1845" ht="15.75" customHeight="1">
      <c r="A1845" s="2">
        <v>1844.0</v>
      </c>
      <c r="B1845" s="1" t="s">
        <v>444</v>
      </c>
      <c r="C1845" s="1" t="s">
        <v>1878</v>
      </c>
      <c r="D1845" s="1" t="s">
        <v>5148</v>
      </c>
      <c r="E1845" s="2">
        <v>5.70038000266E11</v>
      </c>
      <c r="F1845" s="1" t="s">
        <v>5149</v>
      </c>
      <c r="G1845" s="1" t="s">
        <v>24</v>
      </c>
      <c r="H1845" s="3" t="s">
        <v>4873</v>
      </c>
      <c r="I1845" s="1"/>
      <c r="J1845" s="1"/>
      <c r="K1845" s="1"/>
    </row>
    <row r="1846" ht="15.75" customHeight="1">
      <c r="A1846" s="2">
        <v>1845.0</v>
      </c>
      <c r="B1846" s="1" t="s">
        <v>5150</v>
      </c>
      <c r="C1846" s="1" t="s">
        <v>1912</v>
      </c>
      <c r="D1846" s="1" t="s">
        <v>860</v>
      </c>
      <c r="E1846" s="2">
        <v>5.70038000267E11</v>
      </c>
      <c r="F1846" s="1" t="s">
        <v>5151</v>
      </c>
      <c r="G1846" s="1" t="s">
        <v>24</v>
      </c>
      <c r="H1846" s="3" t="s">
        <v>4873</v>
      </c>
      <c r="I1846" s="1"/>
      <c r="J1846" s="1"/>
      <c r="K1846" s="1"/>
    </row>
    <row r="1847" ht="15.75" customHeight="1">
      <c r="A1847" s="2">
        <v>1846.0</v>
      </c>
      <c r="B1847" s="1" t="s">
        <v>5152</v>
      </c>
      <c r="C1847" s="1" t="s">
        <v>5153</v>
      </c>
      <c r="D1847" s="1" t="s">
        <v>107</v>
      </c>
      <c r="E1847" s="2">
        <v>5.70038000301E11</v>
      </c>
      <c r="F1847" s="1" t="s">
        <v>5154</v>
      </c>
      <c r="G1847" s="1" t="s">
        <v>121</v>
      </c>
      <c r="H1847" s="3" t="s">
        <v>4873</v>
      </c>
      <c r="I1847" s="1"/>
      <c r="J1847" s="1"/>
      <c r="K1847" s="1"/>
    </row>
    <row r="1848" ht="15.75" customHeight="1">
      <c r="A1848" s="2">
        <v>1847.0</v>
      </c>
      <c r="B1848" s="1" t="s">
        <v>1588</v>
      </c>
      <c r="C1848" s="1" t="s">
        <v>361</v>
      </c>
      <c r="D1848" s="1" t="s">
        <v>5155</v>
      </c>
      <c r="E1848" s="2">
        <v>5.70038000305E11</v>
      </c>
      <c r="F1848" s="1" t="s">
        <v>5156</v>
      </c>
      <c r="G1848" s="1" t="s">
        <v>47</v>
      </c>
      <c r="H1848" s="3" t="s">
        <v>4873</v>
      </c>
      <c r="I1848" s="1"/>
      <c r="J1848" s="1"/>
      <c r="K1848" s="1"/>
    </row>
    <row r="1849" ht="15.75" customHeight="1">
      <c r="A1849" s="2">
        <v>1848.0</v>
      </c>
      <c r="B1849" s="1" t="s">
        <v>639</v>
      </c>
      <c r="C1849" s="1" t="s">
        <v>2056</v>
      </c>
      <c r="D1849" s="1" t="s">
        <v>640</v>
      </c>
      <c r="E1849" s="2">
        <v>5.70038000319E11</v>
      </c>
      <c r="F1849" s="1" t="s">
        <v>5157</v>
      </c>
      <c r="G1849" s="1" t="s">
        <v>18</v>
      </c>
      <c r="H1849" s="3" t="s">
        <v>4873</v>
      </c>
      <c r="I1849" s="1"/>
      <c r="J1849" s="1"/>
      <c r="K1849" s="1"/>
    </row>
    <row r="1850" ht="15.75" customHeight="1">
      <c r="A1850" s="2">
        <v>1849.0</v>
      </c>
      <c r="B1850" s="1" t="s">
        <v>173</v>
      </c>
      <c r="C1850" s="1" t="s">
        <v>496</v>
      </c>
      <c r="D1850" s="1" t="s">
        <v>5158</v>
      </c>
      <c r="E1850" s="2">
        <v>5.70038000323E11</v>
      </c>
      <c r="F1850" s="1" t="s">
        <v>5142</v>
      </c>
      <c r="G1850" s="1" t="s">
        <v>18</v>
      </c>
      <c r="H1850" s="3" t="s">
        <v>4873</v>
      </c>
      <c r="I1850" s="1"/>
      <c r="J1850" s="1"/>
      <c r="K1850" s="1"/>
    </row>
    <row r="1851" ht="15.75" customHeight="1">
      <c r="A1851" s="2">
        <v>1850.0</v>
      </c>
      <c r="B1851" s="1" t="s">
        <v>5150</v>
      </c>
      <c r="C1851" s="1" t="s">
        <v>1394</v>
      </c>
      <c r="D1851" s="1" t="s">
        <v>103</v>
      </c>
      <c r="E1851" s="2">
        <v>5.70038000327E11</v>
      </c>
      <c r="F1851" s="1" t="s">
        <v>5142</v>
      </c>
      <c r="G1851" s="1" t="s">
        <v>18</v>
      </c>
      <c r="H1851" s="3" t="s">
        <v>4873</v>
      </c>
      <c r="I1851" s="1"/>
      <c r="J1851" s="1"/>
      <c r="K1851" s="1"/>
    </row>
    <row r="1852" ht="15.75" customHeight="1">
      <c r="A1852" s="2">
        <v>1851.0</v>
      </c>
      <c r="B1852" s="1" t="s">
        <v>315</v>
      </c>
      <c r="C1852" s="1" t="s">
        <v>2808</v>
      </c>
      <c r="D1852" s="1" t="s">
        <v>5159</v>
      </c>
      <c r="E1852" s="2">
        <v>5.70038000328E11</v>
      </c>
      <c r="F1852" s="1" t="s">
        <v>5160</v>
      </c>
      <c r="G1852" s="1" t="s">
        <v>47</v>
      </c>
      <c r="H1852" s="3" t="s">
        <v>4873</v>
      </c>
      <c r="I1852" s="1"/>
      <c r="J1852" s="1"/>
      <c r="K1852" s="1"/>
    </row>
    <row r="1853" ht="15.75" customHeight="1">
      <c r="A1853" s="2">
        <v>1852.0</v>
      </c>
      <c r="B1853" s="1" t="s">
        <v>263</v>
      </c>
      <c r="C1853" s="1" t="s">
        <v>5161</v>
      </c>
      <c r="D1853" s="1" t="s">
        <v>5162</v>
      </c>
      <c r="E1853" s="2">
        <v>5.70038000342E11</v>
      </c>
      <c r="F1853" s="1" t="s">
        <v>5163</v>
      </c>
      <c r="G1853" s="1" t="s">
        <v>18</v>
      </c>
      <c r="H1853" s="3" t="s">
        <v>4873</v>
      </c>
      <c r="I1853" s="1"/>
      <c r="J1853" s="1"/>
      <c r="K1853" s="1"/>
    </row>
    <row r="1854" ht="15.75" customHeight="1">
      <c r="A1854" s="2">
        <v>1853.0</v>
      </c>
      <c r="B1854" s="1" t="s">
        <v>1660</v>
      </c>
      <c r="C1854" s="1" t="s">
        <v>1232</v>
      </c>
      <c r="D1854" s="1" t="s">
        <v>3679</v>
      </c>
      <c r="E1854" s="2">
        <v>5.70038000341E11</v>
      </c>
      <c r="F1854" s="1" t="s">
        <v>5164</v>
      </c>
      <c r="G1854" s="1" t="s">
        <v>24</v>
      </c>
      <c r="H1854" s="3" t="s">
        <v>4873</v>
      </c>
      <c r="I1854" s="1"/>
      <c r="J1854" s="1"/>
      <c r="K1854" s="1"/>
    </row>
    <row r="1855" ht="15.75" customHeight="1">
      <c r="A1855" s="2">
        <v>1854.0</v>
      </c>
      <c r="B1855" s="1" t="s">
        <v>1438</v>
      </c>
      <c r="C1855" s="1" t="s">
        <v>25</v>
      </c>
      <c r="D1855" s="1" t="s">
        <v>359</v>
      </c>
      <c r="E1855" s="2">
        <v>5.70038000368E11</v>
      </c>
      <c r="F1855" s="1" t="s">
        <v>5165</v>
      </c>
      <c r="G1855" s="1" t="s">
        <v>143</v>
      </c>
      <c r="H1855" s="3" t="s">
        <v>4873</v>
      </c>
      <c r="I1855" s="1"/>
      <c r="J1855" s="1"/>
      <c r="K1855" s="1"/>
    </row>
    <row r="1856" ht="15.75" customHeight="1">
      <c r="A1856" s="2">
        <v>1855.0</v>
      </c>
      <c r="B1856" s="1" t="s">
        <v>5166</v>
      </c>
      <c r="C1856" s="1" t="s">
        <v>5167</v>
      </c>
      <c r="D1856" s="1" t="s">
        <v>471</v>
      </c>
      <c r="E1856" s="2">
        <v>5.70038000382E11</v>
      </c>
      <c r="F1856" s="1" t="s">
        <v>5149</v>
      </c>
      <c r="G1856" s="1" t="s">
        <v>18</v>
      </c>
      <c r="H1856" s="3" t="s">
        <v>4873</v>
      </c>
      <c r="I1856" s="1"/>
      <c r="J1856" s="1"/>
      <c r="K1856" s="1"/>
    </row>
    <row r="1857" ht="15.75" customHeight="1">
      <c r="A1857" s="2">
        <v>1856.0</v>
      </c>
      <c r="B1857" s="1" t="s">
        <v>285</v>
      </c>
      <c r="C1857" s="1" t="s">
        <v>130</v>
      </c>
      <c r="D1857" s="1" t="s">
        <v>324</v>
      </c>
      <c r="E1857" s="2">
        <v>5.70038000389E11</v>
      </c>
      <c r="F1857" s="1" t="s">
        <v>5165</v>
      </c>
      <c r="G1857" s="1" t="s">
        <v>121</v>
      </c>
      <c r="H1857" s="3" t="s">
        <v>4873</v>
      </c>
      <c r="I1857" s="1"/>
      <c r="J1857" s="1"/>
      <c r="K1857" s="1"/>
    </row>
    <row r="1858" ht="15.75" customHeight="1">
      <c r="A1858" s="2">
        <v>1857.0</v>
      </c>
      <c r="B1858" s="1" t="s">
        <v>907</v>
      </c>
      <c r="C1858" s="1" t="s">
        <v>344</v>
      </c>
      <c r="D1858" s="1" t="s">
        <v>1423</v>
      </c>
      <c r="E1858" s="2">
        <v>5.70038000406E11</v>
      </c>
      <c r="F1858" s="1" t="s">
        <v>5168</v>
      </c>
      <c r="G1858" s="1" t="s">
        <v>980</v>
      </c>
      <c r="H1858" s="3" t="s">
        <v>4873</v>
      </c>
      <c r="I1858" s="1"/>
      <c r="J1858" s="1"/>
      <c r="K1858" s="1"/>
    </row>
    <row r="1859" ht="15.75" customHeight="1">
      <c r="A1859" s="2">
        <v>1858.0</v>
      </c>
      <c r="B1859" s="1" t="s">
        <v>484</v>
      </c>
      <c r="C1859" s="1" t="s">
        <v>276</v>
      </c>
      <c r="D1859" s="1" t="s">
        <v>10</v>
      </c>
      <c r="E1859" s="2">
        <v>5.7003800042E11</v>
      </c>
      <c r="F1859" s="1" t="s">
        <v>5169</v>
      </c>
      <c r="G1859" s="1" t="s">
        <v>47</v>
      </c>
      <c r="H1859" s="3" t="s">
        <v>4873</v>
      </c>
      <c r="I1859" s="1"/>
      <c r="J1859" s="1"/>
      <c r="K1859" s="1"/>
    </row>
    <row r="1860" ht="15.75" customHeight="1">
      <c r="A1860" s="2">
        <v>1859.0</v>
      </c>
      <c r="B1860" s="1" t="s">
        <v>5170</v>
      </c>
      <c r="C1860" s="1" t="s">
        <v>5171</v>
      </c>
      <c r="D1860" s="1" t="s">
        <v>5172</v>
      </c>
      <c r="E1860" s="2">
        <v>5.70038000424E11</v>
      </c>
      <c r="F1860" s="1" t="s">
        <v>5173</v>
      </c>
      <c r="G1860" s="1" t="s">
        <v>980</v>
      </c>
      <c r="H1860" s="3" t="s">
        <v>4873</v>
      </c>
      <c r="I1860" s="1"/>
      <c r="J1860" s="1"/>
      <c r="K1860" s="1"/>
    </row>
    <row r="1861" ht="15.75" customHeight="1">
      <c r="A1861" s="2">
        <v>1860.0</v>
      </c>
      <c r="B1861" s="1" t="s">
        <v>5174</v>
      </c>
      <c r="C1861" s="1" t="s">
        <v>5175</v>
      </c>
      <c r="D1861" s="1" t="s">
        <v>5176</v>
      </c>
      <c r="E1861" s="2">
        <v>5.70038000443E11</v>
      </c>
      <c r="F1861" s="1" t="s">
        <v>5177</v>
      </c>
      <c r="G1861" s="1" t="s">
        <v>121</v>
      </c>
      <c r="H1861" s="3" t="s">
        <v>4873</v>
      </c>
      <c r="I1861" s="1"/>
      <c r="J1861" s="1"/>
      <c r="K1861" s="1"/>
    </row>
    <row r="1862" ht="15.75" customHeight="1">
      <c r="A1862" s="2">
        <v>1861.0</v>
      </c>
      <c r="B1862" s="1" t="s">
        <v>2964</v>
      </c>
      <c r="C1862" s="1" t="s">
        <v>5178</v>
      </c>
      <c r="D1862" s="1" t="s">
        <v>5179</v>
      </c>
      <c r="E1862" s="2">
        <v>5.70038000466E11</v>
      </c>
      <c r="F1862" s="1" t="s">
        <v>5180</v>
      </c>
      <c r="G1862" s="1" t="s">
        <v>24</v>
      </c>
      <c r="H1862" s="3" t="s">
        <v>4873</v>
      </c>
      <c r="I1862" s="1"/>
      <c r="J1862" s="1"/>
      <c r="K1862" s="1"/>
    </row>
    <row r="1863" ht="15.75" customHeight="1">
      <c r="A1863" s="2">
        <v>1862.0</v>
      </c>
      <c r="B1863" s="1" t="s">
        <v>5181</v>
      </c>
      <c r="C1863" s="1" t="s">
        <v>2018</v>
      </c>
      <c r="D1863" s="1" t="s">
        <v>550</v>
      </c>
      <c r="E1863" s="2">
        <v>5.70038000494E11</v>
      </c>
      <c r="F1863" s="1" t="s">
        <v>5169</v>
      </c>
      <c r="G1863" s="1" t="s">
        <v>47</v>
      </c>
      <c r="H1863" s="3" t="s">
        <v>4873</v>
      </c>
      <c r="I1863" s="1"/>
      <c r="J1863" s="1"/>
      <c r="K1863" s="1"/>
    </row>
    <row r="1864" ht="15.75" customHeight="1">
      <c r="A1864" s="2">
        <v>1863.0</v>
      </c>
      <c r="B1864" s="1" t="s">
        <v>5182</v>
      </c>
      <c r="C1864" s="1" t="s">
        <v>66</v>
      </c>
      <c r="D1864" s="1" t="s">
        <v>5183</v>
      </c>
      <c r="E1864" s="2">
        <v>5.70038000503E11</v>
      </c>
      <c r="F1864" s="1" t="s">
        <v>5184</v>
      </c>
      <c r="G1864" s="1" t="s">
        <v>18</v>
      </c>
      <c r="H1864" s="3" t="s">
        <v>4873</v>
      </c>
      <c r="I1864" s="1"/>
      <c r="J1864" s="1"/>
      <c r="K1864" s="1"/>
    </row>
    <row r="1865" ht="15.75" customHeight="1">
      <c r="A1865" s="2">
        <v>1864.0</v>
      </c>
      <c r="B1865" s="1" t="s">
        <v>79</v>
      </c>
      <c r="C1865" s="1" t="s">
        <v>257</v>
      </c>
      <c r="D1865" s="1" t="s">
        <v>5049</v>
      </c>
      <c r="E1865" s="2">
        <v>5.70038000506E11</v>
      </c>
      <c r="F1865" s="1" t="s">
        <v>5185</v>
      </c>
      <c r="G1865" s="1" t="s">
        <v>24</v>
      </c>
      <c r="H1865" s="3" t="s">
        <v>4873</v>
      </c>
      <c r="I1865" s="1"/>
      <c r="J1865" s="1"/>
      <c r="K1865" s="1"/>
    </row>
    <row r="1866" ht="15.75" customHeight="1">
      <c r="A1866" s="2">
        <v>1865.0</v>
      </c>
      <c r="B1866" s="1" t="s">
        <v>5186</v>
      </c>
      <c r="C1866" s="1" t="s">
        <v>1882</v>
      </c>
      <c r="D1866" s="1" t="s">
        <v>5187</v>
      </c>
      <c r="E1866" s="2">
        <v>5.70038000528E11</v>
      </c>
      <c r="F1866" s="1" t="s">
        <v>5134</v>
      </c>
      <c r="G1866" s="1" t="s">
        <v>1886</v>
      </c>
      <c r="H1866" s="3" t="s">
        <v>4873</v>
      </c>
      <c r="I1866" s="1"/>
      <c r="J1866" s="1"/>
      <c r="K1866" s="1"/>
    </row>
    <row r="1867" ht="15.75" customHeight="1">
      <c r="A1867" s="2">
        <v>1866.0</v>
      </c>
      <c r="B1867" s="1" t="s">
        <v>5188</v>
      </c>
      <c r="C1867" s="1" t="s">
        <v>766</v>
      </c>
      <c r="D1867" s="1" t="s">
        <v>5189</v>
      </c>
      <c r="E1867" s="2">
        <v>5.70038000534E11</v>
      </c>
      <c r="F1867" s="1" t="s">
        <v>5190</v>
      </c>
      <c r="G1867" s="1" t="s">
        <v>121</v>
      </c>
      <c r="H1867" s="3" t="s">
        <v>4873</v>
      </c>
      <c r="I1867" s="1"/>
      <c r="J1867" s="1"/>
      <c r="K1867" s="1"/>
    </row>
    <row r="1868" ht="15.75" customHeight="1">
      <c r="A1868" s="2">
        <v>1867.0</v>
      </c>
      <c r="B1868" s="1" t="s">
        <v>482</v>
      </c>
      <c r="C1868" s="1" t="s">
        <v>276</v>
      </c>
      <c r="D1868" s="1" t="s">
        <v>10</v>
      </c>
      <c r="E1868" s="2">
        <v>5.70038000535E11</v>
      </c>
      <c r="F1868" s="1" t="s">
        <v>5191</v>
      </c>
      <c r="G1868" s="1" t="s">
        <v>121</v>
      </c>
      <c r="H1868" s="3" t="s">
        <v>4873</v>
      </c>
      <c r="I1868" s="1"/>
      <c r="J1868" s="1"/>
      <c r="K1868" s="1"/>
    </row>
    <row r="1869" ht="15.75" customHeight="1">
      <c r="A1869" s="2">
        <v>1868.0</v>
      </c>
      <c r="B1869" s="1" t="s">
        <v>5192</v>
      </c>
      <c r="C1869" s="1" t="s">
        <v>2300</v>
      </c>
      <c r="D1869" s="1" t="s">
        <v>335</v>
      </c>
      <c r="E1869" s="2">
        <v>5.70038000536E11</v>
      </c>
      <c r="F1869" s="1" t="s">
        <v>5134</v>
      </c>
      <c r="G1869" s="1" t="s">
        <v>24</v>
      </c>
      <c r="H1869" s="3" t="s">
        <v>4873</v>
      </c>
      <c r="I1869" s="1"/>
      <c r="J1869" s="1"/>
      <c r="K1869" s="1"/>
    </row>
    <row r="1870" ht="15.75" customHeight="1">
      <c r="A1870" s="2">
        <v>1869.0</v>
      </c>
      <c r="B1870" s="1" t="s">
        <v>1272</v>
      </c>
      <c r="C1870" s="1" t="s">
        <v>488</v>
      </c>
      <c r="D1870" s="1" t="s">
        <v>640</v>
      </c>
      <c r="E1870" s="2">
        <v>5.70038000537E11</v>
      </c>
      <c r="F1870" s="1" t="s">
        <v>5193</v>
      </c>
      <c r="G1870" s="1" t="s">
        <v>121</v>
      </c>
      <c r="H1870" s="3" t="s">
        <v>4873</v>
      </c>
      <c r="I1870" s="1"/>
      <c r="J1870" s="1"/>
      <c r="K1870" s="1"/>
    </row>
    <row r="1871" ht="15.75" customHeight="1">
      <c r="A1871" s="2">
        <v>1870.0</v>
      </c>
      <c r="B1871" s="1" t="s">
        <v>5194</v>
      </c>
      <c r="C1871" s="1" t="s">
        <v>5195</v>
      </c>
      <c r="D1871" s="1" t="s">
        <v>3017</v>
      </c>
      <c r="E1871" s="2">
        <v>5.70038000539E11</v>
      </c>
      <c r="F1871" s="1" t="s">
        <v>5196</v>
      </c>
      <c r="G1871" s="1" t="s">
        <v>980</v>
      </c>
      <c r="H1871" s="3" t="s">
        <v>4873</v>
      </c>
      <c r="I1871" s="1"/>
      <c r="J1871" s="1"/>
      <c r="K1871" s="1"/>
    </row>
    <row r="1872" ht="15.75" customHeight="1">
      <c r="A1872" s="2">
        <v>1871.0</v>
      </c>
      <c r="B1872" s="6" t="s">
        <v>5197</v>
      </c>
      <c r="C1872" s="6" t="s">
        <v>36</v>
      </c>
      <c r="D1872" s="1" t="s">
        <v>5198</v>
      </c>
      <c r="E1872" s="2">
        <v>5.7003800054E11</v>
      </c>
      <c r="F1872" s="1" t="s">
        <v>5199</v>
      </c>
      <c r="G1872" s="1" t="s">
        <v>121</v>
      </c>
      <c r="H1872" s="3" t="s">
        <v>4873</v>
      </c>
      <c r="I1872" s="1"/>
    </row>
    <row r="1873" ht="15.75" customHeight="1">
      <c r="A1873" s="2">
        <v>1872.0</v>
      </c>
      <c r="B1873" s="1" t="s">
        <v>5200</v>
      </c>
      <c r="C1873" s="1" t="s">
        <v>5201</v>
      </c>
      <c r="D1873" s="1" t="s">
        <v>5202</v>
      </c>
      <c r="E1873" s="2">
        <v>5.70038000542E11</v>
      </c>
      <c r="F1873" s="1" t="s">
        <v>5203</v>
      </c>
      <c r="G1873" s="1" t="s">
        <v>121</v>
      </c>
      <c r="H1873" s="3" t="s">
        <v>4873</v>
      </c>
      <c r="I1873" s="1"/>
      <c r="J1873" s="1"/>
      <c r="K1873" s="1"/>
    </row>
    <row r="1874" ht="15.75" customHeight="1">
      <c r="A1874" s="2">
        <v>1873.0</v>
      </c>
      <c r="B1874" s="1" t="s">
        <v>315</v>
      </c>
      <c r="C1874" s="1" t="s">
        <v>130</v>
      </c>
      <c r="D1874" s="1" t="s">
        <v>5204</v>
      </c>
      <c r="E1874" s="2">
        <v>5.70038000543E11</v>
      </c>
      <c r="F1874" s="1" t="s">
        <v>5205</v>
      </c>
      <c r="G1874" s="1" t="s">
        <v>121</v>
      </c>
      <c r="H1874" s="3" t="s">
        <v>4873</v>
      </c>
      <c r="I1874" s="1"/>
      <c r="J1874" s="1"/>
      <c r="K1874" s="1"/>
    </row>
    <row r="1875" ht="15.75" customHeight="1">
      <c r="A1875" s="2">
        <v>1874.0</v>
      </c>
      <c r="B1875" s="1" t="s">
        <v>5206</v>
      </c>
      <c r="C1875" s="1" t="s">
        <v>3563</v>
      </c>
      <c r="D1875" s="1" t="s">
        <v>1212</v>
      </c>
      <c r="E1875" s="2">
        <v>5.70038000547E11</v>
      </c>
      <c r="F1875" s="1" t="s">
        <v>5207</v>
      </c>
      <c r="G1875" s="1" t="s">
        <v>121</v>
      </c>
      <c r="H1875" s="3" t="s">
        <v>4873</v>
      </c>
      <c r="I1875" s="1"/>
      <c r="J1875" s="1"/>
      <c r="K1875" s="1"/>
    </row>
    <row r="1876" ht="15.75" customHeight="1">
      <c r="A1876" s="2">
        <v>1875.0</v>
      </c>
      <c r="B1876" s="1" t="s">
        <v>5208</v>
      </c>
      <c r="C1876" s="1" t="s">
        <v>557</v>
      </c>
      <c r="D1876" s="1" t="s">
        <v>5209</v>
      </c>
      <c r="E1876" s="2">
        <v>5.70038000547E11</v>
      </c>
      <c r="F1876" s="1" t="s">
        <v>5134</v>
      </c>
      <c r="G1876" s="1" t="s">
        <v>24</v>
      </c>
      <c r="H1876" s="3" t="s">
        <v>4873</v>
      </c>
      <c r="I1876" s="1"/>
      <c r="J1876" s="1"/>
      <c r="K1876" s="1"/>
    </row>
    <row r="1877" ht="15.75" customHeight="1">
      <c r="A1877" s="2">
        <v>1876.0</v>
      </c>
      <c r="B1877" s="1" t="s">
        <v>3449</v>
      </c>
      <c r="C1877" s="1" t="s">
        <v>5210</v>
      </c>
      <c r="D1877" s="1" t="s">
        <v>5211</v>
      </c>
      <c r="E1877" s="2">
        <v>5.70038000552E11</v>
      </c>
      <c r="F1877" s="1" t="s">
        <v>5212</v>
      </c>
      <c r="G1877" s="1" t="s">
        <v>121</v>
      </c>
      <c r="H1877" s="3" t="s">
        <v>4873</v>
      </c>
      <c r="I1877" s="1"/>
      <c r="J1877" s="1"/>
      <c r="K1877" s="1"/>
    </row>
    <row r="1878" ht="15.75" customHeight="1">
      <c r="A1878" s="2">
        <v>1877.0</v>
      </c>
      <c r="B1878" s="1" t="s">
        <v>5213</v>
      </c>
      <c r="C1878" s="1" t="s">
        <v>2108</v>
      </c>
      <c r="D1878" s="1" t="s">
        <v>5214</v>
      </c>
      <c r="E1878" s="2">
        <v>5.70038000565E11</v>
      </c>
      <c r="F1878" s="1" t="s">
        <v>5215</v>
      </c>
      <c r="G1878" s="1" t="s">
        <v>143</v>
      </c>
      <c r="H1878" s="3" t="s">
        <v>4873</v>
      </c>
      <c r="I1878" s="1"/>
      <c r="J1878" s="1"/>
      <c r="K1878" s="1"/>
    </row>
    <row r="1879" ht="15.75" customHeight="1">
      <c r="A1879" s="2">
        <v>1878.0</v>
      </c>
      <c r="B1879" s="6" t="s">
        <v>5216</v>
      </c>
      <c r="C1879" s="1" t="s">
        <v>5217</v>
      </c>
      <c r="D1879" s="1" t="s">
        <v>5218</v>
      </c>
      <c r="E1879" s="2">
        <v>5.70038000557E11</v>
      </c>
      <c r="F1879" s="1" t="s">
        <v>5219</v>
      </c>
      <c r="G1879" s="1" t="s">
        <v>121</v>
      </c>
      <c r="H1879" s="3" t="s">
        <v>4873</v>
      </c>
      <c r="I1879" s="1"/>
    </row>
    <row r="1880" ht="15.75" customHeight="1">
      <c r="A1880" s="2">
        <v>1879.0</v>
      </c>
      <c r="B1880" s="1" t="s">
        <v>5220</v>
      </c>
      <c r="C1880" s="1" t="s">
        <v>1228</v>
      </c>
      <c r="D1880" s="1" t="s">
        <v>2191</v>
      </c>
      <c r="E1880" s="2">
        <v>5.7003800056E11</v>
      </c>
      <c r="F1880" s="1" t="s">
        <v>5221</v>
      </c>
      <c r="G1880" s="1" t="s">
        <v>47</v>
      </c>
      <c r="H1880" s="3" t="s">
        <v>4873</v>
      </c>
      <c r="I1880" s="1"/>
      <c r="J1880" s="1"/>
      <c r="K1880" s="1"/>
    </row>
    <row r="1881" ht="15.75" customHeight="1">
      <c r="A1881" s="2">
        <v>1880.0</v>
      </c>
      <c r="B1881" s="1" t="s">
        <v>760</v>
      </c>
      <c r="C1881" s="1" t="s">
        <v>1471</v>
      </c>
      <c r="D1881" s="1" t="s">
        <v>5222</v>
      </c>
      <c r="E1881" s="2">
        <v>5.70038000562E11</v>
      </c>
      <c r="F1881" s="1" t="s">
        <v>5223</v>
      </c>
      <c r="G1881" s="1" t="s">
        <v>121</v>
      </c>
      <c r="H1881" s="3" t="s">
        <v>4873</v>
      </c>
      <c r="I1881" s="1"/>
      <c r="J1881" s="1"/>
      <c r="K1881" s="1"/>
    </row>
    <row r="1882" ht="15.75" customHeight="1">
      <c r="A1882" s="2">
        <v>1881.0</v>
      </c>
      <c r="B1882" s="1" t="s">
        <v>1249</v>
      </c>
      <c r="C1882" s="1" t="s">
        <v>5224</v>
      </c>
      <c r="D1882" s="1" t="s">
        <v>193</v>
      </c>
      <c r="E1882" s="2">
        <v>5.70038000564E11</v>
      </c>
      <c r="F1882" s="1" t="s">
        <v>194</v>
      </c>
      <c r="G1882" s="1" t="s">
        <v>24</v>
      </c>
      <c r="H1882" s="3" t="s">
        <v>5225</v>
      </c>
      <c r="I1882" s="1"/>
      <c r="J1882" s="1"/>
      <c r="K1882" s="1"/>
    </row>
    <row r="1883" ht="15.75" customHeight="1">
      <c r="A1883" s="2">
        <v>1882.0</v>
      </c>
      <c r="B1883" s="1" t="s">
        <v>1228</v>
      </c>
      <c r="C1883" s="1" t="s">
        <v>5226</v>
      </c>
      <c r="D1883" s="1" t="s">
        <v>217</v>
      </c>
      <c r="E1883" s="2">
        <v>5.70038000576E11</v>
      </c>
      <c r="F1883" s="1" t="s">
        <v>872</v>
      </c>
      <c r="G1883" s="1" t="s">
        <v>38</v>
      </c>
      <c r="H1883" s="3" t="s">
        <v>4873</v>
      </c>
      <c r="I1883" s="1"/>
      <c r="J1883" s="1"/>
      <c r="K1883" s="1"/>
    </row>
    <row r="1884" ht="15.75" customHeight="1">
      <c r="A1884" s="2">
        <v>1883.0</v>
      </c>
      <c r="B1884" s="1" t="s">
        <v>5227</v>
      </c>
      <c r="C1884" s="1" t="s">
        <v>5228</v>
      </c>
      <c r="D1884" s="1" t="s">
        <v>295</v>
      </c>
      <c r="E1884" s="2">
        <v>5.70038000577E11</v>
      </c>
      <c r="F1884" s="1" t="s">
        <v>5229</v>
      </c>
      <c r="G1884" s="1" t="s">
        <v>980</v>
      </c>
      <c r="H1884" s="3" t="s">
        <v>4873</v>
      </c>
      <c r="I1884" s="1"/>
      <c r="J1884" s="1"/>
      <c r="K1884" s="1"/>
    </row>
    <row r="1885" ht="15.75" customHeight="1">
      <c r="A1885" s="2">
        <v>1884.0</v>
      </c>
      <c r="B1885" s="1" t="s">
        <v>5230</v>
      </c>
      <c r="C1885" s="1" t="s">
        <v>5231</v>
      </c>
      <c r="D1885" s="1" t="s">
        <v>5232</v>
      </c>
      <c r="E1885" s="2">
        <v>5.7003800058E11</v>
      </c>
      <c r="F1885" s="1" t="s">
        <v>5233</v>
      </c>
      <c r="G1885" s="1" t="s">
        <v>5234</v>
      </c>
      <c r="H1885" s="3" t="s">
        <v>4873</v>
      </c>
      <c r="I1885" s="1"/>
      <c r="J1885" s="1"/>
      <c r="K1885" s="1"/>
    </row>
    <row r="1886" ht="15.75" customHeight="1">
      <c r="A1886" s="2">
        <v>1885.0</v>
      </c>
      <c r="B1886" s="1" t="s">
        <v>5235</v>
      </c>
      <c r="C1886" s="1" t="s">
        <v>5236</v>
      </c>
      <c r="D1886" s="1" t="s">
        <v>5237</v>
      </c>
      <c r="E1886" s="2">
        <v>5.70038000581E11</v>
      </c>
      <c r="F1886" s="1" t="s">
        <v>5238</v>
      </c>
      <c r="G1886" s="1" t="s">
        <v>5234</v>
      </c>
      <c r="H1886" s="3" t="s">
        <v>4873</v>
      </c>
      <c r="I1886" s="1"/>
      <c r="J1886" s="1"/>
      <c r="K1886" s="1"/>
    </row>
    <row r="1887" ht="15.75" customHeight="1">
      <c r="A1887" s="2">
        <v>1886.0</v>
      </c>
      <c r="B1887" s="1" t="s">
        <v>5239</v>
      </c>
      <c r="C1887" s="1" t="s">
        <v>5240</v>
      </c>
      <c r="D1887" s="1" t="s">
        <v>4995</v>
      </c>
      <c r="E1887" s="2">
        <v>5.70038000584E11</v>
      </c>
      <c r="F1887" s="1" t="s">
        <v>5241</v>
      </c>
      <c r="G1887" s="1" t="s">
        <v>47</v>
      </c>
      <c r="H1887" s="3" t="s">
        <v>4873</v>
      </c>
      <c r="I1887" s="1"/>
      <c r="J1887" s="1"/>
      <c r="K1887" s="1"/>
    </row>
    <row r="1888" ht="15.75" customHeight="1">
      <c r="A1888" s="2">
        <v>1887.0</v>
      </c>
      <c r="B1888" s="1" t="s">
        <v>1700</v>
      </c>
      <c r="C1888" s="1" t="s">
        <v>1214</v>
      </c>
      <c r="D1888" s="1" t="s">
        <v>5242</v>
      </c>
      <c r="E1888" s="2">
        <v>5.70038000585E11</v>
      </c>
      <c r="F1888" s="1" t="s">
        <v>5243</v>
      </c>
      <c r="G1888" s="1" t="s">
        <v>38</v>
      </c>
      <c r="H1888" s="3" t="s">
        <v>4873</v>
      </c>
      <c r="I1888" s="1"/>
      <c r="J1888" s="1"/>
      <c r="K1888" s="1"/>
    </row>
    <row r="1889" ht="15.75" customHeight="1">
      <c r="A1889" s="2">
        <v>1888.0</v>
      </c>
      <c r="B1889" s="1" t="s">
        <v>735</v>
      </c>
      <c r="C1889" s="1" t="s">
        <v>305</v>
      </c>
      <c r="D1889" s="1" t="s">
        <v>135</v>
      </c>
      <c r="E1889" s="2">
        <v>5.70038000587E11</v>
      </c>
      <c r="F1889" s="1" t="s">
        <v>5244</v>
      </c>
      <c r="G1889" s="1" t="s">
        <v>47</v>
      </c>
      <c r="H1889" s="3" t="s">
        <v>4873</v>
      </c>
      <c r="I1889" s="1"/>
      <c r="J1889" s="1"/>
      <c r="K1889" s="1"/>
    </row>
    <row r="1890" ht="15.75" customHeight="1">
      <c r="A1890" s="2">
        <v>1889.0</v>
      </c>
      <c r="B1890" s="1" t="s">
        <v>5245</v>
      </c>
      <c r="C1890" s="1" t="s">
        <v>180</v>
      </c>
      <c r="D1890" s="1" t="s">
        <v>5246</v>
      </c>
      <c r="E1890" s="2">
        <v>5.70038000592E11</v>
      </c>
      <c r="F1890" s="1" t="s">
        <v>5247</v>
      </c>
      <c r="G1890" s="1" t="s">
        <v>38</v>
      </c>
      <c r="H1890" s="3" t="s">
        <v>4873</v>
      </c>
      <c r="I1890" s="1"/>
      <c r="J1890" s="1"/>
      <c r="K1890" s="1"/>
    </row>
    <row r="1891" ht="15.75" customHeight="1">
      <c r="A1891" s="2">
        <v>1890.0</v>
      </c>
      <c r="B1891" s="1" t="s">
        <v>5248</v>
      </c>
      <c r="C1891" s="1" t="s">
        <v>1358</v>
      </c>
      <c r="D1891" s="1" t="s">
        <v>5249</v>
      </c>
      <c r="E1891" s="2">
        <v>5.70038000593E11</v>
      </c>
      <c r="F1891" s="1" t="s">
        <v>5250</v>
      </c>
      <c r="G1891" s="1" t="s">
        <v>47</v>
      </c>
      <c r="H1891" s="3" t="s">
        <v>4873</v>
      </c>
      <c r="I1891" s="1"/>
      <c r="J1891" s="1"/>
      <c r="K1891" s="1"/>
    </row>
    <row r="1892" ht="15.75" customHeight="1">
      <c r="A1892" s="2">
        <v>1891.0</v>
      </c>
      <c r="B1892" s="1" t="s">
        <v>106</v>
      </c>
      <c r="C1892" s="1" t="s">
        <v>557</v>
      </c>
      <c r="D1892" s="1" t="s">
        <v>2223</v>
      </c>
      <c r="E1892" s="2">
        <v>5.70038000596E11</v>
      </c>
      <c r="F1892" s="1" t="s">
        <v>5251</v>
      </c>
      <c r="G1892" s="1" t="s">
        <v>121</v>
      </c>
      <c r="H1892" s="3" t="s">
        <v>4873</v>
      </c>
      <c r="I1892" s="1"/>
      <c r="J1892" s="1"/>
      <c r="K1892" s="1"/>
    </row>
    <row r="1893" ht="15.75" customHeight="1">
      <c r="A1893" s="2">
        <v>1892.0</v>
      </c>
      <c r="B1893" s="1" t="s">
        <v>5252</v>
      </c>
      <c r="C1893" s="1" t="s">
        <v>488</v>
      </c>
      <c r="D1893" s="1" t="s">
        <v>5253</v>
      </c>
      <c r="E1893" s="2">
        <v>5.70038000599E11</v>
      </c>
      <c r="F1893" s="1" t="s">
        <v>5254</v>
      </c>
      <c r="G1893" s="1" t="s">
        <v>38</v>
      </c>
      <c r="H1893" s="3" t="s">
        <v>4873</v>
      </c>
      <c r="I1893" s="1"/>
      <c r="J1893" s="1"/>
      <c r="K1893" s="1"/>
    </row>
    <row r="1894" ht="15.75" customHeight="1">
      <c r="A1894" s="2">
        <v>1893.0</v>
      </c>
      <c r="B1894" s="1" t="s">
        <v>5255</v>
      </c>
      <c r="C1894" s="1" t="s">
        <v>1493</v>
      </c>
      <c r="D1894" s="1" t="s">
        <v>5256</v>
      </c>
      <c r="E1894" s="2">
        <v>5.70038000603E11</v>
      </c>
      <c r="F1894" s="1" t="s">
        <v>5257</v>
      </c>
      <c r="G1894" s="1" t="s">
        <v>38</v>
      </c>
      <c r="H1894" s="3" t="s">
        <v>4873</v>
      </c>
      <c r="I1894" s="1"/>
      <c r="J1894" s="1"/>
      <c r="K1894" s="1"/>
    </row>
    <row r="1895" ht="15.75" customHeight="1">
      <c r="A1895" s="2">
        <v>1894.0</v>
      </c>
      <c r="B1895" s="1" t="s">
        <v>1739</v>
      </c>
      <c r="C1895" s="1" t="s">
        <v>361</v>
      </c>
      <c r="D1895" s="1" t="s">
        <v>5258</v>
      </c>
      <c r="E1895" s="2">
        <v>5.70038000607E11</v>
      </c>
      <c r="F1895" s="1" t="s">
        <v>5134</v>
      </c>
      <c r="G1895" s="1" t="s">
        <v>24</v>
      </c>
      <c r="H1895" s="3" t="s">
        <v>4873</v>
      </c>
      <c r="I1895" s="1"/>
      <c r="J1895" s="1"/>
      <c r="K1895" s="1"/>
    </row>
    <row r="1896" ht="15.75" customHeight="1">
      <c r="A1896" s="2">
        <v>1895.0</v>
      </c>
      <c r="B1896" s="1" t="s">
        <v>195</v>
      </c>
      <c r="C1896" s="1" t="s">
        <v>699</v>
      </c>
      <c r="D1896" s="1" t="s">
        <v>5259</v>
      </c>
      <c r="E1896" s="2">
        <v>5.70038000611E11</v>
      </c>
      <c r="F1896" s="1" t="s">
        <v>5260</v>
      </c>
      <c r="G1896" s="1" t="s">
        <v>24</v>
      </c>
      <c r="H1896" s="3" t="s">
        <v>4873</v>
      </c>
      <c r="I1896" s="1"/>
      <c r="J1896" s="1"/>
      <c r="K1896" s="1"/>
    </row>
    <row r="1897" ht="15.75" customHeight="1">
      <c r="A1897" s="2">
        <v>1896.0</v>
      </c>
      <c r="B1897" s="1" t="s">
        <v>106</v>
      </c>
      <c r="C1897" s="1" t="s">
        <v>5261</v>
      </c>
      <c r="D1897" s="1" t="s">
        <v>5262</v>
      </c>
      <c r="E1897" s="2">
        <v>5.70038000616E11</v>
      </c>
      <c r="F1897" s="1" t="s">
        <v>5263</v>
      </c>
      <c r="G1897" s="1" t="s">
        <v>980</v>
      </c>
      <c r="H1897" s="3" t="s">
        <v>4873</v>
      </c>
      <c r="I1897" s="1"/>
      <c r="J1897" s="1"/>
      <c r="K1897" s="1"/>
    </row>
    <row r="1898" ht="15.75" customHeight="1">
      <c r="A1898" s="2">
        <v>1897.0</v>
      </c>
      <c r="B1898" s="1" t="s">
        <v>753</v>
      </c>
      <c r="C1898" s="1" t="s">
        <v>5264</v>
      </c>
      <c r="D1898" s="1" t="s">
        <v>5265</v>
      </c>
      <c r="E1898" s="2">
        <v>5.70038000617E11</v>
      </c>
      <c r="F1898" s="1" t="s">
        <v>5266</v>
      </c>
      <c r="G1898" s="1" t="s">
        <v>18</v>
      </c>
      <c r="H1898" s="3" t="s">
        <v>4873</v>
      </c>
      <c r="I1898" s="1"/>
      <c r="J1898" s="1"/>
      <c r="K1898" s="1"/>
    </row>
    <row r="1899" ht="15.75" customHeight="1">
      <c r="A1899" s="2">
        <v>1898.0</v>
      </c>
      <c r="B1899" s="1" t="s">
        <v>5267</v>
      </c>
      <c r="C1899" s="1" t="s">
        <v>1484</v>
      </c>
      <c r="D1899" s="1" t="s">
        <v>107</v>
      </c>
      <c r="E1899" s="2">
        <v>5.70038000618E11</v>
      </c>
      <c r="F1899" s="1" t="s">
        <v>5268</v>
      </c>
      <c r="G1899" s="1" t="s">
        <v>47</v>
      </c>
      <c r="H1899" s="3" t="s">
        <v>4873</v>
      </c>
      <c r="I1899" s="1"/>
      <c r="J1899" s="1"/>
      <c r="K1899" s="1"/>
    </row>
    <row r="1900" ht="15.75" customHeight="1">
      <c r="A1900" s="2">
        <v>1899.0</v>
      </c>
      <c r="B1900" s="1" t="s">
        <v>43</v>
      </c>
      <c r="C1900" s="1" t="s">
        <v>5269</v>
      </c>
      <c r="D1900" s="1" t="s">
        <v>4953</v>
      </c>
      <c r="E1900" s="2">
        <v>5.70038000624E11</v>
      </c>
      <c r="F1900" s="1" t="s">
        <v>5270</v>
      </c>
      <c r="G1900" s="1" t="s">
        <v>24</v>
      </c>
      <c r="H1900" s="3" t="s">
        <v>4873</v>
      </c>
      <c r="I1900" s="1"/>
      <c r="J1900" s="1"/>
      <c r="K1900" s="1"/>
    </row>
    <row r="1901" ht="15.75" customHeight="1">
      <c r="A1901" s="2">
        <v>1900.0</v>
      </c>
      <c r="B1901" s="1" t="s">
        <v>5271</v>
      </c>
      <c r="C1901" s="1" t="s">
        <v>503</v>
      </c>
      <c r="D1901" s="1" t="s">
        <v>1209</v>
      </c>
      <c r="E1901" s="2">
        <v>5.7003800063E11</v>
      </c>
      <c r="F1901" s="1" t="s">
        <v>5272</v>
      </c>
      <c r="G1901" s="1" t="s">
        <v>18</v>
      </c>
      <c r="H1901" s="3" t="s">
        <v>4873</v>
      </c>
      <c r="I1901" s="1"/>
      <c r="J1901" s="1"/>
      <c r="K1901" s="1"/>
    </row>
    <row r="1902" ht="15.75" customHeight="1">
      <c r="A1902" s="2">
        <v>1901.0</v>
      </c>
      <c r="B1902" s="1" t="s">
        <v>5273</v>
      </c>
      <c r="C1902" s="1" t="s">
        <v>4966</v>
      </c>
      <c r="D1902" s="1" t="s">
        <v>5274</v>
      </c>
      <c r="E1902" s="2">
        <v>5.70038000631E11</v>
      </c>
      <c r="F1902" s="1" t="s">
        <v>5275</v>
      </c>
      <c r="G1902" s="1" t="s">
        <v>47</v>
      </c>
      <c r="H1902" s="3" t="s">
        <v>4873</v>
      </c>
      <c r="I1902" s="1"/>
      <c r="J1902" s="1"/>
      <c r="K1902" s="1"/>
    </row>
    <row r="1903" ht="15.75" customHeight="1">
      <c r="A1903" s="2">
        <v>1902.0</v>
      </c>
      <c r="B1903" s="1" t="s">
        <v>5276</v>
      </c>
      <c r="C1903" s="1" t="s">
        <v>3078</v>
      </c>
      <c r="D1903" s="1" t="s">
        <v>5277</v>
      </c>
      <c r="E1903" s="2">
        <v>5.70038000632E11</v>
      </c>
      <c r="F1903" s="1" t="s">
        <v>5278</v>
      </c>
      <c r="G1903" s="1" t="s">
        <v>24</v>
      </c>
      <c r="H1903" s="3" t="s">
        <v>5279</v>
      </c>
      <c r="I1903" s="1"/>
      <c r="J1903" s="1"/>
      <c r="K1903" s="1"/>
    </row>
    <row r="1904" ht="15.75" customHeight="1">
      <c r="A1904" s="2">
        <v>1903.0</v>
      </c>
      <c r="B1904" s="1" t="s">
        <v>410</v>
      </c>
      <c r="C1904" s="1" t="s">
        <v>257</v>
      </c>
      <c r="D1904" s="1" t="s">
        <v>135</v>
      </c>
      <c r="E1904" s="2">
        <v>5.70038000633E11</v>
      </c>
      <c r="F1904" s="1" t="s">
        <v>5280</v>
      </c>
      <c r="G1904" s="1" t="s">
        <v>38</v>
      </c>
      <c r="H1904" s="3" t="s">
        <v>5279</v>
      </c>
      <c r="I1904" s="1"/>
      <c r="J1904" s="1"/>
      <c r="K1904" s="1"/>
    </row>
    <row r="1905" ht="15.75" customHeight="1">
      <c r="A1905" s="2">
        <v>1904.0</v>
      </c>
      <c r="B1905" s="1" t="s">
        <v>902</v>
      </c>
      <c r="C1905" s="1" t="s">
        <v>106</v>
      </c>
      <c r="D1905" s="1" t="s">
        <v>5281</v>
      </c>
      <c r="E1905" s="2">
        <v>5.70038000634E11</v>
      </c>
      <c r="F1905" s="1" t="s">
        <v>5129</v>
      </c>
      <c r="G1905" s="1" t="s">
        <v>24</v>
      </c>
      <c r="H1905" s="3" t="s">
        <v>4873</v>
      </c>
      <c r="I1905" s="1"/>
      <c r="J1905" s="1"/>
      <c r="K1905" s="1"/>
    </row>
    <row r="1906" ht="15.75" customHeight="1">
      <c r="A1906" s="2">
        <v>1905.0</v>
      </c>
      <c r="B1906" s="1" t="s">
        <v>5282</v>
      </c>
      <c r="C1906" s="1" t="s">
        <v>106</v>
      </c>
      <c r="D1906" s="1" t="s">
        <v>5281</v>
      </c>
      <c r="E1906" s="2">
        <v>5.70038000635E11</v>
      </c>
      <c r="F1906" s="1" t="s">
        <v>5283</v>
      </c>
      <c r="G1906" s="1" t="s">
        <v>5234</v>
      </c>
      <c r="H1906" s="3" t="s">
        <v>4873</v>
      </c>
      <c r="I1906" s="1"/>
      <c r="J1906" s="1"/>
      <c r="K1906" s="1"/>
    </row>
    <row r="1907" ht="15.75" customHeight="1">
      <c r="A1907" s="2">
        <v>1906.0</v>
      </c>
      <c r="B1907" s="1" t="s">
        <v>5282</v>
      </c>
      <c r="C1907" s="1" t="s">
        <v>5284</v>
      </c>
      <c r="D1907" s="1" t="s">
        <v>5285</v>
      </c>
      <c r="E1907" s="2">
        <v>5.70038000636E11</v>
      </c>
      <c r="F1907" s="1" t="s">
        <v>5286</v>
      </c>
      <c r="G1907" s="1" t="s">
        <v>121</v>
      </c>
      <c r="H1907" s="3" t="s">
        <v>4873</v>
      </c>
      <c r="I1907" s="1"/>
      <c r="J1907" s="1"/>
      <c r="K1907" s="1"/>
    </row>
    <row r="1908" ht="15.75" customHeight="1">
      <c r="A1908" s="2">
        <v>1907.0</v>
      </c>
      <c r="B1908" s="1" t="s">
        <v>5287</v>
      </c>
      <c r="C1908" s="1" t="s">
        <v>3345</v>
      </c>
      <c r="D1908" s="1" t="s">
        <v>5288</v>
      </c>
      <c r="E1908" s="2">
        <v>5.70038000637E11</v>
      </c>
      <c r="F1908" s="1" t="s">
        <v>5160</v>
      </c>
      <c r="G1908" s="1" t="s">
        <v>38</v>
      </c>
      <c r="H1908" s="3" t="s">
        <v>4873</v>
      </c>
      <c r="I1908" s="1"/>
      <c r="J1908" s="1"/>
      <c r="K1908" s="1"/>
    </row>
    <row r="1909" ht="15.75" customHeight="1">
      <c r="A1909" s="2">
        <v>1908.0</v>
      </c>
      <c r="B1909" s="1" t="s">
        <v>5289</v>
      </c>
      <c r="C1909" s="1" t="s">
        <v>149</v>
      </c>
      <c r="D1909" s="1" t="s">
        <v>5290</v>
      </c>
      <c r="E1909" s="2">
        <v>5.70038000641E11</v>
      </c>
      <c r="F1909" s="1" t="s">
        <v>5291</v>
      </c>
      <c r="G1909" s="1" t="s">
        <v>24</v>
      </c>
      <c r="H1909" s="3" t="s">
        <v>4873</v>
      </c>
      <c r="I1909" s="1"/>
      <c r="J1909" s="1"/>
      <c r="K1909" s="1"/>
    </row>
    <row r="1910" ht="15.75" customHeight="1">
      <c r="A1910" s="2">
        <v>1909.0</v>
      </c>
      <c r="B1910" s="1" t="s">
        <v>5292</v>
      </c>
      <c r="C1910" s="1" t="s">
        <v>330</v>
      </c>
      <c r="D1910" s="1" t="s">
        <v>1786</v>
      </c>
      <c r="E1910" s="2">
        <v>5.70038000643E11</v>
      </c>
      <c r="F1910" s="1" t="s">
        <v>5293</v>
      </c>
      <c r="G1910" s="1" t="s">
        <v>121</v>
      </c>
      <c r="H1910" s="3" t="s">
        <v>4873</v>
      </c>
      <c r="I1910" s="1"/>
      <c r="J1910" s="1"/>
      <c r="K1910" s="1"/>
    </row>
    <row r="1911" ht="15.75" customHeight="1">
      <c r="A1911" s="2">
        <v>1910.0</v>
      </c>
      <c r="B1911" s="1" t="s">
        <v>5294</v>
      </c>
      <c r="C1911" s="1" t="s">
        <v>682</v>
      </c>
      <c r="D1911" s="1" t="s">
        <v>5295</v>
      </c>
      <c r="E1911" s="2">
        <v>5.70038000644E11</v>
      </c>
      <c r="F1911" s="1" t="s">
        <v>5296</v>
      </c>
      <c r="G1911" s="1" t="s">
        <v>121</v>
      </c>
      <c r="H1911" s="3" t="s">
        <v>4873</v>
      </c>
      <c r="I1911" s="1"/>
      <c r="J1911" s="1"/>
      <c r="K1911" s="1"/>
    </row>
    <row r="1912" ht="15.75" customHeight="1">
      <c r="A1912" s="2">
        <v>1911.0</v>
      </c>
      <c r="B1912" s="1" t="s">
        <v>285</v>
      </c>
      <c r="C1912" s="1" t="s">
        <v>5297</v>
      </c>
      <c r="D1912" s="1" t="s">
        <v>68</v>
      </c>
      <c r="E1912" s="2">
        <v>5.70038000645E11</v>
      </c>
      <c r="F1912" s="1" t="s">
        <v>5298</v>
      </c>
      <c r="G1912" s="1" t="s">
        <v>90</v>
      </c>
      <c r="H1912" s="3" t="s">
        <v>4873</v>
      </c>
      <c r="I1912" s="1"/>
      <c r="J1912" s="1"/>
      <c r="K1912" s="1"/>
    </row>
    <row r="1913" ht="15.75" customHeight="1">
      <c r="A1913" s="2">
        <v>1912.0</v>
      </c>
      <c r="B1913" s="1" t="s">
        <v>3191</v>
      </c>
      <c r="C1913" s="1" t="s">
        <v>2480</v>
      </c>
      <c r="D1913" s="1" t="s">
        <v>5299</v>
      </c>
      <c r="E1913" s="2">
        <v>5.7003800065E11</v>
      </c>
      <c r="F1913" s="1" t="s">
        <v>5300</v>
      </c>
      <c r="G1913" s="1" t="s">
        <v>143</v>
      </c>
      <c r="H1913" s="3" t="s">
        <v>4873</v>
      </c>
      <c r="I1913" s="1"/>
      <c r="J1913" s="1"/>
      <c r="K1913" s="1"/>
    </row>
    <row r="1914" ht="15.75" customHeight="1">
      <c r="A1914" s="2">
        <v>1913.0</v>
      </c>
      <c r="B1914" s="1" t="s">
        <v>79</v>
      </c>
      <c r="C1914" s="1" t="s">
        <v>845</v>
      </c>
      <c r="D1914" s="1" t="s">
        <v>5301</v>
      </c>
      <c r="E1914" s="2">
        <v>5.70038000651E11</v>
      </c>
      <c r="F1914" s="1" t="s">
        <v>5302</v>
      </c>
      <c r="G1914" s="1" t="s">
        <v>121</v>
      </c>
      <c r="H1914" s="3" t="s">
        <v>4873</v>
      </c>
      <c r="I1914" s="1"/>
      <c r="J1914" s="1"/>
      <c r="K1914" s="1"/>
    </row>
    <row r="1915" ht="15.75" customHeight="1">
      <c r="A1915" s="2">
        <v>1914.0</v>
      </c>
      <c r="B1915" s="1" t="s">
        <v>5303</v>
      </c>
      <c r="C1915" s="1" t="s">
        <v>5304</v>
      </c>
      <c r="D1915" s="1" t="s">
        <v>2421</v>
      </c>
      <c r="E1915" s="2">
        <v>5.70038000655E11</v>
      </c>
      <c r="F1915" s="1" t="s">
        <v>5305</v>
      </c>
      <c r="G1915" s="1" t="s">
        <v>47</v>
      </c>
      <c r="H1915" s="3" t="s">
        <v>4873</v>
      </c>
      <c r="I1915" s="1"/>
      <c r="J1915" s="1"/>
      <c r="K1915" s="1"/>
    </row>
    <row r="1916" ht="15.75" customHeight="1">
      <c r="A1916" s="2">
        <v>1915.0</v>
      </c>
      <c r="B1916" s="1" t="s">
        <v>123</v>
      </c>
      <c r="C1916" s="1" t="s">
        <v>5306</v>
      </c>
      <c r="D1916" s="1" t="s">
        <v>3269</v>
      </c>
      <c r="E1916" s="2">
        <v>5.70038000658E11</v>
      </c>
      <c r="F1916" s="1" t="s">
        <v>5307</v>
      </c>
      <c r="G1916" s="1" t="s">
        <v>47</v>
      </c>
      <c r="H1916" s="3" t="s">
        <v>4873</v>
      </c>
      <c r="I1916" s="1"/>
      <c r="J1916" s="1"/>
      <c r="K1916" s="1"/>
    </row>
    <row r="1917" ht="15.75" customHeight="1">
      <c r="A1917" s="2">
        <v>1916.0</v>
      </c>
      <c r="B1917" s="1" t="s">
        <v>5308</v>
      </c>
      <c r="C1917" s="1" t="s">
        <v>5309</v>
      </c>
      <c r="D1917" s="1" t="s">
        <v>5310</v>
      </c>
      <c r="E1917" s="2">
        <v>5.70038000659E11</v>
      </c>
      <c r="F1917" s="1" t="s">
        <v>5311</v>
      </c>
      <c r="G1917" s="1" t="s">
        <v>5312</v>
      </c>
      <c r="H1917" s="3" t="s">
        <v>4873</v>
      </c>
      <c r="I1917" s="1"/>
      <c r="J1917" s="1"/>
      <c r="K1917" s="1"/>
    </row>
    <row r="1918" ht="15.75" customHeight="1">
      <c r="A1918" s="2">
        <v>1917.0</v>
      </c>
      <c r="B1918" s="1" t="s">
        <v>5313</v>
      </c>
      <c r="C1918" s="1" t="s">
        <v>5314</v>
      </c>
      <c r="D1918" s="1" t="s">
        <v>5315</v>
      </c>
      <c r="E1918" s="2">
        <v>5.70038000663E11</v>
      </c>
      <c r="F1918" s="1" t="s">
        <v>5316</v>
      </c>
      <c r="G1918" s="1" t="s">
        <v>143</v>
      </c>
      <c r="H1918" s="3" t="s">
        <v>4873</v>
      </c>
      <c r="I1918" s="1"/>
      <c r="J1918" s="1"/>
      <c r="K1918" s="1"/>
    </row>
    <row r="1919" ht="15.75" customHeight="1">
      <c r="A1919" s="2">
        <v>1918.0</v>
      </c>
      <c r="B1919" s="1" t="s">
        <v>848</v>
      </c>
      <c r="C1919" s="1" t="s">
        <v>780</v>
      </c>
      <c r="D1919" s="1" t="s">
        <v>970</v>
      </c>
      <c r="E1919" s="2">
        <v>5.70038000678E11</v>
      </c>
      <c r="F1919" s="1" t="s">
        <v>5317</v>
      </c>
      <c r="G1919" s="1" t="s">
        <v>47</v>
      </c>
      <c r="H1919" s="3" t="s">
        <v>4873</v>
      </c>
      <c r="I1919" s="1"/>
      <c r="J1919" s="1"/>
      <c r="K1919" s="1"/>
    </row>
    <row r="1920" ht="15.75" customHeight="1">
      <c r="A1920" s="2">
        <v>1919.0</v>
      </c>
      <c r="B1920" s="1" t="s">
        <v>5318</v>
      </c>
      <c r="C1920" s="1" t="s">
        <v>2233</v>
      </c>
      <c r="D1920" s="1" t="s">
        <v>5319</v>
      </c>
      <c r="E1920" s="2">
        <v>5.7003800068E11</v>
      </c>
      <c r="F1920" s="1" t="s">
        <v>5320</v>
      </c>
      <c r="G1920" s="1" t="s">
        <v>121</v>
      </c>
      <c r="H1920" s="3" t="s">
        <v>4873</v>
      </c>
      <c r="I1920" s="1"/>
      <c r="J1920" s="1"/>
      <c r="K1920" s="1"/>
    </row>
    <row r="1921" ht="15.75" customHeight="1">
      <c r="A1921" s="2">
        <v>1920.0</v>
      </c>
      <c r="B1921" s="1" t="s">
        <v>5321</v>
      </c>
      <c r="C1921" s="1" t="s">
        <v>2181</v>
      </c>
      <c r="D1921" s="1" t="s">
        <v>5322</v>
      </c>
      <c r="E1921" s="2">
        <v>5.70038000682E11</v>
      </c>
      <c r="F1921" s="1" t="s">
        <v>5323</v>
      </c>
      <c r="G1921" s="1" t="s">
        <v>47</v>
      </c>
      <c r="H1921" s="3" t="s">
        <v>4873</v>
      </c>
      <c r="I1921" s="1"/>
      <c r="J1921" s="1"/>
      <c r="K1921" s="1"/>
    </row>
    <row r="1922" ht="15.75" customHeight="1">
      <c r="A1922" s="2">
        <v>1921.0</v>
      </c>
      <c r="B1922" s="1" t="s">
        <v>5324</v>
      </c>
      <c r="C1922" s="1" t="s">
        <v>315</v>
      </c>
      <c r="D1922" s="1" t="s">
        <v>5325</v>
      </c>
      <c r="E1922" s="2">
        <v>5.70038000684E11</v>
      </c>
      <c r="F1922" s="1" t="s">
        <v>5326</v>
      </c>
      <c r="G1922" s="1" t="s">
        <v>47</v>
      </c>
      <c r="H1922" s="3" t="s">
        <v>5327</v>
      </c>
      <c r="I1922" s="1"/>
      <c r="J1922" s="1"/>
      <c r="K1922" s="1"/>
    </row>
    <row r="1923" ht="15.75" customHeight="1">
      <c r="A1923" s="2">
        <v>1922.0</v>
      </c>
      <c r="B1923" s="1" t="s">
        <v>559</v>
      </c>
      <c r="C1923" s="1" t="s">
        <v>5328</v>
      </c>
      <c r="D1923" s="1" t="s">
        <v>5329</v>
      </c>
      <c r="E1923" s="2">
        <v>5.70038000685E11</v>
      </c>
      <c r="F1923" s="1" t="s">
        <v>5317</v>
      </c>
      <c r="G1923" s="1" t="s">
        <v>24</v>
      </c>
      <c r="H1923" s="3" t="s">
        <v>4873</v>
      </c>
      <c r="I1923" s="1"/>
      <c r="J1923" s="1"/>
      <c r="K1923" s="1"/>
    </row>
    <row r="1924" ht="15.75" customHeight="1">
      <c r="A1924" s="2">
        <v>1923.0</v>
      </c>
      <c r="B1924" s="1" t="s">
        <v>827</v>
      </c>
      <c r="C1924" s="1" t="s">
        <v>2088</v>
      </c>
      <c r="D1924" s="1" t="s">
        <v>5242</v>
      </c>
      <c r="E1924" s="2">
        <v>5.70038000686E11</v>
      </c>
      <c r="F1924" s="1" t="s">
        <v>5330</v>
      </c>
      <c r="G1924" s="1" t="s">
        <v>121</v>
      </c>
      <c r="H1924" s="3" t="s">
        <v>4873</v>
      </c>
      <c r="I1924" s="1"/>
      <c r="J1924" s="1"/>
      <c r="K1924" s="1"/>
    </row>
    <row r="1925" ht="15.75" customHeight="1">
      <c r="A1925" s="2">
        <v>1924.0</v>
      </c>
      <c r="B1925" s="1" t="s">
        <v>5331</v>
      </c>
      <c r="C1925" s="1" t="s">
        <v>1315</v>
      </c>
      <c r="D1925" s="1" t="s">
        <v>5332</v>
      </c>
      <c r="E1925" s="2">
        <v>5.70038000687E11</v>
      </c>
      <c r="F1925" s="1" t="s">
        <v>5333</v>
      </c>
      <c r="G1925" s="1" t="s">
        <v>47</v>
      </c>
      <c r="H1925" s="3" t="s">
        <v>4873</v>
      </c>
      <c r="I1925" s="1"/>
      <c r="J1925" s="1"/>
      <c r="K1925" s="1"/>
    </row>
    <row r="1926" ht="15.75" customHeight="1">
      <c r="A1926" s="2">
        <v>1925.0</v>
      </c>
      <c r="B1926" s="1" t="s">
        <v>311</v>
      </c>
      <c r="C1926" s="1" t="s">
        <v>1329</v>
      </c>
      <c r="D1926" s="1" t="s">
        <v>5334</v>
      </c>
      <c r="E1926" s="2">
        <v>5.70038000688E11</v>
      </c>
      <c r="F1926" s="1" t="s">
        <v>5335</v>
      </c>
      <c r="G1926" s="1" t="s">
        <v>38</v>
      </c>
      <c r="H1926" s="3" t="s">
        <v>4873</v>
      </c>
      <c r="I1926" s="1"/>
      <c r="J1926" s="1"/>
      <c r="K1926" s="1"/>
    </row>
    <row r="1927" ht="15.75" customHeight="1">
      <c r="A1927" s="2">
        <v>1926.0</v>
      </c>
      <c r="B1927" s="1" t="s">
        <v>5336</v>
      </c>
      <c r="C1927" s="1" t="s">
        <v>330</v>
      </c>
      <c r="D1927" s="1" t="s">
        <v>5337</v>
      </c>
      <c r="E1927" s="2">
        <v>5.70038000689E11</v>
      </c>
      <c r="F1927" s="1" t="s">
        <v>5338</v>
      </c>
      <c r="G1927" s="1" t="s">
        <v>121</v>
      </c>
      <c r="H1927" s="3" t="s">
        <v>4873</v>
      </c>
      <c r="I1927" s="1"/>
      <c r="J1927" s="1"/>
      <c r="K1927" s="1"/>
    </row>
    <row r="1928" ht="15.75" customHeight="1">
      <c r="A1928" s="2">
        <v>1927.0</v>
      </c>
      <c r="B1928" s="1" t="s">
        <v>5339</v>
      </c>
      <c r="C1928" s="1" t="s">
        <v>5340</v>
      </c>
      <c r="D1928" s="1" t="s">
        <v>331</v>
      </c>
      <c r="E1928" s="2">
        <v>5.70038000691E11</v>
      </c>
      <c r="F1928" s="1" t="s">
        <v>5317</v>
      </c>
      <c r="G1928" s="1" t="s">
        <v>121</v>
      </c>
      <c r="H1928" s="3" t="s">
        <v>5327</v>
      </c>
      <c r="I1928" s="1"/>
      <c r="J1928" s="1"/>
      <c r="K1928" s="1"/>
    </row>
    <row r="1929" ht="15.75" customHeight="1">
      <c r="A1929" s="2">
        <v>1928.0</v>
      </c>
      <c r="B1929" s="1" t="s">
        <v>5341</v>
      </c>
      <c r="C1929" s="1" t="s">
        <v>542</v>
      </c>
      <c r="D1929" s="1" t="s">
        <v>3492</v>
      </c>
      <c r="E1929" s="2">
        <v>5.70038000692E11</v>
      </c>
      <c r="F1929" s="1" t="s">
        <v>5342</v>
      </c>
      <c r="G1929" s="1" t="s">
        <v>47</v>
      </c>
      <c r="H1929" s="3" t="s">
        <v>4873</v>
      </c>
      <c r="I1929" s="1"/>
      <c r="J1929" s="1"/>
      <c r="K1929" s="1"/>
    </row>
    <row r="1930" ht="15.75" customHeight="1">
      <c r="A1930" s="2">
        <v>1929.0</v>
      </c>
      <c r="B1930" s="1" t="s">
        <v>5343</v>
      </c>
      <c r="C1930" s="1" t="s">
        <v>2204</v>
      </c>
      <c r="D1930" s="1" t="s">
        <v>5344</v>
      </c>
      <c r="E1930" s="2">
        <v>5.70038000693E11</v>
      </c>
      <c r="F1930" s="1" t="s">
        <v>5345</v>
      </c>
      <c r="G1930" s="1" t="s">
        <v>121</v>
      </c>
      <c r="H1930" s="3" t="s">
        <v>4873</v>
      </c>
      <c r="I1930" s="1"/>
      <c r="J1930" s="1"/>
      <c r="K1930" s="1"/>
    </row>
    <row r="1931" ht="15.75" customHeight="1">
      <c r="A1931" s="2">
        <v>1930.0</v>
      </c>
      <c r="B1931" s="1" t="s">
        <v>5346</v>
      </c>
      <c r="C1931" s="1" t="s">
        <v>5347</v>
      </c>
      <c r="D1931" s="1" t="s">
        <v>5348</v>
      </c>
      <c r="E1931" s="2">
        <v>5.70038000696E11</v>
      </c>
      <c r="F1931" s="1" t="s">
        <v>5349</v>
      </c>
      <c r="G1931" s="1" t="s">
        <v>18</v>
      </c>
      <c r="H1931" s="3" t="s">
        <v>4873</v>
      </c>
      <c r="I1931" s="1"/>
      <c r="J1931" s="1"/>
      <c r="K1931" s="1"/>
    </row>
    <row r="1932" ht="15.75" customHeight="1">
      <c r="A1932" s="2">
        <v>1931.0</v>
      </c>
      <c r="B1932" s="1" t="s">
        <v>827</v>
      </c>
      <c r="C1932" s="1" t="s">
        <v>5350</v>
      </c>
      <c r="D1932" s="1" t="s">
        <v>685</v>
      </c>
      <c r="E1932" s="2">
        <v>5.700380007E11</v>
      </c>
      <c r="F1932" s="1" t="s">
        <v>5351</v>
      </c>
      <c r="G1932" s="1" t="s">
        <v>121</v>
      </c>
      <c r="H1932" s="3" t="s">
        <v>4873</v>
      </c>
      <c r="I1932" s="1"/>
      <c r="J1932" s="1"/>
      <c r="K1932" s="1"/>
    </row>
    <row r="1933" ht="15.75" customHeight="1">
      <c r="A1933" s="2">
        <v>1932.0</v>
      </c>
      <c r="B1933" s="1" t="s">
        <v>1679</v>
      </c>
      <c r="C1933" s="1" t="s">
        <v>2759</v>
      </c>
      <c r="D1933" s="1" t="s">
        <v>261</v>
      </c>
      <c r="E1933" s="2">
        <v>5.70038000706E11</v>
      </c>
      <c r="F1933" s="1" t="s">
        <v>5352</v>
      </c>
      <c r="G1933" s="1" t="s">
        <v>121</v>
      </c>
      <c r="H1933" s="3" t="s">
        <v>4873</v>
      </c>
      <c r="I1933" s="1"/>
      <c r="J1933" s="1"/>
      <c r="K1933" s="1"/>
    </row>
    <row r="1934" ht="15.75" customHeight="1">
      <c r="A1934" s="2">
        <v>1933.0</v>
      </c>
      <c r="B1934" s="1" t="s">
        <v>5353</v>
      </c>
      <c r="C1934" s="1" t="s">
        <v>66</v>
      </c>
      <c r="D1934" s="1" t="s">
        <v>5354</v>
      </c>
      <c r="E1934" s="2">
        <v>5.70038000708E11</v>
      </c>
      <c r="F1934" s="1" t="s">
        <v>5355</v>
      </c>
      <c r="G1934" s="1" t="s">
        <v>121</v>
      </c>
      <c r="H1934" s="3" t="s">
        <v>4873</v>
      </c>
      <c r="I1934" s="1"/>
      <c r="J1934" s="1"/>
      <c r="K1934" s="1"/>
    </row>
    <row r="1935" ht="15.75" customHeight="1">
      <c r="A1935" s="2">
        <v>1934.0</v>
      </c>
      <c r="B1935" s="1" t="s">
        <v>5356</v>
      </c>
      <c r="C1935" s="1" t="s">
        <v>3450</v>
      </c>
      <c r="D1935" s="1" t="s">
        <v>2223</v>
      </c>
      <c r="E1935" s="2">
        <v>5.70038000709E11</v>
      </c>
      <c r="F1935" s="1" t="s">
        <v>5357</v>
      </c>
      <c r="G1935" s="1" t="s">
        <v>47</v>
      </c>
      <c r="H1935" s="3" t="s">
        <v>4873</v>
      </c>
      <c r="I1935" s="1"/>
      <c r="J1935" s="1"/>
      <c r="K1935" s="1"/>
    </row>
    <row r="1936" ht="15.75" customHeight="1">
      <c r="A1936" s="2">
        <v>1935.0</v>
      </c>
      <c r="B1936" s="1" t="s">
        <v>514</v>
      </c>
      <c r="C1936" s="1" t="s">
        <v>192</v>
      </c>
      <c r="D1936" s="1" t="s">
        <v>115</v>
      </c>
      <c r="E1936" s="2">
        <v>5.70038000711E11</v>
      </c>
      <c r="F1936" s="1" t="s">
        <v>5358</v>
      </c>
      <c r="G1936" s="1" t="s">
        <v>121</v>
      </c>
      <c r="H1936" s="3" t="s">
        <v>4873</v>
      </c>
      <c r="I1936" s="1"/>
      <c r="J1936" s="1"/>
      <c r="K1936" s="1"/>
    </row>
    <row r="1937" ht="15.75" customHeight="1">
      <c r="A1937" s="2">
        <v>1936.0</v>
      </c>
      <c r="B1937" s="1" t="s">
        <v>5359</v>
      </c>
      <c r="C1937" s="1" t="s">
        <v>5360</v>
      </c>
      <c r="D1937" s="1" t="s">
        <v>2223</v>
      </c>
      <c r="E1937" s="2">
        <v>5.70038000712E11</v>
      </c>
      <c r="F1937" s="1" t="s">
        <v>5361</v>
      </c>
      <c r="G1937" s="1" t="s">
        <v>121</v>
      </c>
      <c r="H1937" s="3" t="s">
        <v>4873</v>
      </c>
      <c r="I1937" s="1"/>
      <c r="J1937" s="1"/>
      <c r="K1937" s="1"/>
    </row>
    <row r="1938" ht="15.75" customHeight="1">
      <c r="A1938" s="2">
        <v>1937.0</v>
      </c>
      <c r="B1938" s="1" t="s">
        <v>514</v>
      </c>
      <c r="C1938" s="1" t="s">
        <v>1760</v>
      </c>
      <c r="D1938" s="1" t="s">
        <v>196</v>
      </c>
      <c r="E1938" s="2">
        <v>5.70038000713E11</v>
      </c>
      <c r="F1938" s="1" t="s">
        <v>5362</v>
      </c>
      <c r="G1938" s="1" t="s">
        <v>121</v>
      </c>
      <c r="H1938" s="3" t="s">
        <v>4873</v>
      </c>
      <c r="I1938" s="1"/>
      <c r="J1938" s="1"/>
      <c r="K1938" s="1"/>
    </row>
    <row r="1939" ht="15.75" customHeight="1">
      <c r="A1939" s="2">
        <v>1938.0</v>
      </c>
      <c r="B1939" s="1" t="s">
        <v>5363</v>
      </c>
      <c r="C1939" s="1" t="s">
        <v>66</v>
      </c>
      <c r="D1939" s="1" t="s">
        <v>62</v>
      </c>
      <c r="E1939" s="2">
        <v>5.70038000714E11</v>
      </c>
      <c r="F1939" s="1" t="s">
        <v>5364</v>
      </c>
      <c r="G1939" s="1" t="s">
        <v>24</v>
      </c>
      <c r="H1939" s="3" t="s">
        <v>4873</v>
      </c>
      <c r="I1939" s="1"/>
      <c r="J1939" s="1"/>
      <c r="K1939" s="1"/>
    </row>
    <row r="1940" ht="15.75" customHeight="1">
      <c r="A1940" s="2">
        <v>1939.0</v>
      </c>
      <c r="B1940" s="1" t="s">
        <v>4870</v>
      </c>
      <c r="C1940" s="1" t="s">
        <v>5365</v>
      </c>
      <c r="D1940" s="1" t="s">
        <v>5366</v>
      </c>
      <c r="E1940" s="2">
        <v>5.70038000715E11</v>
      </c>
      <c r="F1940" s="1" t="s">
        <v>5367</v>
      </c>
      <c r="G1940" s="1" t="s">
        <v>121</v>
      </c>
      <c r="H1940" s="3" t="s">
        <v>4873</v>
      </c>
      <c r="I1940" s="1"/>
      <c r="J1940" s="1"/>
      <c r="K1940" s="1"/>
    </row>
    <row r="1941" ht="15.75" customHeight="1">
      <c r="A1941" s="2">
        <v>1940.0</v>
      </c>
      <c r="B1941" s="1" t="s">
        <v>5368</v>
      </c>
      <c r="C1941" s="1" t="s">
        <v>5365</v>
      </c>
      <c r="D1941" s="1" t="s">
        <v>5158</v>
      </c>
      <c r="E1941" s="2">
        <v>5.70038000716E11</v>
      </c>
      <c r="F1941" s="1" t="s">
        <v>5369</v>
      </c>
      <c r="G1941" s="1" t="s">
        <v>121</v>
      </c>
      <c r="H1941" s="3" t="s">
        <v>4873</v>
      </c>
      <c r="I1941" s="1"/>
      <c r="J1941" s="1"/>
      <c r="K1941" s="1"/>
    </row>
    <row r="1942" ht="15.75" customHeight="1">
      <c r="A1942" s="2">
        <v>1941.0</v>
      </c>
      <c r="B1942" s="1" t="s">
        <v>1665</v>
      </c>
      <c r="C1942" s="1" t="s">
        <v>5365</v>
      </c>
      <c r="D1942" s="1" t="s">
        <v>3636</v>
      </c>
      <c r="E1942" s="2">
        <v>5.70038000717E11</v>
      </c>
      <c r="F1942" s="1" t="s">
        <v>5370</v>
      </c>
      <c r="G1942" s="1" t="s">
        <v>47</v>
      </c>
      <c r="H1942" s="3" t="s">
        <v>4873</v>
      </c>
      <c r="I1942" s="1"/>
      <c r="J1942" s="1"/>
      <c r="K1942" s="1"/>
    </row>
    <row r="1943" ht="15.75" customHeight="1">
      <c r="A1943" s="2">
        <v>1942.0</v>
      </c>
      <c r="B1943" s="1" t="s">
        <v>1183</v>
      </c>
      <c r="C1943" s="1" t="s">
        <v>2642</v>
      </c>
      <c r="D1943" s="1" t="s">
        <v>5371</v>
      </c>
      <c r="E1943" s="2">
        <v>5.70038000719E11</v>
      </c>
      <c r="F1943" s="1" t="s">
        <v>5372</v>
      </c>
      <c r="G1943" s="1" t="s">
        <v>143</v>
      </c>
      <c r="H1943" s="3" t="s">
        <v>4873</v>
      </c>
      <c r="I1943" s="1"/>
      <c r="J1943" s="1"/>
      <c r="K1943" s="1"/>
    </row>
    <row r="1944" ht="15.75" customHeight="1">
      <c r="A1944" s="2">
        <v>1943.0</v>
      </c>
      <c r="B1944" s="1" t="s">
        <v>5373</v>
      </c>
      <c r="C1944" s="1" t="s">
        <v>5374</v>
      </c>
      <c r="D1944" s="1" t="s">
        <v>5375</v>
      </c>
      <c r="E1944" s="2">
        <v>5.70038000685E11</v>
      </c>
      <c r="F1944" s="1" t="s">
        <v>5376</v>
      </c>
      <c r="G1944" s="1" t="s">
        <v>24</v>
      </c>
      <c r="H1944" s="3" t="s">
        <v>4873</v>
      </c>
      <c r="I1944" s="1"/>
      <c r="J1944" s="1"/>
      <c r="K1944" s="1"/>
    </row>
    <row r="1945" ht="15.75" customHeight="1">
      <c r="A1945" s="2">
        <v>1944.0</v>
      </c>
      <c r="B1945" s="1" t="s">
        <v>1065</v>
      </c>
      <c r="C1945" s="1" t="s">
        <v>5377</v>
      </c>
      <c r="D1945" s="1" t="s">
        <v>5378</v>
      </c>
      <c r="E1945" s="2">
        <v>5.70038000686E11</v>
      </c>
      <c r="F1945" s="1" t="s">
        <v>5379</v>
      </c>
      <c r="G1945" s="1" t="s">
        <v>12</v>
      </c>
      <c r="H1945" s="3" t="s">
        <v>4873</v>
      </c>
      <c r="I1945" s="1"/>
      <c r="J1945" s="1"/>
      <c r="K1945" s="1"/>
    </row>
    <row r="1946" ht="15.75" customHeight="1">
      <c r="A1946" s="2">
        <v>1945.0</v>
      </c>
      <c r="B1946" s="1" t="s">
        <v>5380</v>
      </c>
      <c r="C1946" s="1" t="s">
        <v>5381</v>
      </c>
      <c r="D1946" s="1" t="s">
        <v>5382</v>
      </c>
      <c r="E1946" s="2">
        <v>5.70038000687E11</v>
      </c>
      <c r="F1946" s="1" t="s">
        <v>5383</v>
      </c>
      <c r="G1946" s="1" t="s">
        <v>18</v>
      </c>
      <c r="H1946" s="3" t="s">
        <v>4873</v>
      </c>
      <c r="I1946" s="1"/>
      <c r="J1946" s="1"/>
      <c r="K1946" s="1"/>
    </row>
    <row r="1947" ht="15.75" customHeight="1">
      <c r="A1947" s="2">
        <v>1946.0</v>
      </c>
      <c r="B1947" s="1" t="s">
        <v>5384</v>
      </c>
      <c r="C1947" s="1" t="s">
        <v>5385</v>
      </c>
      <c r="D1947" s="1" t="s">
        <v>392</v>
      </c>
      <c r="E1947" s="2">
        <v>5.70038000688E11</v>
      </c>
      <c r="F1947" s="1" t="s">
        <v>5386</v>
      </c>
      <c r="G1947" s="1" t="s">
        <v>143</v>
      </c>
      <c r="H1947" s="3" t="s">
        <v>4873</v>
      </c>
      <c r="I1947" s="1"/>
      <c r="J1947" s="1"/>
      <c r="K1947" s="1"/>
    </row>
    <row r="1948" ht="15.75" customHeight="1">
      <c r="A1948" s="2">
        <v>1947.0</v>
      </c>
      <c r="B1948" s="1" t="s">
        <v>5387</v>
      </c>
      <c r="C1948" s="1" t="s">
        <v>88</v>
      </c>
      <c r="D1948" s="1" t="s">
        <v>5388</v>
      </c>
      <c r="E1948" s="2">
        <v>5.70038000689E11</v>
      </c>
      <c r="F1948" s="1" t="s">
        <v>5389</v>
      </c>
      <c r="G1948" s="1" t="s">
        <v>143</v>
      </c>
      <c r="H1948" s="3" t="s">
        <v>4873</v>
      </c>
      <c r="I1948" s="1"/>
      <c r="J1948" s="1"/>
      <c r="K1948" s="1"/>
    </row>
    <row r="1949" ht="15.75" customHeight="1">
      <c r="A1949" s="2">
        <v>1948.0</v>
      </c>
      <c r="B1949" s="1" t="s">
        <v>5390</v>
      </c>
      <c r="C1949" s="1" t="s">
        <v>1403</v>
      </c>
      <c r="D1949" s="1" t="s">
        <v>5391</v>
      </c>
      <c r="E1949" s="2">
        <v>5.70038000672E11</v>
      </c>
      <c r="F1949" s="1" t="s">
        <v>5392</v>
      </c>
      <c r="G1949" s="1" t="s">
        <v>18</v>
      </c>
      <c r="H1949" s="3" t="s">
        <v>4873</v>
      </c>
      <c r="I1949" s="1"/>
      <c r="J1949" s="1"/>
      <c r="K1949" s="1"/>
    </row>
    <row r="1950" ht="15.75" customHeight="1">
      <c r="A1950" s="2">
        <v>1949.0</v>
      </c>
      <c r="B1950" s="1" t="s">
        <v>1228</v>
      </c>
      <c r="C1950" s="1" t="s">
        <v>3629</v>
      </c>
      <c r="D1950" s="1" t="s">
        <v>5391</v>
      </c>
      <c r="E1950" s="2">
        <v>5.70038000673E11</v>
      </c>
      <c r="F1950" s="1" t="s">
        <v>5393</v>
      </c>
      <c r="G1950" s="1" t="s">
        <v>47</v>
      </c>
      <c r="H1950" s="3" t="s">
        <v>4873</v>
      </c>
      <c r="I1950" s="1"/>
      <c r="J1950" s="1"/>
      <c r="K1950" s="1"/>
    </row>
    <row r="1951" ht="15.75" customHeight="1">
      <c r="A1951" s="2">
        <v>1950.0</v>
      </c>
      <c r="B1951" s="1" t="s">
        <v>106</v>
      </c>
      <c r="C1951" s="1" t="s">
        <v>5394</v>
      </c>
      <c r="D1951" s="1" t="s">
        <v>5395</v>
      </c>
      <c r="E1951" s="2">
        <v>5.70038000675E11</v>
      </c>
      <c r="F1951" s="1" t="s">
        <v>5396</v>
      </c>
      <c r="G1951" s="1" t="s">
        <v>121</v>
      </c>
      <c r="H1951" s="3" t="s">
        <v>4873</v>
      </c>
      <c r="I1951" s="1"/>
      <c r="J1951" s="1"/>
      <c r="K1951" s="1"/>
    </row>
    <row r="1952" ht="15.75" customHeight="1">
      <c r="A1952" s="2">
        <v>1951.0</v>
      </c>
      <c r="B1952" s="1" t="s">
        <v>149</v>
      </c>
      <c r="C1952" s="1" t="s">
        <v>5397</v>
      </c>
      <c r="D1952" s="1" t="s">
        <v>5398</v>
      </c>
      <c r="E1952" s="2">
        <v>5.70038000721E11</v>
      </c>
      <c r="F1952" s="1" t="s">
        <v>5399</v>
      </c>
      <c r="G1952" s="1" t="s">
        <v>18</v>
      </c>
      <c r="H1952" s="3" t="s">
        <v>4873</v>
      </c>
      <c r="I1952" s="1"/>
      <c r="J1952" s="1"/>
      <c r="K1952" s="1"/>
    </row>
    <row r="1953" ht="15.75" customHeight="1">
      <c r="A1953" s="2">
        <v>1952.0</v>
      </c>
      <c r="B1953" s="1" t="s">
        <v>5400</v>
      </c>
      <c r="C1953" s="1" t="s">
        <v>815</v>
      </c>
      <c r="D1953" s="1" t="s">
        <v>1662</v>
      </c>
      <c r="E1953" s="2">
        <v>5.70038000723E11</v>
      </c>
      <c r="F1953" s="1" t="s">
        <v>5401</v>
      </c>
      <c r="G1953" s="1" t="s">
        <v>18</v>
      </c>
      <c r="H1953" s="3" t="s">
        <v>4873</v>
      </c>
      <c r="I1953" s="1"/>
      <c r="J1953" s="1"/>
      <c r="K1953" s="1"/>
    </row>
    <row r="1954" ht="15.75" customHeight="1">
      <c r="A1954" s="2">
        <v>1953.0</v>
      </c>
      <c r="B1954" s="1" t="s">
        <v>387</v>
      </c>
      <c r="C1954" s="1" t="s">
        <v>5402</v>
      </c>
      <c r="D1954" s="1" t="s">
        <v>1880</v>
      </c>
      <c r="E1954" s="2">
        <v>5.70038000738E11</v>
      </c>
      <c r="F1954" s="1" t="s">
        <v>5403</v>
      </c>
      <c r="G1954" s="1" t="s">
        <v>47</v>
      </c>
      <c r="H1954" s="3" t="s">
        <v>4873</v>
      </c>
      <c r="I1954" s="1"/>
      <c r="J1954" s="1"/>
      <c r="K1954" s="1"/>
    </row>
    <row r="1955" ht="15.75" customHeight="1">
      <c r="A1955" s="2">
        <v>1954.0</v>
      </c>
      <c r="B1955" s="1" t="s">
        <v>5404</v>
      </c>
      <c r="C1955" s="1" t="s">
        <v>66</v>
      </c>
      <c r="D1955" s="1" t="s">
        <v>5405</v>
      </c>
      <c r="E1955" s="2">
        <v>5.70038000739E11</v>
      </c>
      <c r="F1955" s="1" t="s">
        <v>5406</v>
      </c>
      <c r="G1955" s="1" t="s">
        <v>24</v>
      </c>
      <c r="H1955" s="3" t="s">
        <v>4873</v>
      </c>
      <c r="I1955" s="1"/>
      <c r="J1955" s="1"/>
      <c r="K1955" s="1"/>
    </row>
    <row r="1956" ht="15.75" customHeight="1">
      <c r="A1956" s="2">
        <v>1955.0</v>
      </c>
      <c r="B1956" s="1" t="s">
        <v>5407</v>
      </c>
      <c r="C1956" s="1" t="s">
        <v>2819</v>
      </c>
      <c r="D1956" s="1" t="s">
        <v>4953</v>
      </c>
      <c r="E1956" s="2">
        <v>5.70038000741E11</v>
      </c>
      <c r="F1956" s="1" t="s">
        <v>5408</v>
      </c>
      <c r="G1956" s="1" t="s">
        <v>121</v>
      </c>
      <c r="H1956" s="3" t="s">
        <v>4873</v>
      </c>
      <c r="I1956" s="1"/>
      <c r="J1956" s="1"/>
      <c r="K1956" s="1"/>
    </row>
    <row r="1957" ht="15.75" customHeight="1">
      <c r="A1957" s="2">
        <v>1956.0</v>
      </c>
      <c r="B1957" s="1" t="s">
        <v>191</v>
      </c>
      <c r="C1957" s="1" t="s">
        <v>557</v>
      </c>
      <c r="D1957" s="1" t="s">
        <v>135</v>
      </c>
      <c r="E1957" s="2">
        <v>5.70038000742E11</v>
      </c>
      <c r="F1957" s="1" t="s">
        <v>5409</v>
      </c>
      <c r="G1957" s="1" t="s">
        <v>121</v>
      </c>
      <c r="H1957" s="3" t="s">
        <v>4873</v>
      </c>
      <c r="I1957" s="1"/>
      <c r="J1957" s="1"/>
      <c r="K1957" s="1"/>
    </row>
    <row r="1958" ht="15.75" customHeight="1">
      <c r="A1958" s="2">
        <v>1957.0</v>
      </c>
      <c r="B1958" s="1" t="s">
        <v>5410</v>
      </c>
      <c r="C1958" s="1" t="s">
        <v>713</v>
      </c>
      <c r="D1958" s="1" t="s">
        <v>5411</v>
      </c>
      <c r="E1958" s="2">
        <v>5.70038000744E11</v>
      </c>
      <c r="F1958" s="1" t="s">
        <v>5412</v>
      </c>
      <c r="G1958" s="1" t="s">
        <v>47</v>
      </c>
      <c r="H1958" s="3" t="s">
        <v>4873</v>
      </c>
      <c r="I1958" s="1"/>
      <c r="J1958" s="1"/>
      <c r="K1958" s="1"/>
    </row>
    <row r="1959" ht="15.75" customHeight="1">
      <c r="A1959" s="2">
        <v>1958.0</v>
      </c>
      <c r="B1959" s="1" t="s">
        <v>1700</v>
      </c>
      <c r="C1959" s="1" t="s">
        <v>1052</v>
      </c>
      <c r="D1959" s="1" t="s">
        <v>295</v>
      </c>
      <c r="E1959" s="2">
        <v>5.70038000747E11</v>
      </c>
      <c r="F1959" s="1" t="s">
        <v>5413</v>
      </c>
      <c r="G1959" s="1" t="s">
        <v>24</v>
      </c>
      <c r="H1959" s="3" t="s">
        <v>4873</v>
      </c>
      <c r="I1959" s="1"/>
      <c r="J1959" s="1"/>
      <c r="K1959" s="1"/>
    </row>
    <row r="1960" ht="15.75" customHeight="1">
      <c r="A1960" s="2">
        <v>1959.0</v>
      </c>
      <c r="B1960" s="1" t="s">
        <v>3576</v>
      </c>
      <c r="C1960" s="1" t="s">
        <v>2455</v>
      </c>
      <c r="D1960" s="1" t="s">
        <v>4904</v>
      </c>
      <c r="E1960" s="2">
        <v>5.70038000749E11</v>
      </c>
      <c r="F1960" s="1" t="s">
        <v>5414</v>
      </c>
      <c r="G1960" s="1" t="s">
        <v>38</v>
      </c>
      <c r="H1960" s="3" t="s">
        <v>4873</v>
      </c>
      <c r="I1960" s="1"/>
      <c r="J1960" s="1"/>
      <c r="K1960" s="1"/>
    </row>
    <row r="1961" ht="15.75" customHeight="1">
      <c r="A1961" s="2">
        <v>1960.0</v>
      </c>
      <c r="B1961" s="1" t="s">
        <v>5415</v>
      </c>
      <c r="C1961" s="1" t="s">
        <v>2455</v>
      </c>
      <c r="D1961" s="1" t="s">
        <v>5416</v>
      </c>
      <c r="E1961" s="2">
        <v>5.7003800075E11</v>
      </c>
      <c r="F1961" s="1" t="s">
        <v>5417</v>
      </c>
      <c r="G1961" s="1" t="s">
        <v>38</v>
      </c>
      <c r="H1961" s="3" t="s">
        <v>5418</v>
      </c>
      <c r="I1961" s="1"/>
      <c r="J1961" s="1"/>
      <c r="K1961" s="1"/>
    </row>
    <row r="1962" ht="15.75" customHeight="1">
      <c r="A1962" s="2">
        <v>1961.0</v>
      </c>
      <c r="B1962" s="1" t="s">
        <v>1904</v>
      </c>
      <c r="C1962" s="1" t="s">
        <v>72</v>
      </c>
      <c r="D1962" s="1" t="s">
        <v>324</v>
      </c>
      <c r="E1962" s="2">
        <v>5.70038000752E11</v>
      </c>
      <c r="F1962" s="1" t="s">
        <v>5095</v>
      </c>
      <c r="G1962" s="1" t="s">
        <v>24</v>
      </c>
      <c r="H1962" s="3" t="s">
        <v>5418</v>
      </c>
      <c r="I1962" s="1"/>
      <c r="J1962" s="1"/>
      <c r="K1962" s="1"/>
    </row>
    <row r="1963" ht="15.75" customHeight="1">
      <c r="A1963" s="2">
        <v>1962.0</v>
      </c>
      <c r="B1963" s="1" t="s">
        <v>5419</v>
      </c>
      <c r="C1963" s="1" t="s">
        <v>2849</v>
      </c>
      <c r="D1963" s="1" t="s">
        <v>5354</v>
      </c>
      <c r="E1963" s="2">
        <v>5.70038000756E11</v>
      </c>
      <c r="F1963" s="1" t="s">
        <v>5420</v>
      </c>
      <c r="G1963" s="1" t="s">
        <v>383</v>
      </c>
      <c r="H1963" s="3" t="s">
        <v>5418</v>
      </c>
      <c r="I1963" s="1"/>
      <c r="J1963" s="1"/>
      <c r="K1963" s="1"/>
    </row>
    <row r="1964" ht="15.75" customHeight="1">
      <c r="A1964" s="2">
        <v>1963.0</v>
      </c>
      <c r="B1964" s="1" t="s">
        <v>612</v>
      </c>
      <c r="C1964" s="1" t="s">
        <v>5421</v>
      </c>
      <c r="D1964" s="1" t="s">
        <v>587</v>
      </c>
      <c r="E1964" s="2">
        <v>5.70038000759E11</v>
      </c>
      <c r="F1964" s="1" t="s">
        <v>5422</v>
      </c>
      <c r="G1964" s="1" t="s">
        <v>38</v>
      </c>
      <c r="H1964" s="3" t="s">
        <v>5418</v>
      </c>
      <c r="I1964" s="1"/>
      <c r="J1964" s="1"/>
      <c r="K1964" s="1"/>
    </row>
    <row r="1965" ht="15.75" customHeight="1">
      <c r="A1965" s="2">
        <v>1964.0</v>
      </c>
      <c r="B1965" s="1" t="s">
        <v>5423</v>
      </c>
      <c r="C1965" s="1" t="s">
        <v>764</v>
      </c>
      <c r="D1965" s="1" t="s">
        <v>5424</v>
      </c>
      <c r="E1965" s="2">
        <v>5.70038000761E11</v>
      </c>
      <c r="F1965" s="1" t="s">
        <v>5425</v>
      </c>
      <c r="G1965" s="1" t="s">
        <v>38</v>
      </c>
      <c r="H1965" s="3" t="s">
        <v>5418</v>
      </c>
      <c r="I1965" s="1"/>
      <c r="J1965" s="1"/>
      <c r="K1965" s="1"/>
    </row>
    <row r="1966" ht="15.75" customHeight="1">
      <c r="A1966" s="2">
        <v>1965.0</v>
      </c>
      <c r="B1966" s="1" t="s">
        <v>5426</v>
      </c>
      <c r="C1966" s="1" t="s">
        <v>5427</v>
      </c>
      <c r="D1966" s="1" t="s">
        <v>2760</v>
      </c>
      <c r="E1966" s="2">
        <v>5.70038000763E11</v>
      </c>
      <c r="F1966" s="1" t="s">
        <v>5428</v>
      </c>
      <c r="G1966" s="1" t="s">
        <v>121</v>
      </c>
      <c r="H1966" s="3" t="s">
        <v>5418</v>
      </c>
      <c r="I1966" s="1"/>
      <c r="J1966" s="1"/>
      <c r="K1966" s="1"/>
    </row>
    <row r="1967" ht="15.75" customHeight="1">
      <c r="A1967" s="2">
        <v>1966.0</v>
      </c>
      <c r="B1967" s="1" t="s">
        <v>5429</v>
      </c>
      <c r="C1967" s="1" t="s">
        <v>1821</v>
      </c>
      <c r="D1967" s="1" t="s">
        <v>605</v>
      </c>
      <c r="E1967" s="2">
        <v>5.70038000765E11</v>
      </c>
      <c r="F1967" s="1" t="s">
        <v>5430</v>
      </c>
      <c r="G1967" s="1" t="s">
        <v>980</v>
      </c>
      <c r="H1967" s="3" t="s">
        <v>5418</v>
      </c>
      <c r="I1967" s="1"/>
      <c r="J1967" s="1"/>
      <c r="K1967" s="1"/>
    </row>
    <row r="1968" ht="15.75" customHeight="1">
      <c r="A1968" s="2">
        <v>1967.0</v>
      </c>
      <c r="B1968" s="1" t="s">
        <v>5431</v>
      </c>
      <c r="C1968" s="1" t="s">
        <v>5432</v>
      </c>
      <c r="D1968" s="1" t="s">
        <v>5433</v>
      </c>
      <c r="E1968" s="2">
        <v>5.70038000767E11</v>
      </c>
      <c r="F1968" s="1" t="s">
        <v>5434</v>
      </c>
      <c r="G1968" s="1" t="s">
        <v>121</v>
      </c>
      <c r="H1968" s="3" t="s">
        <v>5418</v>
      </c>
      <c r="I1968" s="1"/>
      <c r="J1968" s="1"/>
      <c r="K1968" s="1"/>
    </row>
    <row r="1969" ht="15.75" customHeight="1">
      <c r="A1969" s="2">
        <v>1968.0</v>
      </c>
      <c r="B1969" s="1" t="s">
        <v>315</v>
      </c>
      <c r="C1969" s="1" t="s">
        <v>5435</v>
      </c>
      <c r="D1969" s="1" t="s">
        <v>77</v>
      </c>
      <c r="E1969" s="2">
        <v>5.70038000768E11</v>
      </c>
      <c r="F1969" s="1" t="s">
        <v>5436</v>
      </c>
      <c r="G1969" s="1" t="s">
        <v>121</v>
      </c>
      <c r="H1969" s="3" t="s">
        <v>5418</v>
      </c>
      <c r="I1969" s="1"/>
      <c r="J1969" s="1"/>
      <c r="K1969" s="1"/>
    </row>
    <row r="1970" ht="15.75" customHeight="1">
      <c r="A1970" s="2">
        <v>1969.0</v>
      </c>
      <c r="B1970" s="1" t="s">
        <v>774</v>
      </c>
      <c r="C1970" s="1" t="s">
        <v>2969</v>
      </c>
      <c r="D1970" s="1" t="s">
        <v>3561</v>
      </c>
      <c r="E1970" s="2">
        <v>5.70038000769E11</v>
      </c>
      <c r="F1970" s="1" t="s">
        <v>5437</v>
      </c>
      <c r="G1970" s="1" t="s">
        <v>121</v>
      </c>
      <c r="H1970" s="3" t="s">
        <v>5418</v>
      </c>
      <c r="I1970" s="1"/>
      <c r="J1970" s="1"/>
      <c r="K1970" s="1"/>
    </row>
    <row r="1971" ht="15.75" customHeight="1">
      <c r="A1971" s="2">
        <v>1970.0</v>
      </c>
      <c r="B1971" s="1" t="s">
        <v>5438</v>
      </c>
      <c r="C1971" s="1" t="s">
        <v>5439</v>
      </c>
      <c r="D1971" s="1" t="s">
        <v>576</v>
      </c>
      <c r="E1971" s="2">
        <v>5.7003800077E11</v>
      </c>
      <c r="F1971" s="1" t="s">
        <v>5440</v>
      </c>
      <c r="G1971" s="1" t="s">
        <v>121</v>
      </c>
      <c r="H1971" s="3" t="s">
        <v>5418</v>
      </c>
      <c r="I1971" s="1"/>
      <c r="J1971" s="1"/>
      <c r="K1971" s="1"/>
    </row>
    <row r="1972" ht="15.75" customHeight="1">
      <c r="A1972" s="2">
        <v>1971.0</v>
      </c>
      <c r="B1972" s="1" t="s">
        <v>5441</v>
      </c>
      <c r="C1972" s="1" t="s">
        <v>625</v>
      </c>
      <c r="D1972" s="1" t="s">
        <v>991</v>
      </c>
      <c r="E1972" s="2">
        <v>5.70038000771E11</v>
      </c>
      <c r="F1972" s="1" t="s">
        <v>5442</v>
      </c>
      <c r="G1972" s="1" t="s">
        <v>24</v>
      </c>
      <c r="H1972" s="3" t="s">
        <v>5418</v>
      </c>
      <c r="I1972" s="1"/>
      <c r="J1972" s="1"/>
      <c r="K1972" s="1"/>
    </row>
    <row r="1973" ht="15.75" customHeight="1">
      <c r="A1973" s="2">
        <v>1972.0</v>
      </c>
      <c r="B1973" s="1" t="s">
        <v>5443</v>
      </c>
      <c r="C1973" s="1" t="s">
        <v>294</v>
      </c>
      <c r="D1973" s="1" t="s">
        <v>295</v>
      </c>
      <c r="E1973" s="2">
        <v>5.70038000774E11</v>
      </c>
      <c r="F1973" s="1" t="s">
        <v>5444</v>
      </c>
      <c r="G1973" s="1" t="s">
        <v>121</v>
      </c>
      <c r="H1973" s="3" t="s">
        <v>5418</v>
      </c>
      <c r="I1973" s="1"/>
      <c r="J1973" s="1"/>
      <c r="K1973" s="1"/>
    </row>
    <row r="1974" ht="15.75" customHeight="1">
      <c r="A1974" s="2">
        <v>1973.0</v>
      </c>
      <c r="B1974" s="1" t="s">
        <v>993</v>
      </c>
      <c r="C1974" s="1" t="s">
        <v>14</v>
      </c>
      <c r="D1974" s="1" t="s">
        <v>5445</v>
      </c>
      <c r="E1974" s="2">
        <v>5.70038000776E11</v>
      </c>
      <c r="F1974" s="1" t="s">
        <v>5446</v>
      </c>
      <c r="G1974" s="1" t="s">
        <v>121</v>
      </c>
      <c r="H1974" s="3" t="s">
        <v>5418</v>
      </c>
      <c r="I1974" s="1"/>
      <c r="J1974" s="1"/>
      <c r="K1974" s="1"/>
    </row>
    <row r="1975" ht="15.75" customHeight="1">
      <c r="A1975" s="2">
        <v>1974.0</v>
      </c>
      <c r="B1975" s="1" t="s">
        <v>5447</v>
      </c>
      <c r="C1975" s="1" t="s">
        <v>5381</v>
      </c>
      <c r="D1975" s="1" t="s">
        <v>5448</v>
      </c>
      <c r="E1975" s="2">
        <v>5.70038000777E11</v>
      </c>
      <c r="F1975" s="1" t="s">
        <v>5449</v>
      </c>
      <c r="G1975" s="1" t="s">
        <v>121</v>
      </c>
      <c r="H1975" s="3" t="s">
        <v>5418</v>
      </c>
      <c r="I1975" s="1"/>
      <c r="J1975" s="1"/>
      <c r="K1975" s="1"/>
    </row>
    <row r="1976" ht="15.75" customHeight="1">
      <c r="A1976" s="2">
        <v>1975.0</v>
      </c>
      <c r="B1976" s="1" t="s">
        <v>5450</v>
      </c>
      <c r="C1976" s="1" t="s">
        <v>1228</v>
      </c>
      <c r="D1976" s="1" t="s">
        <v>5451</v>
      </c>
      <c r="E1976" s="2">
        <v>5.70038000778E11</v>
      </c>
      <c r="F1976" s="1" t="s">
        <v>5442</v>
      </c>
      <c r="G1976" s="1" t="s">
        <v>121</v>
      </c>
      <c r="H1976" s="3" t="s">
        <v>5418</v>
      </c>
      <c r="I1976" s="1"/>
      <c r="J1976" s="1"/>
      <c r="K1976" s="1"/>
    </row>
    <row r="1977" ht="15.75" customHeight="1">
      <c r="A1977" s="2">
        <v>1976.0</v>
      </c>
      <c r="B1977" s="1" t="s">
        <v>5452</v>
      </c>
      <c r="C1977" s="1" t="s">
        <v>5453</v>
      </c>
      <c r="D1977" s="1" t="s">
        <v>1693</v>
      </c>
      <c r="E1977" s="2">
        <v>5.70038000782E11</v>
      </c>
      <c r="F1977" s="1" t="s">
        <v>5454</v>
      </c>
      <c r="G1977" s="1" t="s">
        <v>121</v>
      </c>
      <c r="H1977" s="3" t="s">
        <v>5418</v>
      </c>
      <c r="I1977" s="1"/>
      <c r="J1977" s="1"/>
      <c r="K1977" s="1"/>
    </row>
    <row r="1978" ht="15.75" customHeight="1">
      <c r="A1978" s="2">
        <v>1977.0</v>
      </c>
      <c r="B1978" s="1" t="s">
        <v>5455</v>
      </c>
      <c r="C1978" s="1" t="s">
        <v>106</v>
      </c>
      <c r="D1978" s="1" t="s">
        <v>457</v>
      </c>
      <c r="E1978" s="2">
        <v>5.70038000784E11</v>
      </c>
      <c r="F1978" s="1" t="s">
        <v>5456</v>
      </c>
      <c r="G1978" s="1" t="s">
        <v>121</v>
      </c>
      <c r="H1978" s="3" t="s">
        <v>5418</v>
      </c>
      <c r="I1978" s="1"/>
      <c r="J1978" s="1"/>
      <c r="K1978" s="1"/>
    </row>
    <row r="1979" ht="15.75" customHeight="1">
      <c r="A1979" s="2">
        <v>1978.0</v>
      </c>
      <c r="B1979" s="1" t="s">
        <v>5457</v>
      </c>
      <c r="C1979" s="1" t="s">
        <v>106</v>
      </c>
      <c r="D1979" s="1" t="s">
        <v>1102</v>
      </c>
      <c r="E1979" s="2">
        <v>5.70038000786E11</v>
      </c>
      <c r="F1979" s="1" t="s">
        <v>5458</v>
      </c>
      <c r="G1979" s="1" t="s">
        <v>121</v>
      </c>
      <c r="H1979" s="3" t="s">
        <v>5418</v>
      </c>
      <c r="I1979" s="1"/>
      <c r="J1979" s="1"/>
      <c r="K1979" s="1"/>
    </row>
    <row r="1980" ht="15.75" customHeight="1">
      <c r="A1980" s="2">
        <v>1979.0</v>
      </c>
      <c r="B1980" s="1" t="s">
        <v>5459</v>
      </c>
      <c r="C1980" s="1" t="s">
        <v>559</v>
      </c>
      <c r="D1980" s="1" t="s">
        <v>5460</v>
      </c>
      <c r="E1980" s="2">
        <v>5.70038000787E11</v>
      </c>
      <c r="F1980" s="1" t="s">
        <v>5461</v>
      </c>
      <c r="G1980" s="1" t="s">
        <v>47</v>
      </c>
      <c r="H1980" s="3" t="s">
        <v>5418</v>
      </c>
      <c r="I1980" s="1"/>
      <c r="J1980" s="1"/>
      <c r="K1980" s="1"/>
    </row>
    <row r="1981" ht="15.75" customHeight="1">
      <c r="A1981" s="2">
        <v>1980.0</v>
      </c>
      <c r="B1981" s="1" t="s">
        <v>5462</v>
      </c>
      <c r="C1981" s="1" t="s">
        <v>5463</v>
      </c>
      <c r="D1981" s="1" t="s">
        <v>731</v>
      </c>
      <c r="E1981" s="2">
        <v>5.70038000788E11</v>
      </c>
      <c r="F1981" s="1" t="s">
        <v>5464</v>
      </c>
      <c r="G1981" s="1" t="s">
        <v>121</v>
      </c>
      <c r="H1981" s="3" t="s">
        <v>5418</v>
      </c>
      <c r="I1981" s="1"/>
      <c r="J1981" s="1"/>
      <c r="K1981" s="1"/>
    </row>
    <row r="1982" ht="15.75" customHeight="1">
      <c r="A1982" s="2">
        <v>1981.0</v>
      </c>
      <c r="B1982" s="1" t="s">
        <v>5465</v>
      </c>
      <c r="C1982" s="1" t="s">
        <v>5466</v>
      </c>
      <c r="D1982" s="1" t="s">
        <v>569</v>
      </c>
      <c r="E1982" s="2">
        <v>5.70038000789E11</v>
      </c>
      <c r="F1982" s="1" t="s">
        <v>5467</v>
      </c>
      <c r="G1982" s="1" t="s">
        <v>121</v>
      </c>
      <c r="H1982" s="3" t="s">
        <v>5418</v>
      </c>
      <c r="I1982" s="1"/>
      <c r="J1982" s="1"/>
      <c r="K1982" s="1"/>
    </row>
    <row r="1983" ht="15.75" customHeight="1">
      <c r="A1983" s="2">
        <v>1982.0</v>
      </c>
      <c r="B1983" s="1" t="s">
        <v>5468</v>
      </c>
      <c r="C1983" s="1" t="s">
        <v>340</v>
      </c>
      <c r="D1983" s="1" t="s">
        <v>207</v>
      </c>
      <c r="E1983" s="2">
        <v>5.70038000791E11</v>
      </c>
      <c r="F1983" s="1" t="s">
        <v>5469</v>
      </c>
      <c r="G1983" s="1" t="s">
        <v>121</v>
      </c>
      <c r="H1983" s="3" t="s">
        <v>5418</v>
      </c>
      <c r="I1983" s="1"/>
      <c r="J1983" s="1"/>
      <c r="K1983" s="1"/>
    </row>
    <row r="1984" ht="15.75" customHeight="1">
      <c r="A1984" s="2">
        <v>1983.0</v>
      </c>
      <c r="B1984" s="1" t="s">
        <v>5470</v>
      </c>
      <c r="C1984" s="1" t="s">
        <v>5471</v>
      </c>
      <c r="D1984" s="1" t="s">
        <v>5472</v>
      </c>
      <c r="E1984" s="2">
        <v>5.70038000792E11</v>
      </c>
      <c r="F1984" s="1" t="s">
        <v>5473</v>
      </c>
      <c r="G1984" s="1" t="s">
        <v>38</v>
      </c>
      <c r="H1984" s="3" t="s">
        <v>5418</v>
      </c>
      <c r="I1984" s="1"/>
      <c r="J1984" s="1"/>
      <c r="K1984" s="1"/>
    </row>
    <row r="1985" ht="15.75" customHeight="1">
      <c r="A1985" s="2">
        <v>1984.0</v>
      </c>
      <c r="B1985" s="1" t="s">
        <v>5474</v>
      </c>
      <c r="C1985" s="1" t="s">
        <v>5475</v>
      </c>
      <c r="D1985" s="1" t="s">
        <v>5476</v>
      </c>
      <c r="E1985" s="2">
        <v>5.70038000793E11</v>
      </c>
      <c r="F1985" s="1" t="s">
        <v>5477</v>
      </c>
      <c r="G1985" s="1" t="s">
        <v>121</v>
      </c>
      <c r="H1985" s="3" t="s">
        <v>5418</v>
      </c>
      <c r="I1985" s="1"/>
      <c r="J1985" s="1"/>
      <c r="K1985" s="1"/>
    </row>
    <row r="1986" ht="15.75" customHeight="1">
      <c r="A1986" s="2">
        <v>1985.0</v>
      </c>
      <c r="B1986" s="1" t="s">
        <v>5478</v>
      </c>
      <c r="C1986" s="1" t="s">
        <v>5479</v>
      </c>
      <c r="D1986" s="1" t="s">
        <v>5480</v>
      </c>
      <c r="E1986" s="2">
        <v>5.70038000794E11</v>
      </c>
      <c r="F1986" s="1" t="s">
        <v>5481</v>
      </c>
      <c r="G1986" s="1" t="s">
        <v>121</v>
      </c>
      <c r="H1986" s="3" t="s">
        <v>5418</v>
      </c>
      <c r="I1986" s="1"/>
      <c r="J1986" s="1"/>
      <c r="K1986" s="1"/>
    </row>
    <row r="1987" ht="15.75" customHeight="1">
      <c r="A1987" s="2">
        <v>1986.0</v>
      </c>
      <c r="B1987" s="1" t="s">
        <v>5482</v>
      </c>
      <c r="C1987" s="1" t="s">
        <v>5483</v>
      </c>
      <c r="D1987" s="1" t="s">
        <v>5484</v>
      </c>
      <c r="E1987" s="2">
        <v>5.70038000795E11</v>
      </c>
      <c r="F1987" s="1" t="s">
        <v>5485</v>
      </c>
      <c r="G1987" s="1" t="s">
        <v>47</v>
      </c>
      <c r="H1987" s="3" t="s">
        <v>5418</v>
      </c>
      <c r="I1987" s="1"/>
      <c r="J1987" s="1"/>
      <c r="K1987" s="1"/>
    </row>
    <row r="1988" ht="15.75" customHeight="1">
      <c r="A1988" s="2">
        <v>1987.0</v>
      </c>
      <c r="B1988" s="1" t="s">
        <v>5486</v>
      </c>
      <c r="C1988" s="1" t="s">
        <v>5487</v>
      </c>
      <c r="D1988" s="1" t="s">
        <v>1220</v>
      </c>
      <c r="E1988" s="2">
        <v>5.70038000796E11</v>
      </c>
      <c r="F1988" s="1" t="s">
        <v>5488</v>
      </c>
      <c r="G1988" s="1" t="s">
        <v>980</v>
      </c>
      <c r="H1988" s="3" t="s">
        <v>5418</v>
      </c>
      <c r="I1988" s="1"/>
      <c r="J1988" s="1"/>
      <c r="K1988" s="1"/>
    </row>
    <row r="1989" ht="15.75" customHeight="1">
      <c r="A1989" s="2">
        <v>1988.0</v>
      </c>
      <c r="B1989" s="1" t="s">
        <v>4885</v>
      </c>
      <c r="C1989" s="1" t="s">
        <v>329</v>
      </c>
      <c r="D1989" s="1" t="s">
        <v>5489</v>
      </c>
      <c r="E1989" s="2">
        <v>5.70038000797E11</v>
      </c>
      <c r="F1989" s="1" t="s">
        <v>5490</v>
      </c>
      <c r="G1989" s="1" t="s">
        <v>24</v>
      </c>
      <c r="H1989" s="3" t="s">
        <v>5418</v>
      </c>
      <c r="I1989" s="1"/>
      <c r="J1989" s="1"/>
      <c r="K1989" s="1"/>
    </row>
    <row r="1990" ht="15.75" customHeight="1">
      <c r="A1990" s="2">
        <v>1989.0</v>
      </c>
      <c r="B1990" s="1" t="s">
        <v>1912</v>
      </c>
      <c r="C1990" s="1" t="s">
        <v>5400</v>
      </c>
      <c r="D1990" s="1" t="s">
        <v>5491</v>
      </c>
      <c r="E1990" s="2">
        <v>5.70038000798E11</v>
      </c>
      <c r="F1990" s="1" t="s">
        <v>5492</v>
      </c>
      <c r="G1990" s="1" t="s">
        <v>24</v>
      </c>
      <c r="H1990" s="3" t="s">
        <v>5418</v>
      </c>
      <c r="I1990" s="1"/>
      <c r="J1990" s="1"/>
      <c r="K1990" s="1"/>
    </row>
    <row r="1991" ht="15.75" customHeight="1">
      <c r="A1991" s="2">
        <v>1990.0</v>
      </c>
      <c r="B1991" s="1" t="s">
        <v>5415</v>
      </c>
      <c r="C1991" s="1" t="s">
        <v>5493</v>
      </c>
      <c r="D1991" s="1" t="s">
        <v>324</v>
      </c>
      <c r="E1991" s="2">
        <v>5.700380008E11</v>
      </c>
      <c r="F1991" s="1" t="s">
        <v>5494</v>
      </c>
      <c r="G1991" s="1" t="s">
        <v>47</v>
      </c>
      <c r="H1991" s="3" t="s">
        <v>5418</v>
      </c>
      <c r="I1991" s="1"/>
      <c r="J1991" s="1"/>
      <c r="K1991" s="1"/>
    </row>
    <row r="1992" ht="15.75" customHeight="1">
      <c r="A1992" s="2">
        <v>1991.0</v>
      </c>
      <c r="B1992" s="1" t="s">
        <v>43</v>
      </c>
      <c r="C1992" s="1" t="s">
        <v>66</v>
      </c>
      <c r="D1992" s="1" t="s">
        <v>5288</v>
      </c>
      <c r="E1992" s="2">
        <v>5.70038000801E11</v>
      </c>
      <c r="F1992" s="1" t="s">
        <v>5495</v>
      </c>
      <c r="G1992" s="1" t="s">
        <v>47</v>
      </c>
      <c r="H1992" s="3" t="s">
        <v>5418</v>
      </c>
      <c r="I1992" s="1"/>
      <c r="J1992" s="1"/>
      <c r="K1992" s="1"/>
    </row>
    <row r="1993" ht="15.75" customHeight="1">
      <c r="A1993" s="2">
        <v>1992.0</v>
      </c>
      <c r="B1993" s="1" t="s">
        <v>1169</v>
      </c>
      <c r="C1993" s="1" t="s">
        <v>1414</v>
      </c>
      <c r="D1993" s="1" t="s">
        <v>5496</v>
      </c>
      <c r="E1993" s="2">
        <v>5.70038000802E11</v>
      </c>
      <c r="F1993" s="1" t="s">
        <v>5497</v>
      </c>
      <c r="G1993" s="1" t="s">
        <v>121</v>
      </c>
      <c r="H1993" s="3" t="s">
        <v>5418</v>
      </c>
      <c r="I1993" s="1"/>
      <c r="J1993" s="1"/>
      <c r="K1993" s="1"/>
    </row>
    <row r="1994" ht="15.75" customHeight="1">
      <c r="A1994" s="2">
        <v>1993.0</v>
      </c>
      <c r="B1994" s="1" t="s">
        <v>5498</v>
      </c>
      <c r="C1994" s="1" t="s">
        <v>3651</v>
      </c>
      <c r="D1994" s="1" t="s">
        <v>5354</v>
      </c>
      <c r="E1994" s="2">
        <v>5.70038000803E11</v>
      </c>
      <c r="F1994" s="1" t="s">
        <v>5296</v>
      </c>
      <c r="G1994" s="1" t="s">
        <v>121</v>
      </c>
      <c r="H1994" s="3" t="s">
        <v>5418</v>
      </c>
      <c r="I1994" s="1"/>
      <c r="J1994" s="1"/>
      <c r="K1994" s="1"/>
    </row>
    <row r="1995" ht="15.75" customHeight="1">
      <c r="A1995" s="2">
        <v>1994.0</v>
      </c>
      <c r="B1995" s="1" t="s">
        <v>5499</v>
      </c>
      <c r="C1995" s="1" t="s">
        <v>5500</v>
      </c>
      <c r="D1995" s="1" t="s">
        <v>5501</v>
      </c>
      <c r="E1995" s="2">
        <v>5.70038000806E11</v>
      </c>
      <c r="F1995" s="1" t="s">
        <v>5408</v>
      </c>
      <c r="G1995" s="1" t="s">
        <v>121</v>
      </c>
      <c r="H1995" s="3" t="s">
        <v>5418</v>
      </c>
      <c r="I1995" s="1"/>
      <c r="J1995" s="1"/>
      <c r="K1995" s="1"/>
    </row>
    <row r="1996" ht="15.75" customHeight="1">
      <c r="A1996" s="2">
        <v>1995.0</v>
      </c>
      <c r="B1996" s="1" t="s">
        <v>5042</v>
      </c>
      <c r="C1996" s="1" t="s">
        <v>5502</v>
      </c>
      <c r="D1996" s="1" t="s">
        <v>904</v>
      </c>
      <c r="E1996" s="2">
        <v>5.70038000807E11</v>
      </c>
      <c r="F1996" s="1" t="s">
        <v>5503</v>
      </c>
      <c r="G1996" s="1" t="s">
        <v>121</v>
      </c>
      <c r="H1996" s="3" t="s">
        <v>5418</v>
      </c>
      <c r="I1996" s="1"/>
      <c r="J1996" s="1"/>
      <c r="K1996" s="1"/>
    </row>
    <row r="1997" ht="15.75" customHeight="1">
      <c r="A1997" s="2">
        <v>1996.0</v>
      </c>
      <c r="B1997" s="1" t="s">
        <v>5504</v>
      </c>
      <c r="C1997" s="1" t="s">
        <v>5505</v>
      </c>
      <c r="D1997" s="1" t="s">
        <v>324</v>
      </c>
      <c r="E1997" s="2">
        <v>5.70038000808E11</v>
      </c>
      <c r="F1997" s="1" t="s">
        <v>5506</v>
      </c>
      <c r="G1997" s="1" t="s">
        <v>121</v>
      </c>
      <c r="H1997" s="3" t="s">
        <v>5418</v>
      </c>
      <c r="I1997" s="1"/>
      <c r="J1997" s="1"/>
      <c r="K1997" s="1"/>
    </row>
    <row r="1998" ht="15.75" customHeight="1">
      <c r="A1998" s="2">
        <v>1997.0</v>
      </c>
      <c r="B1998" s="1" t="s">
        <v>5507</v>
      </c>
      <c r="C1998" s="1" t="s">
        <v>160</v>
      </c>
      <c r="D1998" s="1" t="s">
        <v>111</v>
      </c>
      <c r="E1998" s="2">
        <v>5.70038000809E11</v>
      </c>
      <c r="F1998" s="1" t="s">
        <v>5508</v>
      </c>
      <c r="G1998" s="1" t="s">
        <v>24</v>
      </c>
      <c r="H1998" s="3" t="s">
        <v>5418</v>
      </c>
      <c r="I1998" s="1"/>
      <c r="J1998" s="1"/>
      <c r="K1998" s="1"/>
    </row>
    <row r="1999" ht="15.75" customHeight="1">
      <c r="A1999" s="2">
        <v>1998.0</v>
      </c>
      <c r="B1999" s="1" t="s">
        <v>3258</v>
      </c>
      <c r="C1999" s="1" t="s">
        <v>215</v>
      </c>
      <c r="D1999" s="1" t="s">
        <v>217</v>
      </c>
      <c r="E1999" s="2">
        <v>5.70038000811E11</v>
      </c>
      <c r="F1999" s="1" t="s">
        <v>5509</v>
      </c>
      <c r="G1999" s="1" t="s">
        <v>24</v>
      </c>
      <c r="H1999" s="3" t="s">
        <v>5418</v>
      </c>
      <c r="I1999" s="1"/>
      <c r="J1999" s="1"/>
      <c r="K1999" s="1"/>
    </row>
    <row r="2000" ht="15.75" customHeight="1">
      <c r="A2000" s="2">
        <v>1999.0</v>
      </c>
      <c r="B2000" s="1" t="s">
        <v>5292</v>
      </c>
      <c r="C2000" s="1" t="s">
        <v>2396</v>
      </c>
      <c r="D2000" s="1" t="s">
        <v>5510</v>
      </c>
      <c r="E2000" s="2">
        <v>5.70038000813E11</v>
      </c>
      <c r="F2000" s="1" t="s">
        <v>5511</v>
      </c>
      <c r="G2000" s="1" t="s">
        <v>121</v>
      </c>
      <c r="H2000" s="3" t="s">
        <v>5418</v>
      </c>
      <c r="I2000" s="1"/>
      <c r="J2000" s="1"/>
      <c r="K2000" s="1"/>
    </row>
    <row r="2001" ht="15.75" customHeight="1">
      <c r="A2001" s="2">
        <v>2000.0</v>
      </c>
      <c r="B2001" s="1" t="s">
        <v>5512</v>
      </c>
      <c r="C2001" s="1" t="s">
        <v>5513</v>
      </c>
      <c r="D2001" s="1" t="s">
        <v>5514</v>
      </c>
      <c r="E2001" s="2">
        <v>5.70038000818E11</v>
      </c>
      <c r="F2001" s="1" t="s">
        <v>5515</v>
      </c>
      <c r="G2001" s="1" t="s">
        <v>24</v>
      </c>
      <c r="H2001" s="3" t="s">
        <v>5418</v>
      </c>
      <c r="I2001" s="1"/>
      <c r="J2001" s="1"/>
      <c r="K2001" s="1"/>
    </row>
    <row r="2002" ht="15.75" customHeight="1">
      <c r="A2002" s="2">
        <v>2001.0</v>
      </c>
      <c r="B2002" s="1" t="s">
        <v>5516</v>
      </c>
      <c r="C2002" s="1" t="s">
        <v>5517</v>
      </c>
      <c r="D2002" s="1" t="s">
        <v>5518</v>
      </c>
      <c r="E2002" s="2">
        <v>5.7003800082E11</v>
      </c>
      <c r="F2002" s="1" t="s">
        <v>5497</v>
      </c>
      <c r="G2002" s="1" t="s">
        <v>121</v>
      </c>
      <c r="H2002" s="3" t="s">
        <v>5418</v>
      </c>
      <c r="I2002" s="1"/>
      <c r="J2002" s="1"/>
      <c r="K2002" s="1"/>
    </row>
    <row r="2003" ht="15.75" customHeight="1">
      <c r="A2003" s="2">
        <v>2002.0</v>
      </c>
      <c r="B2003" s="1" t="s">
        <v>5519</v>
      </c>
      <c r="C2003" s="1" t="s">
        <v>5520</v>
      </c>
      <c r="D2003" s="1" t="s">
        <v>5521</v>
      </c>
      <c r="E2003" s="2">
        <v>5.70038000821E11</v>
      </c>
      <c r="F2003" s="1" t="s">
        <v>5522</v>
      </c>
      <c r="G2003" s="1" t="s">
        <v>47</v>
      </c>
      <c r="H2003" s="3" t="s">
        <v>5418</v>
      </c>
      <c r="I2003" s="1"/>
      <c r="J2003" s="1"/>
      <c r="K2003" s="1"/>
    </row>
    <row r="2004" ht="15.75" customHeight="1">
      <c r="A2004" s="2">
        <v>2003.0</v>
      </c>
      <c r="B2004" s="1" t="s">
        <v>5523</v>
      </c>
      <c r="C2004" s="1" t="s">
        <v>5524</v>
      </c>
      <c r="D2004" s="1" t="s">
        <v>904</v>
      </c>
      <c r="E2004" s="2">
        <v>5.70038000822E11</v>
      </c>
      <c r="F2004" s="1" t="s">
        <v>5525</v>
      </c>
      <c r="G2004" s="1" t="s">
        <v>47</v>
      </c>
      <c r="H2004" s="3" t="s">
        <v>5418</v>
      </c>
      <c r="I2004" s="1"/>
      <c r="J2004" s="1"/>
      <c r="K2004" s="1"/>
    </row>
    <row r="2005" ht="15.75" customHeight="1">
      <c r="A2005" s="2">
        <v>2004.0</v>
      </c>
      <c r="B2005" s="1" t="s">
        <v>5526</v>
      </c>
      <c r="C2005" s="1" t="s">
        <v>5527</v>
      </c>
      <c r="D2005" s="1" t="s">
        <v>5528</v>
      </c>
      <c r="E2005" s="2">
        <v>5.70038000824E11</v>
      </c>
      <c r="F2005" s="1" t="s">
        <v>5151</v>
      </c>
      <c r="G2005" s="1" t="s">
        <v>38</v>
      </c>
      <c r="H2005" s="3" t="s">
        <v>5418</v>
      </c>
      <c r="I2005" s="1"/>
      <c r="J2005" s="1"/>
      <c r="K2005" s="1"/>
    </row>
    <row r="2006" ht="15.75" customHeight="1">
      <c r="A2006" s="2">
        <v>2005.0</v>
      </c>
      <c r="B2006" s="1" t="s">
        <v>5529</v>
      </c>
      <c r="C2006" s="1" t="s">
        <v>5530</v>
      </c>
      <c r="D2006" s="1" t="s">
        <v>5531</v>
      </c>
      <c r="E2006" s="2">
        <v>5.70038000825E11</v>
      </c>
      <c r="F2006" s="1" t="s">
        <v>5317</v>
      </c>
      <c r="G2006" s="1" t="s">
        <v>121</v>
      </c>
      <c r="H2006" s="3" t="s">
        <v>5418</v>
      </c>
      <c r="I2006" s="1"/>
      <c r="J2006" s="1"/>
      <c r="K2006" s="1"/>
    </row>
    <row r="2007" ht="15.75" customHeight="1">
      <c r="A2007" s="2">
        <v>2006.0</v>
      </c>
      <c r="B2007" s="1" t="s">
        <v>2133</v>
      </c>
      <c r="C2007" s="1" t="s">
        <v>729</v>
      </c>
      <c r="D2007" s="1" t="s">
        <v>5532</v>
      </c>
      <c r="E2007" s="2">
        <v>5.70038000826E11</v>
      </c>
      <c r="F2007" s="1" t="s">
        <v>5533</v>
      </c>
      <c r="G2007" s="1" t="s">
        <v>24</v>
      </c>
      <c r="H2007" s="3" t="s">
        <v>5418</v>
      </c>
      <c r="I2007" s="1"/>
      <c r="J2007" s="1"/>
      <c r="K2007" s="1"/>
    </row>
    <row r="2008" ht="15.75" customHeight="1">
      <c r="A2008" s="2">
        <v>2007.0</v>
      </c>
      <c r="B2008" s="1" t="s">
        <v>1014</v>
      </c>
      <c r="C2008" s="1" t="s">
        <v>492</v>
      </c>
      <c r="D2008" s="1" t="s">
        <v>62</v>
      </c>
      <c r="E2008" s="2">
        <v>5.70038000827E11</v>
      </c>
      <c r="F2008" s="1" t="s">
        <v>5449</v>
      </c>
      <c r="G2008" s="1" t="s">
        <v>24</v>
      </c>
      <c r="H2008" s="3" t="s">
        <v>5418</v>
      </c>
      <c r="I2008" s="1"/>
      <c r="J2008" s="1"/>
      <c r="K2008" s="1"/>
    </row>
    <row r="2009" ht="15.75" customHeight="1">
      <c r="A2009" s="2">
        <v>2008.0</v>
      </c>
      <c r="B2009" s="1" t="s">
        <v>5534</v>
      </c>
      <c r="C2009" s="1" t="s">
        <v>492</v>
      </c>
      <c r="D2009" s="1" t="s">
        <v>62</v>
      </c>
      <c r="E2009" s="2">
        <v>5.70038000828E11</v>
      </c>
      <c r="F2009" s="1" t="s">
        <v>5535</v>
      </c>
      <c r="G2009" s="1" t="s">
        <v>24</v>
      </c>
      <c r="H2009" s="3" t="s">
        <v>5418</v>
      </c>
      <c r="I2009" s="1"/>
      <c r="J2009" s="1"/>
      <c r="K2009" s="1"/>
    </row>
    <row r="2010" ht="15.75" customHeight="1">
      <c r="A2010" s="2">
        <v>2009.0</v>
      </c>
      <c r="B2010" s="1" t="s">
        <v>5536</v>
      </c>
      <c r="C2010" s="1" t="s">
        <v>2108</v>
      </c>
      <c r="D2010" s="1" t="s">
        <v>860</v>
      </c>
      <c r="E2010" s="2">
        <v>5.70038000829E11</v>
      </c>
      <c r="F2010" s="1" t="s">
        <v>5537</v>
      </c>
      <c r="G2010" s="1" t="s">
        <v>38</v>
      </c>
      <c r="H2010" s="3" t="s">
        <v>5418</v>
      </c>
      <c r="I2010" s="1"/>
      <c r="J2010" s="1"/>
      <c r="K2010" s="1"/>
    </row>
    <row r="2011" ht="15.75" customHeight="1">
      <c r="A2011" s="2">
        <v>2010.0</v>
      </c>
      <c r="B2011" s="1" t="s">
        <v>1634</v>
      </c>
      <c r="C2011" s="1" t="s">
        <v>1865</v>
      </c>
      <c r="D2011" s="1" t="s">
        <v>1876</v>
      </c>
      <c r="E2011" s="2">
        <v>5.7003800083E11</v>
      </c>
      <c r="F2011" s="1" t="s">
        <v>5538</v>
      </c>
      <c r="G2011" s="1" t="s">
        <v>121</v>
      </c>
      <c r="H2011" s="3" t="s">
        <v>5418</v>
      </c>
      <c r="I2011" s="1"/>
      <c r="J2011" s="1"/>
      <c r="K2011" s="1"/>
    </row>
    <row r="2012" ht="15.75" customHeight="1">
      <c r="A2012" s="2">
        <v>2011.0</v>
      </c>
      <c r="B2012" s="1" t="s">
        <v>5539</v>
      </c>
      <c r="C2012" s="1" t="s">
        <v>223</v>
      </c>
      <c r="D2012" s="1" t="s">
        <v>5540</v>
      </c>
      <c r="E2012" s="2">
        <v>5.70038000832E11</v>
      </c>
      <c r="F2012" s="1" t="s">
        <v>5541</v>
      </c>
      <c r="G2012" s="1" t="s">
        <v>121</v>
      </c>
      <c r="H2012" s="3" t="s">
        <v>5418</v>
      </c>
      <c r="I2012" s="1"/>
      <c r="J2012" s="1"/>
      <c r="K2012" s="1"/>
    </row>
    <row r="2013" ht="15.75" customHeight="1">
      <c r="A2013" s="2">
        <v>2012.0</v>
      </c>
      <c r="B2013" s="1" t="s">
        <v>5542</v>
      </c>
      <c r="C2013" s="1" t="s">
        <v>5543</v>
      </c>
      <c r="D2013" s="1" t="s">
        <v>1953</v>
      </c>
      <c r="E2013" s="2">
        <v>5.70038000833E11</v>
      </c>
      <c r="F2013" s="1" t="s">
        <v>5544</v>
      </c>
      <c r="G2013" s="1" t="s">
        <v>12</v>
      </c>
      <c r="H2013" s="3" t="s">
        <v>5418</v>
      </c>
      <c r="I2013" s="1"/>
      <c r="J2013" s="1"/>
      <c r="K2013" s="1"/>
    </row>
    <row r="2014" ht="15.75" customHeight="1">
      <c r="A2014" s="2">
        <v>2013.0</v>
      </c>
      <c r="B2014" s="1" t="s">
        <v>447</v>
      </c>
      <c r="C2014" s="1" t="s">
        <v>682</v>
      </c>
      <c r="D2014" s="1" t="s">
        <v>2535</v>
      </c>
      <c r="E2014" s="2">
        <v>5.70038000834E11</v>
      </c>
      <c r="F2014" s="1" t="s">
        <v>5545</v>
      </c>
      <c r="G2014" s="1" t="s">
        <v>121</v>
      </c>
      <c r="H2014" s="3" t="s">
        <v>5418</v>
      </c>
      <c r="I2014" s="1"/>
      <c r="J2014" s="1"/>
      <c r="K2014" s="1"/>
    </row>
    <row r="2015" ht="15.75" customHeight="1">
      <c r="A2015" s="2">
        <v>2014.0</v>
      </c>
      <c r="B2015" s="1" t="s">
        <v>740</v>
      </c>
      <c r="C2015" s="1" t="s">
        <v>5546</v>
      </c>
      <c r="D2015" s="1" t="s">
        <v>5547</v>
      </c>
      <c r="E2015" s="2">
        <v>5.70038000835E11</v>
      </c>
      <c r="F2015" s="1" t="s">
        <v>5548</v>
      </c>
      <c r="G2015" s="1" t="s">
        <v>143</v>
      </c>
      <c r="H2015" s="3" t="s">
        <v>5418</v>
      </c>
      <c r="I2015" s="1"/>
      <c r="J2015" s="1"/>
      <c r="K2015" s="1"/>
    </row>
    <row r="2016" ht="15.75" customHeight="1">
      <c r="A2016" s="2">
        <v>2015.0</v>
      </c>
      <c r="B2016" s="1" t="s">
        <v>5549</v>
      </c>
      <c r="C2016" s="1" t="s">
        <v>687</v>
      </c>
      <c r="D2016" s="1" t="s">
        <v>5550</v>
      </c>
      <c r="E2016" s="2">
        <v>5.70038000838E11</v>
      </c>
      <c r="F2016" s="1" t="s">
        <v>5551</v>
      </c>
      <c r="G2016" s="1" t="s">
        <v>121</v>
      </c>
      <c r="H2016" s="3" t="s">
        <v>5418</v>
      </c>
      <c r="I2016" s="1"/>
      <c r="J2016" s="1"/>
      <c r="K2016" s="1"/>
    </row>
    <row r="2017" ht="15.75" customHeight="1">
      <c r="A2017" s="2">
        <v>2016.0</v>
      </c>
      <c r="B2017" s="1" t="s">
        <v>3068</v>
      </c>
      <c r="C2017" s="1" t="s">
        <v>5552</v>
      </c>
      <c r="D2017" s="1" t="s">
        <v>3253</v>
      </c>
      <c r="E2017" s="2">
        <v>5.7003800084E11</v>
      </c>
      <c r="F2017" s="1" t="s">
        <v>5553</v>
      </c>
      <c r="G2017" s="1" t="s">
        <v>24</v>
      </c>
      <c r="H2017" s="3" t="s">
        <v>5418</v>
      </c>
      <c r="I2017" s="1"/>
      <c r="J2017" s="1"/>
      <c r="K2017" s="1"/>
    </row>
    <row r="2018" ht="15.75" customHeight="1">
      <c r="A2018" s="2">
        <v>2017.0</v>
      </c>
      <c r="B2018" s="1" t="s">
        <v>5554</v>
      </c>
      <c r="C2018" s="1" t="s">
        <v>5555</v>
      </c>
      <c r="D2018" s="1" t="s">
        <v>3269</v>
      </c>
      <c r="E2018" s="2">
        <v>5.70038000842E11</v>
      </c>
      <c r="F2018" s="1" t="s">
        <v>5556</v>
      </c>
      <c r="G2018" s="1" t="s">
        <v>38</v>
      </c>
      <c r="H2018" s="3" t="s">
        <v>5418</v>
      </c>
      <c r="I2018" s="1"/>
      <c r="J2018" s="1"/>
      <c r="K2018" s="1"/>
    </row>
    <row r="2019" ht="15.75" customHeight="1">
      <c r="A2019" s="2">
        <v>2018.0</v>
      </c>
      <c r="B2019" s="1" t="s">
        <v>5557</v>
      </c>
      <c r="C2019" s="1" t="s">
        <v>559</v>
      </c>
      <c r="D2019" s="1" t="s">
        <v>324</v>
      </c>
      <c r="E2019" s="2">
        <v>5.70038000843E11</v>
      </c>
      <c r="F2019" s="1" t="s">
        <v>5558</v>
      </c>
      <c r="G2019" s="1" t="s">
        <v>38</v>
      </c>
      <c r="H2019" s="3" t="s">
        <v>5418</v>
      </c>
      <c r="I2019" s="1"/>
      <c r="J2019" s="1"/>
      <c r="K2019" s="1"/>
    </row>
    <row r="2020" ht="15.75" customHeight="1">
      <c r="A2020" s="2">
        <v>2019.0</v>
      </c>
      <c r="B2020" s="1" t="s">
        <v>5559</v>
      </c>
      <c r="C2020" s="1" t="s">
        <v>361</v>
      </c>
      <c r="D2020" s="1" t="s">
        <v>2223</v>
      </c>
      <c r="E2020" s="2">
        <v>5.70038000844E11</v>
      </c>
      <c r="F2020" s="1" t="s">
        <v>5560</v>
      </c>
      <c r="G2020" s="1" t="s">
        <v>121</v>
      </c>
      <c r="H2020" s="3" t="s">
        <v>5418</v>
      </c>
      <c r="I2020" s="1"/>
      <c r="J2020" s="1"/>
      <c r="K2020" s="1"/>
    </row>
    <row r="2021" ht="15.75" customHeight="1">
      <c r="A2021" s="2">
        <v>2020.0</v>
      </c>
      <c r="B2021" s="1" t="s">
        <v>5561</v>
      </c>
      <c r="C2021" s="1" t="s">
        <v>5562</v>
      </c>
      <c r="D2021" s="1" t="s">
        <v>5563</v>
      </c>
      <c r="E2021" s="2">
        <v>5.70038000845E11</v>
      </c>
      <c r="F2021" s="1" t="s">
        <v>5564</v>
      </c>
      <c r="G2021" s="1" t="s">
        <v>47</v>
      </c>
      <c r="H2021" s="3" t="s">
        <v>5418</v>
      </c>
      <c r="I2021" s="1"/>
      <c r="J2021" s="1"/>
      <c r="K2021" s="1"/>
    </row>
    <row r="2022" ht="15.75" customHeight="1">
      <c r="A2022" s="2">
        <v>2021.0</v>
      </c>
      <c r="B2022" s="1" t="s">
        <v>5565</v>
      </c>
      <c r="C2022" s="1" t="s">
        <v>1588</v>
      </c>
      <c r="D2022" s="1" t="s">
        <v>685</v>
      </c>
      <c r="E2022" s="2">
        <v>5.70038000848E11</v>
      </c>
      <c r="F2022" s="1" t="s">
        <v>5566</v>
      </c>
      <c r="G2022" s="1" t="s">
        <v>24</v>
      </c>
      <c r="H2022" s="3" t="s">
        <v>5418</v>
      </c>
      <c r="I2022" s="1"/>
      <c r="J2022" s="1"/>
      <c r="K2022" s="1"/>
    </row>
    <row r="2023" ht="15.75" customHeight="1">
      <c r="A2023" s="2">
        <v>2022.0</v>
      </c>
      <c r="B2023" s="1" t="s">
        <v>5567</v>
      </c>
      <c r="C2023" s="1" t="s">
        <v>188</v>
      </c>
      <c r="D2023" s="1" t="s">
        <v>5568</v>
      </c>
      <c r="E2023" s="2">
        <v>5.70038000849E11</v>
      </c>
      <c r="F2023" s="1" t="s">
        <v>5461</v>
      </c>
      <c r="G2023" s="1" t="s">
        <v>121</v>
      </c>
      <c r="H2023" s="3" t="s">
        <v>5418</v>
      </c>
      <c r="I2023" s="1"/>
      <c r="J2023" s="1"/>
      <c r="K2023" s="1"/>
    </row>
    <row r="2024" ht="15.75" customHeight="1">
      <c r="A2024" s="2">
        <v>2023.0</v>
      </c>
      <c r="B2024" s="1" t="s">
        <v>5569</v>
      </c>
      <c r="C2024" s="1" t="s">
        <v>323</v>
      </c>
      <c r="D2024" s="1" t="s">
        <v>5570</v>
      </c>
      <c r="E2024" s="2">
        <v>5.70038000851E11</v>
      </c>
      <c r="F2024" s="1" t="s">
        <v>5571</v>
      </c>
      <c r="G2024" s="1" t="s">
        <v>121</v>
      </c>
      <c r="H2024" s="3" t="s">
        <v>5418</v>
      </c>
      <c r="I2024" s="1"/>
      <c r="J2024" s="1"/>
      <c r="K2024" s="1"/>
    </row>
    <row r="2025" ht="15.75" customHeight="1">
      <c r="A2025" s="2">
        <v>2024.0</v>
      </c>
      <c r="B2025" s="1" t="s">
        <v>5572</v>
      </c>
      <c r="C2025" s="1" t="s">
        <v>5573</v>
      </c>
      <c r="D2025" s="1" t="s">
        <v>5574</v>
      </c>
      <c r="E2025" s="2">
        <v>5.70038000852E11</v>
      </c>
      <c r="F2025" s="1" t="s">
        <v>5575</v>
      </c>
      <c r="G2025" s="1" t="s">
        <v>38</v>
      </c>
      <c r="H2025" s="3" t="s">
        <v>5418</v>
      </c>
      <c r="I2025" s="1"/>
      <c r="J2025" s="1"/>
      <c r="K2025" s="1"/>
    </row>
    <row r="2026" ht="15.75" customHeight="1">
      <c r="A2026" s="2">
        <v>2025.0</v>
      </c>
      <c r="B2026" s="1" t="s">
        <v>5576</v>
      </c>
      <c r="C2026" s="1" t="s">
        <v>3197</v>
      </c>
      <c r="D2026" s="1" t="s">
        <v>5577</v>
      </c>
      <c r="E2026" s="2">
        <v>5.70038000853E11</v>
      </c>
      <c r="F2026" s="1" t="s">
        <v>5578</v>
      </c>
      <c r="G2026" s="1" t="s">
        <v>47</v>
      </c>
      <c r="H2026" s="3" t="s">
        <v>5418</v>
      </c>
      <c r="I2026" s="1"/>
      <c r="J2026" s="1"/>
      <c r="K2026" s="1"/>
    </row>
    <row r="2027" ht="15.75" customHeight="1">
      <c r="A2027" s="2">
        <v>2026.0</v>
      </c>
      <c r="B2027" s="1" t="s">
        <v>5084</v>
      </c>
      <c r="C2027" s="1" t="s">
        <v>5579</v>
      </c>
      <c r="D2027" s="1" t="s">
        <v>1880</v>
      </c>
      <c r="E2027" s="2">
        <v>5.70038000854E11</v>
      </c>
      <c r="F2027" s="1" t="s">
        <v>5580</v>
      </c>
      <c r="G2027" s="1" t="s">
        <v>47</v>
      </c>
      <c r="H2027" s="3" t="s">
        <v>5418</v>
      </c>
      <c r="I2027" s="1"/>
      <c r="J2027" s="1"/>
      <c r="K2027" s="1"/>
    </row>
    <row r="2028" ht="15.75" customHeight="1">
      <c r="A2028" s="2">
        <v>2027.0</v>
      </c>
      <c r="B2028" s="1" t="s">
        <v>5581</v>
      </c>
      <c r="C2028" s="1" t="s">
        <v>2268</v>
      </c>
      <c r="D2028" s="1" t="s">
        <v>62</v>
      </c>
      <c r="E2028" s="2">
        <v>5.70038000856E11</v>
      </c>
      <c r="F2028" s="1" t="s">
        <v>2007</v>
      </c>
      <c r="G2028" s="1" t="s">
        <v>38</v>
      </c>
      <c r="H2028" s="3" t="s">
        <v>5418</v>
      </c>
      <c r="I2028" s="1"/>
      <c r="J2028" s="1"/>
      <c r="K2028" s="1"/>
    </row>
    <row r="2029" ht="15.75" customHeight="1">
      <c r="A2029" s="2">
        <v>2028.0</v>
      </c>
      <c r="B2029" s="1" t="s">
        <v>696</v>
      </c>
      <c r="C2029" s="1" t="s">
        <v>5582</v>
      </c>
      <c r="D2029" s="1" t="s">
        <v>5583</v>
      </c>
      <c r="E2029" s="2">
        <v>5.7003800086E11</v>
      </c>
      <c r="F2029" s="1" t="s">
        <v>5584</v>
      </c>
      <c r="G2029" s="1" t="s">
        <v>47</v>
      </c>
      <c r="H2029" s="3" t="s">
        <v>5418</v>
      </c>
      <c r="I2029" s="1"/>
      <c r="J2029" s="1"/>
      <c r="K2029" s="1"/>
    </row>
    <row r="2030" ht="15.75" customHeight="1">
      <c r="A2030" s="2">
        <v>2029.0</v>
      </c>
      <c r="B2030" s="1" t="s">
        <v>5585</v>
      </c>
      <c r="C2030" s="1" t="s">
        <v>762</v>
      </c>
      <c r="D2030" s="1" t="s">
        <v>550</v>
      </c>
      <c r="E2030" s="2">
        <v>5.70038000862E11</v>
      </c>
      <c r="F2030" s="1" t="s">
        <v>5586</v>
      </c>
      <c r="G2030" s="1" t="s">
        <v>121</v>
      </c>
      <c r="H2030" s="3" t="s">
        <v>5418</v>
      </c>
      <c r="I2030" s="1"/>
      <c r="J2030" s="1"/>
      <c r="K2030" s="1"/>
    </row>
    <row r="2031" ht="15.75" customHeight="1">
      <c r="A2031" s="2">
        <v>2030.0</v>
      </c>
      <c r="B2031" s="1" t="s">
        <v>5587</v>
      </c>
      <c r="C2031" s="1" t="s">
        <v>730</v>
      </c>
      <c r="D2031" s="1" t="s">
        <v>68</v>
      </c>
      <c r="E2031" s="2">
        <v>5.70038000865E11</v>
      </c>
      <c r="F2031" s="1" t="s">
        <v>5588</v>
      </c>
      <c r="G2031" s="1" t="s">
        <v>121</v>
      </c>
      <c r="H2031" s="3" t="s">
        <v>5418</v>
      </c>
      <c r="I2031" s="1"/>
      <c r="J2031" s="1"/>
      <c r="K2031" s="1"/>
    </row>
    <row r="2032" ht="15.75" customHeight="1">
      <c r="A2032" s="2">
        <v>2031.0</v>
      </c>
      <c r="B2032" s="1" t="s">
        <v>1699</v>
      </c>
      <c r="C2032" s="1" t="s">
        <v>5589</v>
      </c>
      <c r="D2032" s="1" t="s">
        <v>5590</v>
      </c>
      <c r="E2032" s="2">
        <v>5.70038000867E11</v>
      </c>
      <c r="F2032" s="1" t="s">
        <v>5591</v>
      </c>
      <c r="G2032" s="1" t="s">
        <v>121</v>
      </c>
      <c r="H2032" s="3" t="s">
        <v>5418</v>
      </c>
      <c r="I2032" s="1"/>
      <c r="J2032" s="1"/>
      <c r="K2032" s="1"/>
    </row>
    <row r="2033" ht="15.75" customHeight="1">
      <c r="A2033" s="2">
        <v>2032.0</v>
      </c>
      <c r="B2033" s="1" t="s">
        <v>5592</v>
      </c>
      <c r="C2033" s="1" t="s">
        <v>5593</v>
      </c>
      <c r="D2033" s="1" t="s">
        <v>550</v>
      </c>
      <c r="E2033" s="2">
        <v>5.7003800087E11</v>
      </c>
      <c r="F2033" s="1" t="s">
        <v>5594</v>
      </c>
      <c r="G2033" s="1" t="s">
        <v>143</v>
      </c>
      <c r="H2033" s="3" t="s">
        <v>5418</v>
      </c>
      <c r="I2033" s="1"/>
      <c r="J2033" s="1"/>
      <c r="K2033" s="1"/>
    </row>
    <row r="2034" ht="15.75" customHeight="1">
      <c r="A2034" s="2">
        <v>2033.0</v>
      </c>
      <c r="B2034" s="1" t="s">
        <v>5595</v>
      </c>
      <c r="C2034" s="1" t="s">
        <v>323</v>
      </c>
      <c r="D2034" s="1" t="s">
        <v>801</v>
      </c>
      <c r="E2034" s="2">
        <v>5.70038000873E11</v>
      </c>
      <c r="F2034" s="1" t="s">
        <v>5596</v>
      </c>
      <c r="G2034" s="1" t="s">
        <v>18</v>
      </c>
      <c r="H2034" s="3" t="s">
        <v>5418</v>
      </c>
      <c r="I2034" s="1"/>
      <c r="J2034" s="1"/>
      <c r="K2034" s="1"/>
    </row>
    <row r="2035" ht="15.75" customHeight="1">
      <c r="A2035" s="2">
        <v>2034.0</v>
      </c>
      <c r="B2035" s="1" t="s">
        <v>462</v>
      </c>
      <c r="C2035" s="1" t="s">
        <v>688</v>
      </c>
      <c r="D2035" s="1" t="s">
        <v>478</v>
      </c>
      <c r="E2035" s="2">
        <v>5.70038000874E11</v>
      </c>
      <c r="F2035" s="1" t="s">
        <v>5597</v>
      </c>
      <c r="G2035" s="1" t="s">
        <v>143</v>
      </c>
      <c r="H2035" s="3" t="s">
        <v>5418</v>
      </c>
      <c r="I2035" s="1"/>
      <c r="J2035" s="1"/>
      <c r="K2035" s="1"/>
    </row>
    <row r="2036" ht="15.75" customHeight="1">
      <c r="A2036" s="2">
        <v>2035.0</v>
      </c>
      <c r="B2036" s="1" t="s">
        <v>5598</v>
      </c>
      <c r="C2036" s="1" t="s">
        <v>5599</v>
      </c>
      <c r="D2036" s="1" t="s">
        <v>5600</v>
      </c>
      <c r="E2036" s="2">
        <v>5.70038000875E11</v>
      </c>
      <c r="F2036" s="1" t="s">
        <v>5016</v>
      </c>
      <c r="G2036" s="1" t="s">
        <v>18</v>
      </c>
      <c r="H2036" s="3" t="s">
        <v>5418</v>
      </c>
      <c r="I2036" s="1"/>
      <c r="J2036" s="1"/>
      <c r="K2036" s="1"/>
    </row>
    <row r="2037" ht="15.75" customHeight="1">
      <c r="A2037" s="2">
        <v>2036.0</v>
      </c>
      <c r="B2037" s="1" t="s">
        <v>5601</v>
      </c>
      <c r="C2037" s="1" t="s">
        <v>5602</v>
      </c>
      <c r="D2037" s="1" t="s">
        <v>1254</v>
      </c>
      <c r="E2037" s="2">
        <v>5.70038000877E11</v>
      </c>
      <c r="F2037" s="1" t="s">
        <v>5603</v>
      </c>
      <c r="G2037" s="1" t="s">
        <v>121</v>
      </c>
      <c r="H2037" s="3" t="s">
        <v>5418</v>
      </c>
      <c r="I2037" s="1"/>
      <c r="J2037" s="1"/>
      <c r="K2037" s="1"/>
    </row>
    <row r="2038" ht="15.75" customHeight="1">
      <c r="A2038" s="2">
        <v>2037.0</v>
      </c>
      <c r="B2038" s="1" t="s">
        <v>5604</v>
      </c>
      <c r="C2038" s="1" t="s">
        <v>5605</v>
      </c>
      <c r="D2038" s="1" t="s">
        <v>2671</v>
      </c>
      <c r="E2038" s="2">
        <v>5.70038000879E11</v>
      </c>
      <c r="F2038" s="1" t="s">
        <v>2160</v>
      </c>
      <c r="G2038" s="1" t="s">
        <v>24</v>
      </c>
      <c r="H2038" s="3" t="s">
        <v>5606</v>
      </c>
      <c r="I2038" s="1"/>
      <c r="J2038" s="1"/>
      <c r="K2038" s="1"/>
    </row>
    <row r="2039" ht="15.75" customHeight="1">
      <c r="A2039" s="2">
        <v>2038.0</v>
      </c>
      <c r="B2039" s="1" t="s">
        <v>75</v>
      </c>
      <c r="C2039" s="1" t="s">
        <v>1730</v>
      </c>
      <c r="D2039" s="1" t="s">
        <v>207</v>
      </c>
      <c r="E2039" s="2">
        <v>5.7003800088E11</v>
      </c>
      <c r="F2039" s="1" t="s">
        <v>208</v>
      </c>
      <c r="G2039" s="1" t="s">
        <v>143</v>
      </c>
      <c r="H2039" s="3" t="s">
        <v>5418</v>
      </c>
      <c r="I2039" s="1"/>
      <c r="J2039" s="1"/>
      <c r="K2039" s="1"/>
    </row>
    <row r="2040" ht="15.75" customHeight="1">
      <c r="A2040" s="2">
        <v>2039.0</v>
      </c>
      <c r="B2040" s="1" t="s">
        <v>5607</v>
      </c>
      <c r="C2040" s="1" t="s">
        <v>5608</v>
      </c>
      <c r="D2040" s="1" t="s">
        <v>5609</v>
      </c>
      <c r="E2040" s="2">
        <v>5.70038000882E11</v>
      </c>
      <c r="F2040" s="1" t="s">
        <v>5610</v>
      </c>
      <c r="G2040" s="1" t="s">
        <v>121</v>
      </c>
      <c r="H2040" s="3" t="s">
        <v>5418</v>
      </c>
      <c r="I2040" s="1"/>
      <c r="J2040" s="1"/>
      <c r="K2040" s="1"/>
    </row>
    <row r="2041" ht="15.75" customHeight="1">
      <c r="A2041" s="2">
        <v>2040.0</v>
      </c>
      <c r="B2041" s="1" t="s">
        <v>5611</v>
      </c>
      <c r="C2041" s="1" t="s">
        <v>5612</v>
      </c>
      <c r="D2041" s="1" t="s">
        <v>5613</v>
      </c>
      <c r="E2041" s="2">
        <v>5.70038000726E11</v>
      </c>
      <c r="F2041" s="1" t="s">
        <v>5614</v>
      </c>
      <c r="G2041" s="1" t="s">
        <v>24</v>
      </c>
      <c r="H2041" s="3" t="s">
        <v>5615</v>
      </c>
      <c r="I2041" s="1"/>
      <c r="J2041" s="1"/>
      <c r="K2041" s="1"/>
    </row>
    <row r="2042" ht="15.75" customHeight="1">
      <c r="A2042" s="2">
        <v>2041.0</v>
      </c>
      <c r="B2042" s="1" t="s">
        <v>180</v>
      </c>
      <c r="C2042" s="1" t="s">
        <v>958</v>
      </c>
      <c r="D2042" s="1" t="s">
        <v>5616</v>
      </c>
      <c r="E2042" s="2">
        <v>5.70038000883E11</v>
      </c>
      <c r="F2042" s="1" t="s">
        <v>5617</v>
      </c>
      <c r="G2042" s="1" t="s">
        <v>143</v>
      </c>
      <c r="H2042" s="3" t="s">
        <v>5418</v>
      </c>
      <c r="I2042" s="1"/>
      <c r="J2042" s="1"/>
      <c r="K2042" s="1"/>
    </row>
    <row r="2043" ht="15.75" customHeight="1">
      <c r="A2043" s="2">
        <v>2042.0</v>
      </c>
      <c r="B2043" s="1" t="s">
        <v>4936</v>
      </c>
      <c r="C2043" s="1" t="s">
        <v>5618</v>
      </c>
      <c r="D2043" s="1" t="s">
        <v>5619</v>
      </c>
      <c r="E2043" s="2">
        <v>5.70038000884E11</v>
      </c>
      <c r="F2043" s="1" t="s">
        <v>5620</v>
      </c>
      <c r="G2043" s="1" t="s">
        <v>12</v>
      </c>
      <c r="H2043" s="3" t="s">
        <v>5418</v>
      </c>
      <c r="I2043" s="1"/>
      <c r="J2043" s="1"/>
      <c r="K2043" s="1"/>
    </row>
    <row r="2044" ht="15.75" customHeight="1">
      <c r="A2044" s="2">
        <v>2043.0</v>
      </c>
      <c r="B2044" s="1" t="s">
        <v>1602</v>
      </c>
      <c r="C2044" s="1" t="s">
        <v>1134</v>
      </c>
      <c r="D2044" s="1" t="s">
        <v>1135</v>
      </c>
      <c r="E2044" s="2">
        <v>5.70038000886E11</v>
      </c>
      <c r="F2044" s="1" t="s">
        <v>5621</v>
      </c>
      <c r="G2044" s="1" t="s">
        <v>12</v>
      </c>
      <c r="H2044" s="3" t="s">
        <v>5418</v>
      </c>
      <c r="I2044" s="1"/>
      <c r="J2044" s="1"/>
      <c r="K2044" s="1"/>
    </row>
    <row r="2045" ht="15.75" customHeight="1">
      <c r="A2045" s="2">
        <v>2044.0</v>
      </c>
      <c r="B2045" s="1" t="s">
        <v>5622</v>
      </c>
      <c r="C2045" s="1" t="s">
        <v>5623</v>
      </c>
      <c r="D2045" s="1" t="s">
        <v>5624</v>
      </c>
      <c r="E2045" s="2">
        <v>5.70038000544E11</v>
      </c>
      <c r="F2045" s="1" t="s">
        <v>5548</v>
      </c>
      <c r="G2045" s="1" t="s">
        <v>5625</v>
      </c>
      <c r="H2045" s="3" t="s">
        <v>5418</v>
      </c>
      <c r="I2045" s="1"/>
      <c r="J2045" s="1"/>
      <c r="K2045" s="1"/>
    </row>
    <row r="2046" ht="15.75" customHeight="1">
      <c r="A2046" s="2">
        <v>2045.0</v>
      </c>
      <c r="B2046" s="1" t="s">
        <v>5626</v>
      </c>
      <c r="C2046" s="1" t="s">
        <v>139</v>
      </c>
      <c r="D2046" s="1" t="s">
        <v>5627</v>
      </c>
      <c r="E2046" s="2">
        <v>5.7003800089E11</v>
      </c>
      <c r="F2046" s="1" t="s">
        <v>5628</v>
      </c>
      <c r="G2046" s="1" t="s">
        <v>38</v>
      </c>
      <c r="H2046" s="3" t="s">
        <v>5418</v>
      </c>
      <c r="I2046" s="1"/>
      <c r="J2046" s="1"/>
      <c r="K2046" s="1"/>
    </row>
    <row r="2047" ht="15.75" customHeight="1">
      <c r="A2047" s="2">
        <v>2046.0</v>
      </c>
      <c r="B2047" s="1" t="s">
        <v>5629</v>
      </c>
      <c r="C2047" s="1" t="s">
        <v>5630</v>
      </c>
      <c r="D2047" s="1" t="s">
        <v>4953</v>
      </c>
      <c r="E2047" s="2">
        <v>5.70038000892E11</v>
      </c>
      <c r="F2047" s="1" t="s">
        <v>5631</v>
      </c>
      <c r="G2047" s="1" t="s">
        <v>383</v>
      </c>
      <c r="H2047" s="3" t="s">
        <v>5418</v>
      </c>
      <c r="I2047" s="1"/>
      <c r="J2047" s="1"/>
      <c r="K2047" s="1"/>
    </row>
    <row r="2048" ht="15.75" customHeight="1">
      <c r="A2048" s="2">
        <v>2047.0</v>
      </c>
      <c r="B2048" s="1" t="s">
        <v>5632</v>
      </c>
      <c r="C2048" s="1" t="s">
        <v>3444</v>
      </c>
      <c r="D2048" s="1" t="s">
        <v>295</v>
      </c>
      <c r="E2048" s="2">
        <v>5.70038000893E11</v>
      </c>
      <c r="F2048" s="1" t="s">
        <v>5633</v>
      </c>
      <c r="G2048" s="1" t="s">
        <v>121</v>
      </c>
      <c r="H2048" s="3" t="s">
        <v>5418</v>
      </c>
      <c r="I2048" s="1"/>
      <c r="J2048" s="1"/>
      <c r="K2048" s="1"/>
    </row>
    <row r="2049" ht="15.75" customHeight="1">
      <c r="A2049" s="2">
        <v>2048.0</v>
      </c>
      <c r="B2049" s="1" t="s">
        <v>5634</v>
      </c>
      <c r="C2049" s="1" t="s">
        <v>5635</v>
      </c>
      <c r="D2049" s="1" t="s">
        <v>5636</v>
      </c>
      <c r="E2049" s="2">
        <v>5.70038000894E11</v>
      </c>
      <c r="F2049" s="1" t="s">
        <v>5637</v>
      </c>
      <c r="G2049" s="1" t="s">
        <v>38</v>
      </c>
      <c r="H2049" s="3" t="s">
        <v>5418</v>
      </c>
      <c r="I2049" s="1"/>
      <c r="J2049" s="1"/>
      <c r="K2049" s="1"/>
    </row>
    <row r="2050" ht="15.75" customHeight="1">
      <c r="A2050" s="2">
        <v>2049.0</v>
      </c>
      <c r="B2050" s="1" t="s">
        <v>5638</v>
      </c>
      <c r="C2050" s="1" t="s">
        <v>3771</v>
      </c>
      <c r="D2050" s="1" t="s">
        <v>5639</v>
      </c>
      <c r="E2050" s="2">
        <v>5.70038000899E11</v>
      </c>
      <c r="F2050" s="1" t="s">
        <v>5640</v>
      </c>
      <c r="G2050" s="1" t="s">
        <v>383</v>
      </c>
      <c r="H2050" s="3" t="s">
        <v>5418</v>
      </c>
      <c r="I2050" s="1"/>
      <c r="J2050" s="1"/>
      <c r="K2050" s="1"/>
    </row>
    <row r="2051" ht="15.75" customHeight="1">
      <c r="A2051" s="2">
        <v>2050.0</v>
      </c>
      <c r="B2051" s="1" t="s">
        <v>5641</v>
      </c>
      <c r="C2051" s="1" t="s">
        <v>66</v>
      </c>
      <c r="D2051" s="1" t="s">
        <v>5642</v>
      </c>
      <c r="E2051" s="2">
        <v>5.70038000901E11</v>
      </c>
      <c r="F2051" s="1" t="s">
        <v>5628</v>
      </c>
      <c r="G2051" s="1" t="s">
        <v>38</v>
      </c>
      <c r="H2051" s="3" t="s">
        <v>5418</v>
      </c>
      <c r="I2051" s="1"/>
      <c r="J2051" s="1"/>
      <c r="K2051" s="1"/>
    </row>
    <row r="2052" ht="15.75" customHeight="1">
      <c r="A2052" s="2">
        <v>2051.0</v>
      </c>
      <c r="B2052" s="1" t="s">
        <v>827</v>
      </c>
      <c r="C2052" s="1" t="s">
        <v>1134</v>
      </c>
      <c r="D2052" s="1" t="s">
        <v>5643</v>
      </c>
      <c r="E2052" s="2">
        <v>5.70038000902E11</v>
      </c>
      <c r="F2052" s="1" t="s">
        <v>5628</v>
      </c>
      <c r="G2052" s="1" t="s">
        <v>121</v>
      </c>
      <c r="H2052" s="3" t="s">
        <v>5418</v>
      </c>
      <c r="I2052" s="1"/>
      <c r="J2052" s="1"/>
      <c r="K2052" s="1"/>
    </row>
    <row r="2053" ht="15.75" customHeight="1">
      <c r="A2053" s="2">
        <v>2052.0</v>
      </c>
      <c r="B2053" s="1" t="s">
        <v>5644</v>
      </c>
      <c r="C2053" s="1" t="s">
        <v>5645</v>
      </c>
      <c r="D2053" s="1" t="s">
        <v>5646</v>
      </c>
      <c r="E2053" s="2">
        <v>5.70038000903E11</v>
      </c>
      <c r="F2053" s="1" t="s">
        <v>5647</v>
      </c>
      <c r="G2053" s="1" t="s">
        <v>121</v>
      </c>
      <c r="H2053" s="3" t="s">
        <v>5418</v>
      </c>
      <c r="I2053" s="1"/>
      <c r="J2053" s="1"/>
      <c r="K2053" s="1"/>
    </row>
    <row r="2054" ht="15.75" customHeight="1">
      <c r="A2054" s="2">
        <v>2053.0</v>
      </c>
      <c r="B2054" s="1" t="s">
        <v>5648</v>
      </c>
      <c r="C2054" s="1" t="s">
        <v>357</v>
      </c>
      <c r="D2054" s="1" t="s">
        <v>5649</v>
      </c>
      <c r="E2054" s="2">
        <v>5.70038000906E11</v>
      </c>
      <c r="F2054" s="1" t="s">
        <v>5650</v>
      </c>
      <c r="G2054" s="1" t="s">
        <v>121</v>
      </c>
      <c r="H2054" s="3" t="s">
        <v>5418</v>
      </c>
      <c r="I2054" s="1"/>
      <c r="J2054" s="1"/>
      <c r="K2054" s="1"/>
    </row>
    <row r="2055" ht="15.75" customHeight="1">
      <c r="A2055" s="2">
        <v>2054.0</v>
      </c>
      <c r="B2055" s="1" t="s">
        <v>5651</v>
      </c>
      <c r="C2055" s="1" t="s">
        <v>5652</v>
      </c>
      <c r="D2055" s="1" t="s">
        <v>255</v>
      </c>
      <c r="E2055" s="2">
        <v>5.70038000907E11</v>
      </c>
      <c r="F2055" s="1" t="s">
        <v>5653</v>
      </c>
      <c r="G2055" s="1" t="s">
        <v>121</v>
      </c>
      <c r="H2055" s="3" t="s">
        <v>5418</v>
      </c>
      <c r="I2055" s="1"/>
      <c r="J2055" s="1"/>
      <c r="K2055" s="1"/>
    </row>
    <row r="2056" ht="15.75" customHeight="1">
      <c r="A2056" s="2">
        <v>2055.0</v>
      </c>
      <c r="B2056" s="1" t="s">
        <v>5654</v>
      </c>
      <c r="C2056" s="1" t="s">
        <v>1112</v>
      </c>
      <c r="D2056" s="1" t="s">
        <v>5655</v>
      </c>
      <c r="E2056" s="2">
        <v>5.70038000908E11</v>
      </c>
      <c r="F2056" s="1" t="s">
        <v>5656</v>
      </c>
      <c r="G2056" s="1" t="s">
        <v>121</v>
      </c>
      <c r="H2056" s="3" t="s">
        <v>5418</v>
      </c>
      <c r="I2056" s="1"/>
      <c r="J2056" s="1"/>
      <c r="K2056" s="1"/>
    </row>
    <row r="2057" ht="15.75" customHeight="1">
      <c r="A2057" s="2">
        <v>2056.0</v>
      </c>
      <c r="B2057" s="1" t="s">
        <v>5657</v>
      </c>
      <c r="C2057" s="1" t="s">
        <v>1652</v>
      </c>
      <c r="D2057" s="1" t="s">
        <v>1321</v>
      </c>
      <c r="E2057" s="2">
        <v>5.70038000909E11</v>
      </c>
      <c r="F2057" s="1" t="s">
        <v>5631</v>
      </c>
      <c r="G2057" s="1" t="s">
        <v>47</v>
      </c>
      <c r="H2057" s="3" t="s">
        <v>5418</v>
      </c>
      <c r="I2057" s="1"/>
      <c r="J2057" s="1"/>
      <c r="K2057" s="1"/>
    </row>
    <row r="2058" ht="15.75" customHeight="1">
      <c r="A2058" s="2">
        <v>2057.0</v>
      </c>
      <c r="B2058" s="1" t="s">
        <v>5658</v>
      </c>
      <c r="C2058" s="1" t="s">
        <v>1513</v>
      </c>
      <c r="D2058" s="1" t="s">
        <v>295</v>
      </c>
      <c r="E2058" s="2">
        <v>5.7003800091E11</v>
      </c>
      <c r="F2058" s="1" t="s">
        <v>5659</v>
      </c>
      <c r="G2058" s="1" t="s">
        <v>47</v>
      </c>
      <c r="H2058" s="3" t="s">
        <v>5418</v>
      </c>
      <c r="I2058" s="1"/>
      <c r="J2058" s="1"/>
      <c r="K2058" s="1"/>
    </row>
    <row r="2059" ht="15.75" customHeight="1">
      <c r="A2059" s="2">
        <v>2058.0</v>
      </c>
      <c r="B2059" s="1" t="s">
        <v>5660</v>
      </c>
      <c r="C2059" s="1" t="s">
        <v>97</v>
      </c>
      <c r="D2059" s="1" t="s">
        <v>4902</v>
      </c>
      <c r="E2059" s="2">
        <v>5.70038000911E11</v>
      </c>
      <c r="F2059" s="1" t="s">
        <v>5661</v>
      </c>
      <c r="G2059" s="1" t="s">
        <v>121</v>
      </c>
      <c r="H2059" s="3" t="s">
        <v>5418</v>
      </c>
      <c r="I2059" s="1"/>
      <c r="J2059" s="1"/>
      <c r="K2059" s="1"/>
    </row>
    <row r="2060" ht="15.75" customHeight="1">
      <c r="A2060" s="2">
        <v>2059.0</v>
      </c>
      <c r="B2060" s="1" t="s">
        <v>5662</v>
      </c>
      <c r="C2060" s="1" t="s">
        <v>333</v>
      </c>
      <c r="D2060" s="1" t="s">
        <v>135</v>
      </c>
      <c r="E2060" s="2">
        <v>5.70038000912E11</v>
      </c>
      <c r="F2060" s="1" t="s">
        <v>5663</v>
      </c>
      <c r="G2060" s="1" t="s">
        <v>121</v>
      </c>
      <c r="H2060" s="3" t="s">
        <v>5418</v>
      </c>
      <c r="I2060" s="1"/>
      <c r="J2060" s="1"/>
      <c r="K2060" s="1"/>
    </row>
    <row r="2061" ht="15.75" customHeight="1">
      <c r="A2061" s="2">
        <v>2060.0</v>
      </c>
      <c r="B2061" s="1" t="s">
        <v>1652</v>
      </c>
      <c r="C2061" s="1" t="s">
        <v>5664</v>
      </c>
      <c r="D2061" s="1" t="s">
        <v>5665</v>
      </c>
      <c r="E2061" s="2">
        <v>5.70038000915E11</v>
      </c>
      <c r="F2061" s="1" t="s">
        <v>5666</v>
      </c>
      <c r="G2061" s="1" t="s">
        <v>121</v>
      </c>
      <c r="H2061" s="3" t="s">
        <v>5418</v>
      </c>
      <c r="I2061" s="1"/>
      <c r="J2061" s="1"/>
      <c r="K2061" s="1"/>
    </row>
    <row r="2062" ht="15.75" customHeight="1">
      <c r="A2062" s="2">
        <v>2061.0</v>
      </c>
      <c r="B2062" s="1" t="s">
        <v>60</v>
      </c>
      <c r="C2062" s="1" t="s">
        <v>5667</v>
      </c>
      <c r="D2062" s="1" t="s">
        <v>307</v>
      </c>
      <c r="E2062" s="2">
        <v>5.70038000918E11</v>
      </c>
      <c r="F2062" s="1" t="s">
        <v>5666</v>
      </c>
      <c r="G2062" s="1" t="s">
        <v>121</v>
      </c>
      <c r="H2062" s="3" t="s">
        <v>5418</v>
      </c>
      <c r="I2062" s="1"/>
      <c r="J2062" s="1"/>
      <c r="K2062" s="1"/>
    </row>
    <row r="2063" ht="15.75" customHeight="1">
      <c r="A2063" s="2">
        <v>2062.0</v>
      </c>
      <c r="B2063" s="1" t="s">
        <v>5668</v>
      </c>
      <c r="C2063" s="1" t="s">
        <v>322</v>
      </c>
      <c r="D2063" s="1" t="s">
        <v>3347</v>
      </c>
      <c r="E2063" s="2">
        <v>5.70038000919E11</v>
      </c>
      <c r="F2063" s="1" t="s">
        <v>5669</v>
      </c>
      <c r="G2063" s="1" t="s">
        <v>121</v>
      </c>
      <c r="H2063" s="3" t="s">
        <v>5418</v>
      </c>
      <c r="I2063" s="1"/>
      <c r="J2063" s="1"/>
      <c r="K2063" s="1"/>
    </row>
    <row r="2064" ht="15.75" customHeight="1">
      <c r="A2064" s="2">
        <v>2063.0</v>
      </c>
      <c r="B2064" s="1" t="s">
        <v>79</v>
      </c>
      <c r="C2064" s="1" t="s">
        <v>542</v>
      </c>
      <c r="D2064" s="1" t="s">
        <v>381</v>
      </c>
      <c r="E2064" s="2">
        <v>5.7003800092E11</v>
      </c>
      <c r="F2064" s="1" t="s">
        <v>5670</v>
      </c>
      <c r="G2064" s="1" t="s">
        <v>121</v>
      </c>
      <c r="H2064" s="3" t="s">
        <v>5418</v>
      </c>
      <c r="I2064" s="1"/>
      <c r="J2064" s="1"/>
      <c r="K2064" s="1"/>
    </row>
    <row r="2065" ht="15.75" customHeight="1">
      <c r="A2065" s="2">
        <v>2064.0</v>
      </c>
      <c r="B2065" s="1" t="s">
        <v>5671</v>
      </c>
      <c r="C2065" s="1" t="s">
        <v>72</v>
      </c>
      <c r="D2065" s="1" t="s">
        <v>5672</v>
      </c>
      <c r="E2065" s="2">
        <v>5.70038000924E11</v>
      </c>
      <c r="F2065" s="1" t="s">
        <v>5673</v>
      </c>
      <c r="G2065" s="1" t="s">
        <v>121</v>
      </c>
      <c r="H2065" s="3" t="s">
        <v>5418</v>
      </c>
      <c r="I2065" s="1"/>
      <c r="J2065" s="1"/>
      <c r="K2065" s="1"/>
    </row>
    <row r="2066" ht="15.75" customHeight="1">
      <c r="A2066" s="2">
        <v>2065.0</v>
      </c>
      <c r="B2066" s="1" t="s">
        <v>5674</v>
      </c>
      <c r="C2066" s="1" t="s">
        <v>5675</v>
      </c>
      <c r="D2066" s="1" t="s">
        <v>2535</v>
      </c>
      <c r="E2066" s="2">
        <v>5.70038000925E11</v>
      </c>
      <c r="F2066" s="1" t="s">
        <v>5676</v>
      </c>
      <c r="G2066" s="1" t="s">
        <v>121</v>
      </c>
      <c r="H2066" s="3" t="s">
        <v>5418</v>
      </c>
      <c r="I2066" s="1"/>
      <c r="J2066" s="1"/>
      <c r="K2066" s="1"/>
    </row>
    <row r="2067" ht="15.75" customHeight="1">
      <c r="A2067" s="2">
        <v>2066.0</v>
      </c>
      <c r="B2067" s="1" t="s">
        <v>5677</v>
      </c>
      <c r="C2067" s="1" t="s">
        <v>5678</v>
      </c>
      <c r="D2067" s="1" t="s">
        <v>107</v>
      </c>
      <c r="E2067" s="2">
        <v>5.70038000927E11</v>
      </c>
      <c r="F2067" s="1" t="s">
        <v>5110</v>
      </c>
      <c r="G2067" s="1" t="s">
        <v>121</v>
      </c>
      <c r="H2067" s="3" t="s">
        <v>5418</v>
      </c>
      <c r="I2067" s="1"/>
      <c r="J2067" s="1"/>
      <c r="K2067" s="1"/>
    </row>
    <row r="2068" ht="15.75" customHeight="1">
      <c r="A2068" s="2">
        <v>2067.0</v>
      </c>
      <c r="B2068" s="1" t="s">
        <v>5679</v>
      </c>
      <c r="C2068" s="1" t="s">
        <v>106</v>
      </c>
      <c r="D2068" s="1" t="s">
        <v>5680</v>
      </c>
      <c r="E2068" s="2">
        <v>5.70038000928E11</v>
      </c>
      <c r="F2068" s="1" t="s">
        <v>5681</v>
      </c>
      <c r="G2068" s="1" t="s">
        <v>47</v>
      </c>
      <c r="H2068" s="3" t="s">
        <v>5418</v>
      </c>
      <c r="I2068" s="1"/>
      <c r="J2068" s="1"/>
      <c r="K2068" s="1"/>
    </row>
    <row r="2069" ht="15.75" customHeight="1">
      <c r="A2069" s="2">
        <v>2068.0</v>
      </c>
      <c r="B2069" s="1" t="s">
        <v>4939</v>
      </c>
      <c r="C2069" s="1" t="s">
        <v>5682</v>
      </c>
      <c r="D2069" s="1" t="s">
        <v>5683</v>
      </c>
      <c r="E2069" s="2">
        <v>5.70038000929E11</v>
      </c>
      <c r="F2069" s="1" t="s">
        <v>5684</v>
      </c>
      <c r="G2069" s="1" t="s">
        <v>121</v>
      </c>
      <c r="H2069" s="3" t="s">
        <v>5418</v>
      </c>
      <c r="I2069" s="1"/>
      <c r="J2069" s="1"/>
      <c r="K2069" s="1"/>
    </row>
    <row r="2070" ht="15.75" customHeight="1">
      <c r="A2070" s="2">
        <v>2069.0</v>
      </c>
      <c r="B2070" s="1" t="s">
        <v>5685</v>
      </c>
      <c r="C2070" s="1" t="s">
        <v>5686</v>
      </c>
      <c r="D2070" s="1" t="s">
        <v>3352</v>
      </c>
      <c r="E2070" s="2">
        <v>5.70038000936E11</v>
      </c>
      <c r="F2070" s="1" t="s">
        <v>5687</v>
      </c>
      <c r="G2070" s="1" t="s">
        <v>121</v>
      </c>
      <c r="H2070" s="3" t="s">
        <v>5418</v>
      </c>
      <c r="I2070" s="1"/>
      <c r="J2070" s="1"/>
      <c r="K2070" s="1"/>
    </row>
    <row r="2071" ht="15.75" customHeight="1">
      <c r="A2071" s="2">
        <v>2070.0</v>
      </c>
      <c r="B2071" s="1" t="s">
        <v>5688</v>
      </c>
      <c r="C2071" s="1" t="s">
        <v>5689</v>
      </c>
      <c r="D2071" s="1" t="s">
        <v>1876</v>
      </c>
      <c r="E2071" s="2">
        <v>5.70038000942E11</v>
      </c>
      <c r="F2071" s="1" t="s">
        <v>5690</v>
      </c>
      <c r="G2071" s="1" t="s">
        <v>5625</v>
      </c>
      <c r="H2071" s="3" t="s">
        <v>5418</v>
      </c>
      <c r="I2071" s="1"/>
      <c r="J2071" s="1"/>
      <c r="K2071" s="1"/>
    </row>
    <row r="2072" ht="15.75" customHeight="1">
      <c r="A2072" s="2">
        <v>2071.0</v>
      </c>
      <c r="B2072" s="1" t="s">
        <v>5691</v>
      </c>
      <c r="C2072" s="1" t="s">
        <v>1052</v>
      </c>
      <c r="D2072" s="1" t="s">
        <v>5692</v>
      </c>
      <c r="E2072" s="2">
        <v>5.70038000944E11</v>
      </c>
      <c r="F2072" s="1" t="s">
        <v>5693</v>
      </c>
      <c r="G2072" s="1" t="s">
        <v>47</v>
      </c>
      <c r="H2072" s="3" t="s">
        <v>5418</v>
      </c>
      <c r="I2072" s="1"/>
      <c r="J2072" s="1"/>
      <c r="K2072" s="1"/>
    </row>
    <row r="2073" ht="15.75" customHeight="1">
      <c r="A2073" s="2">
        <v>2072.0</v>
      </c>
      <c r="B2073" s="1" t="s">
        <v>3576</v>
      </c>
      <c r="C2073" s="1" t="s">
        <v>5694</v>
      </c>
      <c r="D2073" s="1" t="s">
        <v>5695</v>
      </c>
      <c r="E2073" s="2">
        <v>5.70038000957E11</v>
      </c>
      <c r="F2073" s="1" t="s">
        <v>5696</v>
      </c>
      <c r="G2073" s="1" t="s">
        <v>12</v>
      </c>
      <c r="H2073" s="3" t="s">
        <v>5418</v>
      </c>
      <c r="I2073" s="1"/>
      <c r="J2073" s="1"/>
      <c r="K2073" s="1"/>
    </row>
    <row r="2074" ht="15.75" customHeight="1">
      <c r="A2074" s="2">
        <v>2073.0</v>
      </c>
      <c r="B2074" s="1" t="s">
        <v>5697</v>
      </c>
      <c r="C2074" s="1" t="s">
        <v>188</v>
      </c>
      <c r="D2074" s="1" t="s">
        <v>5698</v>
      </c>
      <c r="E2074" s="2">
        <v>5.70038000958E11</v>
      </c>
      <c r="F2074" s="1" t="s">
        <v>5699</v>
      </c>
      <c r="G2074" s="1" t="s">
        <v>121</v>
      </c>
      <c r="H2074" s="3" t="s">
        <v>5418</v>
      </c>
      <c r="I2074" s="1"/>
      <c r="J2074" s="1"/>
      <c r="K2074" s="1"/>
    </row>
    <row r="2075" ht="15.75" customHeight="1">
      <c r="A2075" s="2">
        <v>2074.0</v>
      </c>
      <c r="B2075" s="1" t="s">
        <v>827</v>
      </c>
      <c r="C2075" s="1" t="s">
        <v>5700</v>
      </c>
      <c r="D2075" s="1" t="s">
        <v>5701</v>
      </c>
      <c r="E2075" s="2">
        <v>5.7003800096E11</v>
      </c>
      <c r="F2075" s="1" t="s">
        <v>5702</v>
      </c>
      <c r="G2075" s="1" t="s">
        <v>38</v>
      </c>
      <c r="H2075" s="3" t="s">
        <v>5418</v>
      </c>
      <c r="I2075" s="1"/>
      <c r="J2075" s="1"/>
      <c r="K2075" s="1"/>
    </row>
    <row r="2076" ht="15.75" customHeight="1">
      <c r="A2076" s="2">
        <v>2075.0</v>
      </c>
      <c r="B2076" s="1" t="s">
        <v>5703</v>
      </c>
      <c r="C2076" s="1" t="s">
        <v>2335</v>
      </c>
      <c r="D2076" s="1" t="s">
        <v>5704</v>
      </c>
      <c r="E2076" s="2">
        <v>5.70038000967E11</v>
      </c>
      <c r="F2076" s="1" t="s">
        <v>5705</v>
      </c>
      <c r="G2076" s="1" t="s">
        <v>47</v>
      </c>
      <c r="H2076" s="3" t="s">
        <v>5418</v>
      </c>
      <c r="I2076" s="1"/>
      <c r="J2076" s="1"/>
      <c r="K2076" s="1"/>
    </row>
    <row r="2077" ht="15.75" customHeight="1">
      <c r="A2077" s="2">
        <v>2076.0</v>
      </c>
      <c r="B2077" s="1" t="s">
        <v>5706</v>
      </c>
      <c r="C2077" s="1" t="s">
        <v>130</v>
      </c>
      <c r="D2077" s="1" t="s">
        <v>5204</v>
      </c>
      <c r="E2077" s="2">
        <v>5.70038000981E11</v>
      </c>
      <c r="F2077" s="1" t="s">
        <v>5707</v>
      </c>
      <c r="G2077" s="1" t="s">
        <v>121</v>
      </c>
      <c r="H2077" s="3" t="s">
        <v>5418</v>
      </c>
      <c r="I2077" s="1"/>
      <c r="J2077" s="1"/>
      <c r="K2077" s="1"/>
    </row>
    <row r="2078" ht="15.75" customHeight="1">
      <c r="A2078" s="2">
        <v>2077.0</v>
      </c>
      <c r="B2078" s="1" t="s">
        <v>293</v>
      </c>
      <c r="C2078" s="1" t="s">
        <v>2280</v>
      </c>
      <c r="D2078" s="1" t="s">
        <v>295</v>
      </c>
      <c r="E2078" s="2">
        <v>5.70038000982E11</v>
      </c>
      <c r="F2078" s="1" t="s">
        <v>5708</v>
      </c>
      <c r="G2078" s="1" t="s">
        <v>121</v>
      </c>
      <c r="H2078" s="3" t="s">
        <v>5418</v>
      </c>
      <c r="I2078" s="1"/>
      <c r="J2078" s="1"/>
      <c r="K2078" s="1"/>
    </row>
    <row r="2079" ht="15.75" customHeight="1">
      <c r="A2079" s="2">
        <v>2078.0</v>
      </c>
      <c r="B2079" s="1" t="s">
        <v>5709</v>
      </c>
      <c r="C2079" s="1" t="s">
        <v>5710</v>
      </c>
      <c r="D2079" s="1" t="s">
        <v>1110</v>
      </c>
      <c r="E2079" s="2">
        <v>5.70038000983E11</v>
      </c>
      <c r="F2079" s="1" t="s">
        <v>5711</v>
      </c>
      <c r="G2079" s="1" t="s">
        <v>121</v>
      </c>
      <c r="H2079" s="3" t="s">
        <v>5418</v>
      </c>
      <c r="I2079" s="1"/>
      <c r="J2079" s="1"/>
      <c r="K2079" s="1"/>
    </row>
    <row r="2080" ht="15.75" customHeight="1">
      <c r="A2080" s="2">
        <v>2079.0</v>
      </c>
      <c r="B2080" s="1" t="s">
        <v>1588</v>
      </c>
      <c r="C2080" s="1" t="s">
        <v>39</v>
      </c>
      <c r="D2080" s="1" t="s">
        <v>5712</v>
      </c>
      <c r="E2080" s="2">
        <v>5.70038000964E11</v>
      </c>
      <c r="F2080" s="1" t="s">
        <v>5713</v>
      </c>
      <c r="G2080" s="1" t="s">
        <v>121</v>
      </c>
      <c r="H2080" s="3" t="s">
        <v>5418</v>
      </c>
      <c r="I2080" s="1"/>
      <c r="J2080" s="1"/>
      <c r="K2080" s="1"/>
    </row>
    <row r="2081" ht="15.75" customHeight="1">
      <c r="A2081" s="2">
        <v>2080.0</v>
      </c>
      <c r="B2081" s="1" t="s">
        <v>687</v>
      </c>
      <c r="C2081" s="1" t="s">
        <v>1339</v>
      </c>
      <c r="D2081" s="1" t="s">
        <v>5714</v>
      </c>
      <c r="E2081" s="2">
        <v>5.70038000966E11</v>
      </c>
      <c r="F2081" s="1" t="s">
        <v>5715</v>
      </c>
      <c r="G2081" s="1" t="s">
        <v>121</v>
      </c>
      <c r="H2081" s="3" t="s">
        <v>5418</v>
      </c>
      <c r="I2081" s="1"/>
      <c r="J2081" s="1"/>
      <c r="K2081" s="1"/>
    </row>
    <row r="2082" ht="15.75" customHeight="1">
      <c r="A2082" s="2">
        <v>2081.0</v>
      </c>
      <c r="B2082" s="1" t="s">
        <v>2743</v>
      </c>
      <c r="C2082" s="1" t="s">
        <v>257</v>
      </c>
      <c r="D2082" s="1" t="s">
        <v>5183</v>
      </c>
      <c r="E2082" s="2">
        <v>5.70038000969E11</v>
      </c>
      <c r="F2082" s="1" t="s">
        <v>5716</v>
      </c>
      <c r="G2082" s="1" t="s">
        <v>121</v>
      </c>
      <c r="H2082" s="3" t="s">
        <v>5418</v>
      </c>
      <c r="I2082" s="1"/>
      <c r="J2082" s="1"/>
      <c r="K2082" s="1"/>
    </row>
    <row r="2083" ht="15.75" customHeight="1">
      <c r="A2083" s="2">
        <v>2082.0</v>
      </c>
      <c r="B2083" s="1" t="s">
        <v>654</v>
      </c>
      <c r="C2083" s="1" t="s">
        <v>4887</v>
      </c>
      <c r="D2083" s="1" t="s">
        <v>5717</v>
      </c>
      <c r="E2083" s="2">
        <v>5.7003800097E11</v>
      </c>
      <c r="F2083" s="1" t="s">
        <v>5718</v>
      </c>
      <c r="G2083" s="1" t="s">
        <v>121</v>
      </c>
      <c r="H2083" s="3" t="s">
        <v>5418</v>
      </c>
      <c r="I2083" s="1"/>
      <c r="J2083" s="1"/>
      <c r="K2083" s="1"/>
    </row>
    <row r="2084" ht="15.75" customHeight="1">
      <c r="A2084" s="2">
        <v>2083.0</v>
      </c>
      <c r="B2084" s="1" t="s">
        <v>5719</v>
      </c>
      <c r="C2084" s="1" t="s">
        <v>559</v>
      </c>
      <c r="D2084" s="1" t="s">
        <v>801</v>
      </c>
      <c r="E2084" s="2">
        <v>5.70038000973E11</v>
      </c>
      <c r="F2084" s="1" t="s">
        <v>5720</v>
      </c>
      <c r="G2084" s="1" t="s">
        <v>121</v>
      </c>
      <c r="H2084" s="3" t="s">
        <v>5418</v>
      </c>
      <c r="I2084" s="1"/>
      <c r="J2084" s="1"/>
      <c r="K2084" s="1"/>
    </row>
    <row r="2085" ht="15.75" customHeight="1">
      <c r="A2085" s="2">
        <v>2084.0</v>
      </c>
      <c r="B2085" s="1" t="s">
        <v>2259</v>
      </c>
      <c r="C2085" s="1" t="s">
        <v>330</v>
      </c>
      <c r="D2085" s="1" t="s">
        <v>5337</v>
      </c>
      <c r="E2085" s="2">
        <v>5.70038000974E11</v>
      </c>
      <c r="F2085" s="1" t="s">
        <v>5721</v>
      </c>
      <c r="G2085" s="1" t="s">
        <v>121</v>
      </c>
      <c r="H2085" s="3" t="s">
        <v>5418</v>
      </c>
      <c r="I2085" s="1"/>
      <c r="J2085" s="1"/>
      <c r="K2085" s="1"/>
    </row>
    <row r="2086" ht="15.75" customHeight="1">
      <c r="A2086" s="2">
        <v>2085.0</v>
      </c>
      <c r="B2086" s="1" t="s">
        <v>5722</v>
      </c>
      <c r="C2086" s="1" t="s">
        <v>2471</v>
      </c>
      <c r="D2086" s="1" t="s">
        <v>5550</v>
      </c>
      <c r="E2086" s="2">
        <v>5.70038000975E11</v>
      </c>
      <c r="F2086" s="1" t="s">
        <v>5723</v>
      </c>
      <c r="G2086" s="1" t="s">
        <v>121</v>
      </c>
      <c r="H2086" s="3" t="s">
        <v>5418</v>
      </c>
      <c r="I2086" s="1"/>
      <c r="J2086" s="1"/>
      <c r="K2086" s="1"/>
    </row>
    <row r="2087" ht="15.75" customHeight="1">
      <c r="A2087" s="2">
        <v>2086.0</v>
      </c>
      <c r="B2087" s="1" t="s">
        <v>1460</v>
      </c>
      <c r="C2087" s="1" t="s">
        <v>2950</v>
      </c>
      <c r="D2087" s="1" t="s">
        <v>5724</v>
      </c>
      <c r="E2087" s="2">
        <v>5.70038000986E11</v>
      </c>
      <c r="F2087" s="1" t="s">
        <v>5725</v>
      </c>
      <c r="G2087" s="1" t="s">
        <v>121</v>
      </c>
      <c r="H2087" s="3" t="s">
        <v>5418</v>
      </c>
      <c r="I2087" s="1"/>
      <c r="J2087" s="1"/>
      <c r="K2087" s="1"/>
    </row>
    <row r="2088" ht="15.75" customHeight="1">
      <c r="A2088" s="2">
        <v>2087.0</v>
      </c>
      <c r="B2088" s="1" t="s">
        <v>5726</v>
      </c>
      <c r="C2088" s="1" t="s">
        <v>612</v>
      </c>
      <c r="D2088" s="1" t="s">
        <v>5727</v>
      </c>
      <c r="E2088" s="2">
        <v>5.70038000987E11</v>
      </c>
      <c r="F2088" s="1" t="s">
        <v>5728</v>
      </c>
      <c r="G2088" s="1" t="s">
        <v>121</v>
      </c>
      <c r="H2088" s="3" t="s">
        <v>5418</v>
      </c>
      <c r="I2088" s="1"/>
      <c r="J2088" s="1"/>
      <c r="K2088" s="1"/>
    </row>
    <row r="2089" ht="15.75" customHeight="1">
      <c r="A2089" s="2">
        <v>2088.0</v>
      </c>
      <c r="B2089" s="1" t="s">
        <v>682</v>
      </c>
      <c r="C2089" s="1" t="s">
        <v>1154</v>
      </c>
      <c r="D2089" s="1" t="s">
        <v>135</v>
      </c>
      <c r="E2089" s="2">
        <v>5.70038000988E11</v>
      </c>
      <c r="F2089" s="1" t="s">
        <v>5729</v>
      </c>
      <c r="G2089" s="1" t="s">
        <v>121</v>
      </c>
      <c r="H2089" s="3" t="s">
        <v>5418</v>
      </c>
      <c r="I2089" s="1"/>
      <c r="J2089" s="1"/>
      <c r="K2089" s="1"/>
    </row>
    <row r="2090" ht="15.75" customHeight="1">
      <c r="A2090" s="2">
        <v>2089.0</v>
      </c>
      <c r="B2090" s="1" t="s">
        <v>5730</v>
      </c>
      <c r="C2090" s="1" t="s">
        <v>5731</v>
      </c>
      <c r="D2090" s="1" t="s">
        <v>5732</v>
      </c>
      <c r="E2090" s="2">
        <v>5.70038000991E11</v>
      </c>
      <c r="F2090" s="1" t="s">
        <v>5733</v>
      </c>
      <c r="G2090" s="1" t="s">
        <v>121</v>
      </c>
      <c r="H2090" s="3" t="s">
        <v>5418</v>
      </c>
      <c r="I2090" s="1"/>
      <c r="J2090" s="1"/>
      <c r="K2090" s="1"/>
    </row>
    <row r="2091" ht="15.75" customHeight="1">
      <c r="A2091" s="2">
        <v>2090.0</v>
      </c>
      <c r="B2091" s="1" t="s">
        <v>5734</v>
      </c>
      <c r="C2091" s="1" t="s">
        <v>5735</v>
      </c>
      <c r="D2091" s="1" t="s">
        <v>5736</v>
      </c>
      <c r="E2091" s="2">
        <v>5.70038000993E11</v>
      </c>
      <c r="F2091" s="1" t="s">
        <v>5737</v>
      </c>
      <c r="G2091" s="1" t="s">
        <v>121</v>
      </c>
      <c r="H2091" s="3" t="s">
        <v>5418</v>
      </c>
      <c r="I2091" s="1"/>
      <c r="J2091" s="1"/>
      <c r="K2091" s="1"/>
    </row>
    <row r="2092" ht="15.75" customHeight="1">
      <c r="A2092" s="2">
        <v>2091.0</v>
      </c>
      <c r="B2092" s="1" t="s">
        <v>5738</v>
      </c>
      <c r="C2092" s="1" t="s">
        <v>1157</v>
      </c>
      <c r="D2092" s="1" t="s">
        <v>295</v>
      </c>
      <c r="E2092" s="2">
        <v>5.70038000995E11</v>
      </c>
      <c r="F2092" s="1" t="s">
        <v>5739</v>
      </c>
      <c r="G2092" s="1" t="s">
        <v>47</v>
      </c>
      <c r="H2092" s="3" t="s">
        <v>5418</v>
      </c>
      <c r="I2092" s="1"/>
      <c r="J2092" s="1"/>
      <c r="K2092" s="1"/>
    </row>
    <row r="2093" ht="15.75" customHeight="1">
      <c r="A2093" s="2">
        <v>2092.0</v>
      </c>
      <c r="B2093" s="1" t="s">
        <v>1856</v>
      </c>
      <c r="C2093" s="1" t="s">
        <v>254</v>
      </c>
      <c r="D2093" s="1" t="s">
        <v>307</v>
      </c>
      <c r="E2093" s="2">
        <v>5.70038000996E11</v>
      </c>
      <c r="F2093" s="1" t="s">
        <v>5740</v>
      </c>
      <c r="G2093" s="1" t="s">
        <v>121</v>
      </c>
      <c r="H2093" s="3" t="s">
        <v>5418</v>
      </c>
      <c r="I2093" s="1"/>
      <c r="J2093" s="1"/>
      <c r="K2093" s="1"/>
    </row>
    <row r="2094" ht="15.75" customHeight="1">
      <c r="A2094" s="2">
        <v>2093.0</v>
      </c>
      <c r="B2094" s="1" t="s">
        <v>5741</v>
      </c>
      <c r="C2094" s="1" t="s">
        <v>263</v>
      </c>
      <c r="D2094" s="1" t="s">
        <v>1880</v>
      </c>
      <c r="E2094" s="2">
        <v>5.70038000997E11</v>
      </c>
      <c r="F2094" s="1" t="s">
        <v>5742</v>
      </c>
      <c r="G2094" s="1" t="s">
        <v>121</v>
      </c>
      <c r="H2094" s="3" t="s">
        <v>5418</v>
      </c>
      <c r="I2094" s="1"/>
      <c r="J2094" s="1"/>
      <c r="K2094" s="1"/>
    </row>
    <row r="2095" ht="15.75" customHeight="1">
      <c r="A2095" s="2">
        <v>2094.0</v>
      </c>
      <c r="B2095" s="1" t="s">
        <v>5651</v>
      </c>
      <c r="C2095" s="1" t="s">
        <v>488</v>
      </c>
      <c r="D2095" s="1" t="s">
        <v>335</v>
      </c>
      <c r="E2095" s="2">
        <v>5.70038000998E11</v>
      </c>
      <c r="F2095" s="1" t="s">
        <v>5743</v>
      </c>
      <c r="G2095" s="1" t="s">
        <v>121</v>
      </c>
      <c r="H2095" s="3" t="s">
        <v>5418</v>
      </c>
      <c r="I2095" s="1"/>
      <c r="J2095" s="1"/>
      <c r="K2095" s="1"/>
    </row>
    <row r="2096" ht="15.75" customHeight="1">
      <c r="A2096" s="2">
        <v>2095.0</v>
      </c>
      <c r="B2096" s="1" t="s">
        <v>43</v>
      </c>
      <c r="C2096" s="1" t="s">
        <v>524</v>
      </c>
      <c r="D2096" s="1" t="s">
        <v>5744</v>
      </c>
      <c r="E2096" s="2">
        <v>5.70038000999E11</v>
      </c>
      <c r="F2096" s="1" t="s">
        <v>5745</v>
      </c>
      <c r="G2096" s="1" t="s">
        <v>121</v>
      </c>
      <c r="H2096" s="3" t="s">
        <v>5418</v>
      </c>
      <c r="I2096" s="1"/>
      <c r="J2096" s="1"/>
      <c r="K2096" s="1"/>
    </row>
    <row r="2097" ht="15.75" customHeight="1">
      <c r="A2097" s="2">
        <v>2096.0</v>
      </c>
      <c r="B2097" s="1" t="s">
        <v>5746</v>
      </c>
      <c r="C2097" s="1" t="s">
        <v>729</v>
      </c>
      <c r="D2097" s="1" t="s">
        <v>5531</v>
      </c>
      <c r="E2097" s="2">
        <v>5.70038001001E11</v>
      </c>
      <c r="F2097" s="1" t="s">
        <v>5747</v>
      </c>
      <c r="G2097" s="1" t="s">
        <v>121</v>
      </c>
      <c r="H2097" s="3" t="s">
        <v>5418</v>
      </c>
      <c r="I2097" s="1"/>
      <c r="J2097" s="1"/>
      <c r="K2097" s="1"/>
    </row>
    <row r="2098" ht="15.75" customHeight="1">
      <c r="A2098" s="2">
        <v>2097.0</v>
      </c>
      <c r="B2098" s="1" t="s">
        <v>1379</v>
      </c>
      <c r="C2098" s="1" t="s">
        <v>1062</v>
      </c>
      <c r="D2098" s="1" t="s">
        <v>196</v>
      </c>
      <c r="E2098" s="2">
        <v>5.70038001002E11</v>
      </c>
      <c r="F2098" s="1" t="s">
        <v>5748</v>
      </c>
      <c r="G2098" s="1" t="s">
        <v>121</v>
      </c>
      <c r="H2098" s="3" t="s">
        <v>5418</v>
      </c>
      <c r="I2098" s="1"/>
      <c r="J2098" s="1"/>
      <c r="K2098" s="1"/>
    </row>
    <row r="2099" ht="15.75" customHeight="1">
      <c r="A2099" s="2">
        <v>2098.0</v>
      </c>
      <c r="B2099" s="1" t="s">
        <v>5749</v>
      </c>
      <c r="C2099" s="1" t="s">
        <v>1065</v>
      </c>
      <c r="D2099" s="1" t="s">
        <v>5750</v>
      </c>
      <c r="E2099" s="2">
        <v>5.70038001003E11</v>
      </c>
      <c r="F2099" s="1" t="s">
        <v>5751</v>
      </c>
      <c r="G2099" s="1" t="s">
        <v>121</v>
      </c>
      <c r="H2099" s="3" t="s">
        <v>5418</v>
      </c>
      <c r="I2099" s="1"/>
      <c r="J2099" s="1"/>
      <c r="K2099" s="1"/>
    </row>
    <row r="2100" ht="15.75" customHeight="1">
      <c r="A2100" s="2">
        <v>2099.0</v>
      </c>
      <c r="B2100" s="1" t="s">
        <v>5752</v>
      </c>
      <c r="C2100" s="1" t="s">
        <v>1616</v>
      </c>
      <c r="D2100" s="1" t="s">
        <v>5753</v>
      </c>
      <c r="E2100" s="2">
        <v>5.70038001004E11</v>
      </c>
      <c r="F2100" s="1" t="s">
        <v>5754</v>
      </c>
      <c r="G2100" s="1" t="s">
        <v>121</v>
      </c>
      <c r="H2100" s="3" t="s">
        <v>5418</v>
      </c>
      <c r="I2100" s="1"/>
      <c r="J2100" s="1"/>
      <c r="K2100" s="1"/>
    </row>
    <row r="2101" ht="15.75" customHeight="1">
      <c r="A2101" s="2">
        <v>2100.0</v>
      </c>
      <c r="B2101" s="1" t="s">
        <v>5755</v>
      </c>
      <c r="C2101" s="1" t="s">
        <v>257</v>
      </c>
      <c r="D2101" s="1" t="s">
        <v>5416</v>
      </c>
      <c r="E2101" s="2">
        <v>5.70038001006E11</v>
      </c>
      <c r="F2101" s="1" t="s">
        <v>5756</v>
      </c>
      <c r="G2101" s="1" t="s">
        <v>121</v>
      </c>
      <c r="H2101" s="3" t="s">
        <v>5418</v>
      </c>
      <c r="I2101" s="1"/>
      <c r="J2101" s="1"/>
      <c r="K2101" s="1"/>
    </row>
    <row r="2102" ht="15.75" customHeight="1">
      <c r="A2102" s="2">
        <v>2101.0</v>
      </c>
      <c r="B2102" s="1" t="s">
        <v>3654</v>
      </c>
      <c r="C2102" s="1" t="s">
        <v>72</v>
      </c>
      <c r="D2102" s="1" t="s">
        <v>5757</v>
      </c>
      <c r="E2102" s="2">
        <v>5.70038001007E11</v>
      </c>
      <c r="F2102" s="1" t="s">
        <v>5758</v>
      </c>
      <c r="G2102" s="1" t="s">
        <v>121</v>
      </c>
      <c r="H2102" s="3" t="s">
        <v>5418</v>
      </c>
      <c r="I2102" s="1"/>
      <c r="J2102" s="1"/>
      <c r="K2102" s="1"/>
    </row>
    <row r="2103" ht="15.75" customHeight="1">
      <c r="A2103" s="2">
        <v>2102.0</v>
      </c>
      <c r="B2103" s="1" t="s">
        <v>1904</v>
      </c>
      <c r="C2103" s="1" t="s">
        <v>5759</v>
      </c>
      <c r="D2103" s="1" t="s">
        <v>335</v>
      </c>
      <c r="E2103" s="2">
        <v>5.7003800101E11</v>
      </c>
      <c r="F2103" s="1" t="s">
        <v>5760</v>
      </c>
      <c r="G2103" s="1" t="s">
        <v>121</v>
      </c>
      <c r="H2103" s="3" t="s">
        <v>5418</v>
      </c>
      <c r="I2103" s="1"/>
      <c r="J2103" s="1"/>
      <c r="K2103" s="1"/>
    </row>
    <row r="2104" ht="15.75" customHeight="1">
      <c r="A2104" s="2">
        <v>2103.0</v>
      </c>
      <c r="B2104" s="1" t="s">
        <v>848</v>
      </c>
      <c r="C2104" s="1" t="s">
        <v>852</v>
      </c>
      <c r="D2104" s="1" t="s">
        <v>5761</v>
      </c>
      <c r="E2104" s="2">
        <v>5.70038001011E11</v>
      </c>
      <c r="F2104" s="1" t="s">
        <v>5762</v>
      </c>
      <c r="G2104" s="1" t="s">
        <v>121</v>
      </c>
      <c r="H2104" s="3" t="s">
        <v>5418</v>
      </c>
      <c r="I2104" s="1"/>
      <c r="J2104" s="1"/>
      <c r="K2104" s="1"/>
    </row>
    <row r="2105" ht="15.75" customHeight="1">
      <c r="A2105" s="2">
        <v>2104.0</v>
      </c>
      <c r="B2105" s="1" t="s">
        <v>5042</v>
      </c>
      <c r="C2105" s="1" t="s">
        <v>484</v>
      </c>
      <c r="D2105" s="1" t="s">
        <v>5763</v>
      </c>
      <c r="E2105" s="2">
        <v>5.70038001013E11</v>
      </c>
      <c r="F2105" s="1" t="s">
        <v>5764</v>
      </c>
      <c r="G2105" s="1" t="s">
        <v>121</v>
      </c>
      <c r="H2105" s="3" t="s">
        <v>5418</v>
      </c>
      <c r="I2105" s="1"/>
      <c r="J2105" s="1"/>
      <c r="K2105" s="1"/>
    </row>
    <row r="2106" ht="15.75" customHeight="1">
      <c r="A2106" s="2">
        <v>2105.0</v>
      </c>
      <c r="B2106" s="1" t="s">
        <v>4939</v>
      </c>
      <c r="C2106" s="1" t="s">
        <v>5765</v>
      </c>
      <c r="D2106" s="1" t="s">
        <v>5766</v>
      </c>
      <c r="E2106" s="2">
        <v>5.70038001014E11</v>
      </c>
      <c r="F2106" s="1" t="s">
        <v>5767</v>
      </c>
      <c r="G2106" s="1" t="s">
        <v>121</v>
      </c>
      <c r="H2106" s="3" t="s">
        <v>5418</v>
      </c>
      <c r="I2106" s="1"/>
      <c r="J2106" s="1"/>
      <c r="K2106" s="1"/>
    </row>
    <row r="2107" ht="15.75" customHeight="1">
      <c r="A2107" s="2">
        <v>2106.0</v>
      </c>
      <c r="B2107" s="1" t="s">
        <v>993</v>
      </c>
      <c r="C2107" s="1" t="s">
        <v>5645</v>
      </c>
      <c r="D2107" s="1" t="s">
        <v>1265</v>
      </c>
      <c r="E2107" s="2">
        <v>5.70038001015E11</v>
      </c>
      <c r="F2107" s="1" t="s">
        <v>5768</v>
      </c>
      <c r="G2107" s="1" t="s">
        <v>121</v>
      </c>
      <c r="H2107" s="3" t="s">
        <v>5418</v>
      </c>
      <c r="I2107" s="1"/>
      <c r="J2107" s="1"/>
      <c r="K2107" s="1"/>
    </row>
    <row r="2108" ht="15.75" customHeight="1">
      <c r="A2108" s="2">
        <v>2107.0</v>
      </c>
      <c r="B2108" s="1" t="s">
        <v>5769</v>
      </c>
      <c r="C2108" s="1" t="s">
        <v>5770</v>
      </c>
      <c r="D2108" s="1" t="s">
        <v>283</v>
      </c>
      <c r="E2108" s="2">
        <v>5.7003800102E11</v>
      </c>
      <c r="F2108" s="1" t="s">
        <v>5771</v>
      </c>
      <c r="G2108" s="1" t="s">
        <v>47</v>
      </c>
      <c r="H2108" s="3" t="s">
        <v>5418</v>
      </c>
      <c r="I2108" s="1"/>
      <c r="J2108" s="1"/>
      <c r="K2108" s="1"/>
    </row>
    <row r="2109" ht="15.75" customHeight="1">
      <c r="A2109" s="2">
        <v>2108.0</v>
      </c>
      <c r="B2109" s="1" t="s">
        <v>524</v>
      </c>
      <c r="C2109" s="1" t="s">
        <v>5772</v>
      </c>
      <c r="D2109" s="1" t="s">
        <v>5773</v>
      </c>
      <c r="E2109" s="2">
        <v>5.70038000489E11</v>
      </c>
      <c r="F2109" s="1" t="s">
        <v>5774</v>
      </c>
      <c r="G2109" s="1" t="s">
        <v>38</v>
      </c>
      <c r="H2109" s="3" t="s">
        <v>5418</v>
      </c>
      <c r="I2109" s="1"/>
      <c r="J2109" s="1"/>
      <c r="K2109" s="1"/>
    </row>
    <row r="2110" ht="15.75" customHeight="1">
      <c r="A2110" s="2">
        <v>2109.0</v>
      </c>
      <c r="B2110" s="1" t="s">
        <v>72</v>
      </c>
      <c r="C2110" s="1" t="s">
        <v>2669</v>
      </c>
      <c r="D2110" s="1" t="s">
        <v>5775</v>
      </c>
      <c r="E2110" s="2">
        <v>5.70038000949E11</v>
      </c>
      <c r="F2110" s="1" t="s">
        <v>5776</v>
      </c>
      <c r="G2110" s="1" t="s">
        <v>12</v>
      </c>
      <c r="H2110" s="3" t="s">
        <v>5418</v>
      </c>
      <c r="I2110" s="1"/>
      <c r="J2110" s="1"/>
      <c r="K2110" s="1"/>
    </row>
    <row r="2111" ht="15.75" customHeight="1">
      <c r="A2111" s="2">
        <v>2110.0</v>
      </c>
      <c r="B2111" s="1" t="s">
        <v>5777</v>
      </c>
      <c r="C2111" s="1" t="s">
        <v>5778</v>
      </c>
      <c r="D2111" s="1" t="s">
        <v>5779</v>
      </c>
      <c r="E2111" s="2">
        <v>5.70038000952E11</v>
      </c>
      <c r="F2111" s="1" t="s">
        <v>5780</v>
      </c>
      <c r="G2111" s="1" t="s">
        <v>38</v>
      </c>
      <c r="H2111" s="3" t="s">
        <v>5418</v>
      </c>
      <c r="I2111" s="1"/>
      <c r="J2111" s="1"/>
      <c r="K2111" s="1"/>
    </row>
    <row r="2112" ht="15.75" customHeight="1">
      <c r="A2112" s="2">
        <v>2111.0</v>
      </c>
      <c r="B2112" s="1" t="s">
        <v>5781</v>
      </c>
      <c r="C2112" s="1" t="s">
        <v>5782</v>
      </c>
      <c r="D2112" s="1" t="s">
        <v>5783</v>
      </c>
      <c r="E2112" s="2">
        <v>5.70038000954E11</v>
      </c>
      <c r="F2112" s="1" t="s">
        <v>5784</v>
      </c>
      <c r="G2112" s="1" t="s">
        <v>121</v>
      </c>
      <c r="H2112" s="3" t="s">
        <v>5418</v>
      </c>
      <c r="I2112" s="1"/>
      <c r="J2112" s="1"/>
      <c r="K2112" s="1"/>
    </row>
    <row r="2113" ht="15.75" customHeight="1">
      <c r="A2113" s="6">
        <v>2112.0</v>
      </c>
      <c r="B2113" s="1" t="s">
        <v>5785</v>
      </c>
      <c r="C2113" s="1" t="s">
        <v>2642</v>
      </c>
      <c r="D2113" s="1" t="s">
        <v>5786</v>
      </c>
      <c r="E2113" s="2">
        <v>5.70038001021E11</v>
      </c>
      <c r="F2113" s="1" t="s">
        <v>5787</v>
      </c>
      <c r="G2113" s="1" t="s">
        <v>121</v>
      </c>
      <c r="H2113" s="3" t="s">
        <v>5418</v>
      </c>
      <c r="I2113" s="1"/>
      <c r="J2113" s="1"/>
      <c r="K2113" s="1"/>
    </row>
    <row r="2114" ht="15.75" customHeight="1">
      <c r="A2114" s="2">
        <v>2113.0</v>
      </c>
      <c r="B2114" s="1" t="s">
        <v>5788</v>
      </c>
      <c r="C2114" s="1" t="s">
        <v>5789</v>
      </c>
      <c r="D2114" s="1" t="s">
        <v>5790</v>
      </c>
      <c r="E2114" s="2">
        <v>5.70038001022E11</v>
      </c>
      <c r="F2114" s="1" t="s">
        <v>5464</v>
      </c>
      <c r="G2114" s="1" t="s">
        <v>121</v>
      </c>
      <c r="H2114" s="3" t="s">
        <v>5791</v>
      </c>
      <c r="I2114" s="1"/>
      <c r="J2114" s="1"/>
      <c r="K2114" s="1"/>
    </row>
    <row r="2115" ht="15.75" customHeight="1">
      <c r="A2115" s="6">
        <v>2113.0</v>
      </c>
      <c r="B2115" s="1" t="s">
        <v>5792</v>
      </c>
      <c r="C2115" s="1" t="s">
        <v>125</v>
      </c>
      <c r="D2115" s="1" t="s">
        <v>5793</v>
      </c>
      <c r="E2115" s="2">
        <v>5.70038001028E11</v>
      </c>
      <c r="F2115" s="1" t="s">
        <v>5794</v>
      </c>
      <c r="G2115" s="1" t="s">
        <v>121</v>
      </c>
      <c r="H2115" s="3" t="s">
        <v>5795</v>
      </c>
      <c r="I2115" s="1"/>
      <c r="J2115" s="1"/>
      <c r="K2115" s="1"/>
    </row>
    <row r="2116" ht="15.75" customHeight="1">
      <c r="A2116" s="2">
        <v>2115.0</v>
      </c>
      <c r="B2116" s="1" t="s">
        <v>5796</v>
      </c>
      <c r="C2116" s="1" t="s">
        <v>330</v>
      </c>
      <c r="D2116" s="1" t="s">
        <v>295</v>
      </c>
      <c r="E2116" s="2">
        <v>5.70038001029E11</v>
      </c>
      <c r="F2116" s="1" t="s">
        <v>5797</v>
      </c>
      <c r="G2116" s="1" t="s">
        <v>121</v>
      </c>
      <c r="H2116" s="3" t="s">
        <v>5798</v>
      </c>
      <c r="I2116" s="1"/>
      <c r="J2116" s="1"/>
      <c r="K2116" s="1"/>
    </row>
    <row r="2117" ht="15.75" customHeight="1">
      <c r="A2117" s="2">
        <v>2116.0</v>
      </c>
      <c r="B2117" s="1" t="s">
        <v>5799</v>
      </c>
      <c r="C2117" s="1" t="s">
        <v>5800</v>
      </c>
      <c r="D2117" s="1" t="s">
        <v>5801</v>
      </c>
      <c r="E2117" s="2">
        <v>5.7003800103E11</v>
      </c>
      <c r="F2117" s="1" t="s">
        <v>1622</v>
      </c>
      <c r="G2117" s="1" t="s">
        <v>38</v>
      </c>
      <c r="H2117" s="3" t="s">
        <v>5418</v>
      </c>
      <c r="I2117" s="1"/>
      <c r="J2117" s="1"/>
      <c r="K2117" s="1"/>
    </row>
    <row r="2118" ht="15.75" customHeight="1">
      <c r="A2118" s="2">
        <v>2117.0</v>
      </c>
      <c r="B2118" s="1" t="s">
        <v>5507</v>
      </c>
      <c r="C2118" s="1" t="s">
        <v>5802</v>
      </c>
      <c r="D2118" s="1" t="s">
        <v>5803</v>
      </c>
      <c r="E2118" s="2">
        <v>5.70038001031E11</v>
      </c>
      <c r="F2118" s="1" t="s">
        <v>5804</v>
      </c>
      <c r="G2118" s="1" t="s">
        <v>38</v>
      </c>
      <c r="H2118" s="3" t="s">
        <v>5418</v>
      </c>
      <c r="I2118" s="1"/>
      <c r="J2118" s="1"/>
      <c r="K2118" s="1"/>
    </row>
    <row r="2119" ht="15.75" customHeight="1">
      <c r="A2119" s="6">
        <v>2118.0</v>
      </c>
      <c r="B2119" s="1" t="s">
        <v>5805</v>
      </c>
      <c r="C2119" s="1" t="s">
        <v>897</v>
      </c>
      <c r="D2119" s="1" t="s">
        <v>5806</v>
      </c>
      <c r="E2119" s="2">
        <v>5.70038001033E11</v>
      </c>
      <c r="F2119" s="1" t="s">
        <v>5807</v>
      </c>
      <c r="G2119" s="1" t="s">
        <v>121</v>
      </c>
      <c r="H2119" s="3" t="s">
        <v>5418</v>
      </c>
      <c r="I2119" s="1"/>
      <c r="J2119" s="1"/>
      <c r="K2119" s="1"/>
    </row>
    <row r="2120" ht="15.75" customHeight="1">
      <c r="A2120" s="2">
        <v>2119.0</v>
      </c>
      <c r="B2120" s="1" t="s">
        <v>5808</v>
      </c>
      <c r="C2120" s="1" t="s">
        <v>106</v>
      </c>
      <c r="D2120" s="1" t="s">
        <v>5809</v>
      </c>
      <c r="E2120" s="2">
        <v>5.70038001035E11</v>
      </c>
      <c r="F2120" s="1" t="s">
        <v>5810</v>
      </c>
      <c r="G2120" s="1" t="s">
        <v>38</v>
      </c>
      <c r="H2120" s="3" t="s">
        <v>5418</v>
      </c>
      <c r="I2120" s="1"/>
      <c r="J2120" s="1"/>
      <c r="K2120" s="1"/>
    </row>
    <row r="2121" ht="15.75" customHeight="1">
      <c r="A2121" s="1">
        <f t="shared" ref="A2121:A2140" si="1">A2120+1</f>
        <v>2120</v>
      </c>
      <c r="B2121" s="1" t="s">
        <v>1707</v>
      </c>
      <c r="C2121" s="1" t="s">
        <v>2685</v>
      </c>
      <c r="D2121" s="1" t="s">
        <v>5811</v>
      </c>
      <c r="E2121" s="2">
        <v>5.70038001037E11</v>
      </c>
      <c r="F2121" s="1" t="s">
        <v>5408</v>
      </c>
      <c r="G2121" s="1" t="s">
        <v>24</v>
      </c>
      <c r="H2121" s="3" t="s">
        <v>5812</v>
      </c>
      <c r="I2121" s="1"/>
      <c r="J2121" s="1"/>
      <c r="K2121" s="1"/>
    </row>
    <row r="2122" ht="15.75" customHeight="1">
      <c r="A2122" s="1">
        <f t="shared" si="1"/>
        <v>2121</v>
      </c>
      <c r="B2122" s="1" t="s">
        <v>315</v>
      </c>
      <c r="C2122" s="1" t="s">
        <v>5562</v>
      </c>
      <c r="D2122" s="1" t="s">
        <v>5813</v>
      </c>
      <c r="E2122" s="2">
        <v>5.70038001038E11</v>
      </c>
      <c r="F2122" s="1" t="s">
        <v>5814</v>
      </c>
      <c r="G2122" s="1" t="s">
        <v>47</v>
      </c>
      <c r="H2122" s="3" t="s">
        <v>5815</v>
      </c>
      <c r="I2122" s="1"/>
      <c r="J2122" s="1"/>
      <c r="K2122" s="1"/>
    </row>
    <row r="2123" ht="15.75" customHeight="1">
      <c r="A2123" s="1">
        <f t="shared" si="1"/>
        <v>2122</v>
      </c>
      <c r="B2123" s="1" t="s">
        <v>5816</v>
      </c>
      <c r="C2123" s="1" t="s">
        <v>5817</v>
      </c>
      <c r="D2123" s="1" t="s">
        <v>320</v>
      </c>
      <c r="E2123" s="2">
        <v>5.70038001039E11</v>
      </c>
      <c r="F2123" s="1" t="s">
        <v>2611</v>
      </c>
      <c r="G2123" s="1" t="s">
        <v>143</v>
      </c>
      <c r="H2123" s="3" t="s">
        <v>5418</v>
      </c>
      <c r="I2123" s="1"/>
      <c r="J2123" s="1"/>
      <c r="K2123" s="1"/>
    </row>
    <row r="2124" ht="15.75" customHeight="1">
      <c r="A2124" s="1">
        <f t="shared" si="1"/>
        <v>2123</v>
      </c>
      <c r="B2124" s="1" t="s">
        <v>5818</v>
      </c>
      <c r="C2124" s="1" t="s">
        <v>5819</v>
      </c>
      <c r="D2124" s="1" t="s">
        <v>5820</v>
      </c>
      <c r="E2124" s="2">
        <v>5.70038001043E11</v>
      </c>
      <c r="F2124" s="1" t="s">
        <v>5821</v>
      </c>
      <c r="G2124" s="1" t="s">
        <v>47</v>
      </c>
      <c r="H2124" s="3" t="s">
        <v>5418</v>
      </c>
      <c r="I2124" s="1"/>
      <c r="J2124" s="1"/>
      <c r="K2124" s="1"/>
    </row>
    <row r="2125" ht="15.75" customHeight="1">
      <c r="A2125" s="1">
        <f t="shared" si="1"/>
        <v>2124</v>
      </c>
      <c r="B2125" s="1" t="s">
        <v>1685</v>
      </c>
      <c r="C2125" s="1" t="s">
        <v>5822</v>
      </c>
      <c r="D2125" s="1" t="s">
        <v>115</v>
      </c>
      <c r="E2125" s="2">
        <v>5.70038001046E11</v>
      </c>
      <c r="F2125" s="1" t="s">
        <v>5823</v>
      </c>
      <c r="G2125" s="1" t="s">
        <v>121</v>
      </c>
      <c r="H2125" s="3" t="s">
        <v>5812</v>
      </c>
      <c r="I2125" s="1"/>
      <c r="J2125" s="1"/>
      <c r="K2125" s="1"/>
    </row>
    <row r="2126" ht="15.75" customHeight="1">
      <c r="A2126" s="1">
        <f t="shared" si="1"/>
        <v>2125</v>
      </c>
      <c r="B2126" s="1" t="s">
        <v>5824</v>
      </c>
      <c r="C2126" s="1" t="s">
        <v>1783</v>
      </c>
      <c r="D2126" s="1" t="s">
        <v>978</v>
      </c>
      <c r="E2126" s="2">
        <v>5.70038001052E11</v>
      </c>
      <c r="F2126" s="1" t="s">
        <v>5797</v>
      </c>
      <c r="G2126" s="1" t="s">
        <v>47</v>
      </c>
      <c r="H2126" s="3" t="s">
        <v>5418</v>
      </c>
      <c r="I2126" s="1"/>
      <c r="J2126" s="1"/>
      <c r="K2126" s="1"/>
    </row>
    <row r="2127" ht="15.75" customHeight="1">
      <c r="A2127" s="1">
        <f t="shared" si="1"/>
        <v>2126</v>
      </c>
      <c r="B2127" s="1" t="s">
        <v>5825</v>
      </c>
      <c r="C2127" s="1" t="s">
        <v>1082</v>
      </c>
      <c r="D2127" s="1" t="s">
        <v>4902</v>
      </c>
      <c r="E2127" s="2">
        <v>5.70038001062E11</v>
      </c>
      <c r="F2127" s="1" t="s">
        <v>5670</v>
      </c>
      <c r="G2127" s="1" t="s">
        <v>121</v>
      </c>
      <c r="H2127" s="3" t="s">
        <v>5418</v>
      </c>
      <c r="I2127" s="1"/>
      <c r="J2127" s="1"/>
      <c r="K2127" s="1"/>
    </row>
    <row r="2128" ht="15.75" customHeight="1">
      <c r="A2128" s="1">
        <f t="shared" si="1"/>
        <v>2127</v>
      </c>
      <c r="B2128" s="1" t="s">
        <v>3138</v>
      </c>
      <c r="C2128" s="1" t="s">
        <v>5826</v>
      </c>
      <c r="D2128" s="1" t="s">
        <v>5827</v>
      </c>
      <c r="E2128" s="2">
        <v>5.70038001064E11</v>
      </c>
      <c r="F2128" s="1" t="s">
        <v>5631</v>
      </c>
      <c r="G2128" s="1" t="s">
        <v>38</v>
      </c>
      <c r="H2128" s="3" t="s">
        <v>5418</v>
      </c>
      <c r="I2128" s="1"/>
      <c r="J2128" s="1"/>
      <c r="K2128" s="1"/>
    </row>
    <row r="2129" ht="15.75" customHeight="1">
      <c r="A2129" s="1">
        <f t="shared" si="1"/>
        <v>2128</v>
      </c>
      <c r="B2129" s="1" t="s">
        <v>5691</v>
      </c>
      <c r="C2129" s="1" t="s">
        <v>1732</v>
      </c>
      <c r="D2129" s="1" t="s">
        <v>5828</v>
      </c>
      <c r="E2129" s="2">
        <v>5.70038001066E11</v>
      </c>
      <c r="F2129" s="1" t="s">
        <v>5829</v>
      </c>
      <c r="G2129" s="1" t="s">
        <v>121</v>
      </c>
      <c r="H2129" s="3" t="s">
        <v>5418</v>
      </c>
      <c r="I2129" s="1"/>
      <c r="J2129" s="1"/>
      <c r="K2129" s="1"/>
    </row>
    <row r="2130" ht="15.75" customHeight="1">
      <c r="A2130" s="1">
        <f t="shared" si="1"/>
        <v>2129</v>
      </c>
      <c r="B2130" s="1" t="s">
        <v>997</v>
      </c>
      <c r="C2130" s="1" t="s">
        <v>5830</v>
      </c>
      <c r="D2130" s="1" t="s">
        <v>3061</v>
      </c>
      <c r="E2130" s="2">
        <v>5.70038001068E11</v>
      </c>
      <c r="F2130" s="1" t="s">
        <v>5831</v>
      </c>
      <c r="G2130" s="1" t="s">
        <v>18</v>
      </c>
      <c r="H2130" s="3" t="s">
        <v>5795</v>
      </c>
      <c r="I2130" s="1"/>
      <c r="J2130" s="1"/>
      <c r="K2130" s="1"/>
    </row>
    <row r="2131" ht="15.75" customHeight="1">
      <c r="A2131" s="1">
        <f t="shared" si="1"/>
        <v>2130</v>
      </c>
      <c r="B2131" s="1" t="s">
        <v>5832</v>
      </c>
      <c r="C2131" s="1" t="s">
        <v>5833</v>
      </c>
      <c r="D2131" s="1" t="s">
        <v>5834</v>
      </c>
      <c r="E2131" s="2">
        <v>5.70038001069E11</v>
      </c>
      <c r="F2131" s="1" t="s">
        <v>5835</v>
      </c>
      <c r="G2131" s="1" t="s">
        <v>47</v>
      </c>
      <c r="H2131" s="3" t="s">
        <v>5798</v>
      </c>
      <c r="I2131" s="1"/>
      <c r="J2131" s="1"/>
      <c r="K2131" s="1"/>
    </row>
    <row r="2132" ht="15.75" customHeight="1">
      <c r="A2132" s="1">
        <f t="shared" si="1"/>
        <v>2131</v>
      </c>
      <c r="B2132" s="1" t="s">
        <v>5284</v>
      </c>
      <c r="C2132" s="1" t="s">
        <v>5836</v>
      </c>
      <c r="D2132" s="1" t="s">
        <v>5837</v>
      </c>
      <c r="E2132" s="2">
        <v>5.7003800107E11</v>
      </c>
      <c r="F2132" s="1" t="s">
        <v>5838</v>
      </c>
      <c r="G2132" s="1" t="s">
        <v>980</v>
      </c>
      <c r="H2132" s="3" t="s">
        <v>5839</v>
      </c>
      <c r="I2132" s="1"/>
      <c r="J2132" s="1"/>
      <c r="K2132" s="1"/>
    </row>
    <row r="2133" ht="15.75" customHeight="1">
      <c r="A2133" s="1">
        <f t="shared" si="1"/>
        <v>2132</v>
      </c>
      <c r="B2133" s="1" t="s">
        <v>5840</v>
      </c>
      <c r="C2133" s="1" t="s">
        <v>5841</v>
      </c>
      <c r="D2133" s="1" t="s">
        <v>5842</v>
      </c>
      <c r="E2133" s="2">
        <v>5.70038001075E11</v>
      </c>
      <c r="F2133" s="1" t="s">
        <v>5036</v>
      </c>
      <c r="G2133" s="1" t="s">
        <v>38</v>
      </c>
      <c r="H2133" s="3" t="s">
        <v>5812</v>
      </c>
      <c r="I2133" s="1"/>
      <c r="J2133" s="1"/>
      <c r="K2133" s="1"/>
    </row>
    <row r="2134" ht="15.75" customHeight="1">
      <c r="A2134" s="1">
        <f t="shared" si="1"/>
        <v>2133</v>
      </c>
      <c r="B2134" s="1" t="s">
        <v>5843</v>
      </c>
      <c r="C2134" s="1" t="s">
        <v>106</v>
      </c>
      <c r="D2134" s="1" t="s">
        <v>5844</v>
      </c>
      <c r="E2134" s="2">
        <v>5.70038001078E11</v>
      </c>
      <c r="F2134" s="1" t="s">
        <v>5845</v>
      </c>
      <c r="G2134" s="1" t="s">
        <v>121</v>
      </c>
      <c r="H2134" s="3" t="s">
        <v>5795</v>
      </c>
      <c r="I2134" s="1"/>
      <c r="J2134" s="1"/>
      <c r="K2134" s="1"/>
    </row>
    <row r="2135" ht="15.75" customHeight="1">
      <c r="A2135" s="1">
        <f t="shared" si="1"/>
        <v>2134</v>
      </c>
      <c r="B2135" s="1" t="s">
        <v>329</v>
      </c>
      <c r="C2135" s="1" t="s">
        <v>5846</v>
      </c>
      <c r="D2135" s="1" t="s">
        <v>5847</v>
      </c>
      <c r="E2135" s="2">
        <v>5.70038001086E11</v>
      </c>
      <c r="F2135" s="1" t="s">
        <v>5848</v>
      </c>
      <c r="G2135" s="1" t="s">
        <v>143</v>
      </c>
      <c r="H2135" s="3" t="s">
        <v>5418</v>
      </c>
      <c r="I2135" s="1"/>
      <c r="J2135" s="1"/>
      <c r="K2135" s="1"/>
    </row>
    <row r="2136" ht="15.75" customHeight="1">
      <c r="A2136" s="1">
        <f t="shared" si="1"/>
        <v>2135</v>
      </c>
      <c r="B2136" s="1" t="s">
        <v>5849</v>
      </c>
      <c r="C2136" s="1" t="s">
        <v>5850</v>
      </c>
      <c r="D2136" s="1" t="s">
        <v>5851</v>
      </c>
      <c r="E2136" s="2">
        <v>5.70038001088E11</v>
      </c>
      <c r="F2136" s="1" t="s">
        <v>339</v>
      </c>
      <c r="G2136" s="1" t="s">
        <v>38</v>
      </c>
      <c r="H2136" s="3" t="s">
        <v>5418</v>
      </c>
      <c r="I2136" s="1"/>
      <c r="J2136" s="1"/>
      <c r="K2136" s="1"/>
    </row>
    <row r="2137" ht="15.75" customHeight="1">
      <c r="A2137" s="1">
        <f t="shared" si="1"/>
        <v>2136</v>
      </c>
      <c r="B2137" s="1" t="s">
        <v>5284</v>
      </c>
      <c r="C2137" s="1" t="s">
        <v>66</v>
      </c>
      <c r="D2137" s="1" t="s">
        <v>440</v>
      </c>
      <c r="E2137" s="2">
        <v>5.70038001098E11</v>
      </c>
      <c r="F2137" s="1" t="s">
        <v>5852</v>
      </c>
      <c r="G2137" s="1" t="s">
        <v>121</v>
      </c>
      <c r="H2137" s="3" t="s">
        <v>5418</v>
      </c>
      <c r="I2137" s="1"/>
      <c r="J2137" s="1"/>
      <c r="K2137" s="1"/>
    </row>
    <row r="2138" ht="15.75" customHeight="1">
      <c r="A2138" s="1">
        <f t="shared" si="1"/>
        <v>2137</v>
      </c>
      <c r="B2138" s="1" t="s">
        <v>5853</v>
      </c>
      <c r="C2138" s="1" t="s">
        <v>2268</v>
      </c>
      <c r="D2138" s="1" t="s">
        <v>2421</v>
      </c>
      <c r="E2138" s="2">
        <v>5.70038001099E11</v>
      </c>
      <c r="F2138" s="1" t="s">
        <v>5854</v>
      </c>
      <c r="G2138" s="1" t="s">
        <v>121</v>
      </c>
      <c r="H2138" s="3" t="s">
        <v>5418</v>
      </c>
      <c r="I2138" s="1"/>
      <c r="J2138" s="1"/>
      <c r="K2138" s="1"/>
    </row>
    <row r="2139" ht="15.75" customHeight="1">
      <c r="A2139" s="1">
        <f t="shared" si="1"/>
        <v>2138</v>
      </c>
      <c r="B2139" s="1" t="s">
        <v>311</v>
      </c>
      <c r="C2139" s="1" t="s">
        <v>503</v>
      </c>
      <c r="D2139" s="1" t="s">
        <v>5855</v>
      </c>
      <c r="E2139" s="2">
        <v>5.70038001107E11</v>
      </c>
      <c r="F2139" s="1" t="s">
        <v>5705</v>
      </c>
      <c r="G2139" s="1" t="s">
        <v>121</v>
      </c>
      <c r="H2139" s="3" t="s">
        <v>5418</v>
      </c>
      <c r="I2139" s="1"/>
      <c r="J2139" s="1"/>
      <c r="K2139" s="1"/>
    </row>
    <row r="2140" ht="15.75" customHeight="1">
      <c r="A2140" s="1">
        <f t="shared" si="1"/>
        <v>2139</v>
      </c>
      <c r="B2140" s="1" t="s">
        <v>5856</v>
      </c>
      <c r="C2140" s="1" t="s">
        <v>5857</v>
      </c>
      <c r="D2140" s="1" t="s">
        <v>1226</v>
      </c>
      <c r="E2140" s="2">
        <v>5.7003800111E11</v>
      </c>
      <c r="F2140" s="1" t="s">
        <v>5705</v>
      </c>
      <c r="G2140" s="1" t="s">
        <v>980</v>
      </c>
      <c r="H2140" s="3" t="s">
        <v>5839</v>
      </c>
      <c r="I2140" s="1"/>
      <c r="J2140" s="1"/>
      <c r="K2140" s="1"/>
    </row>
    <row r="2141" ht="15.75" customHeight="1">
      <c r="A2141" s="2">
        <v>2140.0</v>
      </c>
      <c r="B2141" s="1" t="s">
        <v>1845</v>
      </c>
      <c r="C2141" s="1" t="s">
        <v>784</v>
      </c>
      <c r="D2141" s="1" t="s">
        <v>5858</v>
      </c>
      <c r="E2141" s="2">
        <v>5.70038001112E11</v>
      </c>
      <c r="F2141" s="1" t="s">
        <v>5859</v>
      </c>
      <c r="G2141" s="1" t="s">
        <v>121</v>
      </c>
      <c r="H2141" s="3" t="s">
        <v>5815</v>
      </c>
      <c r="I2141" s="1"/>
      <c r="J2141" s="1"/>
      <c r="K2141" s="1"/>
    </row>
    <row r="2142" ht="15.75" customHeight="1">
      <c r="A2142" s="2">
        <v>2141.0</v>
      </c>
      <c r="B2142" s="1" t="s">
        <v>5084</v>
      </c>
      <c r="C2142" s="1" t="s">
        <v>5860</v>
      </c>
      <c r="D2142" s="1" t="s">
        <v>5262</v>
      </c>
      <c r="E2142" s="2">
        <v>5.70038001113E11</v>
      </c>
      <c r="F2142" s="1" t="s">
        <v>5861</v>
      </c>
      <c r="G2142" s="1" t="s">
        <v>121</v>
      </c>
      <c r="H2142" s="3" t="s">
        <v>5418</v>
      </c>
      <c r="I2142" s="1"/>
      <c r="J2142" s="1"/>
      <c r="K2142" s="1"/>
    </row>
    <row r="2143" ht="15.75" customHeight="1">
      <c r="A2143" s="2">
        <v>2142.0</v>
      </c>
      <c r="B2143" s="1" t="s">
        <v>559</v>
      </c>
      <c r="C2143" s="1" t="s">
        <v>5862</v>
      </c>
      <c r="D2143" s="1" t="s">
        <v>5337</v>
      </c>
      <c r="E2143" s="2">
        <v>5.70038001023E11</v>
      </c>
      <c r="F2143" s="1" t="s">
        <v>5863</v>
      </c>
      <c r="G2143" s="1" t="s">
        <v>143</v>
      </c>
      <c r="H2143" s="3" t="s">
        <v>5864</v>
      </c>
      <c r="I2143" s="1"/>
      <c r="J2143" s="1"/>
      <c r="K2143" s="1"/>
    </row>
    <row r="2144" ht="15.75" customHeight="1">
      <c r="A2144" s="2">
        <v>2143.0</v>
      </c>
      <c r="B2144" s="1" t="s">
        <v>5865</v>
      </c>
      <c r="C2144" s="1" t="s">
        <v>5866</v>
      </c>
      <c r="D2144" s="1" t="s">
        <v>5867</v>
      </c>
      <c r="E2144" s="2">
        <v>5.70038001097E11</v>
      </c>
      <c r="F2144" s="1" t="s">
        <v>5868</v>
      </c>
      <c r="G2144" s="1" t="s">
        <v>143</v>
      </c>
      <c r="H2144" s="3" t="s">
        <v>5418</v>
      </c>
      <c r="I2144" s="1"/>
      <c r="J2144" s="1"/>
      <c r="K2144" s="1"/>
    </row>
    <row r="2145" ht="15.75" customHeight="1">
      <c r="A2145" s="2">
        <v>2144.0</v>
      </c>
      <c r="B2145" s="1" t="s">
        <v>2268</v>
      </c>
      <c r="C2145" s="1" t="s">
        <v>1253</v>
      </c>
      <c r="D2145" s="1" t="s">
        <v>5869</v>
      </c>
      <c r="E2145" s="2">
        <v>5.70038001115E11</v>
      </c>
      <c r="F2145" s="1" t="s">
        <v>5870</v>
      </c>
      <c r="G2145" s="1" t="s">
        <v>121</v>
      </c>
      <c r="H2145" s="3" t="s">
        <v>5418</v>
      </c>
      <c r="I2145" s="1"/>
      <c r="J2145" s="1"/>
      <c r="K2145" s="1"/>
    </row>
    <row r="2146" ht="15.75" customHeight="1">
      <c r="A2146" s="2">
        <v>2145.0</v>
      </c>
      <c r="B2146" s="1" t="s">
        <v>5871</v>
      </c>
      <c r="C2146" s="1" t="s">
        <v>3428</v>
      </c>
      <c r="D2146" s="1" t="s">
        <v>324</v>
      </c>
      <c r="E2146" s="2">
        <v>5.70038001129E11</v>
      </c>
      <c r="F2146" s="1" t="s">
        <v>1943</v>
      </c>
      <c r="G2146" s="1" t="s">
        <v>38</v>
      </c>
      <c r="H2146" s="3" t="s">
        <v>5418</v>
      </c>
      <c r="I2146" s="1"/>
      <c r="J2146" s="1"/>
      <c r="K2146" s="1"/>
    </row>
    <row r="2147" ht="15.75" customHeight="1">
      <c r="A2147" s="2">
        <v>2146.0</v>
      </c>
      <c r="B2147" s="1" t="s">
        <v>5872</v>
      </c>
      <c r="C2147" s="1" t="s">
        <v>5873</v>
      </c>
      <c r="D2147" s="1" t="s">
        <v>5874</v>
      </c>
      <c r="E2147" s="2">
        <v>5.7003800113E11</v>
      </c>
      <c r="F2147" s="1" t="s">
        <v>5591</v>
      </c>
      <c r="G2147" s="1" t="s">
        <v>143</v>
      </c>
      <c r="H2147" s="3" t="s">
        <v>5418</v>
      </c>
      <c r="I2147" s="1"/>
      <c r="J2147" s="1"/>
      <c r="K2147" s="1"/>
    </row>
    <row r="2148" ht="15.75" customHeight="1">
      <c r="A2148" s="2">
        <v>2147.0</v>
      </c>
      <c r="B2148" s="1" t="s">
        <v>5875</v>
      </c>
      <c r="C2148" s="1" t="s">
        <v>5876</v>
      </c>
      <c r="D2148" s="1" t="s">
        <v>10</v>
      </c>
      <c r="E2148" s="2">
        <v>5.70038000196E11</v>
      </c>
      <c r="F2148" s="1" t="s">
        <v>3364</v>
      </c>
      <c r="G2148" s="1" t="s">
        <v>38</v>
      </c>
      <c r="H2148" s="3" t="s">
        <v>5418</v>
      </c>
      <c r="I2148" s="1"/>
      <c r="J2148" s="1"/>
      <c r="K2148" s="1"/>
    </row>
    <row r="2149" ht="15.75" customHeight="1">
      <c r="A2149" s="2">
        <v>2148.0</v>
      </c>
      <c r="B2149" s="1" t="s">
        <v>5877</v>
      </c>
      <c r="C2149" s="1" t="s">
        <v>5878</v>
      </c>
      <c r="D2149" s="1" t="s">
        <v>5879</v>
      </c>
      <c r="E2149" s="2">
        <v>5.70038001117E11</v>
      </c>
      <c r="F2149" s="1" t="s">
        <v>5880</v>
      </c>
      <c r="G2149" s="1" t="s">
        <v>47</v>
      </c>
      <c r="H2149" s="3" t="s">
        <v>5418</v>
      </c>
      <c r="I2149" s="1"/>
      <c r="J2149" s="1"/>
      <c r="K2149" s="1"/>
    </row>
    <row r="2150" ht="15.75" customHeight="1">
      <c r="A2150" s="2">
        <v>2149.0</v>
      </c>
      <c r="B2150" s="1" t="s">
        <v>326</v>
      </c>
      <c r="C2150" s="1" t="s">
        <v>5881</v>
      </c>
      <c r="D2150" s="1" t="s">
        <v>5882</v>
      </c>
      <c r="E2150" s="2">
        <v>5.70038001123E11</v>
      </c>
      <c r="F2150" s="1" t="s">
        <v>5883</v>
      </c>
      <c r="G2150" s="1" t="s">
        <v>90</v>
      </c>
      <c r="H2150" s="3" t="s">
        <v>5418</v>
      </c>
      <c r="I2150" s="1"/>
      <c r="J2150" s="1"/>
      <c r="K2150" s="1"/>
    </row>
    <row r="2151" ht="15.75" customHeight="1">
      <c r="A2151" s="2">
        <v>2150.0</v>
      </c>
      <c r="B2151" s="1" t="s">
        <v>5884</v>
      </c>
      <c r="C2151" s="1" t="s">
        <v>815</v>
      </c>
      <c r="D2151" s="1" t="s">
        <v>5885</v>
      </c>
      <c r="E2151" s="2">
        <v>5.70038001124E11</v>
      </c>
      <c r="F2151" s="1" t="s">
        <v>5886</v>
      </c>
      <c r="G2151" s="1" t="s">
        <v>90</v>
      </c>
      <c r="H2151" s="3" t="s">
        <v>5418</v>
      </c>
      <c r="I2151" s="1"/>
      <c r="J2151" s="1"/>
      <c r="K2151" s="1"/>
    </row>
    <row r="2152" ht="15.75" customHeight="1">
      <c r="A2152" s="2">
        <v>2151.0</v>
      </c>
      <c r="B2152" s="1" t="s">
        <v>5887</v>
      </c>
      <c r="C2152" s="1" t="s">
        <v>815</v>
      </c>
      <c r="D2152" s="1" t="s">
        <v>5888</v>
      </c>
      <c r="E2152" s="2">
        <v>5.70038001126E11</v>
      </c>
      <c r="F2152" s="1" t="s">
        <v>5889</v>
      </c>
      <c r="G2152" s="1" t="s">
        <v>24</v>
      </c>
      <c r="H2152" s="3" t="s">
        <v>5418</v>
      </c>
      <c r="I2152" s="1"/>
      <c r="J2152" s="1"/>
      <c r="K2152" s="1"/>
    </row>
    <row r="2153" ht="15.75" customHeight="1">
      <c r="A2153" s="2">
        <v>2152.0</v>
      </c>
      <c r="B2153" s="1" t="s">
        <v>5890</v>
      </c>
      <c r="C2153" s="1" t="s">
        <v>5891</v>
      </c>
      <c r="D2153" s="1" t="s">
        <v>5892</v>
      </c>
      <c r="E2153" s="2">
        <v>5.70038001132E11</v>
      </c>
      <c r="F2153" s="1" t="s">
        <v>5893</v>
      </c>
      <c r="G2153" s="1" t="s">
        <v>90</v>
      </c>
      <c r="H2153" s="3" t="s">
        <v>5418</v>
      </c>
      <c r="I2153" s="1"/>
      <c r="J2153" s="1"/>
      <c r="K2153" s="1"/>
    </row>
    <row r="2154" ht="15.75" customHeight="1">
      <c r="A2154" s="2">
        <v>2153.0</v>
      </c>
      <c r="B2154" s="1" t="s">
        <v>3416</v>
      </c>
      <c r="C2154" s="1" t="s">
        <v>1760</v>
      </c>
      <c r="D2154" s="1" t="s">
        <v>1762</v>
      </c>
      <c r="E2154" s="2">
        <v>5.70038001134E11</v>
      </c>
      <c r="F2154" s="1" t="s">
        <v>5894</v>
      </c>
      <c r="G2154" s="1" t="s">
        <v>980</v>
      </c>
      <c r="H2154" s="3" t="s">
        <v>5418</v>
      </c>
      <c r="I2154" s="1"/>
      <c r="J2154" s="1"/>
      <c r="K2154" s="1"/>
    </row>
    <row r="2155" ht="15.75" customHeight="1">
      <c r="A2155" s="2">
        <v>2154.0</v>
      </c>
      <c r="B2155" s="1" t="s">
        <v>5895</v>
      </c>
      <c r="C2155" s="1" t="s">
        <v>5896</v>
      </c>
      <c r="D2155" s="1" t="s">
        <v>2223</v>
      </c>
      <c r="E2155" s="2">
        <v>5.70038000354E11</v>
      </c>
      <c r="F2155" s="1" t="s">
        <v>5897</v>
      </c>
      <c r="G2155" s="1" t="s">
        <v>12</v>
      </c>
      <c r="H2155" s="3" t="s">
        <v>5418</v>
      </c>
      <c r="I2155" s="1"/>
      <c r="J2155" s="1"/>
      <c r="K2155" s="1"/>
    </row>
    <row r="2156" ht="15.75" customHeight="1">
      <c r="A2156" s="2">
        <v>2155.0</v>
      </c>
      <c r="B2156" s="1" t="s">
        <v>5898</v>
      </c>
      <c r="C2156" s="1" t="s">
        <v>330</v>
      </c>
      <c r="D2156" s="1" t="s">
        <v>5899</v>
      </c>
      <c r="E2156" s="2">
        <v>5.70038001137E11</v>
      </c>
      <c r="F2156" s="1" t="s">
        <v>5900</v>
      </c>
      <c r="G2156" s="1" t="s">
        <v>121</v>
      </c>
      <c r="H2156" s="3" t="s">
        <v>5418</v>
      </c>
      <c r="I2156" s="1"/>
      <c r="J2156" s="1"/>
      <c r="K2156" s="1"/>
    </row>
    <row r="2157" ht="15.75" customHeight="1">
      <c r="A2157" s="2">
        <v>2156.0</v>
      </c>
      <c r="B2157" s="1" t="s">
        <v>5901</v>
      </c>
      <c r="C2157" s="1" t="s">
        <v>289</v>
      </c>
      <c r="D2157" s="1" t="s">
        <v>10</v>
      </c>
      <c r="E2157" s="2">
        <v>5.70038001138E11</v>
      </c>
      <c r="F2157" s="1" t="s">
        <v>5902</v>
      </c>
      <c r="G2157" s="1" t="s">
        <v>121</v>
      </c>
      <c r="H2157" s="3" t="s">
        <v>5418</v>
      </c>
      <c r="I2157" s="1"/>
      <c r="J2157" s="1"/>
      <c r="K2157" s="1"/>
    </row>
    <row r="2158" ht="15.75" customHeight="1">
      <c r="A2158" s="2">
        <v>2157.0</v>
      </c>
      <c r="B2158" s="1" t="s">
        <v>5903</v>
      </c>
      <c r="C2158" s="1" t="s">
        <v>654</v>
      </c>
      <c r="D2158" s="1" t="s">
        <v>5904</v>
      </c>
      <c r="E2158" s="2">
        <v>5.7003800114E11</v>
      </c>
      <c r="F2158" s="1" t="s">
        <v>5905</v>
      </c>
      <c r="G2158" s="1" t="s">
        <v>121</v>
      </c>
      <c r="H2158" s="3" t="s">
        <v>5418</v>
      </c>
      <c r="I2158" s="1"/>
      <c r="J2158" s="1"/>
      <c r="K2158" s="1"/>
    </row>
    <row r="2159" ht="15.75" customHeight="1">
      <c r="A2159" s="2">
        <v>2158.0</v>
      </c>
      <c r="B2159" s="1" t="s">
        <v>5906</v>
      </c>
      <c r="C2159" s="1" t="s">
        <v>1167</v>
      </c>
      <c r="D2159" s="1" t="s">
        <v>5907</v>
      </c>
      <c r="E2159" s="2">
        <v>5.70038001141E11</v>
      </c>
      <c r="F2159" s="1" t="s">
        <v>5908</v>
      </c>
      <c r="G2159" s="1" t="s">
        <v>121</v>
      </c>
      <c r="H2159" s="3" t="s">
        <v>5418</v>
      </c>
      <c r="I2159" s="1"/>
      <c r="J2159" s="1"/>
      <c r="K2159" s="1"/>
    </row>
    <row r="2160" ht="15.75" customHeight="1">
      <c r="A2160" s="2">
        <v>2159.0</v>
      </c>
      <c r="B2160" s="1" t="s">
        <v>5909</v>
      </c>
      <c r="C2160" s="1" t="s">
        <v>5910</v>
      </c>
      <c r="D2160" s="1" t="s">
        <v>2551</v>
      </c>
      <c r="E2160" s="2">
        <v>5.70038001142E11</v>
      </c>
      <c r="F2160" s="1" t="s">
        <v>5911</v>
      </c>
      <c r="G2160" s="1" t="s">
        <v>121</v>
      </c>
      <c r="H2160" s="3" t="s">
        <v>5791</v>
      </c>
      <c r="I2160" s="1"/>
      <c r="J2160" s="1"/>
      <c r="K2160" s="1"/>
    </row>
    <row r="2161" ht="15.75" customHeight="1">
      <c r="A2161" s="2">
        <v>2160.0</v>
      </c>
      <c r="B2161" s="1" t="s">
        <v>396</v>
      </c>
      <c r="C2161" s="1" t="s">
        <v>5912</v>
      </c>
      <c r="D2161" s="1" t="s">
        <v>1436</v>
      </c>
      <c r="E2161" s="2">
        <v>5.70038001143E11</v>
      </c>
      <c r="F2161" s="1" t="s">
        <v>5913</v>
      </c>
      <c r="G2161" s="1" t="s">
        <v>143</v>
      </c>
      <c r="H2161" s="3" t="s">
        <v>5418</v>
      </c>
      <c r="I2161" s="1"/>
      <c r="J2161" s="1"/>
      <c r="K2161" s="1"/>
    </row>
    <row r="2162" ht="15.75" customHeight="1">
      <c r="A2162" s="2">
        <v>2161.0</v>
      </c>
      <c r="B2162" s="1" t="s">
        <v>5914</v>
      </c>
      <c r="C2162" s="1" t="s">
        <v>1247</v>
      </c>
      <c r="D2162" s="1" t="s">
        <v>5915</v>
      </c>
      <c r="E2162" s="2">
        <v>5.70038001144E11</v>
      </c>
      <c r="F2162" s="1" t="s">
        <v>5916</v>
      </c>
      <c r="G2162" s="1" t="s">
        <v>24</v>
      </c>
      <c r="H2162" s="3" t="s">
        <v>5418</v>
      </c>
      <c r="I2162" s="1"/>
      <c r="J2162" s="1"/>
      <c r="K2162" s="1"/>
    </row>
    <row r="2163" ht="15.75" customHeight="1">
      <c r="A2163" s="2">
        <v>2162.0</v>
      </c>
      <c r="B2163" s="1" t="s">
        <v>5917</v>
      </c>
      <c r="C2163" s="1" t="s">
        <v>1076</v>
      </c>
      <c r="D2163" s="1" t="s">
        <v>440</v>
      </c>
      <c r="E2163" s="2">
        <v>5.70038001146E11</v>
      </c>
      <c r="F2163" s="1" t="s">
        <v>5918</v>
      </c>
      <c r="G2163" s="1" t="s">
        <v>18</v>
      </c>
      <c r="H2163" s="3" t="s">
        <v>5418</v>
      </c>
      <c r="I2163" s="1"/>
      <c r="J2163" s="1"/>
      <c r="K2163" s="1"/>
    </row>
    <row r="2164" ht="15.75" customHeight="1">
      <c r="A2164" s="2">
        <v>2163.0</v>
      </c>
      <c r="B2164" s="1" t="s">
        <v>5248</v>
      </c>
      <c r="C2164" s="1" t="s">
        <v>4960</v>
      </c>
      <c r="D2164" s="1" t="s">
        <v>5919</v>
      </c>
      <c r="E2164" s="2">
        <v>5.70038001147E11</v>
      </c>
      <c r="F2164" s="1" t="s">
        <v>5920</v>
      </c>
      <c r="G2164" s="1" t="s">
        <v>121</v>
      </c>
      <c r="H2164" s="3" t="s">
        <v>5418</v>
      </c>
      <c r="I2164" s="1"/>
      <c r="J2164" s="1"/>
      <c r="K2164" s="1"/>
    </row>
    <row r="2165" ht="15.75" customHeight="1">
      <c r="A2165" s="2">
        <v>2164.0</v>
      </c>
      <c r="B2165" s="1" t="s">
        <v>5135</v>
      </c>
      <c r="C2165" s="1" t="s">
        <v>1133</v>
      </c>
      <c r="D2165" s="1" t="s">
        <v>3017</v>
      </c>
      <c r="E2165" s="2">
        <v>5.7003800115E11</v>
      </c>
      <c r="F2165" s="1" t="s">
        <v>5921</v>
      </c>
      <c r="G2165" s="1" t="s">
        <v>121</v>
      </c>
      <c r="H2165" s="3" t="s">
        <v>5418</v>
      </c>
      <c r="I2165" s="1"/>
      <c r="J2165" s="1"/>
      <c r="K2165" s="1"/>
    </row>
    <row r="2166" ht="15.75" customHeight="1">
      <c r="A2166" s="2">
        <v>2165.0</v>
      </c>
      <c r="B2166" s="1" t="s">
        <v>5922</v>
      </c>
      <c r="C2166" s="1" t="s">
        <v>5923</v>
      </c>
      <c r="D2166" s="1" t="s">
        <v>5924</v>
      </c>
      <c r="E2166" s="2">
        <v>5.70038001152E11</v>
      </c>
      <c r="F2166" s="1" t="s">
        <v>5925</v>
      </c>
      <c r="G2166" s="1" t="s">
        <v>383</v>
      </c>
      <c r="H2166" s="3" t="s">
        <v>5418</v>
      </c>
      <c r="I2166" s="1"/>
      <c r="J2166" s="1"/>
      <c r="K2166" s="1"/>
    </row>
    <row r="2167" ht="15.75" customHeight="1">
      <c r="A2167" s="2">
        <v>2166.0</v>
      </c>
      <c r="B2167" s="1" t="s">
        <v>5926</v>
      </c>
      <c r="C2167" s="1" t="s">
        <v>1272</v>
      </c>
      <c r="D2167" s="1" t="s">
        <v>5927</v>
      </c>
      <c r="E2167" s="2">
        <v>5.70038001154E11</v>
      </c>
      <c r="F2167" s="1" t="s">
        <v>5928</v>
      </c>
      <c r="G2167" s="1" t="s">
        <v>121</v>
      </c>
      <c r="H2167" s="3" t="s">
        <v>5418</v>
      </c>
      <c r="I2167" s="1"/>
      <c r="J2167" s="1"/>
      <c r="K2167" s="1"/>
    </row>
    <row r="2168" ht="15.75" customHeight="1">
      <c r="A2168" s="2">
        <v>2167.0</v>
      </c>
      <c r="B2168" s="1" t="s">
        <v>5929</v>
      </c>
      <c r="C2168" s="1" t="s">
        <v>5930</v>
      </c>
      <c r="D2168" s="1" t="s">
        <v>471</v>
      </c>
      <c r="E2168" s="2">
        <v>5.70038001156E11</v>
      </c>
      <c r="F2168" s="1" t="s">
        <v>5931</v>
      </c>
      <c r="G2168" s="1" t="s">
        <v>24</v>
      </c>
      <c r="H2168" s="3" t="s">
        <v>5418</v>
      </c>
      <c r="I2168" s="1"/>
      <c r="J2168" s="1"/>
      <c r="K2168" s="1"/>
    </row>
    <row r="2169" ht="15.75" customHeight="1">
      <c r="A2169" s="2">
        <v>2168.0</v>
      </c>
      <c r="B2169" s="1" t="s">
        <v>1699</v>
      </c>
      <c r="C2169" s="1" t="s">
        <v>1649</v>
      </c>
      <c r="D2169" s="1" t="s">
        <v>5932</v>
      </c>
      <c r="E2169" s="2">
        <v>5.70038001157E11</v>
      </c>
      <c r="F2169" s="1" t="s">
        <v>5933</v>
      </c>
      <c r="G2169" s="1" t="s">
        <v>121</v>
      </c>
      <c r="H2169" s="3" t="s">
        <v>5418</v>
      </c>
      <c r="I2169" s="1"/>
      <c r="J2169" s="1"/>
      <c r="K2169" s="1"/>
    </row>
    <row r="2170" ht="15.75" customHeight="1">
      <c r="A2170" s="2">
        <v>2169.0</v>
      </c>
      <c r="B2170" s="1" t="s">
        <v>805</v>
      </c>
      <c r="C2170" s="1" t="s">
        <v>542</v>
      </c>
      <c r="D2170" s="1" t="s">
        <v>103</v>
      </c>
      <c r="E2170" s="2">
        <v>5.70038001158E11</v>
      </c>
      <c r="F2170" s="1" t="s">
        <v>5934</v>
      </c>
      <c r="G2170" s="1" t="s">
        <v>121</v>
      </c>
      <c r="H2170" s="3" t="s">
        <v>5418</v>
      </c>
      <c r="I2170" s="1"/>
      <c r="J2170" s="1"/>
      <c r="K2170" s="1"/>
    </row>
    <row r="2171" ht="15.75" customHeight="1">
      <c r="A2171" s="2">
        <v>2170.0</v>
      </c>
      <c r="B2171" s="1" t="s">
        <v>5935</v>
      </c>
      <c r="C2171" s="1" t="s">
        <v>5936</v>
      </c>
      <c r="D2171" s="1" t="s">
        <v>5937</v>
      </c>
      <c r="E2171" s="2">
        <v>5.7003800117E11</v>
      </c>
      <c r="F2171" s="1" t="s">
        <v>5938</v>
      </c>
      <c r="G2171" s="1" t="s">
        <v>121</v>
      </c>
      <c r="H2171" s="3" t="s">
        <v>5418</v>
      </c>
      <c r="I2171" s="1"/>
      <c r="J2171" s="1"/>
      <c r="K2171" s="1"/>
    </row>
    <row r="2172" ht="15.75" customHeight="1">
      <c r="A2172" s="6">
        <v>2171.0</v>
      </c>
      <c r="B2172" s="1" t="s">
        <v>1460</v>
      </c>
      <c r="C2172" s="1" t="s">
        <v>5939</v>
      </c>
      <c r="D2172" s="1" t="s">
        <v>667</v>
      </c>
      <c r="E2172" s="2">
        <v>5.70038001172E11</v>
      </c>
      <c r="F2172" s="1" t="s">
        <v>5940</v>
      </c>
      <c r="G2172" s="1" t="s">
        <v>38</v>
      </c>
      <c r="H2172" s="3" t="s">
        <v>5418</v>
      </c>
      <c r="I2172" s="1"/>
      <c r="J2172" s="1"/>
      <c r="K2172" s="1"/>
    </row>
    <row r="2173" ht="15.75" customHeight="1">
      <c r="A2173" s="2">
        <v>2172.0</v>
      </c>
      <c r="B2173" s="1" t="s">
        <v>5941</v>
      </c>
      <c r="C2173" s="1" t="s">
        <v>1339</v>
      </c>
      <c r="D2173" s="1" t="s">
        <v>536</v>
      </c>
      <c r="E2173" s="2">
        <v>5.70038001173E11</v>
      </c>
      <c r="F2173" s="1" t="s">
        <v>5942</v>
      </c>
      <c r="G2173" s="1" t="s">
        <v>121</v>
      </c>
      <c r="H2173" s="3" t="s">
        <v>5418</v>
      </c>
      <c r="I2173" s="1"/>
      <c r="J2173" s="1"/>
      <c r="K2173" s="1"/>
    </row>
    <row r="2174" ht="15.75" customHeight="1">
      <c r="A2174" s="2">
        <v>2173.0</v>
      </c>
      <c r="B2174" s="1" t="s">
        <v>5516</v>
      </c>
      <c r="C2174" s="1" t="s">
        <v>5943</v>
      </c>
      <c r="D2174" s="1" t="s">
        <v>2223</v>
      </c>
      <c r="E2174" s="2">
        <v>5.70038001175E11</v>
      </c>
      <c r="F2174" s="1" t="s">
        <v>5944</v>
      </c>
      <c r="G2174" s="1" t="s">
        <v>24</v>
      </c>
      <c r="H2174" s="3" t="s">
        <v>5418</v>
      </c>
      <c r="I2174" s="1"/>
      <c r="J2174" s="1"/>
      <c r="K2174" s="1"/>
    </row>
    <row r="2175" ht="15.75" customHeight="1">
      <c r="A2175" s="2">
        <v>2174.0</v>
      </c>
      <c r="B2175" s="1" t="s">
        <v>5945</v>
      </c>
      <c r="C2175" s="1" t="s">
        <v>5946</v>
      </c>
      <c r="D2175" s="1" t="s">
        <v>457</v>
      </c>
      <c r="E2175" s="2">
        <v>5.70038001176E11</v>
      </c>
      <c r="F2175" s="1" t="s">
        <v>5947</v>
      </c>
      <c r="G2175" s="1" t="s">
        <v>121</v>
      </c>
      <c r="H2175" s="3" t="s">
        <v>5418</v>
      </c>
      <c r="I2175" s="1"/>
      <c r="J2175" s="1"/>
      <c r="K2175" s="1"/>
    </row>
    <row r="2176" ht="15.75" customHeight="1">
      <c r="A2176" s="2">
        <v>2175.0</v>
      </c>
      <c r="B2176" s="1" t="s">
        <v>5948</v>
      </c>
      <c r="C2176" s="1" t="s">
        <v>3569</v>
      </c>
      <c r="D2176" s="1" t="s">
        <v>5949</v>
      </c>
      <c r="E2176" s="2">
        <v>5.70038001177E11</v>
      </c>
      <c r="F2176" s="1" t="s">
        <v>5950</v>
      </c>
      <c r="G2176" s="1" t="s">
        <v>121</v>
      </c>
      <c r="H2176" s="3" t="s">
        <v>5418</v>
      </c>
      <c r="I2176" s="1"/>
      <c r="J2176" s="1"/>
      <c r="K2176" s="1"/>
    </row>
    <row r="2177" ht="15.75" customHeight="1">
      <c r="A2177" s="2">
        <v>2176.0</v>
      </c>
      <c r="B2177" s="1" t="s">
        <v>5951</v>
      </c>
      <c r="C2177" s="1" t="s">
        <v>5952</v>
      </c>
      <c r="D2177" s="1" t="s">
        <v>5953</v>
      </c>
      <c r="E2177" s="2">
        <v>5.70038001179E11</v>
      </c>
      <c r="F2177" s="1" t="s">
        <v>5954</v>
      </c>
      <c r="G2177" s="1" t="s">
        <v>121</v>
      </c>
      <c r="H2177" s="3" t="s">
        <v>2661</v>
      </c>
      <c r="I2177" s="1"/>
      <c r="J2177" s="1"/>
      <c r="K2177" s="1"/>
    </row>
    <row r="2178" ht="15.75" customHeight="1">
      <c r="A2178" s="2">
        <v>2177.0</v>
      </c>
      <c r="B2178" s="1" t="s">
        <v>187</v>
      </c>
      <c r="C2178" s="1" t="s">
        <v>66</v>
      </c>
      <c r="D2178" s="1" t="s">
        <v>62</v>
      </c>
      <c r="E2178" s="2">
        <v>5.7003800118E11</v>
      </c>
      <c r="F2178" s="1" t="s">
        <v>5955</v>
      </c>
      <c r="G2178" s="1" t="s">
        <v>121</v>
      </c>
      <c r="H2178" s="3" t="s">
        <v>2661</v>
      </c>
      <c r="I2178" s="1"/>
      <c r="J2178" s="1"/>
      <c r="K2178" s="1"/>
    </row>
    <row r="2179" ht="15.75" customHeight="1">
      <c r="A2179" s="2">
        <v>2178.0</v>
      </c>
      <c r="B2179" s="1" t="s">
        <v>4986</v>
      </c>
      <c r="C2179" s="1" t="s">
        <v>5956</v>
      </c>
      <c r="D2179" s="1" t="s">
        <v>532</v>
      </c>
      <c r="E2179" s="2">
        <v>5.70038001186E11</v>
      </c>
      <c r="F2179" s="1" t="s">
        <v>5957</v>
      </c>
      <c r="G2179" s="1" t="s">
        <v>24</v>
      </c>
      <c r="H2179" s="3" t="s">
        <v>2661</v>
      </c>
      <c r="I2179" s="1"/>
      <c r="J2179" s="1"/>
      <c r="K2179" s="1"/>
    </row>
    <row r="2180" ht="15.75" customHeight="1">
      <c r="A2180" s="2">
        <v>2179.0</v>
      </c>
      <c r="B2180" s="1" t="s">
        <v>2808</v>
      </c>
      <c r="C2180" s="1" t="s">
        <v>410</v>
      </c>
      <c r="D2180" s="1" t="s">
        <v>5958</v>
      </c>
      <c r="E2180" s="2">
        <v>5.70038001187E11</v>
      </c>
      <c r="F2180" s="1" t="s">
        <v>4908</v>
      </c>
      <c r="G2180" s="1" t="s">
        <v>24</v>
      </c>
      <c r="H2180" s="3" t="s">
        <v>2661</v>
      </c>
      <c r="I2180" s="1"/>
      <c r="J2180" s="1"/>
      <c r="K2180" s="1"/>
    </row>
    <row r="2181" ht="15.75" customHeight="1">
      <c r="A2181" s="2">
        <v>2180.0</v>
      </c>
      <c r="B2181" s="1" t="s">
        <v>5959</v>
      </c>
      <c r="C2181" s="1" t="s">
        <v>5960</v>
      </c>
      <c r="D2181" s="1" t="s">
        <v>5961</v>
      </c>
      <c r="E2181" s="2">
        <v>5.70038001191E11</v>
      </c>
      <c r="F2181" s="1" t="s">
        <v>5962</v>
      </c>
      <c r="G2181" s="1" t="s">
        <v>121</v>
      </c>
      <c r="H2181" s="3" t="s">
        <v>2661</v>
      </c>
      <c r="I2181" s="1"/>
      <c r="J2181" s="1"/>
      <c r="K2181" s="1"/>
    </row>
    <row r="2182" ht="15.75" customHeight="1">
      <c r="A2182" s="2">
        <v>2181.0</v>
      </c>
      <c r="B2182" s="1" t="s">
        <v>5963</v>
      </c>
      <c r="C2182" s="1" t="s">
        <v>807</v>
      </c>
      <c r="D2182" s="1" t="s">
        <v>5158</v>
      </c>
      <c r="E2182" s="2">
        <v>5.70038001192E11</v>
      </c>
      <c r="F2182" s="1" t="s">
        <v>5964</v>
      </c>
      <c r="G2182" s="1" t="s">
        <v>121</v>
      </c>
      <c r="H2182" s="3" t="s">
        <v>2661</v>
      </c>
      <c r="I2182" s="1"/>
      <c r="J2182" s="1"/>
      <c r="K2182" s="1"/>
    </row>
    <row r="2183" ht="15.75" customHeight="1">
      <c r="A2183" s="2">
        <v>2182.0</v>
      </c>
      <c r="B2183" s="1" t="s">
        <v>1016</v>
      </c>
      <c r="C2183" s="1" t="s">
        <v>559</v>
      </c>
      <c r="D2183" s="1" t="s">
        <v>5965</v>
      </c>
      <c r="E2183" s="2">
        <v>5.70038001194E11</v>
      </c>
      <c r="F2183" s="1" t="s">
        <v>5966</v>
      </c>
      <c r="G2183" s="1" t="s">
        <v>121</v>
      </c>
      <c r="H2183" s="3" t="s">
        <v>2661</v>
      </c>
      <c r="I2183" s="1"/>
      <c r="J2183" s="1"/>
      <c r="K2183" s="1"/>
    </row>
    <row r="2184" ht="15.75" customHeight="1">
      <c r="A2184" s="2">
        <v>2183.0</v>
      </c>
      <c r="B2184" s="1" t="s">
        <v>5967</v>
      </c>
      <c r="C2184" s="1" t="s">
        <v>5968</v>
      </c>
      <c r="D2184" s="1" t="s">
        <v>1519</v>
      </c>
      <c r="E2184" s="2">
        <v>5.70038001196E11</v>
      </c>
      <c r="F2184" s="1" t="s">
        <v>5969</v>
      </c>
      <c r="G2184" s="1" t="s">
        <v>5625</v>
      </c>
      <c r="H2184" s="3" t="s">
        <v>2661</v>
      </c>
      <c r="I2184" s="1"/>
      <c r="J2184" s="1"/>
      <c r="K2184" s="1"/>
    </row>
    <row r="2185" ht="15.75" customHeight="1">
      <c r="A2185" s="2">
        <v>2184.0</v>
      </c>
      <c r="B2185" s="1" t="s">
        <v>5970</v>
      </c>
      <c r="C2185" s="1" t="s">
        <v>5971</v>
      </c>
      <c r="D2185" s="1" t="s">
        <v>10</v>
      </c>
      <c r="E2185" s="2">
        <v>5.70038001198E11</v>
      </c>
      <c r="F2185" s="1" t="s">
        <v>5972</v>
      </c>
      <c r="G2185" s="1" t="s">
        <v>38</v>
      </c>
      <c r="H2185" s="3" t="s">
        <v>2661</v>
      </c>
      <c r="I2185" s="1"/>
      <c r="J2185" s="1"/>
      <c r="K2185" s="1"/>
    </row>
    <row r="2186" ht="15.75" customHeight="1">
      <c r="A2186" s="2">
        <v>2185.0</v>
      </c>
      <c r="B2186" s="1" t="s">
        <v>5973</v>
      </c>
      <c r="C2186" s="1" t="s">
        <v>5974</v>
      </c>
      <c r="D2186" s="1" t="s">
        <v>5975</v>
      </c>
      <c r="E2186" s="2">
        <v>5.70038001201E11</v>
      </c>
      <c r="F2186" s="1" t="s">
        <v>5918</v>
      </c>
      <c r="G2186" s="1" t="s">
        <v>121</v>
      </c>
      <c r="H2186" s="3" t="s">
        <v>2661</v>
      </c>
      <c r="I2186" s="1"/>
      <c r="J2186" s="1"/>
      <c r="K2186" s="1"/>
    </row>
    <row r="2187" ht="15.75" customHeight="1">
      <c r="A2187" s="2">
        <v>2186.0</v>
      </c>
      <c r="B2187" s="1" t="s">
        <v>5976</v>
      </c>
      <c r="C2187" s="1" t="s">
        <v>5977</v>
      </c>
      <c r="D2187" s="1" t="s">
        <v>785</v>
      </c>
      <c r="E2187" s="2">
        <v>5.70038001204E11</v>
      </c>
      <c r="F2187" s="1" t="s">
        <v>5978</v>
      </c>
      <c r="G2187" s="1" t="s">
        <v>121</v>
      </c>
      <c r="H2187" s="3" t="s">
        <v>2661</v>
      </c>
      <c r="I2187" s="1"/>
      <c r="J2187" s="1"/>
      <c r="K2187" s="1"/>
    </row>
    <row r="2188" ht="15.75" customHeight="1">
      <c r="A2188" s="2">
        <v>2187.0</v>
      </c>
      <c r="B2188" s="1" t="s">
        <v>5979</v>
      </c>
      <c r="C2188" s="1" t="s">
        <v>308</v>
      </c>
      <c r="D2188" s="1" t="s">
        <v>299</v>
      </c>
      <c r="E2188" s="2">
        <v>5.70038001205E11</v>
      </c>
      <c r="F2188" s="1" t="s">
        <v>5980</v>
      </c>
      <c r="G2188" s="1" t="s">
        <v>121</v>
      </c>
      <c r="H2188" s="3" t="s">
        <v>2661</v>
      </c>
      <c r="I2188" s="1"/>
      <c r="J2188" s="1"/>
      <c r="K2188" s="1"/>
    </row>
    <row r="2189" ht="15.75" customHeight="1">
      <c r="A2189" s="2">
        <v>2188.0</v>
      </c>
      <c r="B2189" s="1" t="s">
        <v>5981</v>
      </c>
      <c r="C2189" s="1" t="s">
        <v>113</v>
      </c>
      <c r="D2189" s="1" t="s">
        <v>1558</v>
      </c>
      <c r="E2189" s="2">
        <v>5.70038001208E11</v>
      </c>
      <c r="F2189" s="1" t="s">
        <v>5982</v>
      </c>
      <c r="G2189" s="1" t="s">
        <v>121</v>
      </c>
      <c r="H2189" s="3" t="s">
        <v>2661</v>
      </c>
      <c r="I2189" s="1"/>
      <c r="J2189" s="1"/>
      <c r="K2189" s="1"/>
    </row>
    <row r="2190" ht="15.75" customHeight="1">
      <c r="A2190" s="2">
        <v>2189.0</v>
      </c>
      <c r="B2190" s="1" t="s">
        <v>5983</v>
      </c>
      <c r="C2190" s="1" t="s">
        <v>1312</v>
      </c>
      <c r="D2190" s="1" t="s">
        <v>850</v>
      </c>
      <c r="E2190" s="2">
        <v>5.7003800121E11</v>
      </c>
      <c r="F2190" s="1" t="s">
        <v>5984</v>
      </c>
      <c r="G2190" s="1" t="s">
        <v>121</v>
      </c>
      <c r="H2190" s="3" t="s">
        <v>2661</v>
      </c>
      <c r="I2190" s="1"/>
      <c r="J2190" s="1"/>
      <c r="K2190" s="1"/>
    </row>
    <row r="2191" ht="15.75" customHeight="1">
      <c r="A2191" s="2">
        <v>2190.0</v>
      </c>
      <c r="B2191" s="1" t="s">
        <v>5985</v>
      </c>
      <c r="C2191" s="1" t="s">
        <v>5862</v>
      </c>
      <c r="D2191" s="1" t="s">
        <v>5986</v>
      </c>
      <c r="E2191" s="2">
        <v>5.70038001212E11</v>
      </c>
      <c r="F2191" s="1" t="s">
        <v>5987</v>
      </c>
      <c r="G2191" s="1" t="s">
        <v>24</v>
      </c>
      <c r="H2191" s="3" t="s">
        <v>5988</v>
      </c>
      <c r="I2191" s="1"/>
      <c r="J2191" s="1"/>
      <c r="K2191" s="1"/>
    </row>
    <row r="2192" ht="15.75" customHeight="1">
      <c r="A2192" s="2">
        <v>2191.0</v>
      </c>
      <c r="B2192" s="1" t="s">
        <v>5989</v>
      </c>
      <c r="C2192" s="1" t="s">
        <v>5990</v>
      </c>
      <c r="D2192" s="1" t="s">
        <v>5991</v>
      </c>
      <c r="E2192" s="2">
        <v>5.70038001213E11</v>
      </c>
      <c r="F2192" s="1" t="s">
        <v>5992</v>
      </c>
      <c r="G2192" s="1" t="s">
        <v>121</v>
      </c>
      <c r="H2192" s="3" t="s">
        <v>2661</v>
      </c>
      <c r="I2192" s="1"/>
      <c r="J2192" s="1"/>
      <c r="K2192" s="1"/>
    </row>
    <row r="2193" ht="15.75" customHeight="1">
      <c r="A2193" s="2">
        <v>2192.0</v>
      </c>
      <c r="B2193" s="1" t="s">
        <v>5993</v>
      </c>
      <c r="C2193" s="1" t="s">
        <v>5994</v>
      </c>
      <c r="D2193" s="1" t="s">
        <v>1436</v>
      </c>
      <c r="E2193" s="2">
        <v>5.70038001215E11</v>
      </c>
      <c r="F2193" s="1" t="s">
        <v>5995</v>
      </c>
      <c r="G2193" s="1" t="s">
        <v>38</v>
      </c>
      <c r="H2193" s="3" t="s">
        <v>2661</v>
      </c>
      <c r="I2193" s="1"/>
      <c r="J2193" s="1"/>
      <c r="K2193" s="1"/>
    </row>
    <row r="2194" ht="15.75" customHeight="1">
      <c r="A2194" s="2">
        <v>2193.0</v>
      </c>
      <c r="B2194" s="1" t="s">
        <v>5996</v>
      </c>
      <c r="C2194" s="1" t="s">
        <v>5380</v>
      </c>
      <c r="D2194" s="1" t="s">
        <v>667</v>
      </c>
      <c r="E2194" s="2">
        <v>5.70038001216E11</v>
      </c>
      <c r="F2194" s="1" t="s">
        <v>5997</v>
      </c>
      <c r="G2194" s="1" t="s">
        <v>121</v>
      </c>
      <c r="H2194" s="3" t="s">
        <v>2661</v>
      </c>
      <c r="I2194" s="1"/>
      <c r="J2194" s="1"/>
      <c r="K2194" s="1"/>
    </row>
    <row r="2195" ht="15.75" customHeight="1">
      <c r="A2195" s="2">
        <v>2194.0</v>
      </c>
      <c r="B2195" s="1" t="s">
        <v>5998</v>
      </c>
      <c r="C2195" s="1" t="s">
        <v>517</v>
      </c>
      <c r="D2195" s="1" t="s">
        <v>5531</v>
      </c>
      <c r="E2195" s="2">
        <v>5.70038001217E11</v>
      </c>
      <c r="F2195" s="1" t="s">
        <v>5999</v>
      </c>
      <c r="G2195" s="1" t="s">
        <v>121</v>
      </c>
      <c r="H2195" s="3" t="s">
        <v>2661</v>
      </c>
      <c r="I2195" s="1"/>
      <c r="J2195" s="1"/>
      <c r="K2195" s="1"/>
    </row>
    <row r="2196" ht="15.75" customHeight="1">
      <c r="A2196" s="2">
        <v>2195.0</v>
      </c>
      <c r="B2196" s="1" t="s">
        <v>6000</v>
      </c>
      <c r="C2196" s="1" t="s">
        <v>6001</v>
      </c>
      <c r="D2196" s="1" t="s">
        <v>62</v>
      </c>
      <c r="E2196" s="2">
        <v>5.70038001219E11</v>
      </c>
      <c r="F2196" s="1" t="s">
        <v>6002</v>
      </c>
      <c r="G2196" s="1" t="s">
        <v>24</v>
      </c>
      <c r="H2196" s="3" t="s">
        <v>2661</v>
      </c>
      <c r="I2196" s="1"/>
      <c r="J2196" s="1"/>
      <c r="K2196" s="1"/>
    </row>
    <row r="2197" ht="15.75" customHeight="1">
      <c r="A2197" s="2">
        <v>2196.0</v>
      </c>
      <c r="B2197" s="1" t="s">
        <v>4960</v>
      </c>
      <c r="C2197" s="1" t="s">
        <v>1330</v>
      </c>
      <c r="D2197" s="1" t="s">
        <v>1102</v>
      </c>
      <c r="E2197" s="2">
        <v>5.7003800122E11</v>
      </c>
      <c r="F2197" s="1" t="s">
        <v>6003</v>
      </c>
      <c r="G2197" s="1" t="s">
        <v>18</v>
      </c>
      <c r="H2197" s="3" t="s">
        <v>2661</v>
      </c>
      <c r="I2197" s="1"/>
      <c r="J2197" s="1"/>
      <c r="K2197" s="1"/>
    </row>
    <row r="2198" ht="15.75" customHeight="1">
      <c r="A2198" s="2">
        <v>2197.0</v>
      </c>
      <c r="B2198" s="1" t="s">
        <v>5516</v>
      </c>
      <c r="C2198" s="1" t="s">
        <v>6004</v>
      </c>
      <c r="D2198" s="1" t="s">
        <v>4965</v>
      </c>
      <c r="E2198" s="2">
        <v>5.70038001221E11</v>
      </c>
      <c r="F2198" s="1" t="s">
        <v>6005</v>
      </c>
      <c r="G2198" s="1" t="s">
        <v>38</v>
      </c>
      <c r="H2198" s="3" t="s">
        <v>2661</v>
      </c>
      <c r="I2198" s="1"/>
      <c r="J2198" s="1"/>
      <c r="K2198" s="1"/>
    </row>
    <row r="2199" ht="15.75" customHeight="1">
      <c r="A2199" s="2">
        <v>2198.0</v>
      </c>
      <c r="B2199" s="1" t="s">
        <v>6006</v>
      </c>
      <c r="C2199" s="1" t="s">
        <v>6007</v>
      </c>
      <c r="D2199" s="1" t="s">
        <v>5550</v>
      </c>
      <c r="E2199" s="2">
        <v>5.70038001222E11</v>
      </c>
      <c r="F2199" s="1" t="s">
        <v>5940</v>
      </c>
      <c r="G2199" s="1" t="s">
        <v>121</v>
      </c>
      <c r="H2199" s="3" t="s">
        <v>2661</v>
      </c>
      <c r="I2199" s="1"/>
      <c r="J2199" s="1"/>
      <c r="K2199" s="1"/>
    </row>
    <row r="2200" ht="15.75" customHeight="1">
      <c r="A2200" s="2">
        <v>2199.0</v>
      </c>
      <c r="B2200" s="1" t="s">
        <v>6008</v>
      </c>
      <c r="C2200" s="1" t="s">
        <v>6009</v>
      </c>
      <c r="D2200" s="1" t="s">
        <v>6010</v>
      </c>
      <c r="E2200" s="2">
        <v>5.70038001224E11</v>
      </c>
      <c r="F2200" s="1" t="s">
        <v>6011</v>
      </c>
      <c r="G2200" s="1" t="s">
        <v>121</v>
      </c>
      <c r="H2200" s="3" t="s">
        <v>2661</v>
      </c>
      <c r="I2200" s="1"/>
      <c r="J2200" s="1"/>
      <c r="K2200" s="1"/>
    </row>
    <row r="2201" ht="15.75" customHeight="1">
      <c r="A2201" s="2">
        <v>2200.0</v>
      </c>
      <c r="B2201" s="1" t="s">
        <v>6012</v>
      </c>
      <c r="C2201" s="1" t="s">
        <v>6013</v>
      </c>
      <c r="D2201" s="1" t="s">
        <v>6014</v>
      </c>
      <c r="E2201" s="2">
        <v>5.70038001225E11</v>
      </c>
      <c r="F2201" s="1" t="s">
        <v>5962</v>
      </c>
      <c r="G2201" s="1" t="s">
        <v>38</v>
      </c>
      <c r="H2201" s="3" t="s">
        <v>2661</v>
      </c>
      <c r="I2201" s="1"/>
      <c r="J2201" s="1"/>
      <c r="K2201" s="1"/>
    </row>
    <row r="2202" ht="15.75" customHeight="1">
      <c r="A2202" s="2">
        <v>2201.0</v>
      </c>
      <c r="B2202" s="1" t="s">
        <v>6015</v>
      </c>
      <c r="C2202" s="1" t="s">
        <v>6016</v>
      </c>
      <c r="D2202" s="1" t="s">
        <v>3017</v>
      </c>
      <c r="E2202" s="2">
        <v>5.70038001226E11</v>
      </c>
      <c r="F2202" s="1" t="s">
        <v>6017</v>
      </c>
      <c r="G2202" s="1" t="s">
        <v>24</v>
      </c>
      <c r="H2202" s="3" t="s">
        <v>2661</v>
      </c>
      <c r="I2202" s="1"/>
      <c r="J2202" s="1"/>
      <c r="K2202" s="1"/>
    </row>
    <row r="2203" ht="15.75" customHeight="1">
      <c r="A2203" s="2">
        <v>2202.0</v>
      </c>
      <c r="B2203" s="1" t="s">
        <v>6018</v>
      </c>
      <c r="C2203" s="1" t="s">
        <v>5368</v>
      </c>
      <c r="D2203" s="1" t="s">
        <v>2072</v>
      </c>
      <c r="E2203" s="2">
        <v>5.70038001227E11</v>
      </c>
      <c r="F2203" s="1" t="s">
        <v>6019</v>
      </c>
      <c r="G2203" s="1" t="s">
        <v>121</v>
      </c>
      <c r="H2203" s="3" t="s">
        <v>2661</v>
      </c>
      <c r="I2203" s="1"/>
      <c r="J2203" s="1"/>
      <c r="K2203" s="1"/>
    </row>
    <row r="2204" ht="15.75" customHeight="1">
      <c r="A2204" s="2">
        <v>2203.0</v>
      </c>
      <c r="B2204" s="1" t="s">
        <v>6020</v>
      </c>
      <c r="C2204" s="1" t="s">
        <v>6021</v>
      </c>
      <c r="D2204" s="1" t="s">
        <v>6022</v>
      </c>
      <c r="E2204" s="2">
        <v>5.70038001228E11</v>
      </c>
      <c r="F2204" s="1" t="s">
        <v>6023</v>
      </c>
      <c r="G2204" s="1" t="s">
        <v>38</v>
      </c>
      <c r="H2204" s="3" t="s">
        <v>2661</v>
      </c>
      <c r="I2204" s="1"/>
      <c r="J2204" s="1"/>
      <c r="K2204" s="1"/>
    </row>
    <row r="2205" ht="15.75" customHeight="1">
      <c r="A2205" s="2">
        <v>2204.0</v>
      </c>
      <c r="B2205" s="1" t="s">
        <v>6024</v>
      </c>
      <c r="C2205" s="1" t="s">
        <v>410</v>
      </c>
      <c r="D2205" s="1" t="s">
        <v>6025</v>
      </c>
      <c r="E2205" s="2">
        <v>5.70038001234E11</v>
      </c>
      <c r="F2205" s="1" t="s">
        <v>6026</v>
      </c>
      <c r="G2205" s="1" t="s">
        <v>121</v>
      </c>
      <c r="H2205" s="3" t="s">
        <v>2661</v>
      </c>
      <c r="I2205" s="1"/>
      <c r="J2205" s="1"/>
      <c r="K2205" s="1"/>
    </row>
    <row r="2206" ht="15.75" customHeight="1">
      <c r="A2206" s="2">
        <v>2205.0</v>
      </c>
      <c r="B2206" s="1" t="s">
        <v>6027</v>
      </c>
      <c r="C2206" s="1" t="s">
        <v>4969</v>
      </c>
      <c r="D2206" s="1" t="s">
        <v>115</v>
      </c>
      <c r="E2206" s="2">
        <v>5.70038001239E11</v>
      </c>
      <c r="F2206" s="1" t="s">
        <v>6028</v>
      </c>
      <c r="G2206" s="1" t="s">
        <v>24</v>
      </c>
      <c r="H2206" s="3" t="s">
        <v>2661</v>
      </c>
      <c r="I2206" s="1"/>
      <c r="J2206" s="1"/>
      <c r="K2206" s="1"/>
    </row>
    <row r="2207" ht="15.75" customHeight="1">
      <c r="A2207" s="2">
        <v>2206.0</v>
      </c>
      <c r="B2207" s="1" t="s">
        <v>6029</v>
      </c>
      <c r="C2207" s="1" t="s">
        <v>5652</v>
      </c>
      <c r="D2207" s="1" t="s">
        <v>255</v>
      </c>
      <c r="E2207" s="2">
        <v>5.7003800124E11</v>
      </c>
      <c r="F2207" s="1" t="s">
        <v>6030</v>
      </c>
      <c r="G2207" s="1" t="s">
        <v>121</v>
      </c>
      <c r="H2207" s="3" t="s">
        <v>2661</v>
      </c>
      <c r="I2207" s="1"/>
      <c r="J2207" s="1"/>
      <c r="K2207" s="1"/>
    </row>
    <row r="2208" ht="15.75" customHeight="1">
      <c r="A2208" s="2">
        <v>2207.0</v>
      </c>
      <c r="B2208" s="1" t="s">
        <v>5013</v>
      </c>
      <c r="C2208" s="1" t="s">
        <v>340</v>
      </c>
      <c r="D2208" s="1" t="s">
        <v>1872</v>
      </c>
      <c r="E2208" s="2">
        <v>5.70038001241E11</v>
      </c>
      <c r="F2208" s="1" t="s">
        <v>6031</v>
      </c>
      <c r="G2208" s="1" t="s">
        <v>121</v>
      </c>
      <c r="H2208" s="3" t="s">
        <v>2661</v>
      </c>
      <c r="I2208" s="1"/>
      <c r="J2208" s="1"/>
      <c r="K2208" s="1"/>
    </row>
    <row r="2209" ht="15.75" customHeight="1">
      <c r="A2209" s="2">
        <v>2208.0</v>
      </c>
      <c r="B2209" s="1" t="s">
        <v>6032</v>
      </c>
      <c r="C2209" s="1" t="s">
        <v>762</v>
      </c>
      <c r="D2209" s="1" t="s">
        <v>1971</v>
      </c>
      <c r="E2209" s="2">
        <v>5.70038001243E11</v>
      </c>
      <c r="F2209" s="1" t="s">
        <v>6033</v>
      </c>
      <c r="G2209" s="1" t="s">
        <v>38</v>
      </c>
      <c r="H2209" s="3" t="s">
        <v>2661</v>
      </c>
      <c r="I2209" s="1"/>
      <c r="J2209" s="1"/>
      <c r="K2209" s="1"/>
    </row>
    <row r="2210" ht="15.75" customHeight="1">
      <c r="A2210" s="2">
        <v>2209.0</v>
      </c>
      <c r="B2210" s="1" t="s">
        <v>5749</v>
      </c>
      <c r="C2210" s="1" t="s">
        <v>169</v>
      </c>
      <c r="D2210" s="1" t="s">
        <v>1209</v>
      </c>
      <c r="E2210" s="2">
        <v>5.70038001244E11</v>
      </c>
      <c r="F2210" s="1" t="s">
        <v>6034</v>
      </c>
      <c r="G2210" s="1" t="s">
        <v>121</v>
      </c>
      <c r="H2210" s="3" t="s">
        <v>2661</v>
      </c>
      <c r="I2210" s="1"/>
      <c r="J2210" s="1"/>
      <c r="K2210" s="1"/>
    </row>
    <row r="2211" ht="15.75" customHeight="1">
      <c r="A2211" s="2">
        <v>2210.0</v>
      </c>
      <c r="B2211" s="1" t="s">
        <v>6035</v>
      </c>
      <c r="C2211" s="1" t="s">
        <v>5240</v>
      </c>
      <c r="D2211" s="1" t="s">
        <v>2102</v>
      </c>
      <c r="E2211" s="2">
        <v>5.70038001246E11</v>
      </c>
      <c r="F2211" s="1" t="s">
        <v>6036</v>
      </c>
      <c r="G2211" s="1" t="s">
        <v>24</v>
      </c>
      <c r="H2211" s="3" t="s">
        <v>2661</v>
      </c>
      <c r="I2211" s="1"/>
      <c r="J2211" s="1"/>
      <c r="K2211" s="1"/>
    </row>
    <row r="2212" ht="15.75" customHeight="1">
      <c r="A2212" s="2">
        <v>2211.0</v>
      </c>
      <c r="B2212" s="1" t="s">
        <v>149</v>
      </c>
      <c r="C2212" s="1" t="s">
        <v>1760</v>
      </c>
      <c r="D2212" s="1" t="s">
        <v>6037</v>
      </c>
      <c r="E2212" s="2">
        <v>5.70038001247E11</v>
      </c>
      <c r="F2212" s="1" t="s">
        <v>5797</v>
      </c>
      <c r="G2212" s="1" t="s">
        <v>38</v>
      </c>
      <c r="H2212" s="3" t="s">
        <v>2661</v>
      </c>
      <c r="I2212" s="1"/>
      <c r="J2212" s="1"/>
      <c r="K2212" s="1"/>
    </row>
    <row r="2213" ht="15.75" customHeight="1">
      <c r="A2213" s="2">
        <v>2212.0</v>
      </c>
      <c r="B2213" s="1" t="s">
        <v>6038</v>
      </c>
      <c r="C2213" s="1" t="s">
        <v>54</v>
      </c>
      <c r="D2213" s="1" t="s">
        <v>295</v>
      </c>
      <c r="E2213" s="2">
        <v>5.70038001248E11</v>
      </c>
      <c r="F2213" s="1" t="s">
        <v>6039</v>
      </c>
      <c r="G2213" s="1" t="s">
        <v>121</v>
      </c>
      <c r="H2213" s="3" t="s">
        <v>2661</v>
      </c>
      <c r="I2213" s="1"/>
      <c r="J2213" s="1"/>
      <c r="K2213" s="1"/>
    </row>
    <row r="2214" ht="15.75" customHeight="1">
      <c r="A2214" s="2">
        <v>2213.0</v>
      </c>
      <c r="B2214" s="1" t="s">
        <v>6040</v>
      </c>
      <c r="C2214" s="1" t="s">
        <v>129</v>
      </c>
      <c r="D2214" s="1" t="s">
        <v>68</v>
      </c>
      <c r="E2214" s="2">
        <v>5.7003800125E11</v>
      </c>
      <c r="F2214" s="1" t="s">
        <v>6041</v>
      </c>
      <c r="G2214" s="1" t="s">
        <v>121</v>
      </c>
      <c r="H2214" s="3" t="s">
        <v>2661</v>
      </c>
      <c r="I2214" s="1"/>
      <c r="J2214" s="1"/>
      <c r="K2214" s="1"/>
    </row>
    <row r="2215" ht="15.75" customHeight="1">
      <c r="A2215" s="2">
        <v>2214.0</v>
      </c>
      <c r="B2215" s="1" t="s">
        <v>6042</v>
      </c>
      <c r="C2215" s="1" t="s">
        <v>1412</v>
      </c>
      <c r="D2215" s="1" t="s">
        <v>5332</v>
      </c>
      <c r="E2215" s="2">
        <v>5.70038001251E11</v>
      </c>
      <c r="F2215" s="1" t="s">
        <v>6043</v>
      </c>
      <c r="G2215" s="1" t="s">
        <v>121</v>
      </c>
      <c r="H2215" s="3" t="s">
        <v>2661</v>
      </c>
      <c r="I2215" s="1"/>
      <c r="J2215" s="1"/>
      <c r="K2215" s="1"/>
    </row>
    <row r="2216" ht="15.75" customHeight="1">
      <c r="A2216" s="2">
        <v>2215.0</v>
      </c>
      <c r="B2216" s="1" t="s">
        <v>1634</v>
      </c>
      <c r="C2216" s="1" t="s">
        <v>1542</v>
      </c>
      <c r="D2216" s="1" t="s">
        <v>5550</v>
      </c>
      <c r="E2216" s="2">
        <v>5.70038001252E11</v>
      </c>
      <c r="F2216" s="1" t="s">
        <v>6044</v>
      </c>
      <c r="G2216" s="1" t="s">
        <v>121</v>
      </c>
      <c r="H2216" s="3" t="s">
        <v>2661</v>
      </c>
      <c r="I2216" s="1"/>
      <c r="J2216" s="1"/>
      <c r="K2216" s="1"/>
    </row>
    <row r="2217" ht="15.75" customHeight="1">
      <c r="A2217" s="2">
        <v>2216.0</v>
      </c>
      <c r="B2217" s="1" t="s">
        <v>293</v>
      </c>
      <c r="C2217" s="1" t="s">
        <v>687</v>
      </c>
      <c r="D2217" s="1" t="s">
        <v>6045</v>
      </c>
      <c r="E2217" s="2">
        <v>5.70038001254E11</v>
      </c>
      <c r="F2217" s="1" t="s">
        <v>6046</v>
      </c>
      <c r="G2217" s="1" t="s">
        <v>121</v>
      </c>
      <c r="H2217" s="3" t="s">
        <v>2661</v>
      </c>
      <c r="I2217" s="1"/>
      <c r="J2217" s="1"/>
      <c r="K2217" s="1"/>
    </row>
    <row r="2218" ht="15.75" customHeight="1">
      <c r="A2218" s="2">
        <v>2217.0</v>
      </c>
      <c r="B2218" s="1" t="s">
        <v>191</v>
      </c>
      <c r="C2218" s="1" t="s">
        <v>1801</v>
      </c>
      <c r="D2218" s="1" t="s">
        <v>5550</v>
      </c>
      <c r="E2218" s="2">
        <v>5.70038001255E11</v>
      </c>
      <c r="F2218" s="1" t="s">
        <v>6047</v>
      </c>
      <c r="G2218" s="1" t="s">
        <v>121</v>
      </c>
      <c r="H2218" s="3" t="s">
        <v>2661</v>
      </c>
      <c r="I2218" s="1"/>
      <c r="J2218" s="1"/>
      <c r="K2218" s="1"/>
    </row>
    <row r="2219" ht="15.75" customHeight="1">
      <c r="A2219" s="2">
        <v>2218.0</v>
      </c>
      <c r="B2219" s="1" t="s">
        <v>6048</v>
      </c>
      <c r="C2219" s="1" t="s">
        <v>72</v>
      </c>
      <c r="D2219" s="1" t="s">
        <v>6049</v>
      </c>
      <c r="E2219" s="2">
        <v>5.70038001259E11</v>
      </c>
      <c r="F2219" s="1" t="s">
        <v>6050</v>
      </c>
      <c r="G2219" s="1" t="s">
        <v>24</v>
      </c>
      <c r="H2219" s="3" t="s">
        <v>2661</v>
      </c>
      <c r="I2219" s="1"/>
      <c r="J2219" s="1"/>
      <c r="K2219" s="1"/>
    </row>
    <row r="2220" ht="15.75" customHeight="1">
      <c r="A2220" s="2">
        <v>2219.0</v>
      </c>
      <c r="B2220" s="1" t="s">
        <v>6051</v>
      </c>
      <c r="C2220" s="1" t="s">
        <v>6052</v>
      </c>
      <c r="D2220" s="1" t="s">
        <v>970</v>
      </c>
      <c r="E2220" s="2">
        <v>5.7003800126E11</v>
      </c>
      <c r="F2220" s="1" t="s">
        <v>6053</v>
      </c>
      <c r="G2220" s="1" t="s">
        <v>121</v>
      </c>
      <c r="H2220" s="3" t="s">
        <v>2661</v>
      </c>
      <c r="I2220" s="1"/>
      <c r="J2220" s="1"/>
      <c r="K2220" s="1"/>
    </row>
    <row r="2221" ht="15.75" customHeight="1">
      <c r="A2221" s="2">
        <v>2220.0</v>
      </c>
      <c r="B2221" s="1" t="s">
        <v>6054</v>
      </c>
      <c r="C2221" s="1" t="s">
        <v>2402</v>
      </c>
      <c r="D2221" s="1" t="s">
        <v>6055</v>
      </c>
      <c r="E2221" s="2">
        <v>5.70038001262E11</v>
      </c>
      <c r="F2221" s="1" t="s">
        <v>6056</v>
      </c>
      <c r="G2221" s="1" t="s">
        <v>121</v>
      </c>
      <c r="H2221" s="3" t="s">
        <v>2661</v>
      </c>
      <c r="I2221" s="1"/>
      <c r="J2221" s="1"/>
      <c r="K2221" s="1"/>
    </row>
    <row r="2222" ht="15.75" customHeight="1">
      <c r="A2222" s="2">
        <v>2221.0</v>
      </c>
      <c r="B2222" s="1" t="s">
        <v>6057</v>
      </c>
      <c r="C2222" s="1" t="s">
        <v>6058</v>
      </c>
      <c r="D2222" s="1" t="s">
        <v>6059</v>
      </c>
      <c r="E2222" s="2">
        <v>5.70038001264E11</v>
      </c>
      <c r="F2222" s="1" t="s">
        <v>6060</v>
      </c>
      <c r="G2222" s="1" t="s">
        <v>24</v>
      </c>
      <c r="H2222" s="3" t="s">
        <v>2661</v>
      </c>
      <c r="I2222" s="1"/>
      <c r="J2222" s="1"/>
      <c r="K2222" s="1"/>
    </row>
    <row r="2223" ht="15.75" customHeight="1">
      <c r="A2223" s="2">
        <v>2222.0</v>
      </c>
      <c r="B2223" s="1" t="s">
        <v>6061</v>
      </c>
      <c r="C2223" s="1" t="s">
        <v>1027</v>
      </c>
      <c r="D2223" s="1" t="s">
        <v>6062</v>
      </c>
      <c r="E2223" s="2">
        <v>5.70038001268E11</v>
      </c>
      <c r="F2223" s="1" t="s">
        <v>6063</v>
      </c>
      <c r="G2223" s="1" t="s">
        <v>121</v>
      </c>
      <c r="H2223" s="3" t="s">
        <v>2661</v>
      </c>
      <c r="I2223" s="1"/>
      <c r="J2223" s="1"/>
      <c r="K2223" s="1"/>
    </row>
    <row r="2224" ht="15.75" customHeight="1">
      <c r="A2224" s="2">
        <v>2223.0</v>
      </c>
      <c r="B2224" s="1" t="s">
        <v>6064</v>
      </c>
      <c r="C2224" s="1" t="s">
        <v>6065</v>
      </c>
      <c r="D2224" s="1" t="s">
        <v>6066</v>
      </c>
      <c r="E2224" s="2">
        <v>5.70038001269E11</v>
      </c>
      <c r="F2224" s="1" t="s">
        <v>6067</v>
      </c>
      <c r="G2224" s="1" t="s">
        <v>121</v>
      </c>
      <c r="H2224" s="3" t="s">
        <v>2661</v>
      </c>
      <c r="I2224" s="1"/>
      <c r="J2224" s="1"/>
      <c r="K2224" s="1"/>
    </row>
    <row r="2225" ht="15.75" customHeight="1">
      <c r="A2225" s="2">
        <v>2224.0</v>
      </c>
      <c r="B2225" s="1" t="s">
        <v>6068</v>
      </c>
      <c r="C2225" s="1" t="s">
        <v>1517</v>
      </c>
      <c r="D2225" s="1" t="s">
        <v>5811</v>
      </c>
      <c r="E2225" s="2">
        <v>5.70038001271E11</v>
      </c>
      <c r="F2225" s="1" t="s">
        <v>6069</v>
      </c>
      <c r="G2225" s="1" t="s">
        <v>121</v>
      </c>
      <c r="H2225" s="3" t="s">
        <v>2661</v>
      </c>
      <c r="I2225" s="1"/>
      <c r="J2225" s="1"/>
      <c r="K2225" s="1"/>
    </row>
    <row r="2226" ht="15.75" customHeight="1">
      <c r="A2226" s="2">
        <v>2225.0</v>
      </c>
      <c r="B2226" s="1" t="s">
        <v>6070</v>
      </c>
      <c r="C2226" s="1" t="s">
        <v>6071</v>
      </c>
      <c r="D2226" s="1" t="s">
        <v>6072</v>
      </c>
      <c r="E2226" s="2">
        <v>5.70038001275E11</v>
      </c>
      <c r="F2226" s="1" t="s">
        <v>6073</v>
      </c>
      <c r="G2226" s="1" t="s">
        <v>121</v>
      </c>
      <c r="H2226" s="3" t="s">
        <v>2661</v>
      </c>
      <c r="I2226" s="1"/>
      <c r="J2226" s="1"/>
      <c r="K2226" s="1"/>
    </row>
    <row r="2227" ht="15.75" customHeight="1">
      <c r="A2227" s="2">
        <v>2226.0</v>
      </c>
      <c r="B2227" s="1" t="s">
        <v>6074</v>
      </c>
      <c r="C2227" s="1" t="s">
        <v>657</v>
      </c>
      <c r="D2227" s="1" t="s">
        <v>3652</v>
      </c>
      <c r="E2227" s="2">
        <v>5.70038001276E11</v>
      </c>
      <c r="F2227" s="1" t="s">
        <v>6075</v>
      </c>
      <c r="G2227" s="1" t="s">
        <v>24</v>
      </c>
      <c r="H2227" s="3" t="s">
        <v>2661</v>
      </c>
      <c r="I2227" s="1"/>
      <c r="J2227" s="1"/>
      <c r="K2227" s="1"/>
    </row>
    <row r="2228" ht="15.75" customHeight="1">
      <c r="A2228" s="2">
        <v>2227.0</v>
      </c>
      <c r="B2228" s="1" t="s">
        <v>6076</v>
      </c>
      <c r="C2228" s="1" t="s">
        <v>6077</v>
      </c>
      <c r="D2228" s="1" t="s">
        <v>6078</v>
      </c>
      <c r="E2228" s="2">
        <v>5.70038001278E11</v>
      </c>
      <c r="F2228" s="1" t="s">
        <v>6079</v>
      </c>
      <c r="G2228" s="1" t="s">
        <v>121</v>
      </c>
      <c r="H2228" s="3" t="s">
        <v>2661</v>
      </c>
      <c r="I2228" s="1"/>
      <c r="J2228" s="1"/>
      <c r="K2228" s="1"/>
    </row>
    <row r="2229" ht="15.75" customHeight="1">
      <c r="A2229" s="2">
        <v>2228.0</v>
      </c>
      <c r="B2229" s="1" t="s">
        <v>6080</v>
      </c>
      <c r="C2229" s="1" t="s">
        <v>6081</v>
      </c>
      <c r="D2229" s="1" t="s">
        <v>335</v>
      </c>
      <c r="E2229" s="2">
        <v>5.70038001279E11</v>
      </c>
      <c r="F2229" s="1" t="s">
        <v>6036</v>
      </c>
      <c r="G2229" s="1" t="s">
        <v>121</v>
      </c>
      <c r="H2229" s="3" t="s">
        <v>2661</v>
      </c>
      <c r="I2229" s="1"/>
      <c r="J2229" s="1"/>
      <c r="K2229" s="1"/>
    </row>
    <row r="2230" ht="15.75" customHeight="1">
      <c r="A2230" s="2">
        <v>2229.0</v>
      </c>
      <c r="B2230" s="1" t="s">
        <v>5042</v>
      </c>
      <c r="C2230" s="1" t="s">
        <v>6082</v>
      </c>
      <c r="D2230" s="1" t="s">
        <v>6083</v>
      </c>
      <c r="E2230" s="2">
        <v>5.70038001281E11</v>
      </c>
      <c r="F2230" s="1" t="s">
        <v>5992</v>
      </c>
      <c r="G2230" s="1" t="s">
        <v>38</v>
      </c>
      <c r="H2230" s="3" t="s">
        <v>2661</v>
      </c>
      <c r="I2230" s="1"/>
      <c r="J2230" s="1"/>
      <c r="K2230" s="1"/>
    </row>
    <row r="2231" ht="15.75" customHeight="1">
      <c r="A2231" s="2">
        <v>2230.0</v>
      </c>
      <c r="B2231" s="1" t="s">
        <v>6084</v>
      </c>
      <c r="C2231" s="1" t="s">
        <v>1956</v>
      </c>
      <c r="D2231" s="1" t="s">
        <v>4931</v>
      </c>
      <c r="E2231" s="2">
        <v>5.70038001282E11</v>
      </c>
      <c r="F2231" s="1" t="s">
        <v>6085</v>
      </c>
      <c r="G2231" s="1" t="s">
        <v>121</v>
      </c>
      <c r="H2231" s="3" t="s">
        <v>2661</v>
      </c>
      <c r="I2231" s="1"/>
      <c r="J2231" s="1"/>
      <c r="K2231" s="1"/>
    </row>
    <row r="2232" ht="15.75" customHeight="1">
      <c r="A2232" s="2">
        <v>2231.0</v>
      </c>
      <c r="B2232" s="1" t="s">
        <v>6086</v>
      </c>
      <c r="C2232" s="1" t="s">
        <v>6087</v>
      </c>
      <c r="D2232" s="1" t="s">
        <v>440</v>
      </c>
      <c r="E2232" s="2">
        <v>5.70038001283E11</v>
      </c>
      <c r="F2232" s="1" t="s">
        <v>6088</v>
      </c>
      <c r="G2232" s="1" t="s">
        <v>121</v>
      </c>
      <c r="H2232" s="3" t="s">
        <v>2661</v>
      </c>
      <c r="I2232" s="1"/>
      <c r="J2232" s="1"/>
      <c r="K2232" s="1"/>
    </row>
    <row r="2233" ht="15.75" customHeight="1">
      <c r="A2233" s="2">
        <v>2232.0</v>
      </c>
      <c r="B2233" s="1" t="s">
        <v>5441</v>
      </c>
      <c r="C2233" s="1" t="s">
        <v>6089</v>
      </c>
      <c r="D2233" s="1" t="s">
        <v>1018</v>
      </c>
      <c r="E2233" s="2">
        <v>5.70038001287E11</v>
      </c>
      <c r="F2233" s="1" t="s">
        <v>6090</v>
      </c>
      <c r="G2233" s="1" t="s">
        <v>18</v>
      </c>
      <c r="H2233" s="3" t="s">
        <v>2661</v>
      </c>
      <c r="I2233" s="1"/>
      <c r="J2233" s="1"/>
      <c r="K2233" s="1"/>
    </row>
    <row r="2234" ht="15.75" customHeight="1">
      <c r="A2234" s="2">
        <v>2233.0</v>
      </c>
      <c r="B2234" s="1" t="s">
        <v>6057</v>
      </c>
      <c r="C2234" s="1" t="s">
        <v>6091</v>
      </c>
      <c r="D2234" s="1" t="s">
        <v>135</v>
      </c>
      <c r="E2234" s="2">
        <v>5.70038001288E11</v>
      </c>
      <c r="F2234" s="1" t="s">
        <v>6092</v>
      </c>
      <c r="G2234" s="1" t="s">
        <v>121</v>
      </c>
      <c r="H2234" s="3" t="s">
        <v>6093</v>
      </c>
      <c r="I2234" s="1"/>
      <c r="J2234" s="1"/>
      <c r="K2234" s="1"/>
    </row>
    <row r="2235" ht="15.75" customHeight="1">
      <c r="A2235" s="2">
        <v>2234.0</v>
      </c>
      <c r="B2235" s="1" t="s">
        <v>6094</v>
      </c>
      <c r="C2235" s="1" t="s">
        <v>1700</v>
      </c>
      <c r="D2235" s="1" t="s">
        <v>6095</v>
      </c>
      <c r="E2235" s="2">
        <v>5.70038001289E11</v>
      </c>
      <c r="F2235" s="1" t="s">
        <v>6096</v>
      </c>
      <c r="G2235" s="1" t="s">
        <v>121</v>
      </c>
      <c r="H2235" s="3" t="s">
        <v>2661</v>
      </c>
      <c r="I2235" s="1"/>
      <c r="J2235" s="1"/>
      <c r="K2235" s="1"/>
    </row>
    <row r="2236" ht="15.75" customHeight="1">
      <c r="A2236" s="2">
        <v>2235.0</v>
      </c>
      <c r="B2236" s="1" t="s">
        <v>105</v>
      </c>
      <c r="C2236" s="1" t="s">
        <v>6097</v>
      </c>
      <c r="D2236" s="1" t="s">
        <v>5158</v>
      </c>
      <c r="E2236" s="2">
        <v>5.7003800129E11</v>
      </c>
      <c r="F2236" s="1" t="s">
        <v>6098</v>
      </c>
      <c r="G2236" s="1" t="s">
        <v>24</v>
      </c>
      <c r="H2236" s="3" t="s">
        <v>2661</v>
      </c>
      <c r="I2236" s="1"/>
      <c r="J2236" s="1"/>
      <c r="K2236" s="1"/>
    </row>
    <row r="2237" ht="15.75" customHeight="1">
      <c r="A2237" s="2">
        <v>2236.0</v>
      </c>
      <c r="B2237" s="1" t="s">
        <v>6099</v>
      </c>
      <c r="C2237" s="1" t="s">
        <v>6100</v>
      </c>
      <c r="D2237" s="1" t="s">
        <v>6101</v>
      </c>
      <c r="E2237" s="2">
        <v>5.70038001292E11</v>
      </c>
      <c r="F2237" s="1" t="s">
        <v>5661</v>
      </c>
      <c r="G2237" s="1" t="s">
        <v>121</v>
      </c>
      <c r="H2237" s="3" t="s">
        <v>2661</v>
      </c>
      <c r="I2237" s="1"/>
      <c r="J2237" s="1"/>
      <c r="K2237" s="1"/>
    </row>
    <row r="2238" ht="15.75" customHeight="1">
      <c r="A2238" s="2">
        <v>2237.0</v>
      </c>
      <c r="B2238" s="1" t="s">
        <v>993</v>
      </c>
      <c r="C2238" s="1" t="s">
        <v>484</v>
      </c>
      <c r="D2238" s="1" t="s">
        <v>5448</v>
      </c>
      <c r="E2238" s="2">
        <v>5.70038001293E11</v>
      </c>
      <c r="F2238" s="1" t="s">
        <v>6102</v>
      </c>
      <c r="G2238" s="1" t="s">
        <v>121</v>
      </c>
      <c r="H2238" s="3" t="s">
        <v>2661</v>
      </c>
      <c r="I2238" s="1"/>
      <c r="J2238" s="1"/>
      <c r="K2238" s="1"/>
    </row>
    <row r="2239" ht="15.75" customHeight="1">
      <c r="A2239" s="2">
        <v>2238.0</v>
      </c>
      <c r="B2239" s="1" t="s">
        <v>1707</v>
      </c>
      <c r="C2239" s="1" t="s">
        <v>66</v>
      </c>
      <c r="D2239" s="1" t="s">
        <v>6103</v>
      </c>
      <c r="E2239" s="2">
        <v>5.70038001295E11</v>
      </c>
      <c r="F2239" s="1" t="s">
        <v>6104</v>
      </c>
      <c r="G2239" s="1" t="s">
        <v>121</v>
      </c>
      <c r="H2239" s="3" t="s">
        <v>2661</v>
      </c>
      <c r="I2239" s="1"/>
      <c r="J2239" s="1"/>
      <c r="K2239" s="1"/>
    </row>
    <row r="2240" ht="15.75" customHeight="1">
      <c r="A2240" s="2">
        <v>2239.0</v>
      </c>
      <c r="B2240" s="1" t="s">
        <v>848</v>
      </c>
      <c r="C2240" s="1" t="s">
        <v>3499</v>
      </c>
      <c r="D2240" s="1" t="s">
        <v>381</v>
      </c>
      <c r="E2240" s="2">
        <v>5.70038001297E11</v>
      </c>
      <c r="F2240" s="1" t="s">
        <v>6105</v>
      </c>
      <c r="G2240" s="1" t="s">
        <v>121</v>
      </c>
      <c r="H2240" s="3" t="s">
        <v>2661</v>
      </c>
      <c r="I2240" s="1"/>
      <c r="J2240" s="1"/>
      <c r="K2240" s="1"/>
    </row>
    <row r="2241" ht="15.75" customHeight="1">
      <c r="A2241" s="2">
        <v>2240.0</v>
      </c>
      <c r="B2241" s="1" t="s">
        <v>6106</v>
      </c>
      <c r="C2241" s="1" t="s">
        <v>333</v>
      </c>
      <c r="D2241" s="1" t="s">
        <v>5032</v>
      </c>
      <c r="E2241" s="2">
        <v>5.70038001298E11</v>
      </c>
      <c r="F2241" s="1" t="s">
        <v>6107</v>
      </c>
      <c r="G2241" s="1" t="s">
        <v>38</v>
      </c>
      <c r="H2241" s="3" t="s">
        <v>2661</v>
      </c>
      <c r="I2241" s="1"/>
      <c r="J2241" s="1"/>
      <c r="K2241" s="1"/>
    </row>
    <row r="2242" ht="15.75" customHeight="1">
      <c r="A2242" s="2">
        <v>2241.0</v>
      </c>
      <c r="B2242" s="1" t="s">
        <v>6108</v>
      </c>
      <c r="C2242" s="1" t="s">
        <v>6109</v>
      </c>
      <c r="D2242" s="1" t="s">
        <v>640</v>
      </c>
      <c r="E2242" s="2">
        <v>5.70038001299E11</v>
      </c>
      <c r="F2242" s="1" t="s">
        <v>6110</v>
      </c>
      <c r="G2242" s="1" t="s">
        <v>121</v>
      </c>
      <c r="H2242" s="3" t="s">
        <v>2661</v>
      </c>
      <c r="I2242" s="1"/>
      <c r="J2242" s="1"/>
      <c r="K2242" s="1"/>
    </row>
    <row r="2243" ht="15.75" customHeight="1">
      <c r="A2243" s="2">
        <v>2242.0</v>
      </c>
      <c r="B2243" s="1" t="s">
        <v>848</v>
      </c>
      <c r="C2243" s="1" t="s">
        <v>6111</v>
      </c>
      <c r="D2243" s="1" t="s">
        <v>6112</v>
      </c>
      <c r="E2243" s="2">
        <v>5.700380013E11</v>
      </c>
      <c r="F2243" s="1" t="s">
        <v>6113</v>
      </c>
      <c r="G2243" s="1" t="s">
        <v>121</v>
      </c>
      <c r="H2243" s="3" t="s">
        <v>2661</v>
      </c>
      <c r="I2243" s="1"/>
      <c r="J2243" s="1"/>
      <c r="K2243" s="1"/>
    </row>
    <row r="2244" ht="15.75" customHeight="1">
      <c r="A2244" s="2">
        <v>2243.0</v>
      </c>
      <c r="B2244" s="1" t="s">
        <v>6114</v>
      </c>
      <c r="C2244" s="1" t="s">
        <v>517</v>
      </c>
      <c r="D2244" s="1" t="s">
        <v>6115</v>
      </c>
      <c r="E2244" s="2">
        <v>5.70038001301E11</v>
      </c>
      <c r="F2244" s="1" t="s">
        <v>6116</v>
      </c>
      <c r="G2244" s="1" t="s">
        <v>121</v>
      </c>
      <c r="H2244" s="3" t="s">
        <v>2661</v>
      </c>
      <c r="I2244" s="1"/>
      <c r="J2244" s="1"/>
      <c r="K2244" s="1"/>
    </row>
    <row r="2245" ht="15.75" customHeight="1">
      <c r="A2245" s="2">
        <v>2244.0</v>
      </c>
      <c r="B2245" s="1" t="s">
        <v>5341</v>
      </c>
      <c r="C2245" s="1" t="s">
        <v>6117</v>
      </c>
      <c r="D2245" s="1" t="s">
        <v>193</v>
      </c>
      <c r="E2245" s="2">
        <v>5.70038001304E11</v>
      </c>
      <c r="F2245" s="1" t="s">
        <v>6118</v>
      </c>
      <c r="G2245" s="1" t="s">
        <v>24</v>
      </c>
      <c r="H2245" s="3" t="s">
        <v>2661</v>
      </c>
      <c r="I2245" s="1"/>
      <c r="J2245" s="1"/>
      <c r="K2245" s="1"/>
    </row>
    <row r="2246" ht="15.75" customHeight="1">
      <c r="A2246" s="2">
        <v>2245.0</v>
      </c>
      <c r="B2246" s="1" t="s">
        <v>848</v>
      </c>
      <c r="C2246" s="1" t="s">
        <v>2442</v>
      </c>
      <c r="D2246" s="1" t="s">
        <v>6119</v>
      </c>
      <c r="E2246" s="2">
        <v>5.70038001305E11</v>
      </c>
      <c r="F2246" s="1" t="s">
        <v>6120</v>
      </c>
      <c r="G2246" s="1" t="s">
        <v>24</v>
      </c>
      <c r="H2246" s="3" t="s">
        <v>2661</v>
      </c>
      <c r="I2246" s="1"/>
      <c r="J2246" s="1"/>
      <c r="K2246" s="1"/>
    </row>
    <row r="2247" ht="15.75" customHeight="1">
      <c r="A2247" s="2">
        <v>2246.0</v>
      </c>
      <c r="B2247" s="1" t="s">
        <v>187</v>
      </c>
      <c r="C2247" s="1" t="s">
        <v>66</v>
      </c>
      <c r="D2247" s="1" t="s">
        <v>6121</v>
      </c>
      <c r="E2247" s="2">
        <v>5.70038001306E11</v>
      </c>
      <c r="F2247" s="1" t="s">
        <v>5928</v>
      </c>
      <c r="G2247" s="1" t="s">
        <v>121</v>
      </c>
      <c r="H2247" s="3" t="s">
        <v>2661</v>
      </c>
      <c r="I2247" s="1"/>
      <c r="J2247" s="1"/>
      <c r="K2247" s="1"/>
    </row>
    <row r="2248" ht="15.75" customHeight="1">
      <c r="A2248" s="2">
        <v>2247.0</v>
      </c>
      <c r="B2248" s="1" t="s">
        <v>997</v>
      </c>
      <c r="C2248" s="1" t="s">
        <v>6122</v>
      </c>
      <c r="D2248" s="1" t="s">
        <v>6123</v>
      </c>
      <c r="E2248" s="2">
        <v>5.70038001307E11</v>
      </c>
      <c r="F2248" s="1" t="s">
        <v>6124</v>
      </c>
      <c r="G2248" s="1" t="s">
        <v>47</v>
      </c>
      <c r="H2248" s="3" t="s">
        <v>2661</v>
      </c>
      <c r="I2248" s="1"/>
      <c r="J2248" s="1"/>
      <c r="K2248" s="1"/>
    </row>
    <row r="2249" ht="15.75" customHeight="1">
      <c r="A2249" s="2">
        <v>2248.0</v>
      </c>
      <c r="B2249" s="1" t="s">
        <v>6125</v>
      </c>
      <c r="C2249" s="1" t="s">
        <v>1996</v>
      </c>
      <c r="D2249" s="1" t="s">
        <v>2223</v>
      </c>
      <c r="E2249" s="2">
        <v>5.70038001308E11</v>
      </c>
      <c r="F2249" s="1" t="s">
        <v>5902</v>
      </c>
      <c r="G2249" s="1" t="s">
        <v>121</v>
      </c>
      <c r="H2249" s="3" t="s">
        <v>2661</v>
      </c>
      <c r="I2249" s="1"/>
      <c r="J2249" s="1"/>
      <c r="K2249" s="1"/>
    </row>
    <row r="2250" ht="15.75" customHeight="1">
      <c r="A2250" s="2">
        <v>2249.0</v>
      </c>
      <c r="B2250" s="1" t="s">
        <v>1732</v>
      </c>
      <c r="C2250" s="1" t="s">
        <v>3258</v>
      </c>
      <c r="D2250" s="1" t="s">
        <v>440</v>
      </c>
      <c r="E2250" s="2">
        <v>5.70038001313E11</v>
      </c>
      <c r="F2250" s="1" t="s">
        <v>6126</v>
      </c>
      <c r="G2250" s="1" t="s">
        <v>121</v>
      </c>
      <c r="H2250" s="3" t="s">
        <v>2661</v>
      </c>
      <c r="I2250" s="1"/>
      <c r="J2250" s="1"/>
      <c r="K2250" s="1"/>
    </row>
    <row r="2251" ht="15.75" customHeight="1">
      <c r="A2251" s="2">
        <v>2250.0</v>
      </c>
      <c r="B2251" s="1" t="s">
        <v>6127</v>
      </c>
      <c r="C2251" s="1" t="s">
        <v>431</v>
      </c>
      <c r="D2251" s="1" t="s">
        <v>324</v>
      </c>
      <c r="E2251" s="2">
        <v>5.70038001316E11</v>
      </c>
      <c r="F2251" s="1" t="s">
        <v>6128</v>
      </c>
      <c r="G2251" s="1" t="s">
        <v>38</v>
      </c>
      <c r="H2251" s="3" t="s">
        <v>5988</v>
      </c>
      <c r="I2251" s="1"/>
      <c r="J2251" s="1"/>
      <c r="K2251" s="1"/>
    </row>
    <row r="2252" ht="15.75" customHeight="1">
      <c r="A2252" s="2">
        <v>2251.0</v>
      </c>
      <c r="B2252" s="1" t="s">
        <v>6129</v>
      </c>
      <c r="C2252" s="1" t="s">
        <v>388</v>
      </c>
      <c r="D2252" s="1" t="s">
        <v>6130</v>
      </c>
      <c r="E2252" s="2">
        <v>5.70038001319E11</v>
      </c>
      <c r="F2252" s="1" t="s">
        <v>6131</v>
      </c>
      <c r="G2252" s="1" t="s">
        <v>121</v>
      </c>
      <c r="H2252" s="3" t="s">
        <v>2661</v>
      </c>
      <c r="I2252" s="1"/>
      <c r="J2252" s="1"/>
      <c r="K2252" s="1"/>
    </row>
    <row r="2253" ht="15.75" customHeight="1">
      <c r="A2253" s="2">
        <v>2252.0</v>
      </c>
      <c r="B2253" s="1" t="s">
        <v>6132</v>
      </c>
      <c r="C2253" s="1" t="s">
        <v>6133</v>
      </c>
      <c r="D2253" s="1" t="s">
        <v>5274</v>
      </c>
      <c r="E2253" s="2">
        <v>5.7003800132E11</v>
      </c>
      <c r="F2253" s="1" t="s">
        <v>6134</v>
      </c>
      <c r="G2253" s="1" t="s">
        <v>121</v>
      </c>
      <c r="H2253" s="3" t="s">
        <v>2661</v>
      </c>
      <c r="I2253" s="1"/>
      <c r="J2253" s="1"/>
      <c r="K2253" s="1"/>
    </row>
    <row r="2254" ht="15.75" customHeight="1">
      <c r="A2254" s="2">
        <v>2253.0</v>
      </c>
      <c r="B2254" s="1" t="s">
        <v>6135</v>
      </c>
      <c r="C2254" s="1" t="s">
        <v>361</v>
      </c>
      <c r="D2254" s="1" t="s">
        <v>697</v>
      </c>
      <c r="E2254" s="2">
        <v>5.70038001321E11</v>
      </c>
      <c r="F2254" s="1" t="s">
        <v>6136</v>
      </c>
      <c r="G2254" s="1" t="s">
        <v>121</v>
      </c>
      <c r="H2254" s="3" t="s">
        <v>2661</v>
      </c>
      <c r="I2254" s="1"/>
      <c r="J2254" s="1"/>
      <c r="K2254" s="1"/>
    </row>
    <row r="2255" ht="15.75" customHeight="1">
      <c r="A2255" s="2">
        <v>2254.0</v>
      </c>
      <c r="B2255" s="1" t="s">
        <v>1634</v>
      </c>
      <c r="C2255" s="1" t="s">
        <v>682</v>
      </c>
      <c r="D2255" s="1" t="s">
        <v>6137</v>
      </c>
      <c r="E2255" s="2">
        <v>5.70038001323E11</v>
      </c>
      <c r="F2255" s="1" t="s">
        <v>6138</v>
      </c>
      <c r="G2255" s="1" t="s">
        <v>121</v>
      </c>
      <c r="H2255" s="3" t="s">
        <v>2661</v>
      </c>
      <c r="I2255" s="1"/>
      <c r="J2255" s="1"/>
      <c r="K2255" s="1"/>
    </row>
    <row r="2256" ht="15.75" customHeight="1">
      <c r="A2256" s="2">
        <v>2255.0</v>
      </c>
      <c r="B2256" s="1" t="s">
        <v>6139</v>
      </c>
      <c r="C2256" s="1" t="s">
        <v>1397</v>
      </c>
      <c r="D2256" s="1" t="s">
        <v>6140</v>
      </c>
      <c r="E2256" s="2">
        <v>5.70038001324E11</v>
      </c>
      <c r="F2256" s="1" t="s">
        <v>6141</v>
      </c>
      <c r="G2256" s="1" t="s">
        <v>121</v>
      </c>
      <c r="H2256" s="3" t="s">
        <v>2661</v>
      </c>
      <c r="I2256" s="1"/>
      <c r="J2256" s="1"/>
      <c r="K2256" s="1"/>
    </row>
    <row r="2257" ht="15.75" customHeight="1">
      <c r="A2257" s="2">
        <v>2256.0</v>
      </c>
      <c r="B2257" s="1" t="s">
        <v>936</v>
      </c>
      <c r="C2257" s="1" t="s">
        <v>6142</v>
      </c>
      <c r="D2257" s="1" t="s">
        <v>62</v>
      </c>
      <c r="E2257" s="2">
        <v>5.70038001326E11</v>
      </c>
      <c r="F2257" s="1" t="s">
        <v>6143</v>
      </c>
      <c r="G2257" s="1" t="s">
        <v>38</v>
      </c>
      <c r="H2257" s="3" t="s">
        <v>2661</v>
      </c>
      <c r="I2257" s="1"/>
      <c r="J2257" s="1"/>
      <c r="K2257" s="1"/>
    </row>
    <row r="2258" ht="15.75" customHeight="1">
      <c r="A2258" s="2">
        <v>2257.0</v>
      </c>
      <c r="B2258" s="1" t="s">
        <v>6144</v>
      </c>
      <c r="C2258" s="1" t="s">
        <v>6145</v>
      </c>
      <c r="D2258" s="1" t="s">
        <v>4953</v>
      </c>
      <c r="E2258" s="2">
        <v>5.70038001327E11</v>
      </c>
      <c r="F2258" s="1" t="s">
        <v>6146</v>
      </c>
      <c r="G2258" s="1" t="s">
        <v>24</v>
      </c>
      <c r="H2258" s="3" t="s">
        <v>2661</v>
      </c>
      <c r="I2258" s="1"/>
      <c r="J2258" s="1"/>
      <c r="K2258" s="1"/>
    </row>
    <row r="2259" ht="15.75" customHeight="1">
      <c r="A2259" s="2">
        <v>2258.0</v>
      </c>
      <c r="B2259" s="1" t="s">
        <v>6147</v>
      </c>
      <c r="C2259" s="1" t="s">
        <v>6081</v>
      </c>
      <c r="D2259" s="1" t="s">
        <v>6148</v>
      </c>
      <c r="E2259" s="2">
        <v>5.70038001329E11</v>
      </c>
      <c r="F2259" s="1" t="s">
        <v>6149</v>
      </c>
      <c r="G2259" s="1" t="s">
        <v>121</v>
      </c>
      <c r="H2259" s="3" t="s">
        <v>2661</v>
      </c>
      <c r="I2259" s="1"/>
      <c r="J2259" s="1"/>
      <c r="K2259" s="1"/>
    </row>
    <row r="2260" ht="15.75" customHeight="1">
      <c r="A2260" s="2">
        <v>2259.0</v>
      </c>
      <c r="B2260" s="1" t="s">
        <v>1664</v>
      </c>
      <c r="C2260" s="1" t="s">
        <v>6150</v>
      </c>
      <c r="D2260" s="1" t="s">
        <v>6151</v>
      </c>
      <c r="E2260" s="2">
        <v>5.70038001336E11</v>
      </c>
      <c r="F2260" s="1" t="s">
        <v>6152</v>
      </c>
      <c r="G2260" s="1" t="s">
        <v>24</v>
      </c>
      <c r="H2260" s="3" t="s">
        <v>2661</v>
      </c>
      <c r="I2260" s="1"/>
      <c r="J2260" s="1"/>
      <c r="K2260" s="1"/>
    </row>
    <row r="2261" ht="15.75" customHeight="1">
      <c r="A2261" s="2">
        <v>2260.0</v>
      </c>
      <c r="B2261" s="1" t="s">
        <v>6153</v>
      </c>
      <c r="C2261" s="1" t="s">
        <v>6154</v>
      </c>
      <c r="D2261" s="1" t="s">
        <v>299</v>
      </c>
      <c r="E2261" s="2">
        <v>5.70038001337E11</v>
      </c>
      <c r="F2261" s="1" t="s">
        <v>6155</v>
      </c>
      <c r="G2261" s="1" t="s">
        <v>121</v>
      </c>
      <c r="H2261" s="3" t="s">
        <v>2661</v>
      </c>
      <c r="I2261" s="1"/>
      <c r="J2261" s="1"/>
      <c r="K2261" s="1"/>
    </row>
    <row r="2262" ht="15.75" customHeight="1">
      <c r="A2262" s="2">
        <v>2261.0</v>
      </c>
      <c r="B2262" s="1" t="s">
        <v>6156</v>
      </c>
      <c r="C2262" s="1" t="s">
        <v>6157</v>
      </c>
      <c r="D2262" s="1" t="s">
        <v>6158</v>
      </c>
      <c r="E2262" s="2">
        <v>5.70038001343E11</v>
      </c>
      <c r="F2262" s="1" t="s">
        <v>5980</v>
      </c>
      <c r="G2262" s="1" t="s">
        <v>121</v>
      </c>
      <c r="H2262" s="3" t="s">
        <v>2661</v>
      </c>
      <c r="I2262" s="1"/>
      <c r="J2262" s="1"/>
      <c r="K2262" s="1"/>
    </row>
    <row r="2263" ht="15.75" customHeight="1">
      <c r="A2263" s="2">
        <v>2262.0</v>
      </c>
      <c r="B2263" s="1" t="s">
        <v>2259</v>
      </c>
      <c r="C2263" s="1" t="s">
        <v>5435</v>
      </c>
      <c r="D2263" s="1" t="s">
        <v>616</v>
      </c>
      <c r="E2263" s="2">
        <v>5.70038001344E11</v>
      </c>
      <c r="F2263" s="1" t="s">
        <v>6159</v>
      </c>
      <c r="G2263" s="1" t="s">
        <v>121</v>
      </c>
      <c r="H2263" s="3" t="s">
        <v>2661</v>
      </c>
      <c r="I2263" s="1"/>
      <c r="J2263" s="1"/>
      <c r="K2263" s="1"/>
    </row>
    <row r="2264" ht="15.75" customHeight="1">
      <c r="A2264" s="2">
        <v>2263.0</v>
      </c>
      <c r="B2264" s="1" t="s">
        <v>6160</v>
      </c>
      <c r="C2264" s="1" t="s">
        <v>747</v>
      </c>
      <c r="D2264" s="1" t="s">
        <v>5158</v>
      </c>
      <c r="E2264" s="2">
        <v>5.70038001346E11</v>
      </c>
      <c r="F2264" s="1" t="s">
        <v>6161</v>
      </c>
      <c r="G2264" s="1" t="s">
        <v>383</v>
      </c>
      <c r="H2264" s="3" t="s">
        <v>2661</v>
      </c>
      <c r="I2264" s="1"/>
      <c r="J2264" s="1"/>
      <c r="K2264" s="1"/>
    </row>
    <row r="2265" ht="15.75" customHeight="1">
      <c r="A2265" s="2">
        <v>2264.0</v>
      </c>
      <c r="B2265" s="1" t="s">
        <v>6162</v>
      </c>
      <c r="C2265" s="1" t="s">
        <v>1169</v>
      </c>
      <c r="D2265" s="1" t="s">
        <v>5790</v>
      </c>
      <c r="E2265" s="2">
        <v>5.70038001347E11</v>
      </c>
      <c r="F2265" s="1" t="s">
        <v>6092</v>
      </c>
      <c r="G2265" s="1" t="s">
        <v>121</v>
      </c>
      <c r="H2265" s="3" t="s">
        <v>2661</v>
      </c>
      <c r="I2265" s="1"/>
      <c r="J2265" s="1"/>
      <c r="K2265" s="1"/>
    </row>
    <row r="2266" ht="15.75" customHeight="1">
      <c r="A2266" s="2">
        <v>2265.0</v>
      </c>
      <c r="B2266" s="1" t="s">
        <v>6163</v>
      </c>
      <c r="C2266" s="1" t="s">
        <v>367</v>
      </c>
      <c r="D2266" s="1" t="s">
        <v>6022</v>
      </c>
      <c r="E2266" s="2">
        <v>5.70038001348E11</v>
      </c>
      <c r="F2266" s="1" t="s">
        <v>6164</v>
      </c>
      <c r="G2266" s="1" t="s">
        <v>121</v>
      </c>
      <c r="H2266" s="3" t="s">
        <v>2661</v>
      </c>
      <c r="I2266" s="1"/>
      <c r="J2266" s="1"/>
      <c r="K2266" s="1"/>
    </row>
    <row r="2267" ht="15.75" customHeight="1">
      <c r="A2267" s="2">
        <v>2266.0</v>
      </c>
      <c r="B2267" s="1" t="s">
        <v>6165</v>
      </c>
      <c r="C2267" s="1" t="s">
        <v>6166</v>
      </c>
      <c r="D2267" s="1" t="s">
        <v>103</v>
      </c>
      <c r="E2267" s="2">
        <v>5.70038001349E11</v>
      </c>
      <c r="F2267" s="1" t="s">
        <v>6167</v>
      </c>
      <c r="G2267" s="1" t="s">
        <v>121</v>
      </c>
      <c r="H2267" s="3" t="s">
        <v>2661</v>
      </c>
      <c r="I2267" s="1"/>
      <c r="J2267" s="1"/>
      <c r="K2267" s="1"/>
    </row>
    <row r="2268" ht="15.75" customHeight="1">
      <c r="A2268" s="2">
        <v>2267.0</v>
      </c>
      <c r="B2268" s="1" t="s">
        <v>1460</v>
      </c>
      <c r="C2268" s="1" t="s">
        <v>4967</v>
      </c>
      <c r="D2268" s="1" t="s">
        <v>6168</v>
      </c>
      <c r="E2268" s="2">
        <v>5.7003800135E11</v>
      </c>
      <c r="F2268" s="1" t="s">
        <v>5412</v>
      </c>
      <c r="G2268" s="1" t="s">
        <v>24</v>
      </c>
      <c r="H2268" s="3" t="s">
        <v>2661</v>
      </c>
      <c r="I2268" s="1"/>
      <c r="J2268" s="1"/>
      <c r="K2268" s="1"/>
    </row>
    <row r="2269" ht="15.75" customHeight="1">
      <c r="A2269" s="2">
        <v>2268.0</v>
      </c>
      <c r="B2269" s="1" t="s">
        <v>5359</v>
      </c>
      <c r="C2269" s="1" t="s">
        <v>496</v>
      </c>
      <c r="D2269" s="1" t="s">
        <v>422</v>
      </c>
      <c r="E2269" s="2">
        <v>5.70038001352E11</v>
      </c>
      <c r="F2269" s="1" t="s">
        <v>6169</v>
      </c>
      <c r="G2269" s="1" t="s">
        <v>121</v>
      </c>
      <c r="H2269" s="3" t="s">
        <v>2661</v>
      </c>
      <c r="I2269" s="1"/>
      <c r="J2269" s="1"/>
      <c r="K2269" s="1"/>
    </row>
    <row r="2270" ht="15.75" customHeight="1">
      <c r="A2270" s="2">
        <v>2269.0</v>
      </c>
      <c r="B2270" s="1" t="s">
        <v>6170</v>
      </c>
      <c r="C2270" s="1" t="s">
        <v>3217</v>
      </c>
      <c r="D2270" s="1" t="s">
        <v>6171</v>
      </c>
      <c r="E2270" s="2">
        <v>5.70038001353E11</v>
      </c>
      <c r="F2270" s="1" t="s">
        <v>6172</v>
      </c>
      <c r="G2270" s="1" t="s">
        <v>121</v>
      </c>
      <c r="H2270" s="3" t="s">
        <v>2661</v>
      </c>
      <c r="I2270" s="1"/>
      <c r="J2270" s="1"/>
      <c r="K2270" s="1"/>
    </row>
    <row r="2271" ht="15.75" customHeight="1">
      <c r="A2271" s="2">
        <v>2270.0</v>
      </c>
      <c r="B2271" s="1" t="s">
        <v>6173</v>
      </c>
      <c r="C2271" s="1" t="s">
        <v>1493</v>
      </c>
      <c r="D2271" s="1" t="s">
        <v>5256</v>
      </c>
      <c r="E2271" s="2">
        <v>5.70038001354E11</v>
      </c>
      <c r="F2271" s="1" t="s">
        <v>6174</v>
      </c>
      <c r="G2271" s="1" t="s">
        <v>24</v>
      </c>
      <c r="H2271" s="3" t="s">
        <v>2661</v>
      </c>
      <c r="I2271" s="1"/>
      <c r="J2271" s="1"/>
      <c r="K2271" s="1"/>
    </row>
    <row r="2272" ht="15.75" customHeight="1">
      <c r="A2272" s="2">
        <v>2271.0</v>
      </c>
      <c r="B2272" s="1" t="s">
        <v>1664</v>
      </c>
      <c r="C2272" s="1" t="s">
        <v>118</v>
      </c>
      <c r="D2272" s="1" t="s">
        <v>5790</v>
      </c>
      <c r="E2272" s="2">
        <v>5.70038001358E11</v>
      </c>
      <c r="F2272" s="1" t="s">
        <v>6175</v>
      </c>
      <c r="G2272" s="1" t="s">
        <v>121</v>
      </c>
      <c r="H2272" s="3" t="s">
        <v>6093</v>
      </c>
      <c r="I2272" s="1"/>
      <c r="J2272" s="1"/>
      <c r="K2272" s="1"/>
    </row>
    <row r="2273" ht="15.75" customHeight="1">
      <c r="A2273" s="2">
        <v>2272.0</v>
      </c>
      <c r="B2273" s="1" t="s">
        <v>6176</v>
      </c>
      <c r="C2273" s="1" t="s">
        <v>6177</v>
      </c>
      <c r="D2273" s="1" t="s">
        <v>3269</v>
      </c>
      <c r="E2273" s="2">
        <v>5.70038001359E11</v>
      </c>
      <c r="F2273" s="1" t="s">
        <v>6178</v>
      </c>
      <c r="G2273" s="1" t="s">
        <v>24</v>
      </c>
      <c r="H2273" s="3" t="s">
        <v>2661</v>
      </c>
      <c r="I2273" s="1"/>
      <c r="J2273" s="1"/>
      <c r="K2273" s="1"/>
    </row>
    <row r="2274" ht="15.75" customHeight="1">
      <c r="A2274" s="2">
        <v>2273.0</v>
      </c>
      <c r="B2274" s="1" t="s">
        <v>5441</v>
      </c>
      <c r="C2274" s="1" t="s">
        <v>6179</v>
      </c>
      <c r="D2274" s="1" t="s">
        <v>2102</v>
      </c>
      <c r="E2274" s="2">
        <v>5.7003800136E11</v>
      </c>
      <c r="F2274" s="1" t="s">
        <v>6180</v>
      </c>
      <c r="G2274" s="1" t="s">
        <v>121</v>
      </c>
      <c r="H2274" s="3" t="s">
        <v>2661</v>
      </c>
      <c r="I2274" s="1"/>
      <c r="J2274" s="1"/>
      <c r="K2274" s="1"/>
    </row>
    <row r="2275" ht="15.75" customHeight="1">
      <c r="A2275" s="2">
        <v>2274.0</v>
      </c>
      <c r="B2275" s="1" t="s">
        <v>6181</v>
      </c>
      <c r="C2275" s="1" t="s">
        <v>5611</v>
      </c>
      <c r="D2275" s="1" t="s">
        <v>2248</v>
      </c>
      <c r="E2275" s="2">
        <v>5.70038001361E11</v>
      </c>
      <c r="F2275" s="1" t="s">
        <v>6182</v>
      </c>
      <c r="G2275" s="1" t="s">
        <v>121</v>
      </c>
      <c r="H2275" s="3" t="s">
        <v>2661</v>
      </c>
      <c r="I2275" s="1"/>
      <c r="J2275" s="1"/>
      <c r="K2275" s="1"/>
    </row>
    <row r="2276" ht="15.75" customHeight="1">
      <c r="A2276" s="2">
        <v>2275.0</v>
      </c>
      <c r="B2276" s="1" t="s">
        <v>6183</v>
      </c>
      <c r="C2276" s="1" t="s">
        <v>337</v>
      </c>
      <c r="D2276" s="1" t="s">
        <v>5448</v>
      </c>
      <c r="E2276" s="2">
        <v>5.70038001362E11</v>
      </c>
      <c r="F2276" s="1" t="s">
        <v>6184</v>
      </c>
      <c r="G2276" s="1" t="s">
        <v>121</v>
      </c>
      <c r="H2276" s="3" t="s">
        <v>2661</v>
      </c>
      <c r="I2276" s="1"/>
      <c r="J2276" s="1"/>
      <c r="K2276" s="1"/>
    </row>
    <row r="2277" ht="15.75" customHeight="1">
      <c r="A2277" s="2">
        <v>2276.0</v>
      </c>
      <c r="B2277" s="1" t="s">
        <v>191</v>
      </c>
      <c r="C2277" s="1" t="s">
        <v>1513</v>
      </c>
      <c r="D2277" s="1" t="s">
        <v>295</v>
      </c>
      <c r="E2277" s="2">
        <v>5.70038001363E11</v>
      </c>
      <c r="F2277" s="1" t="s">
        <v>6185</v>
      </c>
      <c r="G2277" s="1" t="s">
        <v>980</v>
      </c>
      <c r="H2277" s="3" t="s">
        <v>2661</v>
      </c>
      <c r="I2277" s="1"/>
      <c r="J2277" s="1"/>
      <c r="K2277" s="1"/>
    </row>
    <row r="2278" ht="15.75" customHeight="1">
      <c r="A2278" s="2">
        <v>2277.0</v>
      </c>
      <c r="B2278" s="1" t="s">
        <v>6186</v>
      </c>
      <c r="C2278" s="1" t="s">
        <v>3431</v>
      </c>
      <c r="D2278" s="1" t="s">
        <v>6187</v>
      </c>
      <c r="E2278" s="2">
        <v>5.70038001369E11</v>
      </c>
      <c r="F2278" s="1" t="s">
        <v>6188</v>
      </c>
      <c r="G2278" s="1" t="s">
        <v>38</v>
      </c>
      <c r="H2278" s="3" t="s">
        <v>2661</v>
      </c>
      <c r="I2278" s="1"/>
      <c r="J2278" s="1"/>
      <c r="K2278" s="1"/>
    </row>
    <row r="2279" ht="15.75" customHeight="1">
      <c r="A2279" s="2">
        <v>2278.0</v>
      </c>
      <c r="B2279" s="1" t="s">
        <v>5542</v>
      </c>
      <c r="C2279" s="1" t="s">
        <v>6189</v>
      </c>
      <c r="D2279" s="1" t="s">
        <v>5433</v>
      </c>
      <c r="E2279" s="2">
        <v>5.70038001373E11</v>
      </c>
      <c r="F2279" s="1" t="s">
        <v>6190</v>
      </c>
      <c r="G2279" s="1" t="s">
        <v>121</v>
      </c>
      <c r="H2279" s="3" t="s">
        <v>2661</v>
      </c>
      <c r="I2279" s="1"/>
      <c r="J2279" s="1"/>
      <c r="K2279" s="1"/>
    </row>
    <row r="2280" ht="15.75" customHeight="1">
      <c r="A2280" s="2">
        <v>2279.0</v>
      </c>
      <c r="B2280" s="1" t="s">
        <v>6191</v>
      </c>
      <c r="C2280" s="1" t="s">
        <v>1570</v>
      </c>
      <c r="D2280" s="1" t="s">
        <v>733</v>
      </c>
      <c r="E2280" s="2">
        <v>5.70038001375E11</v>
      </c>
      <c r="F2280" s="1" t="s">
        <v>6192</v>
      </c>
      <c r="G2280" s="1" t="s">
        <v>38</v>
      </c>
      <c r="H2280" s="3" t="s">
        <v>2661</v>
      </c>
      <c r="I2280" s="1"/>
      <c r="J2280" s="1"/>
      <c r="K2280" s="1"/>
    </row>
    <row r="2281" ht="15.75" customHeight="1">
      <c r="A2281" s="2">
        <v>2280.0</v>
      </c>
      <c r="B2281" s="1" t="s">
        <v>5287</v>
      </c>
      <c r="C2281" s="1" t="s">
        <v>555</v>
      </c>
      <c r="D2281" s="1" t="s">
        <v>5115</v>
      </c>
      <c r="E2281" s="2">
        <v>5.70038001376E11</v>
      </c>
      <c r="F2281" s="1" t="s">
        <v>6193</v>
      </c>
      <c r="G2281" s="1" t="s">
        <v>121</v>
      </c>
      <c r="H2281" s="3" t="s">
        <v>2661</v>
      </c>
      <c r="I2281" s="1"/>
      <c r="J2281" s="1"/>
      <c r="K2281" s="1"/>
    </row>
    <row r="2282" ht="15.75" customHeight="1">
      <c r="A2282" s="2">
        <v>2281.0</v>
      </c>
      <c r="B2282" s="1" t="s">
        <v>6194</v>
      </c>
      <c r="C2282" s="1" t="s">
        <v>1240</v>
      </c>
      <c r="D2282" s="1" t="s">
        <v>6195</v>
      </c>
      <c r="E2282" s="2">
        <v>5.70038001377E11</v>
      </c>
      <c r="F2282" s="1" t="s">
        <v>6196</v>
      </c>
      <c r="G2282" s="1" t="s">
        <v>24</v>
      </c>
      <c r="H2282" s="3" t="s">
        <v>2661</v>
      </c>
      <c r="I2282" s="1"/>
      <c r="J2282" s="1"/>
      <c r="K2282" s="1"/>
    </row>
    <row r="2283" ht="15.75" customHeight="1">
      <c r="A2283" s="2">
        <v>2282.0</v>
      </c>
      <c r="B2283" s="1" t="s">
        <v>79</v>
      </c>
      <c r="C2283" s="1" t="s">
        <v>6197</v>
      </c>
      <c r="D2283" s="1" t="s">
        <v>440</v>
      </c>
      <c r="E2283" s="2">
        <v>5.70038001378E11</v>
      </c>
      <c r="F2283" s="1" t="s">
        <v>6198</v>
      </c>
      <c r="G2283" s="1" t="s">
        <v>121</v>
      </c>
      <c r="H2283" s="3" t="s">
        <v>2661</v>
      </c>
      <c r="I2283" s="1"/>
      <c r="J2283" s="1"/>
      <c r="K2283" s="1"/>
    </row>
    <row r="2284" ht="15.75" customHeight="1">
      <c r="A2284" s="2">
        <v>2283.0</v>
      </c>
      <c r="B2284" s="1" t="s">
        <v>6199</v>
      </c>
      <c r="C2284" s="1" t="s">
        <v>245</v>
      </c>
      <c r="D2284" s="1" t="s">
        <v>346</v>
      </c>
      <c r="E2284" s="2">
        <v>5.7003800138E11</v>
      </c>
      <c r="F2284" s="1" t="s">
        <v>6200</v>
      </c>
      <c r="G2284" s="1" t="s">
        <v>38</v>
      </c>
      <c r="H2284" s="3" t="s">
        <v>2661</v>
      </c>
      <c r="I2284" s="1"/>
      <c r="J2284" s="1"/>
      <c r="K2284" s="1"/>
    </row>
    <row r="2285" ht="15.75" customHeight="1">
      <c r="A2285" s="2">
        <v>2284.0</v>
      </c>
      <c r="B2285" s="1" t="s">
        <v>6201</v>
      </c>
      <c r="C2285" s="1" t="s">
        <v>72</v>
      </c>
      <c r="D2285" s="1" t="s">
        <v>5672</v>
      </c>
      <c r="E2285" s="2">
        <v>5.70038001381E11</v>
      </c>
      <c r="F2285" s="1" t="s">
        <v>6202</v>
      </c>
      <c r="G2285" s="1" t="s">
        <v>121</v>
      </c>
      <c r="H2285" s="3" t="s">
        <v>2661</v>
      </c>
      <c r="I2285" s="1"/>
      <c r="J2285" s="1"/>
      <c r="K2285" s="1"/>
    </row>
    <row r="2286" ht="15.75" customHeight="1">
      <c r="A2286" s="2">
        <v>2285.0</v>
      </c>
      <c r="B2286" s="1" t="s">
        <v>2299</v>
      </c>
      <c r="C2286" s="1" t="s">
        <v>6203</v>
      </c>
      <c r="D2286" s="1" t="s">
        <v>6204</v>
      </c>
      <c r="E2286" s="2">
        <v>5.70038001382E11</v>
      </c>
      <c r="F2286" s="1" t="s">
        <v>6205</v>
      </c>
      <c r="G2286" s="1" t="s">
        <v>121</v>
      </c>
      <c r="H2286" s="3" t="s">
        <v>2661</v>
      </c>
      <c r="I2286" s="1"/>
      <c r="J2286" s="1"/>
      <c r="K2286" s="1"/>
    </row>
    <row r="2287" ht="15.75" customHeight="1">
      <c r="A2287" s="2">
        <v>2286.0</v>
      </c>
      <c r="B2287" s="1" t="s">
        <v>6206</v>
      </c>
      <c r="C2287" s="1" t="s">
        <v>1133</v>
      </c>
      <c r="D2287" s="1" t="s">
        <v>6207</v>
      </c>
      <c r="E2287" s="2">
        <v>5.70038001383E11</v>
      </c>
      <c r="F2287" s="1" t="s">
        <v>6208</v>
      </c>
      <c r="G2287" s="1" t="s">
        <v>121</v>
      </c>
      <c r="H2287" s="3" t="s">
        <v>2661</v>
      </c>
      <c r="I2287" s="1"/>
      <c r="J2287" s="1"/>
      <c r="K2287" s="1"/>
    </row>
    <row r="2288" ht="15.75" customHeight="1">
      <c r="A2288" s="2">
        <v>2287.0</v>
      </c>
      <c r="B2288" s="1" t="s">
        <v>827</v>
      </c>
      <c r="C2288" s="1" t="s">
        <v>591</v>
      </c>
      <c r="D2288" s="1" t="s">
        <v>6209</v>
      </c>
      <c r="E2288" s="2">
        <v>5.70038001384E11</v>
      </c>
      <c r="F2288" s="1" t="s">
        <v>6174</v>
      </c>
      <c r="G2288" s="1" t="s">
        <v>121</v>
      </c>
      <c r="H2288" s="3" t="s">
        <v>2661</v>
      </c>
      <c r="I2288" s="1"/>
      <c r="J2288" s="1"/>
      <c r="K2288" s="1"/>
    </row>
    <row r="2289" ht="15.75" customHeight="1">
      <c r="A2289" s="2">
        <v>2288.0</v>
      </c>
      <c r="B2289" s="1" t="s">
        <v>4885</v>
      </c>
      <c r="C2289" s="1" t="s">
        <v>6210</v>
      </c>
      <c r="D2289" s="1" t="s">
        <v>6211</v>
      </c>
      <c r="E2289" s="2">
        <v>5.70038001385E11</v>
      </c>
      <c r="F2289" s="1" t="s">
        <v>6212</v>
      </c>
      <c r="G2289" s="1" t="s">
        <v>24</v>
      </c>
      <c r="H2289" s="3" t="s">
        <v>2661</v>
      </c>
      <c r="I2289" s="1"/>
      <c r="J2289" s="1"/>
      <c r="K2289" s="1"/>
    </row>
    <row r="2290" ht="15.75" customHeight="1">
      <c r="A2290" s="2">
        <v>2289.0</v>
      </c>
      <c r="B2290" s="1" t="s">
        <v>6213</v>
      </c>
      <c r="C2290" s="1" t="s">
        <v>1350</v>
      </c>
      <c r="D2290" s="1" t="s">
        <v>6214</v>
      </c>
      <c r="E2290" s="2">
        <v>5.70038001386E11</v>
      </c>
      <c r="F2290" s="1" t="s">
        <v>6215</v>
      </c>
      <c r="G2290" s="1" t="s">
        <v>143</v>
      </c>
      <c r="H2290" s="3" t="s">
        <v>2661</v>
      </c>
      <c r="I2290" s="1"/>
      <c r="J2290" s="1"/>
      <c r="K2290" s="1"/>
    </row>
    <row r="2291" ht="15.75" customHeight="1">
      <c r="A2291" s="2">
        <v>2290.0</v>
      </c>
      <c r="B2291" s="1" t="s">
        <v>6216</v>
      </c>
      <c r="C2291" s="1" t="s">
        <v>5017</v>
      </c>
      <c r="D2291" s="1" t="s">
        <v>5081</v>
      </c>
      <c r="E2291" s="2">
        <v>5.70038001387E11</v>
      </c>
      <c r="F2291" s="1" t="s">
        <v>6217</v>
      </c>
      <c r="G2291" s="1" t="s">
        <v>121</v>
      </c>
      <c r="H2291" s="3" t="s">
        <v>2661</v>
      </c>
      <c r="I2291" s="1"/>
      <c r="J2291" s="1"/>
      <c r="K2291" s="1"/>
    </row>
    <row r="2292" ht="15.75" customHeight="1">
      <c r="A2292" s="2">
        <v>2291.0</v>
      </c>
      <c r="B2292" s="1" t="s">
        <v>6218</v>
      </c>
      <c r="C2292" s="1" t="s">
        <v>6219</v>
      </c>
      <c r="D2292" s="1" t="s">
        <v>5813</v>
      </c>
      <c r="E2292" s="2">
        <v>5.70038001388E11</v>
      </c>
      <c r="F2292" s="1" t="s">
        <v>6220</v>
      </c>
      <c r="G2292" s="1" t="s">
        <v>38</v>
      </c>
      <c r="H2292" s="3" t="s">
        <v>2661</v>
      </c>
      <c r="I2292" s="1"/>
      <c r="J2292" s="1"/>
      <c r="K2292" s="1"/>
    </row>
    <row r="2293" ht="15.75" customHeight="1">
      <c r="A2293" s="2">
        <v>2292.0</v>
      </c>
      <c r="B2293" s="1" t="s">
        <v>5849</v>
      </c>
      <c r="C2293" s="1" t="s">
        <v>590</v>
      </c>
      <c r="D2293" s="1" t="s">
        <v>6221</v>
      </c>
      <c r="E2293" s="2">
        <v>5.70038001389E11</v>
      </c>
      <c r="F2293" s="1" t="s">
        <v>6222</v>
      </c>
      <c r="G2293" s="1" t="s">
        <v>121</v>
      </c>
      <c r="H2293" s="3" t="s">
        <v>2661</v>
      </c>
      <c r="I2293" s="1"/>
      <c r="J2293" s="1"/>
      <c r="K2293" s="1"/>
    </row>
    <row r="2294" ht="15.75" customHeight="1">
      <c r="A2294" s="2">
        <v>2293.0</v>
      </c>
      <c r="B2294" s="1" t="s">
        <v>3319</v>
      </c>
      <c r="C2294" s="1" t="s">
        <v>6223</v>
      </c>
      <c r="D2294" s="1" t="s">
        <v>6224</v>
      </c>
      <c r="E2294" s="2">
        <v>5.7003800139E11</v>
      </c>
      <c r="F2294" s="1" t="s">
        <v>6225</v>
      </c>
      <c r="G2294" s="1" t="s">
        <v>121</v>
      </c>
      <c r="H2294" s="3" t="s">
        <v>2661</v>
      </c>
      <c r="I2294" s="1"/>
      <c r="J2294" s="1"/>
      <c r="K2294" s="1"/>
    </row>
    <row r="2295" ht="15.75" customHeight="1">
      <c r="A2295" s="2">
        <v>2294.0</v>
      </c>
      <c r="B2295" s="1" t="s">
        <v>6226</v>
      </c>
      <c r="C2295" s="1" t="s">
        <v>747</v>
      </c>
      <c r="D2295" s="1" t="s">
        <v>5158</v>
      </c>
      <c r="E2295" s="2">
        <v>5.70038001393E11</v>
      </c>
      <c r="F2295" s="1" t="s">
        <v>6227</v>
      </c>
      <c r="G2295" s="1" t="s">
        <v>121</v>
      </c>
      <c r="H2295" s="3" t="s">
        <v>2661</v>
      </c>
      <c r="I2295" s="1"/>
      <c r="J2295" s="1"/>
      <c r="K2295" s="1"/>
    </row>
    <row r="2296" ht="15.75" customHeight="1">
      <c r="A2296" s="2">
        <v>2295.0</v>
      </c>
      <c r="B2296" s="1" t="s">
        <v>6228</v>
      </c>
      <c r="C2296" s="1" t="s">
        <v>1133</v>
      </c>
      <c r="D2296" s="1" t="s">
        <v>1265</v>
      </c>
      <c r="E2296" s="2">
        <v>5.70038001394E11</v>
      </c>
      <c r="F2296" s="1" t="s">
        <v>6229</v>
      </c>
      <c r="G2296" s="1" t="s">
        <v>121</v>
      </c>
      <c r="H2296" s="3" t="s">
        <v>2661</v>
      </c>
      <c r="I2296" s="1"/>
      <c r="J2296" s="1"/>
      <c r="K2296" s="1"/>
    </row>
    <row r="2297" ht="15.75" customHeight="1">
      <c r="A2297" s="2">
        <v>2296.0</v>
      </c>
      <c r="B2297" s="1" t="s">
        <v>902</v>
      </c>
      <c r="C2297" s="1" t="s">
        <v>6230</v>
      </c>
      <c r="D2297" s="1" t="s">
        <v>1436</v>
      </c>
      <c r="E2297" s="2">
        <v>5.70038001395E11</v>
      </c>
      <c r="F2297" s="1" t="s">
        <v>6231</v>
      </c>
      <c r="G2297" s="1" t="s">
        <v>121</v>
      </c>
      <c r="H2297" s="3" t="s">
        <v>2661</v>
      </c>
      <c r="I2297" s="1"/>
      <c r="J2297" s="1"/>
      <c r="K2297" s="1"/>
    </row>
    <row r="2298" ht="15.75" customHeight="1">
      <c r="A2298" s="2">
        <v>2297.0</v>
      </c>
      <c r="B2298" s="1" t="s">
        <v>6232</v>
      </c>
      <c r="C2298" s="1" t="s">
        <v>735</v>
      </c>
      <c r="D2298" s="1" t="s">
        <v>6233</v>
      </c>
      <c r="E2298" s="2">
        <v>5.70038001397E11</v>
      </c>
      <c r="F2298" s="1" t="s">
        <v>6234</v>
      </c>
      <c r="G2298" s="1" t="s">
        <v>121</v>
      </c>
      <c r="H2298" s="3" t="s">
        <v>2661</v>
      </c>
      <c r="I2298" s="1"/>
      <c r="J2298" s="1"/>
      <c r="K2298" s="1"/>
    </row>
    <row r="2299" ht="15.75" customHeight="1">
      <c r="A2299" s="2">
        <v>2298.0</v>
      </c>
      <c r="B2299" s="1" t="s">
        <v>6235</v>
      </c>
      <c r="C2299" s="1" t="s">
        <v>5818</v>
      </c>
      <c r="D2299" s="1" t="s">
        <v>3547</v>
      </c>
      <c r="E2299" s="2">
        <v>5.70038001398E11</v>
      </c>
      <c r="F2299" s="1" t="s">
        <v>6155</v>
      </c>
      <c r="G2299" s="1" t="s">
        <v>38</v>
      </c>
      <c r="H2299" s="3" t="s">
        <v>2661</v>
      </c>
      <c r="I2299" s="1"/>
      <c r="J2299" s="1"/>
      <c r="K2299" s="1"/>
    </row>
    <row r="2300" ht="15.75" customHeight="1">
      <c r="A2300" s="2">
        <v>2299.0</v>
      </c>
      <c r="B2300" s="1" t="s">
        <v>6236</v>
      </c>
      <c r="C2300" s="1" t="s">
        <v>6237</v>
      </c>
      <c r="D2300" s="1" t="s">
        <v>6238</v>
      </c>
      <c r="E2300" s="2">
        <v>5.70038001399E11</v>
      </c>
      <c r="F2300" s="1" t="s">
        <v>6239</v>
      </c>
      <c r="G2300" s="1" t="s">
        <v>121</v>
      </c>
      <c r="H2300" s="3" t="s">
        <v>2661</v>
      </c>
      <c r="I2300" s="1"/>
      <c r="J2300" s="1"/>
      <c r="K2300" s="1"/>
    </row>
    <row r="2301" ht="15.75" customHeight="1">
      <c r="A2301" s="2">
        <v>2300.0</v>
      </c>
      <c r="B2301" s="1" t="s">
        <v>6240</v>
      </c>
      <c r="C2301" s="1" t="s">
        <v>5500</v>
      </c>
      <c r="D2301" s="1" t="s">
        <v>4990</v>
      </c>
      <c r="E2301" s="2">
        <v>5.700380014E11</v>
      </c>
      <c r="F2301" s="1" t="s">
        <v>6241</v>
      </c>
      <c r="G2301" s="1" t="s">
        <v>47</v>
      </c>
      <c r="H2301" s="3" t="s">
        <v>6093</v>
      </c>
      <c r="I2301" s="1"/>
      <c r="J2301" s="1"/>
      <c r="K2301" s="1"/>
    </row>
    <row r="2302" ht="15.75" customHeight="1">
      <c r="A2302" s="2">
        <v>2301.0</v>
      </c>
      <c r="B2302" s="1" t="s">
        <v>5946</v>
      </c>
      <c r="C2302" s="1" t="s">
        <v>2764</v>
      </c>
      <c r="D2302" s="1" t="s">
        <v>1479</v>
      </c>
      <c r="E2302" s="2">
        <v>5.70038001403E11</v>
      </c>
      <c r="F2302" s="1" t="s">
        <v>6242</v>
      </c>
      <c r="G2302" s="1" t="s">
        <v>24</v>
      </c>
      <c r="H2302" s="3" t="s">
        <v>2661</v>
      </c>
      <c r="I2302" s="1"/>
      <c r="J2302" s="1"/>
      <c r="K2302" s="1"/>
    </row>
    <row r="2303" ht="15.75" customHeight="1">
      <c r="A2303" s="2">
        <v>2302.0</v>
      </c>
      <c r="B2303" s="1" t="s">
        <v>6243</v>
      </c>
      <c r="C2303" s="1" t="s">
        <v>6244</v>
      </c>
      <c r="D2303" s="1" t="s">
        <v>1880</v>
      </c>
      <c r="E2303" s="2">
        <v>5.70038001405E11</v>
      </c>
      <c r="F2303" s="1" t="s">
        <v>6245</v>
      </c>
      <c r="G2303" s="1" t="s">
        <v>24</v>
      </c>
      <c r="H2303" s="3" t="s">
        <v>2661</v>
      </c>
      <c r="I2303" s="1"/>
      <c r="J2303" s="1"/>
      <c r="K2303" s="1"/>
    </row>
    <row r="2304" ht="15.75" customHeight="1">
      <c r="A2304" s="2">
        <v>2303.0</v>
      </c>
      <c r="B2304" s="1" t="s">
        <v>6246</v>
      </c>
      <c r="C2304" s="1" t="s">
        <v>1925</v>
      </c>
      <c r="D2304" s="1" t="s">
        <v>6247</v>
      </c>
      <c r="E2304" s="2">
        <v>5.70038001409E11</v>
      </c>
      <c r="F2304" s="1" t="s">
        <v>5942</v>
      </c>
      <c r="G2304" s="1" t="s">
        <v>121</v>
      </c>
      <c r="H2304" s="3" t="s">
        <v>2661</v>
      </c>
      <c r="I2304" s="1"/>
      <c r="J2304" s="1"/>
      <c r="K2304" s="1"/>
    </row>
    <row r="2305" ht="15.75" customHeight="1">
      <c r="A2305" s="2">
        <v>2304.0</v>
      </c>
      <c r="B2305" s="1" t="s">
        <v>6248</v>
      </c>
      <c r="C2305" s="1" t="s">
        <v>2388</v>
      </c>
      <c r="D2305" s="1" t="s">
        <v>1194</v>
      </c>
      <c r="E2305" s="2">
        <v>5.7003800141E11</v>
      </c>
      <c r="F2305" s="1" t="s">
        <v>6249</v>
      </c>
      <c r="G2305" s="1" t="s">
        <v>121</v>
      </c>
      <c r="H2305" s="3" t="s">
        <v>2661</v>
      </c>
      <c r="I2305" s="1"/>
      <c r="J2305" s="1"/>
      <c r="K2305" s="1"/>
    </row>
    <row r="2306" ht="15.75" customHeight="1">
      <c r="A2306" s="2">
        <v>2305.0</v>
      </c>
      <c r="B2306" s="1" t="s">
        <v>6250</v>
      </c>
      <c r="C2306" s="1" t="s">
        <v>492</v>
      </c>
      <c r="D2306" s="1" t="s">
        <v>3445</v>
      </c>
      <c r="E2306" s="2">
        <v>5.70038001412E11</v>
      </c>
      <c r="F2306" s="1" t="s">
        <v>6251</v>
      </c>
      <c r="G2306" s="1" t="s">
        <v>121</v>
      </c>
      <c r="H2306" s="3" t="s">
        <v>2661</v>
      </c>
      <c r="I2306" s="1"/>
      <c r="J2306" s="1"/>
      <c r="K2306" s="1"/>
    </row>
    <row r="2307" ht="15.75" customHeight="1">
      <c r="A2307" s="2">
        <v>2306.0</v>
      </c>
      <c r="B2307" s="1" t="s">
        <v>1668</v>
      </c>
      <c r="C2307" s="1" t="s">
        <v>6252</v>
      </c>
      <c r="D2307" s="1" t="s">
        <v>3692</v>
      </c>
      <c r="E2307" s="2">
        <v>5.70038001413E11</v>
      </c>
      <c r="F2307" s="1" t="s">
        <v>6180</v>
      </c>
      <c r="G2307" s="1" t="s">
        <v>121</v>
      </c>
      <c r="H2307" s="3" t="s">
        <v>2661</v>
      </c>
      <c r="I2307" s="1"/>
      <c r="J2307" s="1"/>
      <c r="K2307" s="1"/>
    </row>
    <row r="2308" ht="15.75" customHeight="1">
      <c r="A2308" s="2">
        <v>2307.0</v>
      </c>
      <c r="B2308" s="1" t="s">
        <v>848</v>
      </c>
      <c r="C2308" s="1" t="s">
        <v>639</v>
      </c>
      <c r="D2308" s="1" t="s">
        <v>107</v>
      </c>
      <c r="E2308" s="2">
        <v>5.70038001415E11</v>
      </c>
      <c r="F2308" s="1" t="s">
        <v>6253</v>
      </c>
      <c r="G2308" s="1" t="s">
        <v>24</v>
      </c>
      <c r="H2308" s="3" t="s">
        <v>2661</v>
      </c>
      <c r="I2308" s="1"/>
      <c r="J2308" s="1"/>
      <c r="K2308" s="1"/>
    </row>
    <row r="2309" ht="15.75" customHeight="1">
      <c r="A2309" s="2">
        <v>2308.0</v>
      </c>
      <c r="B2309" s="1" t="s">
        <v>6254</v>
      </c>
      <c r="C2309" s="1" t="s">
        <v>153</v>
      </c>
      <c r="D2309" s="1" t="s">
        <v>6255</v>
      </c>
      <c r="E2309" s="2">
        <v>5.70038001418E11</v>
      </c>
      <c r="F2309" s="1" t="s">
        <v>6256</v>
      </c>
      <c r="G2309" s="1" t="s">
        <v>121</v>
      </c>
      <c r="H2309" s="3" t="s">
        <v>2661</v>
      </c>
      <c r="I2309" s="1"/>
      <c r="J2309" s="1"/>
      <c r="K2309" s="1"/>
    </row>
    <row r="2310" ht="15.75" customHeight="1">
      <c r="A2310" s="2">
        <v>2309.0</v>
      </c>
      <c r="B2310" s="1" t="s">
        <v>6257</v>
      </c>
      <c r="C2310" s="1" t="s">
        <v>1611</v>
      </c>
      <c r="D2310" s="1" t="s">
        <v>6258</v>
      </c>
      <c r="E2310" s="2">
        <v>5.70038001422E11</v>
      </c>
      <c r="F2310" s="1" t="s">
        <v>6259</v>
      </c>
      <c r="G2310" s="1" t="s">
        <v>121</v>
      </c>
      <c r="H2310" s="3" t="s">
        <v>2661</v>
      </c>
      <c r="I2310" s="1"/>
      <c r="J2310" s="1"/>
      <c r="K2310" s="1"/>
    </row>
    <row r="2311" ht="15.75" customHeight="1">
      <c r="A2311" s="2">
        <v>2310.0</v>
      </c>
      <c r="B2311" s="1" t="s">
        <v>5443</v>
      </c>
      <c r="C2311" s="1" t="s">
        <v>130</v>
      </c>
      <c r="D2311" s="1" t="s">
        <v>6260</v>
      </c>
      <c r="E2311" s="2">
        <v>5.70038001423E11</v>
      </c>
      <c r="F2311" s="1" t="s">
        <v>6261</v>
      </c>
      <c r="G2311" s="1" t="s">
        <v>47</v>
      </c>
      <c r="H2311" s="3" t="s">
        <v>2661</v>
      </c>
      <c r="I2311" s="1"/>
      <c r="J2311" s="1"/>
      <c r="K2311" s="1"/>
    </row>
    <row r="2312" ht="15.75" customHeight="1">
      <c r="A2312" s="2">
        <v>2311.0</v>
      </c>
      <c r="B2312" s="1" t="s">
        <v>2280</v>
      </c>
      <c r="C2312" s="1" t="s">
        <v>6262</v>
      </c>
      <c r="D2312" s="1" t="s">
        <v>1102</v>
      </c>
      <c r="E2312" s="2">
        <v>5.70038001428E11</v>
      </c>
      <c r="F2312" s="1" t="s">
        <v>6263</v>
      </c>
      <c r="G2312" s="1" t="s">
        <v>24</v>
      </c>
      <c r="H2312" s="3" t="s">
        <v>2661</v>
      </c>
      <c r="I2312" s="1"/>
      <c r="J2312" s="1"/>
      <c r="K2312" s="1"/>
    </row>
    <row r="2313" ht="15.75" customHeight="1">
      <c r="A2313" s="2">
        <v>2312.0</v>
      </c>
      <c r="B2313" s="1" t="s">
        <v>6264</v>
      </c>
      <c r="C2313" s="1" t="s">
        <v>5887</v>
      </c>
      <c r="D2313" s="1" t="s">
        <v>1705</v>
      </c>
      <c r="E2313" s="2">
        <v>5.70038001431E11</v>
      </c>
      <c r="F2313" s="1" t="s">
        <v>5251</v>
      </c>
      <c r="G2313" s="1" t="s">
        <v>24</v>
      </c>
      <c r="H2313" s="3" t="s">
        <v>2661</v>
      </c>
      <c r="I2313" s="1"/>
      <c r="J2313" s="1"/>
      <c r="K2313" s="1"/>
    </row>
    <row r="2314" ht="15.75" customHeight="1">
      <c r="A2314" s="2">
        <v>2313.0</v>
      </c>
      <c r="B2314" s="1" t="s">
        <v>2526</v>
      </c>
      <c r="C2314" s="1" t="s">
        <v>1501</v>
      </c>
      <c r="D2314" s="1" t="s">
        <v>6265</v>
      </c>
      <c r="E2314" s="2">
        <v>5.70038001432E11</v>
      </c>
      <c r="F2314" s="1" t="s">
        <v>6266</v>
      </c>
      <c r="G2314" s="1" t="s">
        <v>24</v>
      </c>
      <c r="H2314" s="3" t="s">
        <v>2661</v>
      </c>
      <c r="I2314" s="1"/>
      <c r="J2314" s="1"/>
      <c r="K2314" s="1"/>
    </row>
    <row r="2315" ht="15.75" customHeight="1">
      <c r="A2315" s="2">
        <v>2314.0</v>
      </c>
      <c r="B2315" s="1" t="s">
        <v>6267</v>
      </c>
      <c r="C2315" s="1" t="s">
        <v>5589</v>
      </c>
      <c r="D2315" s="1" t="s">
        <v>6268</v>
      </c>
      <c r="E2315" s="2">
        <v>5.70038001438E11</v>
      </c>
      <c r="F2315" s="1" t="s">
        <v>5702</v>
      </c>
      <c r="G2315" s="1" t="s">
        <v>24</v>
      </c>
      <c r="H2315" s="3" t="s">
        <v>2661</v>
      </c>
      <c r="I2315" s="1"/>
      <c r="J2315" s="1"/>
      <c r="K2315" s="1"/>
    </row>
    <row r="2316" ht="15.75" customHeight="1">
      <c r="A2316" s="2">
        <v>2315.0</v>
      </c>
      <c r="B2316" s="1" t="s">
        <v>1626</v>
      </c>
      <c r="C2316" s="1" t="s">
        <v>54</v>
      </c>
      <c r="D2316" s="1" t="s">
        <v>6269</v>
      </c>
      <c r="E2316" s="2">
        <v>5.70038001439E11</v>
      </c>
      <c r="F2316" s="1" t="s">
        <v>6270</v>
      </c>
      <c r="G2316" s="1" t="s">
        <v>38</v>
      </c>
      <c r="H2316" s="3" t="s">
        <v>2661</v>
      </c>
      <c r="I2316" s="1"/>
      <c r="J2316" s="1"/>
      <c r="K2316" s="1"/>
    </row>
    <row r="2317" ht="15.75" customHeight="1">
      <c r="A2317" s="2">
        <v>2316.0</v>
      </c>
      <c r="B2317" s="1" t="s">
        <v>5498</v>
      </c>
      <c r="C2317" s="1" t="s">
        <v>140</v>
      </c>
      <c r="D2317" s="1" t="s">
        <v>1209</v>
      </c>
      <c r="E2317" s="2">
        <v>5.70038001441E11</v>
      </c>
      <c r="F2317" s="1" t="s">
        <v>6011</v>
      </c>
      <c r="G2317" s="1" t="s">
        <v>121</v>
      </c>
      <c r="H2317" s="3" t="s">
        <v>2661</v>
      </c>
      <c r="I2317" s="1"/>
      <c r="J2317" s="1"/>
      <c r="K2317" s="1"/>
    </row>
    <row r="2318" ht="15.75" customHeight="1">
      <c r="A2318" s="2">
        <v>2317.0</v>
      </c>
      <c r="B2318" s="1" t="s">
        <v>72</v>
      </c>
      <c r="C2318" s="1" t="s">
        <v>97</v>
      </c>
      <c r="D2318" s="1" t="s">
        <v>119</v>
      </c>
      <c r="E2318" s="2">
        <v>5.70038001443E11</v>
      </c>
      <c r="F2318" s="1" t="s">
        <v>6271</v>
      </c>
      <c r="G2318" s="1" t="s">
        <v>47</v>
      </c>
      <c r="H2318" s="3" t="s">
        <v>2661</v>
      </c>
      <c r="I2318" s="1"/>
      <c r="J2318" s="1"/>
      <c r="K2318" s="1"/>
    </row>
    <row r="2319" ht="15.75" customHeight="1">
      <c r="A2319" s="2">
        <v>2318.0</v>
      </c>
      <c r="B2319" s="1" t="s">
        <v>6272</v>
      </c>
      <c r="C2319" s="1" t="s">
        <v>1350</v>
      </c>
      <c r="D2319" s="1" t="s">
        <v>6273</v>
      </c>
      <c r="E2319" s="2">
        <v>5.70038001444E11</v>
      </c>
      <c r="F2319" s="1" t="s">
        <v>6215</v>
      </c>
      <c r="G2319" s="1" t="s">
        <v>121</v>
      </c>
      <c r="H2319" s="3" t="s">
        <v>2661</v>
      </c>
      <c r="I2319" s="1"/>
      <c r="J2319" s="1"/>
      <c r="K2319" s="1"/>
    </row>
    <row r="2320" ht="15.75" customHeight="1">
      <c r="A2320" s="2">
        <v>2319.0</v>
      </c>
      <c r="B2320" s="1" t="s">
        <v>6274</v>
      </c>
      <c r="C2320" s="1" t="s">
        <v>6275</v>
      </c>
      <c r="D2320" s="1" t="s">
        <v>5125</v>
      </c>
      <c r="E2320" s="2">
        <v>5.70038001446E11</v>
      </c>
      <c r="F2320" s="1" t="s">
        <v>6276</v>
      </c>
      <c r="G2320" s="1" t="s">
        <v>38</v>
      </c>
      <c r="H2320" s="3" t="s">
        <v>2661</v>
      </c>
      <c r="I2320" s="1"/>
      <c r="J2320" s="1"/>
      <c r="K2320" s="1"/>
    </row>
    <row r="2321" ht="15.75" customHeight="1">
      <c r="A2321" s="2">
        <v>2320.0</v>
      </c>
      <c r="B2321" s="1" t="s">
        <v>827</v>
      </c>
      <c r="C2321" s="1" t="s">
        <v>503</v>
      </c>
      <c r="D2321" s="1" t="s">
        <v>1876</v>
      </c>
      <c r="E2321" s="2">
        <v>5.70038001449E11</v>
      </c>
      <c r="F2321" s="1" t="s">
        <v>6277</v>
      </c>
      <c r="G2321" s="1" t="s">
        <v>121</v>
      </c>
      <c r="H2321" s="3" t="s">
        <v>2661</v>
      </c>
      <c r="I2321" s="1"/>
      <c r="J2321" s="1"/>
      <c r="K2321" s="1"/>
    </row>
    <row r="2322" ht="15.75" customHeight="1">
      <c r="A2322" s="2">
        <v>2321.0</v>
      </c>
      <c r="B2322" s="1" t="s">
        <v>5651</v>
      </c>
      <c r="C2322" s="1" t="s">
        <v>4960</v>
      </c>
      <c r="D2322" s="1" t="s">
        <v>6278</v>
      </c>
      <c r="E2322" s="2">
        <v>5.70038001451E11</v>
      </c>
      <c r="F2322" s="1" t="s">
        <v>6279</v>
      </c>
      <c r="G2322" s="1" t="s">
        <v>121</v>
      </c>
      <c r="H2322" s="3" t="s">
        <v>2661</v>
      </c>
      <c r="I2322" s="1"/>
      <c r="J2322" s="1"/>
      <c r="K2322" s="1"/>
    </row>
    <row r="2323" ht="15.75" customHeight="1">
      <c r="A2323" s="2">
        <v>2322.0</v>
      </c>
      <c r="B2323" s="1" t="s">
        <v>6280</v>
      </c>
      <c r="C2323" s="1" t="s">
        <v>5306</v>
      </c>
      <c r="D2323" s="1" t="s">
        <v>3269</v>
      </c>
      <c r="E2323" s="2">
        <v>5.70038001452E11</v>
      </c>
      <c r="F2323" s="1" t="s">
        <v>6281</v>
      </c>
      <c r="G2323" s="1" t="s">
        <v>18</v>
      </c>
      <c r="H2323" s="3" t="s">
        <v>2661</v>
      </c>
      <c r="I2323" s="1"/>
      <c r="J2323" s="1"/>
      <c r="K2323" s="1"/>
    </row>
    <row r="2324" ht="15.75" customHeight="1">
      <c r="A2324" s="2">
        <v>2323.0</v>
      </c>
      <c r="B2324" s="1" t="s">
        <v>6282</v>
      </c>
      <c r="C2324" s="1" t="s">
        <v>6283</v>
      </c>
      <c r="D2324" s="1" t="s">
        <v>6284</v>
      </c>
      <c r="E2324" s="2">
        <v>5.70038001455E11</v>
      </c>
      <c r="F2324" s="1" t="s">
        <v>6285</v>
      </c>
      <c r="G2324" s="1" t="s">
        <v>121</v>
      </c>
      <c r="H2324" s="3" t="s">
        <v>2661</v>
      </c>
      <c r="I2324" s="1"/>
      <c r="J2324" s="1"/>
      <c r="K2324" s="1"/>
    </row>
    <row r="2325" ht="15.75" customHeight="1">
      <c r="A2325" s="2">
        <v>2324.0</v>
      </c>
      <c r="B2325" s="1" t="s">
        <v>6286</v>
      </c>
      <c r="C2325" s="1" t="s">
        <v>656</v>
      </c>
      <c r="D2325" s="1" t="s">
        <v>5844</v>
      </c>
      <c r="E2325" s="2">
        <v>5.70038001457E11</v>
      </c>
      <c r="F2325" s="1" t="s">
        <v>6287</v>
      </c>
      <c r="G2325" s="1" t="s">
        <v>121</v>
      </c>
      <c r="H2325" s="3" t="s">
        <v>2661</v>
      </c>
      <c r="I2325" s="1"/>
      <c r="J2325" s="1"/>
      <c r="K2325" s="1"/>
    </row>
    <row r="2326" ht="15.75" customHeight="1">
      <c r="A2326" s="2">
        <v>2325.0</v>
      </c>
      <c r="B2326" s="1" t="s">
        <v>1664</v>
      </c>
      <c r="C2326" s="1" t="s">
        <v>1944</v>
      </c>
      <c r="D2326" s="1" t="s">
        <v>5704</v>
      </c>
      <c r="E2326" s="2">
        <v>5.70038001459E11</v>
      </c>
      <c r="F2326" s="1" t="s">
        <v>6288</v>
      </c>
      <c r="G2326" s="1" t="s">
        <v>38</v>
      </c>
      <c r="H2326" s="3" t="s">
        <v>2661</v>
      </c>
      <c r="I2326" s="1"/>
      <c r="J2326" s="1"/>
      <c r="K2326" s="1"/>
    </row>
    <row r="2327" ht="15.75" customHeight="1">
      <c r="A2327" s="2">
        <v>2326.0</v>
      </c>
      <c r="B2327" s="1" t="s">
        <v>6289</v>
      </c>
      <c r="C2327" s="1" t="s">
        <v>106</v>
      </c>
      <c r="D2327" s="1" t="s">
        <v>1560</v>
      </c>
      <c r="E2327" s="2">
        <v>5.7003800146E11</v>
      </c>
      <c r="F2327" s="1" t="s">
        <v>6290</v>
      </c>
      <c r="G2327" s="1" t="s">
        <v>24</v>
      </c>
      <c r="H2327" s="3" t="s">
        <v>2661</v>
      </c>
      <c r="I2327" s="1"/>
      <c r="J2327" s="1"/>
      <c r="K2327" s="1"/>
    </row>
    <row r="2328" ht="15.75" customHeight="1">
      <c r="A2328" s="2">
        <v>2327.0</v>
      </c>
      <c r="B2328" s="1" t="s">
        <v>6291</v>
      </c>
      <c r="C2328" s="1" t="s">
        <v>936</v>
      </c>
      <c r="D2328" s="1" t="s">
        <v>6292</v>
      </c>
      <c r="E2328" s="2">
        <v>5.70038001461E11</v>
      </c>
      <c r="F2328" s="1" t="s">
        <v>6293</v>
      </c>
      <c r="G2328" s="1" t="s">
        <v>121</v>
      </c>
      <c r="H2328" s="3" t="s">
        <v>2661</v>
      </c>
      <c r="I2328" s="1"/>
      <c r="J2328" s="1"/>
      <c r="K2328" s="1"/>
    </row>
    <row r="2329" ht="15.75" customHeight="1">
      <c r="A2329" s="2">
        <v>2328.0</v>
      </c>
      <c r="B2329" s="1" t="s">
        <v>5529</v>
      </c>
      <c r="C2329" s="1" t="s">
        <v>958</v>
      </c>
      <c r="D2329" s="1" t="s">
        <v>2239</v>
      </c>
      <c r="E2329" s="2">
        <v>5.70038001462E11</v>
      </c>
      <c r="F2329" s="1" t="s">
        <v>6294</v>
      </c>
      <c r="G2329" s="1" t="s">
        <v>24</v>
      </c>
      <c r="H2329" s="3" t="s">
        <v>2661</v>
      </c>
      <c r="I2329" s="1"/>
      <c r="J2329" s="1"/>
      <c r="K2329" s="1"/>
    </row>
    <row r="2330" ht="15.75" customHeight="1">
      <c r="A2330" s="2">
        <v>2329.0</v>
      </c>
      <c r="B2330" s="1" t="s">
        <v>6295</v>
      </c>
      <c r="C2330" s="1" t="s">
        <v>6052</v>
      </c>
      <c r="D2330" s="1" t="s">
        <v>970</v>
      </c>
      <c r="E2330" s="2">
        <v>5.70038001463E11</v>
      </c>
      <c r="F2330" s="1" t="s">
        <v>6296</v>
      </c>
      <c r="G2330" s="1" t="s">
        <v>121</v>
      </c>
      <c r="H2330" s="3" t="s">
        <v>2661</v>
      </c>
      <c r="I2330" s="1"/>
      <c r="J2330" s="1"/>
      <c r="K2330" s="1"/>
    </row>
    <row r="2331" ht="15.75" customHeight="1">
      <c r="A2331" s="2">
        <v>2330.0</v>
      </c>
      <c r="B2331" s="1" t="s">
        <v>1664</v>
      </c>
      <c r="C2331" s="1" t="s">
        <v>2527</v>
      </c>
      <c r="D2331" s="1" t="s">
        <v>6297</v>
      </c>
      <c r="E2331" s="2">
        <v>5.70038001468E11</v>
      </c>
      <c r="F2331" s="1" t="s">
        <v>6298</v>
      </c>
      <c r="G2331" s="1" t="s">
        <v>121</v>
      </c>
      <c r="H2331" s="3" t="s">
        <v>2661</v>
      </c>
      <c r="I2331" s="1"/>
      <c r="J2331" s="1"/>
      <c r="K2331" s="1"/>
    </row>
    <row r="2332" ht="15.75" customHeight="1">
      <c r="A2332" s="2">
        <v>2331.0</v>
      </c>
      <c r="B2332" s="1" t="s">
        <v>5796</v>
      </c>
      <c r="C2332" s="1" t="s">
        <v>488</v>
      </c>
      <c r="D2332" s="1" t="s">
        <v>616</v>
      </c>
      <c r="E2332" s="2">
        <v>5.70038001469E11</v>
      </c>
      <c r="F2332" s="1" t="s">
        <v>6299</v>
      </c>
      <c r="G2332" s="1" t="s">
        <v>121</v>
      </c>
      <c r="H2332" s="3" t="s">
        <v>2661</v>
      </c>
      <c r="I2332" s="1"/>
      <c r="J2332" s="1"/>
      <c r="K2332" s="1"/>
    </row>
    <row r="2333" ht="15.75" customHeight="1">
      <c r="A2333" s="2">
        <v>2332.0</v>
      </c>
      <c r="B2333" s="1" t="s">
        <v>6300</v>
      </c>
      <c r="C2333" s="1" t="s">
        <v>2200</v>
      </c>
      <c r="D2333" s="1" t="s">
        <v>6301</v>
      </c>
      <c r="E2333" s="2">
        <v>5.7003800147E11</v>
      </c>
      <c r="F2333" s="1" t="s">
        <v>6302</v>
      </c>
      <c r="G2333" s="1" t="s">
        <v>121</v>
      </c>
      <c r="H2333" s="3" t="s">
        <v>2661</v>
      </c>
      <c r="I2333" s="1"/>
      <c r="J2333" s="1"/>
      <c r="K2333" s="1"/>
    </row>
    <row r="2334" ht="15.75" customHeight="1">
      <c r="A2334" s="2">
        <v>2333.0</v>
      </c>
      <c r="B2334" s="1" t="s">
        <v>6303</v>
      </c>
      <c r="C2334" s="1" t="s">
        <v>6189</v>
      </c>
      <c r="D2334" s="1" t="s">
        <v>1265</v>
      </c>
      <c r="E2334" s="2">
        <v>5.70038001476E11</v>
      </c>
      <c r="F2334" s="1" t="s">
        <v>6304</v>
      </c>
      <c r="G2334" s="1" t="s">
        <v>18</v>
      </c>
      <c r="H2334" s="3" t="s">
        <v>2661</v>
      </c>
      <c r="I2334" s="1"/>
      <c r="J2334" s="1"/>
      <c r="K2334" s="1"/>
    </row>
    <row r="2335" ht="15.75" customHeight="1">
      <c r="A2335" s="2">
        <v>2334.0</v>
      </c>
      <c r="B2335" s="1" t="s">
        <v>6305</v>
      </c>
      <c r="C2335" s="1" t="s">
        <v>223</v>
      </c>
      <c r="D2335" s="1" t="s">
        <v>5540</v>
      </c>
      <c r="E2335" s="2">
        <v>5.70038001477E11</v>
      </c>
      <c r="F2335" s="1" t="s">
        <v>5921</v>
      </c>
      <c r="G2335" s="1" t="s">
        <v>121</v>
      </c>
      <c r="H2335" s="3" t="s">
        <v>2661</v>
      </c>
      <c r="I2335" s="1"/>
      <c r="J2335" s="1"/>
      <c r="K2335" s="1"/>
    </row>
    <row r="2336" ht="15.75" customHeight="1">
      <c r="A2336" s="2">
        <v>2335.0</v>
      </c>
      <c r="B2336" s="1" t="s">
        <v>6306</v>
      </c>
      <c r="C2336" s="1" t="s">
        <v>195</v>
      </c>
      <c r="D2336" s="1" t="s">
        <v>6307</v>
      </c>
      <c r="E2336" s="2">
        <v>5.70038001479E11</v>
      </c>
      <c r="F2336" s="1" t="s">
        <v>5928</v>
      </c>
      <c r="G2336" s="1" t="s">
        <v>121</v>
      </c>
      <c r="H2336" s="3" t="s">
        <v>2661</v>
      </c>
      <c r="I2336" s="1"/>
      <c r="J2336" s="1"/>
      <c r="K2336" s="1"/>
    </row>
    <row r="2337" ht="15.75" customHeight="1">
      <c r="A2337" s="2">
        <v>2336.0</v>
      </c>
      <c r="B2337" s="1" t="s">
        <v>5431</v>
      </c>
      <c r="C2337" s="1" t="s">
        <v>852</v>
      </c>
      <c r="D2337" s="1" t="s">
        <v>6308</v>
      </c>
      <c r="E2337" s="2">
        <v>5.70038001481E11</v>
      </c>
      <c r="F2337" s="1" t="s">
        <v>6309</v>
      </c>
      <c r="G2337" s="1" t="s">
        <v>121</v>
      </c>
      <c r="H2337" s="3" t="s">
        <v>2661</v>
      </c>
      <c r="I2337" s="1"/>
      <c r="J2337" s="1"/>
      <c r="K2337" s="1"/>
    </row>
    <row r="2338" ht="15.75" customHeight="1">
      <c r="A2338" s="2">
        <v>2337.0</v>
      </c>
      <c r="B2338" s="1" t="s">
        <v>6310</v>
      </c>
      <c r="C2338" s="1" t="s">
        <v>6311</v>
      </c>
      <c r="D2338" s="1" t="s">
        <v>6312</v>
      </c>
      <c r="E2338" s="2">
        <v>5.70038001484E11</v>
      </c>
      <c r="F2338" s="1" t="s">
        <v>6313</v>
      </c>
      <c r="G2338" s="1" t="s">
        <v>121</v>
      </c>
      <c r="H2338" s="3" t="s">
        <v>2661</v>
      </c>
      <c r="I2338" s="1"/>
      <c r="J2338" s="1"/>
      <c r="K2338" s="1"/>
    </row>
    <row r="2339" ht="15.75" customHeight="1">
      <c r="A2339" s="2">
        <v>2338.0</v>
      </c>
      <c r="B2339" s="1" t="s">
        <v>6314</v>
      </c>
      <c r="C2339" s="1" t="s">
        <v>6315</v>
      </c>
      <c r="D2339" s="1" t="s">
        <v>6316</v>
      </c>
      <c r="E2339" s="2">
        <v>5.70038001485E11</v>
      </c>
      <c r="F2339" s="1" t="s">
        <v>6317</v>
      </c>
      <c r="G2339" s="1" t="s">
        <v>24</v>
      </c>
      <c r="H2339" s="3" t="s">
        <v>2661</v>
      </c>
      <c r="I2339" s="1"/>
      <c r="J2339" s="1"/>
      <c r="K2339" s="1"/>
    </row>
    <row r="2340" ht="15.75" customHeight="1">
      <c r="A2340" s="2">
        <v>2339.0</v>
      </c>
      <c r="B2340" s="1" t="s">
        <v>5042</v>
      </c>
      <c r="C2340" s="1" t="s">
        <v>6318</v>
      </c>
      <c r="D2340" s="1" t="s">
        <v>242</v>
      </c>
      <c r="E2340" s="2">
        <v>5.70038001486E11</v>
      </c>
      <c r="F2340" s="1" t="s">
        <v>6319</v>
      </c>
      <c r="G2340" s="1" t="s">
        <v>143</v>
      </c>
      <c r="H2340" s="3" t="s">
        <v>2661</v>
      </c>
      <c r="I2340" s="1"/>
      <c r="J2340" s="1"/>
      <c r="K2340" s="1"/>
    </row>
    <row r="2341" ht="15.75" customHeight="1">
      <c r="A2341" s="2">
        <v>2340.0</v>
      </c>
      <c r="B2341" s="1" t="s">
        <v>6320</v>
      </c>
      <c r="C2341" s="1" t="s">
        <v>5269</v>
      </c>
      <c r="D2341" s="1" t="s">
        <v>6321</v>
      </c>
      <c r="E2341" s="2">
        <v>5.70038001487E11</v>
      </c>
      <c r="F2341" s="1" t="s">
        <v>6322</v>
      </c>
      <c r="G2341" s="1" t="s">
        <v>38</v>
      </c>
      <c r="H2341" s="3" t="s">
        <v>2661</v>
      </c>
      <c r="I2341" s="1"/>
      <c r="J2341" s="1"/>
      <c r="K2341" s="1"/>
    </row>
    <row r="2342" ht="15.75" customHeight="1">
      <c r="A2342" s="2">
        <v>2341.0</v>
      </c>
      <c r="B2342" s="1" t="s">
        <v>6323</v>
      </c>
      <c r="C2342" s="1" t="s">
        <v>3577</v>
      </c>
      <c r="D2342" s="1" t="s">
        <v>6324</v>
      </c>
      <c r="E2342" s="2">
        <v>5.70038001488E11</v>
      </c>
      <c r="F2342" s="1" t="s">
        <v>6325</v>
      </c>
      <c r="G2342" s="1" t="s">
        <v>121</v>
      </c>
      <c r="H2342" s="3" t="s">
        <v>2661</v>
      </c>
      <c r="I2342" s="1"/>
      <c r="J2342" s="1"/>
      <c r="K2342" s="1"/>
    </row>
    <row r="2343" ht="15.75" customHeight="1">
      <c r="A2343" s="2">
        <v>2342.0</v>
      </c>
      <c r="B2343" s="1" t="s">
        <v>4939</v>
      </c>
      <c r="C2343" s="1" t="s">
        <v>1868</v>
      </c>
      <c r="D2343" s="1" t="s">
        <v>6326</v>
      </c>
      <c r="E2343" s="2">
        <v>5.70038001491E11</v>
      </c>
      <c r="F2343" s="1" t="s">
        <v>6327</v>
      </c>
      <c r="G2343" s="1" t="s">
        <v>121</v>
      </c>
      <c r="H2343" s="3" t="s">
        <v>2661</v>
      </c>
      <c r="I2343" s="1"/>
      <c r="J2343" s="1"/>
      <c r="K2343" s="1"/>
    </row>
    <row r="2344" ht="15.75" customHeight="1">
      <c r="A2344" s="2">
        <v>2343.0</v>
      </c>
      <c r="B2344" s="1" t="s">
        <v>6328</v>
      </c>
      <c r="C2344" s="1" t="s">
        <v>2891</v>
      </c>
      <c r="D2344" s="1" t="s">
        <v>6329</v>
      </c>
      <c r="E2344" s="2">
        <v>5.70038001493E11</v>
      </c>
      <c r="F2344" s="1" t="s">
        <v>6330</v>
      </c>
      <c r="G2344" s="1" t="s">
        <v>121</v>
      </c>
      <c r="H2344" s="3" t="s">
        <v>2661</v>
      </c>
      <c r="I2344" s="1"/>
      <c r="J2344" s="1"/>
      <c r="K2344" s="1"/>
    </row>
    <row r="2345" ht="15.75" customHeight="1">
      <c r="A2345" s="2">
        <v>2344.0</v>
      </c>
      <c r="B2345" s="1" t="s">
        <v>6331</v>
      </c>
      <c r="C2345" s="1" t="s">
        <v>496</v>
      </c>
      <c r="D2345" s="1" t="s">
        <v>2191</v>
      </c>
      <c r="E2345" s="2">
        <v>5.70038001494E11</v>
      </c>
      <c r="F2345" s="1" t="s">
        <v>6332</v>
      </c>
      <c r="G2345" s="1" t="s">
        <v>38</v>
      </c>
      <c r="H2345" s="3" t="s">
        <v>2661</v>
      </c>
      <c r="I2345" s="1"/>
      <c r="J2345" s="1"/>
      <c r="K2345" s="1"/>
    </row>
    <row r="2346" ht="15.75" customHeight="1">
      <c r="A2346" s="2">
        <v>2345.0</v>
      </c>
      <c r="B2346" s="1" t="s">
        <v>173</v>
      </c>
      <c r="C2346" s="1" t="s">
        <v>285</v>
      </c>
      <c r="D2346" s="1" t="s">
        <v>5501</v>
      </c>
      <c r="E2346" s="2">
        <v>5.70038001497E11</v>
      </c>
      <c r="F2346" s="1" t="s">
        <v>6333</v>
      </c>
      <c r="G2346" s="1" t="s">
        <v>121</v>
      </c>
      <c r="H2346" s="3" t="s">
        <v>2661</v>
      </c>
      <c r="I2346" s="1"/>
      <c r="J2346" s="1"/>
      <c r="K2346" s="1"/>
    </row>
    <row r="2347" ht="15.75" customHeight="1">
      <c r="A2347" s="2">
        <v>2346.0</v>
      </c>
      <c r="B2347" s="1" t="s">
        <v>187</v>
      </c>
      <c r="C2347" s="1" t="s">
        <v>5777</v>
      </c>
      <c r="D2347" s="1" t="s">
        <v>6334</v>
      </c>
      <c r="E2347" s="2">
        <v>5.70038001498E11</v>
      </c>
      <c r="F2347" s="1" t="s">
        <v>6085</v>
      </c>
      <c r="G2347" s="1" t="s">
        <v>121</v>
      </c>
      <c r="H2347" s="3" t="s">
        <v>2661</v>
      </c>
      <c r="I2347" s="1"/>
      <c r="J2347" s="1"/>
      <c r="K2347" s="1"/>
    </row>
    <row r="2348" ht="15.75" customHeight="1">
      <c r="A2348" s="2">
        <v>2347.0</v>
      </c>
      <c r="B2348" s="1" t="s">
        <v>6335</v>
      </c>
      <c r="C2348" s="1" t="s">
        <v>251</v>
      </c>
      <c r="D2348" s="1" t="s">
        <v>5433</v>
      </c>
      <c r="E2348" s="2">
        <v>5.70038001499E11</v>
      </c>
      <c r="F2348" s="1" t="s">
        <v>6336</v>
      </c>
      <c r="G2348" s="1" t="s">
        <v>121</v>
      </c>
      <c r="H2348" s="3" t="s">
        <v>2661</v>
      </c>
      <c r="I2348" s="1"/>
      <c r="J2348" s="1"/>
      <c r="K2348" s="1"/>
    </row>
    <row r="2349" ht="15.75" customHeight="1">
      <c r="A2349" s="2">
        <v>2348.0</v>
      </c>
      <c r="B2349" s="1" t="s">
        <v>6337</v>
      </c>
      <c r="C2349" s="1" t="s">
        <v>1228</v>
      </c>
      <c r="D2349" s="1" t="s">
        <v>550</v>
      </c>
      <c r="E2349" s="2">
        <v>5.700380015E11</v>
      </c>
      <c r="F2349" s="1" t="s">
        <v>6118</v>
      </c>
      <c r="G2349" s="1" t="s">
        <v>18</v>
      </c>
      <c r="H2349" s="3" t="s">
        <v>2661</v>
      </c>
      <c r="I2349" s="1"/>
      <c r="J2349" s="1"/>
      <c r="K2349" s="1"/>
    </row>
    <row r="2350" ht="15.75" customHeight="1">
      <c r="A2350" s="2">
        <v>2349.0</v>
      </c>
      <c r="B2350" s="1" t="s">
        <v>6338</v>
      </c>
      <c r="C2350" s="1" t="s">
        <v>4983</v>
      </c>
      <c r="D2350" s="1" t="s">
        <v>6339</v>
      </c>
      <c r="E2350" s="2">
        <v>5.70038001501E11</v>
      </c>
      <c r="F2350" s="1" t="s">
        <v>6340</v>
      </c>
      <c r="G2350" s="1" t="s">
        <v>121</v>
      </c>
      <c r="H2350" s="3" t="s">
        <v>2661</v>
      </c>
      <c r="I2350" s="1"/>
      <c r="J2350" s="1"/>
      <c r="K2350" s="1"/>
    </row>
    <row r="2351" ht="15.75" customHeight="1">
      <c r="A2351" s="2">
        <v>2350.0</v>
      </c>
      <c r="B2351" s="1" t="s">
        <v>827</v>
      </c>
      <c r="C2351" s="1" t="s">
        <v>1484</v>
      </c>
      <c r="D2351" s="1" t="s">
        <v>5433</v>
      </c>
      <c r="E2351" s="2">
        <v>5.70038001506E11</v>
      </c>
      <c r="F2351" s="1" t="s">
        <v>6341</v>
      </c>
      <c r="G2351" s="1" t="s">
        <v>121</v>
      </c>
      <c r="H2351" s="3" t="s">
        <v>2661</v>
      </c>
      <c r="I2351" s="1"/>
      <c r="J2351" s="1"/>
      <c r="K2351" s="1"/>
    </row>
    <row r="2352" ht="15.75" customHeight="1">
      <c r="A2352" s="2">
        <v>2351.0</v>
      </c>
      <c r="B2352" s="1" t="s">
        <v>6342</v>
      </c>
      <c r="C2352" s="1" t="s">
        <v>5118</v>
      </c>
      <c r="D2352" s="1" t="s">
        <v>2248</v>
      </c>
      <c r="E2352" s="2">
        <v>5.70038001509E11</v>
      </c>
      <c r="F2352" s="1" t="s">
        <v>5640</v>
      </c>
      <c r="G2352" s="1" t="s">
        <v>24</v>
      </c>
      <c r="H2352" s="3" t="s">
        <v>2661</v>
      </c>
      <c r="I2352" s="1"/>
      <c r="J2352" s="1"/>
      <c r="K2352" s="1"/>
    </row>
    <row r="2353" ht="15.75" customHeight="1">
      <c r="A2353" s="2">
        <v>2352.0</v>
      </c>
      <c r="B2353" s="1" t="s">
        <v>72</v>
      </c>
      <c r="C2353" s="1" t="s">
        <v>165</v>
      </c>
      <c r="D2353" s="1" t="s">
        <v>369</v>
      </c>
      <c r="E2353" s="2">
        <v>5.7003800151E11</v>
      </c>
      <c r="F2353" s="1" t="s">
        <v>6343</v>
      </c>
      <c r="G2353" s="1" t="s">
        <v>121</v>
      </c>
      <c r="H2353" s="3" t="s">
        <v>2661</v>
      </c>
      <c r="I2353" s="1"/>
      <c r="J2353" s="1"/>
      <c r="K2353" s="1"/>
    </row>
    <row r="2354" ht="15.75" customHeight="1">
      <c r="A2354" s="2">
        <v>2353.0</v>
      </c>
      <c r="B2354" s="1" t="s">
        <v>6344</v>
      </c>
      <c r="C2354" s="1" t="s">
        <v>6345</v>
      </c>
      <c r="D2354" s="1" t="s">
        <v>6346</v>
      </c>
      <c r="E2354" s="2">
        <v>5.70038001511E11</v>
      </c>
      <c r="F2354" s="1" t="s">
        <v>6347</v>
      </c>
      <c r="G2354" s="1" t="s">
        <v>12</v>
      </c>
      <c r="H2354" s="3" t="s">
        <v>2661</v>
      </c>
      <c r="I2354" s="1"/>
      <c r="J2354" s="1"/>
      <c r="K2354" s="1"/>
    </row>
    <row r="2355" ht="15.75" customHeight="1">
      <c r="A2355" s="2">
        <v>2354.0</v>
      </c>
      <c r="B2355" s="1" t="s">
        <v>5443</v>
      </c>
      <c r="C2355" s="1" t="s">
        <v>897</v>
      </c>
      <c r="D2355" s="1" t="s">
        <v>6348</v>
      </c>
      <c r="E2355" s="2">
        <v>5.70038001512E11</v>
      </c>
      <c r="F2355" s="1" t="s">
        <v>6349</v>
      </c>
      <c r="G2355" s="1" t="s">
        <v>143</v>
      </c>
      <c r="H2355" s="3" t="s">
        <v>2661</v>
      </c>
      <c r="I2355" s="1"/>
      <c r="J2355" s="1"/>
      <c r="K2355" s="1"/>
    </row>
    <row r="2356" ht="15.75" customHeight="1">
      <c r="A2356" s="2">
        <v>2355.0</v>
      </c>
      <c r="B2356" s="1" t="s">
        <v>5499</v>
      </c>
      <c r="C2356" s="1" t="s">
        <v>6350</v>
      </c>
      <c r="D2356" s="1" t="s">
        <v>6351</v>
      </c>
      <c r="E2356" s="2">
        <v>5.70038001513E11</v>
      </c>
      <c r="F2356" s="1" t="s">
        <v>6352</v>
      </c>
      <c r="G2356" s="1" t="s">
        <v>24</v>
      </c>
      <c r="H2356" s="3" t="s">
        <v>2661</v>
      </c>
      <c r="I2356" s="1"/>
      <c r="J2356" s="1"/>
      <c r="K2356" s="1"/>
    </row>
    <row r="2357" ht="15.75" customHeight="1">
      <c r="A2357" s="2">
        <v>2356.0</v>
      </c>
      <c r="B2357" s="1" t="s">
        <v>315</v>
      </c>
      <c r="C2357" s="1" t="s">
        <v>3728</v>
      </c>
      <c r="D2357" s="1" t="s">
        <v>5531</v>
      </c>
      <c r="E2357" s="2">
        <v>5.70038001514E11</v>
      </c>
      <c r="F2357" s="1" t="s">
        <v>6182</v>
      </c>
      <c r="G2357" s="1" t="s">
        <v>121</v>
      </c>
      <c r="H2357" s="3" t="s">
        <v>2661</v>
      </c>
      <c r="I2357" s="1"/>
      <c r="J2357" s="1"/>
      <c r="K2357" s="1"/>
    </row>
    <row r="2358" ht="15.75" customHeight="1">
      <c r="A2358" s="2">
        <v>2357.0</v>
      </c>
      <c r="B2358" s="1" t="s">
        <v>6353</v>
      </c>
      <c r="C2358" s="1" t="s">
        <v>6354</v>
      </c>
      <c r="D2358" s="1" t="s">
        <v>6355</v>
      </c>
      <c r="E2358" s="2">
        <v>5.70038001516E11</v>
      </c>
      <c r="F2358" s="1" t="s">
        <v>6356</v>
      </c>
      <c r="G2358" s="1" t="s">
        <v>24</v>
      </c>
      <c r="H2358" s="3" t="s">
        <v>2661</v>
      </c>
      <c r="I2358" s="1"/>
      <c r="J2358" s="1"/>
      <c r="K2358" s="1"/>
    </row>
    <row r="2359" ht="15.75" customHeight="1">
      <c r="A2359" s="2">
        <v>2358.0</v>
      </c>
      <c r="B2359" s="1" t="s">
        <v>938</v>
      </c>
      <c r="C2359" s="1" t="s">
        <v>514</v>
      </c>
      <c r="D2359" s="1" t="s">
        <v>6357</v>
      </c>
      <c r="E2359" s="2">
        <v>5.70038001518E11</v>
      </c>
      <c r="F2359" s="1" t="s">
        <v>6358</v>
      </c>
      <c r="G2359" s="1" t="s">
        <v>24</v>
      </c>
      <c r="H2359" s="3" t="s">
        <v>2661</v>
      </c>
      <c r="I2359" s="1"/>
      <c r="J2359" s="1"/>
      <c r="K2359" s="1"/>
    </row>
    <row r="2360" ht="15.75" customHeight="1">
      <c r="A2360" s="2">
        <v>2359.0</v>
      </c>
      <c r="B2360" s="1" t="s">
        <v>6359</v>
      </c>
      <c r="C2360" s="1" t="s">
        <v>223</v>
      </c>
      <c r="D2360" s="1" t="s">
        <v>6360</v>
      </c>
      <c r="E2360" s="2">
        <v>5.70038001519E11</v>
      </c>
      <c r="F2360" s="1" t="s">
        <v>6361</v>
      </c>
      <c r="G2360" s="1" t="s">
        <v>121</v>
      </c>
      <c r="H2360" s="3" t="s">
        <v>2661</v>
      </c>
      <c r="I2360" s="1"/>
      <c r="J2360" s="1"/>
      <c r="K2360" s="1"/>
    </row>
    <row r="2361" ht="15.75" customHeight="1">
      <c r="A2361" s="2">
        <v>2360.0</v>
      </c>
      <c r="B2361" s="1" t="s">
        <v>4914</v>
      </c>
      <c r="C2361" s="1" t="s">
        <v>6081</v>
      </c>
      <c r="D2361" s="1" t="s">
        <v>6362</v>
      </c>
      <c r="E2361" s="2">
        <v>5.70038001521E11</v>
      </c>
      <c r="F2361" s="1" t="s">
        <v>6363</v>
      </c>
      <c r="G2361" s="1" t="s">
        <v>38</v>
      </c>
      <c r="H2361" s="3" t="s">
        <v>2661</v>
      </c>
      <c r="I2361" s="1"/>
      <c r="J2361" s="1"/>
      <c r="K2361" s="1"/>
    </row>
    <row r="2362" ht="15.75" customHeight="1">
      <c r="A2362" s="2">
        <v>2361.0</v>
      </c>
      <c r="B2362" s="1" t="s">
        <v>6364</v>
      </c>
      <c r="C2362" s="1" t="s">
        <v>845</v>
      </c>
      <c r="D2362" s="1" t="s">
        <v>6365</v>
      </c>
      <c r="E2362" s="2">
        <v>5.70038001522E11</v>
      </c>
      <c r="F2362" s="1" t="s">
        <v>5947</v>
      </c>
      <c r="G2362" s="1" t="s">
        <v>121</v>
      </c>
      <c r="H2362" s="3" t="s">
        <v>2661</v>
      </c>
      <c r="I2362" s="1"/>
      <c r="J2362" s="1"/>
      <c r="K2362" s="1"/>
    </row>
    <row r="2363" ht="15.75" customHeight="1">
      <c r="A2363" s="2">
        <v>2362.0</v>
      </c>
      <c r="B2363" s="1" t="s">
        <v>902</v>
      </c>
      <c r="C2363" s="1" t="s">
        <v>6366</v>
      </c>
      <c r="D2363" s="1" t="s">
        <v>5332</v>
      </c>
      <c r="E2363" s="2">
        <v>5.70038001529E11</v>
      </c>
      <c r="F2363" s="1" t="s">
        <v>6367</v>
      </c>
      <c r="G2363" s="1" t="s">
        <v>24</v>
      </c>
      <c r="H2363" s="3" t="s">
        <v>2661</v>
      </c>
      <c r="I2363" s="1"/>
      <c r="J2363" s="1"/>
      <c r="K2363" s="1"/>
    </row>
    <row r="2364" ht="15.75" customHeight="1">
      <c r="A2364" s="2">
        <v>2363.0</v>
      </c>
      <c r="B2364" s="1" t="s">
        <v>6368</v>
      </c>
      <c r="C2364" s="1" t="s">
        <v>6081</v>
      </c>
      <c r="D2364" s="1" t="s">
        <v>6369</v>
      </c>
      <c r="E2364" s="2">
        <v>5.70038001533E11</v>
      </c>
      <c r="F2364" s="1" t="s">
        <v>6370</v>
      </c>
      <c r="G2364" s="1" t="s">
        <v>121</v>
      </c>
      <c r="H2364" s="3" t="s">
        <v>2661</v>
      </c>
      <c r="I2364" s="1"/>
      <c r="J2364" s="1"/>
      <c r="K2364" s="1"/>
    </row>
    <row r="2365" ht="15.75" customHeight="1">
      <c r="A2365" s="2">
        <v>2364.0</v>
      </c>
      <c r="B2365" s="1" t="s">
        <v>5849</v>
      </c>
      <c r="C2365" s="1" t="s">
        <v>1339</v>
      </c>
      <c r="D2365" s="1" t="s">
        <v>5714</v>
      </c>
      <c r="E2365" s="2">
        <v>5.70038001534E11</v>
      </c>
      <c r="F2365" s="1" t="s">
        <v>6371</v>
      </c>
      <c r="G2365" s="1" t="s">
        <v>24</v>
      </c>
      <c r="H2365" s="3" t="s">
        <v>2661</v>
      </c>
      <c r="I2365" s="1"/>
      <c r="J2365" s="1"/>
      <c r="K2365" s="1"/>
    </row>
    <row r="2366" ht="15.75" customHeight="1">
      <c r="A2366" s="2">
        <v>2365.0</v>
      </c>
      <c r="B2366" s="1" t="s">
        <v>184</v>
      </c>
      <c r="C2366" s="1" t="s">
        <v>6372</v>
      </c>
      <c r="D2366" s="1" t="s">
        <v>6373</v>
      </c>
      <c r="E2366" s="2">
        <v>5.70038001535E11</v>
      </c>
      <c r="F2366" s="1" t="s">
        <v>6374</v>
      </c>
      <c r="G2366" s="1" t="s">
        <v>121</v>
      </c>
      <c r="H2366" s="3" t="s">
        <v>2661</v>
      </c>
      <c r="I2366" s="1"/>
      <c r="J2366" s="1"/>
      <c r="K2366" s="1"/>
    </row>
    <row r="2367" ht="15.75" customHeight="1">
      <c r="A2367" s="2">
        <v>2366.0</v>
      </c>
      <c r="B2367" s="1" t="s">
        <v>5499</v>
      </c>
      <c r="C2367" s="1" t="s">
        <v>597</v>
      </c>
      <c r="D2367" s="1" t="s">
        <v>6022</v>
      </c>
      <c r="E2367" s="2">
        <v>5.70038001541E11</v>
      </c>
      <c r="F2367" s="1" t="s">
        <v>6375</v>
      </c>
      <c r="G2367" s="1" t="s">
        <v>121</v>
      </c>
      <c r="H2367" s="3" t="s">
        <v>2661</v>
      </c>
      <c r="I2367" s="1"/>
      <c r="J2367" s="1"/>
      <c r="K2367" s="1"/>
    </row>
    <row r="2368" ht="15.75" customHeight="1">
      <c r="A2368" s="2">
        <v>2367.0</v>
      </c>
      <c r="B2368" s="1" t="s">
        <v>6376</v>
      </c>
      <c r="C2368" s="1" t="s">
        <v>6377</v>
      </c>
      <c r="D2368" s="1" t="s">
        <v>1220</v>
      </c>
      <c r="E2368" s="2">
        <v>5.70038001542E11</v>
      </c>
      <c r="F2368" s="1" t="s">
        <v>6378</v>
      </c>
      <c r="G2368" s="1" t="s">
        <v>383</v>
      </c>
      <c r="H2368" s="3" t="s">
        <v>2661</v>
      </c>
      <c r="I2368" s="1"/>
      <c r="J2368" s="1"/>
      <c r="K2368" s="1"/>
    </row>
    <row r="2369" ht="15.75" customHeight="1">
      <c r="A2369" s="2">
        <v>2368.0</v>
      </c>
      <c r="B2369" s="1" t="s">
        <v>187</v>
      </c>
      <c r="C2369" s="1" t="s">
        <v>130</v>
      </c>
      <c r="D2369" s="1" t="s">
        <v>842</v>
      </c>
      <c r="E2369" s="2">
        <v>5.70038001543E11</v>
      </c>
      <c r="F2369" s="1" t="s">
        <v>6379</v>
      </c>
      <c r="G2369" s="1" t="s">
        <v>47</v>
      </c>
      <c r="H2369" s="3" t="s">
        <v>2661</v>
      </c>
      <c r="I2369" s="1"/>
      <c r="J2369" s="1"/>
      <c r="K2369" s="1"/>
    </row>
    <row r="2370" ht="15.75" customHeight="1">
      <c r="A2370" s="2">
        <v>2369.0</v>
      </c>
      <c r="B2370" s="1" t="s">
        <v>5034</v>
      </c>
      <c r="C2370" s="1" t="s">
        <v>459</v>
      </c>
      <c r="D2370" s="1" t="s">
        <v>211</v>
      </c>
      <c r="E2370" s="2">
        <v>5.70038001545E11</v>
      </c>
      <c r="F2370" s="1" t="s">
        <v>6380</v>
      </c>
      <c r="G2370" s="1" t="s">
        <v>121</v>
      </c>
      <c r="H2370" s="3" t="s">
        <v>2661</v>
      </c>
      <c r="I2370" s="1"/>
      <c r="J2370" s="1"/>
      <c r="K2370" s="1"/>
    </row>
    <row r="2371" ht="15.75" customHeight="1">
      <c r="A2371" s="2">
        <v>2370.0</v>
      </c>
      <c r="B2371" s="1" t="s">
        <v>5983</v>
      </c>
      <c r="C2371" s="1" t="s">
        <v>6381</v>
      </c>
      <c r="D2371" s="1" t="s">
        <v>6382</v>
      </c>
      <c r="E2371" s="2">
        <v>5.7003800155E11</v>
      </c>
      <c r="F2371" s="1" t="s">
        <v>6383</v>
      </c>
      <c r="G2371" s="1" t="s">
        <v>121</v>
      </c>
      <c r="H2371" s="3" t="s">
        <v>2661</v>
      </c>
      <c r="I2371" s="1"/>
      <c r="J2371" s="1"/>
      <c r="K2371" s="1"/>
    </row>
    <row r="2372" ht="15.75" customHeight="1">
      <c r="A2372" s="2">
        <v>2371.0</v>
      </c>
      <c r="B2372" s="1" t="s">
        <v>5516</v>
      </c>
      <c r="C2372" s="1" t="s">
        <v>39</v>
      </c>
      <c r="D2372" s="1" t="s">
        <v>6384</v>
      </c>
      <c r="E2372" s="2">
        <v>5.70038001551E11</v>
      </c>
      <c r="F2372" s="1" t="s">
        <v>6385</v>
      </c>
      <c r="G2372" s="1" t="s">
        <v>121</v>
      </c>
      <c r="H2372" s="3" t="s">
        <v>2661</v>
      </c>
      <c r="I2372" s="1"/>
      <c r="J2372" s="1"/>
      <c r="K2372" s="1"/>
    </row>
    <row r="2373" ht="15.75" customHeight="1">
      <c r="A2373" s="2">
        <v>2372.0</v>
      </c>
      <c r="B2373" s="1" t="s">
        <v>6386</v>
      </c>
      <c r="C2373" s="1" t="s">
        <v>431</v>
      </c>
      <c r="D2373" s="1" t="s">
        <v>6387</v>
      </c>
      <c r="E2373" s="2">
        <v>5.70038001553E11</v>
      </c>
      <c r="F2373" s="1" t="s">
        <v>6388</v>
      </c>
      <c r="G2373" s="1" t="s">
        <v>38</v>
      </c>
      <c r="H2373" s="3" t="s">
        <v>2661</v>
      </c>
      <c r="I2373" s="1"/>
      <c r="J2373" s="1"/>
      <c r="K2373" s="1"/>
    </row>
    <row r="2374" ht="15.75" customHeight="1">
      <c r="A2374" s="2">
        <v>2373.0</v>
      </c>
      <c r="B2374" s="1" t="s">
        <v>6389</v>
      </c>
      <c r="C2374" s="1" t="s">
        <v>503</v>
      </c>
      <c r="D2374" s="1" t="s">
        <v>6390</v>
      </c>
      <c r="E2374" s="2">
        <v>5.70038001555E11</v>
      </c>
      <c r="F2374" s="1" t="s">
        <v>6391</v>
      </c>
      <c r="G2374" s="1" t="s">
        <v>121</v>
      </c>
      <c r="H2374" s="3" t="s">
        <v>2661</v>
      </c>
      <c r="I2374" s="1"/>
      <c r="J2374" s="1"/>
      <c r="K2374" s="1"/>
    </row>
    <row r="2375" ht="15.75" customHeight="1">
      <c r="A2375" s="2">
        <v>2374.0</v>
      </c>
      <c r="B2375" s="1" t="s">
        <v>6392</v>
      </c>
      <c r="C2375" s="1" t="s">
        <v>223</v>
      </c>
      <c r="D2375" s="1" t="s">
        <v>5540</v>
      </c>
      <c r="E2375" s="2">
        <v>5.70038001561E11</v>
      </c>
      <c r="F2375" s="1" t="s">
        <v>6261</v>
      </c>
      <c r="G2375" s="1" t="s">
        <v>121</v>
      </c>
      <c r="H2375" s="3" t="s">
        <v>4873</v>
      </c>
      <c r="I2375" s="1"/>
      <c r="J2375" s="1"/>
      <c r="K2375" s="1"/>
    </row>
    <row r="2376" ht="15.75" customHeight="1">
      <c r="A2376" s="2">
        <v>2375.0</v>
      </c>
      <c r="B2376" s="1" t="s">
        <v>6393</v>
      </c>
      <c r="C2376" s="1" t="s">
        <v>2902</v>
      </c>
      <c r="D2376" s="1" t="s">
        <v>6394</v>
      </c>
      <c r="E2376" s="2">
        <v>5.70038001565E11</v>
      </c>
      <c r="F2376" s="1" t="s">
        <v>6175</v>
      </c>
      <c r="G2376" s="1" t="s">
        <v>121</v>
      </c>
      <c r="H2376" s="3" t="s">
        <v>4873</v>
      </c>
      <c r="I2376" s="1"/>
      <c r="J2376" s="1"/>
      <c r="K2376" s="1"/>
    </row>
    <row r="2377" ht="15.75" customHeight="1">
      <c r="A2377" s="2">
        <v>2376.0</v>
      </c>
      <c r="B2377" s="1" t="s">
        <v>6395</v>
      </c>
      <c r="C2377" s="1" t="s">
        <v>1161</v>
      </c>
      <c r="D2377" s="1" t="s">
        <v>6396</v>
      </c>
      <c r="E2377" s="2">
        <v>5.70038001566E11</v>
      </c>
      <c r="F2377" s="1" t="s">
        <v>6397</v>
      </c>
      <c r="G2377" s="1" t="s">
        <v>121</v>
      </c>
      <c r="H2377" s="3" t="s">
        <v>4873</v>
      </c>
      <c r="I2377" s="1"/>
      <c r="J2377" s="1"/>
      <c r="K2377" s="1"/>
    </row>
    <row r="2378" ht="15.75" customHeight="1">
      <c r="A2378" s="2">
        <v>2377.0</v>
      </c>
      <c r="B2378" s="1" t="s">
        <v>6398</v>
      </c>
      <c r="C2378" s="1" t="s">
        <v>39</v>
      </c>
      <c r="D2378" s="1" t="s">
        <v>6399</v>
      </c>
      <c r="E2378" s="2">
        <v>5.70038001567E11</v>
      </c>
      <c r="F2378" s="1" t="s">
        <v>6400</v>
      </c>
      <c r="G2378" s="1" t="s">
        <v>121</v>
      </c>
      <c r="H2378" s="3" t="s">
        <v>4873</v>
      </c>
      <c r="I2378" s="1"/>
      <c r="J2378" s="1"/>
      <c r="K2378" s="1"/>
    </row>
    <row r="2379" ht="15.75" customHeight="1">
      <c r="A2379" s="2">
        <v>2378.0</v>
      </c>
      <c r="B2379" s="1" t="s">
        <v>5419</v>
      </c>
      <c r="C2379" s="1" t="s">
        <v>2610</v>
      </c>
      <c r="D2379" s="1" t="s">
        <v>640</v>
      </c>
      <c r="E2379" s="2">
        <v>5.70038001568E11</v>
      </c>
      <c r="F2379" s="1" t="s">
        <v>6401</v>
      </c>
      <c r="G2379" s="1" t="s">
        <v>121</v>
      </c>
      <c r="H2379" s="3" t="s">
        <v>4873</v>
      </c>
      <c r="I2379" s="1"/>
      <c r="J2379" s="1"/>
      <c r="K2379" s="1"/>
    </row>
    <row r="2380" ht="15.75" customHeight="1">
      <c r="A2380" s="2">
        <v>2379.0</v>
      </c>
      <c r="B2380" s="1" t="s">
        <v>329</v>
      </c>
      <c r="C2380" s="1" t="s">
        <v>6402</v>
      </c>
      <c r="D2380" s="1" t="s">
        <v>532</v>
      </c>
      <c r="E2380" s="2">
        <v>5.70038001571E11</v>
      </c>
      <c r="F2380" s="1" t="s">
        <v>6403</v>
      </c>
      <c r="G2380" s="1" t="s">
        <v>47</v>
      </c>
      <c r="H2380" s="3" t="s">
        <v>6404</v>
      </c>
      <c r="I2380" s="1"/>
      <c r="J2380" s="1"/>
      <c r="K2380" s="1"/>
    </row>
    <row r="2381" ht="15.75" customHeight="1">
      <c r="A2381" s="2">
        <v>2380.0</v>
      </c>
      <c r="B2381" s="1" t="s">
        <v>6405</v>
      </c>
      <c r="C2381" s="1" t="s">
        <v>6406</v>
      </c>
      <c r="D2381" s="1" t="s">
        <v>6407</v>
      </c>
      <c r="E2381" s="2">
        <v>5.70038001575E11</v>
      </c>
      <c r="F2381" s="1" t="s">
        <v>6408</v>
      </c>
      <c r="G2381" s="1" t="s">
        <v>38</v>
      </c>
      <c r="H2381" s="3" t="s">
        <v>4873</v>
      </c>
      <c r="I2381" s="1"/>
      <c r="J2381" s="1"/>
      <c r="K2381" s="1"/>
    </row>
    <row r="2382" ht="15.75" customHeight="1">
      <c r="A2382" s="2">
        <v>2381.0</v>
      </c>
      <c r="B2382" s="1" t="s">
        <v>6409</v>
      </c>
      <c r="C2382" s="1" t="s">
        <v>6410</v>
      </c>
      <c r="D2382" s="1" t="s">
        <v>6411</v>
      </c>
      <c r="E2382" s="2">
        <v>5.70038001576E11</v>
      </c>
      <c r="F2382" s="1" t="s">
        <v>6412</v>
      </c>
      <c r="G2382" s="1" t="s">
        <v>121</v>
      </c>
      <c r="H2382" s="3" t="s">
        <v>4873</v>
      </c>
      <c r="I2382" s="1"/>
      <c r="J2382" s="1"/>
      <c r="K2382" s="1"/>
    </row>
    <row r="2383" ht="15.75" customHeight="1">
      <c r="A2383" s="2">
        <v>2382.0</v>
      </c>
      <c r="B2383" s="1" t="s">
        <v>6413</v>
      </c>
      <c r="C2383" s="1" t="s">
        <v>1065</v>
      </c>
      <c r="D2383" s="1" t="s">
        <v>135</v>
      </c>
      <c r="E2383" s="2">
        <v>5.70038001579E11</v>
      </c>
      <c r="F2383" s="1" t="s">
        <v>6414</v>
      </c>
      <c r="G2383" s="1" t="s">
        <v>38</v>
      </c>
      <c r="H2383" s="3" t="s">
        <v>4873</v>
      </c>
      <c r="I2383" s="1"/>
      <c r="J2383" s="1"/>
      <c r="K2383" s="1"/>
    </row>
    <row r="2384" ht="15.75" customHeight="1">
      <c r="A2384" s="2">
        <v>2383.0</v>
      </c>
      <c r="B2384" s="1" t="s">
        <v>5805</v>
      </c>
      <c r="C2384" s="1" t="s">
        <v>2924</v>
      </c>
      <c r="D2384" s="1" t="s">
        <v>2269</v>
      </c>
      <c r="E2384" s="2">
        <v>5.70038001581E11</v>
      </c>
      <c r="F2384" s="1" t="s">
        <v>6415</v>
      </c>
      <c r="G2384" s="1" t="s">
        <v>24</v>
      </c>
      <c r="H2384" s="3" t="s">
        <v>4873</v>
      </c>
      <c r="I2384" s="1"/>
      <c r="J2384" s="1"/>
      <c r="K2384" s="1"/>
    </row>
    <row r="2385" ht="15.75" customHeight="1">
      <c r="A2385" s="2">
        <v>2384.0</v>
      </c>
      <c r="B2385" s="1" t="s">
        <v>6237</v>
      </c>
      <c r="C2385" s="1" t="s">
        <v>39</v>
      </c>
      <c r="D2385" s="1" t="s">
        <v>6416</v>
      </c>
      <c r="E2385" s="2">
        <v>5.70038001582E11</v>
      </c>
      <c r="F2385" s="1" t="s">
        <v>6417</v>
      </c>
      <c r="G2385" s="1" t="s">
        <v>38</v>
      </c>
      <c r="H2385" s="3" t="s">
        <v>4873</v>
      </c>
      <c r="I2385" s="1"/>
      <c r="J2385" s="1"/>
      <c r="K2385" s="1"/>
    </row>
    <row r="2386" ht="15.75" customHeight="1">
      <c r="A2386" s="2">
        <v>2385.0</v>
      </c>
      <c r="B2386" s="1" t="s">
        <v>6418</v>
      </c>
      <c r="C2386" s="1" t="s">
        <v>315</v>
      </c>
      <c r="D2386" s="1" t="s">
        <v>3561</v>
      </c>
      <c r="E2386" s="2">
        <v>5.70038001583E11</v>
      </c>
      <c r="F2386" s="1" t="s">
        <v>6419</v>
      </c>
      <c r="G2386" s="1" t="s">
        <v>47</v>
      </c>
      <c r="H2386" s="3" t="s">
        <v>4873</v>
      </c>
      <c r="I2386" s="1"/>
      <c r="J2386" s="1"/>
      <c r="K2386" s="1"/>
    </row>
    <row r="2387" ht="15.75" customHeight="1">
      <c r="A2387" s="2">
        <v>2386.0</v>
      </c>
      <c r="B2387" s="1" t="s">
        <v>6420</v>
      </c>
      <c r="C2387" s="1" t="s">
        <v>6421</v>
      </c>
      <c r="D2387" s="1" t="s">
        <v>955</v>
      </c>
      <c r="E2387" s="2">
        <v>5.70038001585E11</v>
      </c>
      <c r="F2387" s="1" t="s">
        <v>6143</v>
      </c>
      <c r="G2387" s="1" t="s">
        <v>121</v>
      </c>
      <c r="H2387" s="3" t="s">
        <v>4873</v>
      </c>
      <c r="I2387" s="1"/>
      <c r="J2387" s="1"/>
      <c r="K2387" s="1"/>
    </row>
    <row r="2388" ht="15.75" customHeight="1">
      <c r="A2388" s="2">
        <v>2387.0</v>
      </c>
      <c r="B2388" s="1" t="s">
        <v>2137</v>
      </c>
      <c r="C2388" s="1" t="s">
        <v>6422</v>
      </c>
      <c r="D2388" s="1" t="s">
        <v>736</v>
      </c>
      <c r="E2388" s="2">
        <v>5.70038001589E11</v>
      </c>
      <c r="F2388" s="1" t="s">
        <v>6126</v>
      </c>
      <c r="G2388" s="1" t="s">
        <v>121</v>
      </c>
      <c r="H2388" s="3" t="s">
        <v>4873</v>
      </c>
      <c r="I2388" s="1"/>
      <c r="J2388" s="1"/>
      <c r="K2388" s="1"/>
    </row>
    <row r="2389" ht="15.75" customHeight="1">
      <c r="A2389" s="2">
        <v>2388.0</v>
      </c>
      <c r="B2389" s="1" t="s">
        <v>1169</v>
      </c>
      <c r="C2389" s="1" t="s">
        <v>1065</v>
      </c>
      <c r="D2389" s="1" t="s">
        <v>2164</v>
      </c>
      <c r="E2389" s="2">
        <v>5.70038001591E11</v>
      </c>
      <c r="F2389" s="1" t="s">
        <v>6271</v>
      </c>
      <c r="G2389" s="1" t="s">
        <v>24</v>
      </c>
      <c r="H2389" s="3" t="s">
        <v>4873</v>
      </c>
      <c r="I2389" s="1"/>
      <c r="J2389" s="1"/>
      <c r="K2389" s="1"/>
    </row>
    <row r="2390" ht="15.75" customHeight="1">
      <c r="A2390" s="2">
        <v>2389.0</v>
      </c>
      <c r="B2390" s="1" t="s">
        <v>6423</v>
      </c>
      <c r="C2390" s="1" t="s">
        <v>66</v>
      </c>
      <c r="D2390" s="1" t="s">
        <v>135</v>
      </c>
      <c r="E2390" s="2">
        <v>5.70038001592E11</v>
      </c>
      <c r="F2390" s="1" t="s">
        <v>6424</v>
      </c>
      <c r="G2390" s="1" t="s">
        <v>121</v>
      </c>
      <c r="H2390" s="3" t="s">
        <v>4873</v>
      </c>
      <c r="I2390" s="1"/>
      <c r="J2390" s="1"/>
      <c r="K2390" s="1"/>
    </row>
    <row r="2391" ht="15.75" customHeight="1">
      <c r="A2391" s="2">
        <v>2390.0</v>
      </c>
      <c r="B2391" s="1" t="s">
        <v>6425</v>
      </c>
      <c r="C2391" s="1" t="s">
        <v>6426</v>
      </c>
      <c r="D2391" s="1" t="s">
        <v>6427</v>
      </c>
      <c r="E2391" s="2">
        <v>5.70038001593E11</v>
      </c>
      <c r="F2391" s="1" t="s">
        <v>5928</v>
      </c>
      <c r="G2391" s="1" t="s">
        <v>121</v>
      </c>
      <c r="H2391" s="3" t="s">
        <v>4873</v>
      </c>
      <c r="I2391" s="1"/>
      <c r="J2391" s="1"/>
      <c r="K2391" s="1"/>
    </row>
    <row r="2392" ht="15.75" customHeight="1">
      <c r="A2392" s="2">
        <v>2391.0</v>
      </c>
      <c r="B2392" s="1" t="s">
        <v>760</v>
      </c>
      <c r="C2392" s="1" t="s">
        <v>2577</v>
      </c>
      <c r="D2392" s="1" t="s">
        <v>6428</v>
      </c>
      <c r="E2392" s="2">
        <v>5.70038001594E11</v>
      </c>
      <c r="F2392" s="1" t="s">
        <v>6429</v>
      </c>
      <c r="G2392" s="1" t="s">
        <v>121</v>
      </c>
      <c r="H2392" s="3" t="s">
        <v>4873</v>
      </c>
      <c r="I2392" s="1"/>
      <c r="J2392" s="1"/>
      <c r="K2392" s="1"/>
    </row>
    <row r="2393" ht="15.75" customHeight="1">
      <c r="A2393" s="2">
        <v>2392.0</v>
      </c>
      <c r="B2393" s="1" t="s">
        <v>6430</v>
      </c>
      <c r="C2393" s="1" t="s">
        <v>1232</v>
      </c>
      <c r="D2393" s="1" t="s">
        <v>6431</v>
      </c>
      <c r="E2393" s="2">
        <v>5.70038001595E11</v>
      </c>
      <c r="F2393" s="1" t="s">
        <v>6432</v>
      </c>
      <c r="G2393" s="1" t="s">
        <v>121</v>
      </c>
      <c r="H2393" s="3" t="s">
        <v>4873</v>
      </c>
      <c r="I2393" s="1"/>
      <c r="J2393" s="1"/>
      <c r="K2393" s="1"/>
    </row>
    <row r="2394" ht="15.75" customHeight="1">
      <c r="A2394" s="2">
        <v>2393.0</v>
      </c>
      <c r="B2394" s="1" t="s">
        <v>6433</v>
      </c>
      <c r="C2394" s="1" t="s">
        <v>766</v>
      </c>
      <c r="D2394" s="1" t="s">
        <v>6434</v>
      </c>
      <c r="E2394" s="2">
        <v>5.70038001597E11</v>
      </c>
      <c r="F2394" s="1" t="s">
        <v>6435</v>
      </c>
      <c r="G2394" s="1" t="s">
        <v>121</v>
      </c>
      <c r="H2394" s="3" t="s">
        <v>4873</v>
      </c>
      <c r="I2394" s="1"/>
      <c r="J2394" s="1"/>
      <c r="K2394" s="1"/>
    </row>
    <row r="2395" ht="15.75" customHeight="1">
      <c r="A2395" s="2">
        <v>2394.0</v>
      </c>
      <c r="B2395" s="1" t="s">
        <v>6189</v>
      </c>
      <c r="C2395" s="1" t="s">
        <v>308</v>
      </c>
      <c r="D2395" s="1" t="s">
        <v>6436</v>
      </c>
      <c r="E2395" s="2">
        <v>5.70038001598E11</v>
      </c>
      <c r="F2395" s="1" t="s">
        <v>5317</v>
      </c>
      <c r="G2395" s="1" t="s">
        <v>38</v>
      </c>
      <c r="H2395" s="3" t="s">
        <v>4873</v>
      </c>
      <c r="I2395" s="1"/>
      <c r="J2395" s="1"/>
      <c r="K2395" s="1"/>
    </row>
    <row r="2396" ht="15.75" customHeight="1">
      <c r="A2396" s="2">
        <v>2395.0</v>
      </c>
      <c r="B2396" s="1" t="s">
        <v>6437</v>
      </c>
      <c r="C2396" s="1" t="s">
        <v>2212</v>
      </c>
      <c r="D2396" s="1" t="s">
        <v>3467</v>
      </c>
      <c r="E2396" s="2">
        <v>5.70038001599E11</v>
      </c>
      <c r="F2396" s="1" t="s">
        <v>6438</v>
      </c>
      <c r="G2396" s="1" t="s">
        <v>24</v>
      </c>
      <c r="H2396" s="3" t="s">
        <v>4873</v>
      </c>
      <c r="I2396" s="1"/>
      <c r="J2396" s="1"/>
      <c r="K2396" s="1"/>
    </row>
    <row r="2397" ht="15.75" customHeight="1">
      <c r="A2397" s="2">
        <v>2396.0</v>
      </c>
      <c r="B2397" s="1" t="s">
        <v>293</v>
      </c>
      <c r="C2397" s="1" t="s">
        <v>682</v>
      </c>
      <c r="D2397" s="1" t="s">
        <v>2535</v>
      </c>
      <c r="E2397" s="2">
        <v>5.700380016E11</v>
      </c>
      <c r="F2397" s="1" t="s">
        <v>6439</v>
      </c>
      <c r="G2397" s="1" t="s">
        <v>121</v>
      </c>
      <c r="H2397" s="3" t="s">
        <v>4873</v>
      </c>
      <c r="I2397" s="1"/>
      <c r="J2397" s="1"/>
      <c r="K2397" s="1"/>
    </row>
    <row r="2398" ht="15.75" customHeight="1">
      <c r="A2398" s="2">
        <v>2397.0</v>
      </c>
      <c r="B2398" s="1" t="s">
        <v>5084</v>
      </c>
      <c r="C2398" s="1" t="s">
        <v>388</v>
      </c>
      <c r="D2398" s="1" t="s">
        <v>6440</v>
      </c>
      <c r="E2398" s="2">
        <v>5.70038001601E11</v>
      </c>
      <c r="F2398" s="1" t="s">
        <v>6441</v>
      </c>
      <c r="G2398" s="1" t="s">
        <v>121</v>
      </c>
      <c r="H2398" s="3" t="s">
        <v>4873</v>
      </c>
      <c r="I2398" s="1"/>
      <c r="J2398" s="1"/>
      <c r="K2398" s="1"/>
    </row>
    <row r="2399" ht="15.75" customHeight="1">
      <c r="A2399" s="2">
        <v>2398.0</v>
      </c>
      <c r="B2399" s="1" t="s">
        <v>6442</v>
      </c>
      <c r="C2399" s="1" t="s">
        <v>1602</v>
      </c>
      <c r="D2399" s="1" t="s">
        <v>6443</v>
      </c>
      <c r="E2399" s="2">
        <v>5.70038001605E11</v>
      </c>
      <c r="F2399" s="1" t="s">
        <v>6444</v>
      </c>
      <c r="G2399" s="1" t="s">
        <v>121</v>
      </c>
      <c r="H2399" s="3" t="s">
        <v>4873</v>
      </c>
      <c r="I2399" s="1"/>
      <c r="J2399" s="1"/>
      <c r="K2399" s="1"/>
    </row>
    <row r="2400" ht="15.75" customHeight="1">
      <c r="A2400" s="2">
        <v>2399.0</v>
      </c>
      <c r="B2400" s="1" t="s">
        <v>6445</v>
      </c>
      <c r="C2400" s="1" t="s">
        <v>1484</v>
      </c>
      <c r="D2400" s="1" t="s">
        <v>6446</v>
      </c>
      <c r="E2400" s="2">
        <v>5.70038001607E11</v>
      </c>
      <c r="F2400" s="1" t="s">
        <v>5420</v>
      </c>
      <c r="G2400" s="1" t="s">
        <v>24</v>
      </c>
      <c r="H2400" s="3" t="s">
        <v>4873</v>
      </c>
      <c r="I2400" s="1"/>
      <c r="J2400" s="1"/>
      <c r="K2400" s="1"/>
    </row>
    <row r="2401" ht="15.75" customHeight="1">
      <c r="A2401" s="2">
        <v>2400.0</v>
      </c>
      <c r="B2401" s="1" t="s">
        <v>6447</v>
      </c>
      <c r="C2401" s="1" t="s">
        <v>6448</v>
      </c>
      <c r="D2401" s="1" t="s">
        <v>6022</v>
      </c>
      <c r="E2401" s="2">
        <v>5.70038001617E11</v>
      </c>
      <c r="F2401" s="1" t="s">
        <v>6449</v>
      </c>
      <c r="G2401" s="1" t="s">
        <v>38</v>
      </c>
      <c r="H2401" s="3" t="s">
        <v>4873</v>
      </c>
      <c r="I2401" s="1"/>
      <c r="J2401" s="1"/>
      <c r="K2401" s="1"/>
    </row>
    <row r="2402" ht="15.75" customHeight="1">
      <c r="A2402" s="2">
        <v>2401.0</v>
      </c>
      <c r="B2402" s="1" t="s">
        <v>954</v>
      </c>
      <c r="C2402" s="1" t="s">
        <v>807</v>
      </c>
      <c r="D2402" s="1" t="s">
        <v>6450</v>
      </c>
      <c r="E2402" s="2">
        <v>5.70038001618E11</v>
      </c>
      <c r="F2402" s="1" t="s">
        <v>5705</v>
      </c>
      <c r="G2402" s="1" t="s">
        <v>121</v>
      </c>
      <c r="H2402" s="3" t="s">
        <v>4873</v>
      </c>
      <c r="I2402" s="1"/>
      <c r="J2402" s="1"/>
      <c r="K2402" s="1"/>
    </row>
    <row r="2403" ht="15.75" customHeight="1">
      <c r="A2403" s="2">
        <v>2402.0</v>
      </c>
      <c r="B2403" s="1" t="s">
        <v>6451</v>
      </c>
      <c r="C2403" s="1" t="s">
        <v>192</v>
      </c>
      <c r="D2403" s="1" t="s">
        <v>115</v>
      </c>
      <c r="E2403" s="2">
        <v>5.70038001619E11</v>
      </c>
      <c r="F2403" s="1" t="s">
        <v>6452</v>
      </c>
      <c r="G2403" s="1" t="s">
        <v>24</v>
      </c>
      <c r="H2403" s="3" t="s">
        <v>4873</v>
      </c>
      <c r="I2403" s="1"/>
      <c r="J2403" s="1"/>
      <c r="K2403" s="1"/>
    </row>
    <row r="2404" ht="15.75" customHeight="1">
      <c r="A2404" s="2">
        <v>2403.0</v>
      </c>
      <c r="B2404" s="1" t="s">
        <v>6086</v>
      </c>
      <c r="C2404" s="1" t="s">
        <v>902</v>
      </c>
      <c r="D2404" s="1" t="s">
        <v>6453</v>
      </c>
      <c r="E2404" s="2">
        <v>5.70038001627E11</v>
      </c>
      <c r="F2404" s="1" t="s">
        <v>6454</v>
      </c>
      <c r="G2404" s="1" t="s">
        <v>38</v>
      </c>
      <c r="H2404" s="3" t="s">
        <v>4873</v>
      </c>
      <c r="I2404" s="1"/>
      <c r="J2404" s="1"/>
      <c r="K2404" s="1"/>
    </row>
    <row r="2405" ht="15.75" customHeight="1">
      <c r="A2405" s="2">
        <v>2404.0</v>
      </c>
      <c r="B2405" s="1" t="s">
        <v>431</v>
      </c>
      <c r="C2405" s="1" t="s">
        <v>2669</v>
      </c>
      <c r="D2405" s="1" t="s">
        <v>217</v>
      </c>
      <c r="E2405" s="2">
        <v>5.70038001634E11</v>
      </c>
      <c r="F2405" s="1" t="s">
        <v>5442</v>
      </c>
      <c r="G2405" s="1" t="s">
        <v>18</v>
      </c>
      <c r="H2405" s="3" t="s">
        <v>4873</v>
      </c>
      <c r="I2405" s="1"/>
      <c r="J2405" s="1"/>
      <c r="K2405" s="1"/>
    </row>
    <row r="2406" ht="15.75" customHeight="1">
      <c r="A2406" s="2">
        <v>2405.0</v>
      </c>
      <c r="B2406" s="1" t="s">
        <v>654</v>
      </c>
      <c r="C2406" s="1" t="s">
        <v>488</v>
      </c>
      <c r="D2406" s="1" t="s">
        <v>6455</v>
      </c>
      <c r="E2406" s="2">
        <v>5.70038001635E11</v>
      </c>
      <c r="F2406" s="1" t="s">
        <v>6456</v>
      </c>
      <c r="G2406" s="1" t="s">
        <v>121</v>
      </c>
      <c r="H2406" s="3" t="s">
        <v>4873</v>
      </c>
      <c r="I2406" s="1"/>
      <c r="J2406" s="1"/>
      <c r="K2406" s="1"/>
    </row>
    <row r="2407" ht="15.75" customHeight="1">
      <c r="A2407" s="2">
        <v>2406.0</v>
      </c>
      <c r="B2407" s="1" t="s">
        <v>5516</v>
      </c>
      <c r="C2407" s="1" t="s">
        <v>6457</v>
      </c>
      <c r="D2407" s="1" t="s">
        <v>5258</v>
      </c>
      <c r="E2407" s="2">
        <v>5.70038001636E11</v>
      </c>
      <c r="F2407" s="1" t="s">
        <v>6118</v>
      </c>
      <c r="G2407" s="1" t="s">
        <v>121</v>
      </c>
      <c r="H2407" s="3" t="s">
        <v>4873</v>
      </c>
      <c r="I2407" s="1"/>
      <c r="J2407" s="1"/>
      <c r="K2407" s="1"/>
    </row>
    <row r="2408" ht="15.75" customHeight="1">
      <c r="A2408" s="2">
        <v>2407.0</v>
      </c>
      <c r="B2408" s="1" t="s">
        <v>6458</v>
      </c>
      <c r="C2408" s="1" t="s">
        <v>1840</v>
      </c>
      <c r="D2408" s="1" t="s">
        <v>6459</v>
      </c>
      <c r="E2408" s="2">
        <v>5.70038001639E11</v>
      </c>
      <c r="F2408" s="1" t="s">
        <v>6460</v>
      </c>
      <c r="G2408" s="1" t="s">
        <v>383</v>
      </c>
      <c r="H2408" s="3" t="s">
        <v>4873</v>
      </c>
      <c r="I2408" s="1"/>
      <c r="J2408" s="1"/>
      <c r="K2408" s="1"/>
    </row>
    <row r="2409" ht="15.75" customHeight="1">
      <c r="A2409" s="2">
        <v>2408.0</v>
      </c>
      <c r="B2409" s="1" t="s">
        <v>6303</v>
      </c>
      <c r="C2409" s="1" t="s">
        <v>323</v>
      </c>
      <c r="D2409" s="1" t="s">
        <v>5820</v>
      </c>
      <c r="E2409" s="2">
        <v>5.70038001641E11</v>
      </c>
      <c r="F2409" s="1" t="s">
        <v>6461</v>
      </c>
      <c r="G2409" s="1" t="s">
        <v>24</v>
      </c>
      <c r="H2409" s="3" t="s">
        <v>4873</v>
      </c>
      <c r="I2409" s="1"/>
      <c r="J2409" s="1"/>
      <c r="K2409" s="1"/>
    </row>
    <row r="2410" ht="15.75" customHeight="1">
      <c r="A2410" s="2">
        <v>2409.0</v>
      </c>
      <c r="B2410" s="1" t="s">
        <v>6000</v>
      </c>
      <c r="C2410" s="1" t="s">
        <v>6462</v>
      </c>
      <c r="D2410" s="1" t="s">
        <v>6463</v>
      </c>
      <c r="E2410" s="2">
        <v>5.70038001644E11</v>
      </c>
      <c r="F2410" s="1" t="s">
        <v>6464</v>
      </c>
      <c r="G2410" s="1" t="s">
        <v>121</v>
      </c>
      <c r="H2410" s="3" t="s">
        <v>4873</v>
      </c>
      <c r="I2410" s="1"/>
      <c r="J2410" s="1"/>
      <c r="K2410" s="1"/>
    </row>
    <row r="2411" ht="15.75" customHeight="1">
      <c r="A2411" s="2">
        <v>2410.0</v>
      </c>
      <c r="B2411" s="1" t="s">
        <v>407</v>
      </c>
      <c r="C2411" s="1" t="s">
        <v>4874</v>
      </c>
      <c r="D2411" s="1" t="s">
        <v>6384</v>
      </c>
      <c r="E2411" s="2">
        <v>5.70038001645E11</v>
      </c>
      <c r="F2411" s="1" t="s">
        <v>6465</v>
      </c>
      <c r="G2411" s="1" t="s">
        <v>121</v>
      </c>
      <c r="H2411" s="3" t="s">
        <v>4873</v>
      </c>
      <c r="I2411" s="1"/>
      <c r="J2411" s="1"/>
      <c r="K2411" s="1"/>
    </row>
    <row r="2412" ht="15.75" customHeight="1">
      <c r="A2412" s="2">
        <v>2411.0</v>
      </c>
      <c r="B2412" s="1" t="s">
        <v>281</v>
      </c>
      <c r="C2412" s="1" t="s">
        <v>6466</v>
      </c>
      <c r="D2412" s="1" t="s">
        <v>6467</v>
      </c>
      <c r="E2412" s="2">
        <v>5.70038001646E11</v>
      </c>
      <c r="F2412" s="1" t="s">
        <v>6468</v>
      </c>
      <c r="G2412" s="1" t="s">
        <v>121</v>
      </c>
      <c r="H2412" s="3" t="s">
        <v>4873</v>
      </c>
      <c r="I2412" s="1"/>
      <c r="J2412" s="1"/>
      <c r="K2412" s="1"/>
    </row>
    <row r="2413" ht="15.75" customHeight="1">
      <c r="A2413" s="2">
        <v>2412.0</v>
      </c>
      <c r="B2413" s="1" t="s">
        <v>6469</v>
      </c>
      <c r="C2413" s="1" t="s">
        <v>1088</v>
      </c>
      <c r="D2413" s="1" t="s">
        <v>6470</v>
      </c>
      <c r="E2413" s="2">
        <v>5.70038001647E11</v>
      </c>
      <c r="F2413" s="1" t="s">
        <v>6471</v>
      </c>
      <c r="G2413" s="1" t="s">
        <v>121</v>
      </c>
      <c r="H2413" s="3" t="s">
        <v>4873</v>
      </c>
      <c r="I2413" s="1"/>
      <c r="J2413" s="1"/>
      <c r="K2413" s="1"/>
    </row>
    <row r="2414" ht="15.75" customHeight="1">
      <c r="A2414" s="2">
        <v>2413.0</v>
      </c>
      <c r="B2414" s="1" t="s">
        <v>555</v>
      </c>
      <c r="C2414" s="1" t="s">
        <v>1295</v>
      </c>
      <c r="D2414" s="1" t="s">
        <v>207</v>
      </c>
      <c r="E2414" s="2">
        <v>5.7003800165E11</v>
      </c>
      <c r="F2414" s="1" t="s">
        <v>6472</v>
      </c>
      <c r="G2414" s="1" t="s">
        <v>121</v>
      </c>
      <c r="H2414" s="3" t="s">
        <v>4873</v>
      </c>
      <c r="I2414" s="1"/>
      <c r="J2414" s="1"/>
      <c r="K2414" s="1"/>
    </row>
    <row r="2415" ht="15.75" customHeight="1">
      <c r="A2415" s="2">
        <v>2414.0</v>
      </c>
      <c r="B2415" s="1" t="s">
        <v>6473</v>
      </c>
      <c r="C2415" s="1" t="s">
        <v>6474</v>
      </c>
      <c r="D2415" s="1" t="s">
        <v>6475</v>
      </c>
      <c r="E2415" s="2">
        <v>5.70038001652E11</v>
      </c>
      <c r="F2415" s="1" t="s">
        <v>5663</v>
      </c>
      <c r="G2415" s="1" t="s">
        <v>24</v>
      </c>
      <c r="H2415" s="3" t="s">
        <v>6404</v>
      </c>
      <c r="I2415" s="1"/>
      <c r="J2415" s="1"/>
      <c r="K2415" s="1"/>
    </row>
    <row r="2416" ht="15.75" customHeight="1">
      <c r="A2416" s="2">
        <v>2415.0</v>
      </c>
      <c r="B2416" s="1" t="s">
        <v>6476</v>
      </c>
      <c r="C2416" s="1" t="s">
        <v>6477</v>
      </c>
      <c r="D2416" s="1" t="s">
        <v>1463</v>
      </c>
      <c r="E2416" s="2">
        <v>5.70038001654E11</v>
      </c>
      <c r="F2416" s="1" t="s">
        <v>6478</v>
      </c>
      <c r="G2416" s="1" t="s">
        <v>121</v>
      </c>
      <c r="H2416" s="3" t="s">
        <v>4873</v>
      </c>
      <c r="I2416" s="1"/>
      <c r="J2416" s="1"/>
      <c r="K2416" s="1"/>
    </row>
    <row r="2417" ht="15.75" customHeight="1">
      <c r="A2417" s="2">
        <v>2416.0</v>
      </c>
      <c r="B2417" s="1" t="s">
        <v>897</v>
      </c>
      <c r="C2417" s="1" t="s">
        <v>2813</v>
      </c>
      <c r="D2417" s="1" t="s">
        <v>5961</v>
      </c>
      <c r="E2417" s="2">
        <v>5.70038001657E11</v>
      </c>
      <c r="F2417" s="1" t="s">
        <v>6479</v>
      </c>
      <c r="G2417" s="1" t="s">
        <v>47</v>
      </c>
      <c r="H2417" s="3" t="s">
        <v>4873</v>
      </c>
      <c r="I2417" s="1"/>
      <c r="J2417" s="1"/>
      <c r="K2417" s="1"/>
    </row>
    <row r="2418" ht="15.75" customHeight="1">
      <c r="A2418" s="2">
        <v>2417.0</v>
      </c>
      <c r="B2418" s="1" t="s">
        <v>2808</v>
      </c>
      <c r="C2418" s="1" t="s">
        <v>6480</v>
      </c>
      <c r="D2418" s="1" t="s">
        <v>6481</v>
      </c>
      <c r="E2418" s="2">
        <v>5.70038001526E11</v>
      </c>
      <c r="F2418" s="1" t="s">
        <v>6482</v>
      </c>
      <c r="G2418" s="1" t="s">
        <v>2310</v>
      </c>
      <c r="H2418" s="3" t="s">
        <v>4873</v>
      </c>
      <c r="I2418" s="1"/>
      <c r="J2418" s="1"/>
      <c r="K2418" s="1"/>
    </row>
    <row r="2419" ht="15.75" customHeight="1">
      <c r="A2419" s="2">
        <v>2418.0</v>
      </c>
      <c r="B2419" s="1" t="s">
        <v>2241</v>
      </c>
      <c r="C2419" s="1" t="s">
        <v>6483</v>
      </c>
      <c r="D2419" s="1" t="s">
        <v>6484</v>
      </c>
      <c r="E2419" s="2">
        <v>5.70038001527E11</v>
      </c>
      <c r="F2419" s="1" t="s">
        <v>6485</v>
      </c>
      <c r="G2419" s="1" t="s">
        <v>24</v>
      </c>
      <c r="H2419" s="3" t="s">
        <v>4873</v>
      </c>
      <c r="I2419" s="1"/>
      <c r="J2419" s="1"/>
      <c r="K2419" s="1"/>
    </row>
    <row r="2420" ht="15.75" customHeight="1">
      <c r="A2420" s="2">
        <v>2419.0</v>
      </c>
      <c r="B2420" s="1" t="s">
        <v>6486</v>
      </c>
      <c r="C2420" s="1" t="s">
        <v>6487</v>
      </c>
      <c r="D2420" s="1" t="s">
        <v>6488</v>
      </c>
      <c r="E2420" s="2">
        <v>5.70038001662E11</v>
      </c>
      <c r="F2420" s="1" t="s">
        <v>2787</v>
      </c>
      <c r="G2420" s="1" t="s">
        <v>90</v>
      </c>
      <c r="H2420" s="3" t="s">
        <v>6489</v>
      </c>
      <c r="I2420" s="1"/>
      <c r="J2420" s="1"/>
      <c r="K2420" s="1"/>
    </row>
    <row r="2421" ht="15.75" customHeight="1">
      <c r="A2421" s="2">
        <v>2420.0</v>
      </c>
      <c r="B2421" s="1" t="s">
        <v>6490</v>
      </c>
      <c r="C2421" s="1" t="s">
        <v>25</v>
      </c>
      <c r="D2421" s="1" t="s">
        <v>295</v>
      </c>
      <c r="E2421" s="2">
        <v>5.70038544924E11</v>
      </c>
      <c r="F2421" s="1" t="s">
        <v>5829</v>
      </c>
      <c r="G2421" s="1" t="s">
        <v>121</v>
      </c>
      <c r="H2421" s="3" t="s">
        <v>4999</v>
      </c>
      <c r="I2421" s="1"/>
      <c r="J2421" s="1"/>
      <c r="K2421" s="1"/>
    </row>
    <row r="2422" ht="15.75" customHeight="1">
      <c r="A2422" s="2">
        <v>2421.0</v>
      </c>
      <c r="B2422" s="1" t="s">
        <v>6491</v>
      </c>
      <c r="C2422" s="1" t="s">
        <v>6492</v>
      </c>
      <c r="D2422" s="1" t="s">
        <v>3017</v>
      </c>
      <c r="E2422" s="2">
        <v>5.70038544925E11</v>
      </c>
      <c r="F2422" s="1" t="s">
        <v>6493</v>
      </c>
      <c r="G2422" s="1" t="s">
        <v>121</v>
      </c>
      <c r="H2422" s="3" t="s">
        <v>4873</v>
      </c>
      <c r="I2422" s="1"/>
      <c r="J2422" s="1"/>
      <c r="K2422" s="1"/>
    </row>
    <row r="2423" ht="15.75" customHeight="1">
      <c r="A2423" s="2">
        <v>2422.0</v>
      </c>
      <c r="B2423" s="1" t="s">
        <v>6494</v>
      </c>
      <c r="C2423" s="1" t="s">
        <v>3250</v>
      </c>
      <c r="D2423" s="1" t="s">
        <v>6495</v>
      </c>
      <c r="E2423" s="2">
        <v>5.70038544926E11</v>
      </c>
      <c r="F2423" s="1" t="s">
        <v>6496</v>
      </c>
      <c r="G2423" s="1" t="s">
        <v>18</v>
      </c>
      <c r="H2423" s="3" t="s">
        <v>4873</v>
      </c>
      <c r="I2423" s="1"/>
      <c r="J2423" s="1"/>
      <c r="K2423" s="1"/>
    </row>
    <row r="2424" ht="15.75" customHeight="1">
      <c r="A2424" s="2">
        <v>2423.0</v>
      </c>
      <c r="B2424" s="1" t="s">
        <v>129</v>
      </c>
      <c r="C2424" s="1" t="s">
        <v>542</v>
      </c>
      <c r="D2424" s="1" t="s">
        <v>6497</v>
      </c>
      <c r="E2424" s="2">
        <v>5.70038544931E11</v>
      </c>
      <c r="F2424" s="1" t="s">
        <v>6498</v>
      </c>
      <c r="G2424" s="1" t="s">
        <v>38</v>
      </c>
      <c r="H2424" s="3" t="s">
        <v>4873</v>
      </c>
      <c r="I2424" s="1"/>
      <c r="J2424" s="1"/>
      <c r="K2424" s="1"/>
    </row>
    <row r="2425" ht="15.75" customHeight="1">
      <c r="A2425" s="2">
        <v>2424.0</v>
      </c>
      <c r="B2425" s="1" t="s">
        <v>6499</v>
      </c>
      <c r="C2425" s="1" t="s">
        <v>1471</v>
      </c>
      <c r="D2425" s="1" t="s">
        <v>6500</v>
      </c>
      <c r="E2425" s="2">
        <v>5.70038544932E11</v>
      </c>
      <c r="F2425" s="1" t="s">
        <v>5756</v>
      </c>
      <c r="G2425" s="1" t="s">
        <v>121</v>
      </c>
      <c r="H2425" s="3" t="s">
        <v>4999</v>
      </c>
      <c r="I2425" s="1"/>
      <c r="J2425" s="1"/>
      <c r="K2425" s="1"/>
    </row>
    <row r="2426" ht="15.75" customHeight="1">
      <c r="A2426" s="2">
        <v>2425.0</v>
      </c>
      <c r="B2426" s="1" t="s">
        <v>6501</v>
      </c>
      <c r="C2426" s="1" t="s">
        <v>1157</v>
      </c>
      <c r="D2426" s="1" t="s">
        <v>10</v>
      </c>
      <c r="E2426" s="2">
        <v>5.70038544939E11</v>
      </c>
      <c r="F2426" s="1" t="s">
        <v>6502</v>
      </c>
      <c r="G2426" s="1" t="s">
        <v>383</v>
      </c>
      <c r="H2426" s="3" t="s">
        <v>4873</v>
      </c>
      <c r="I2426" s="1"/>
      <c r="J2426" s="1"/>
      <c r="K2426" s="1"/>
    </row>
    <row r="2427" ht="15.75" customHeight="1">
      <c r="A2427" s="2">
        <v>2426.0</v>
      </c>
      <c r="B2427" s="1" t="s">
        <v>6503</v>
      </c>
      <c r="C2427" s="1" t="s">
        <v>5611</v>
      </c>
      <c r="D2427" s="1" t="s">
        <v>2248</v>
      </c>
      <c r="E2427" s="2">
        <v>5.70038000016E11</v>
      </c>
      <c r="F2427" s="1" t="s">
        <v>3363</v>
      </c>
      <c r="G2427" s="1" t="s">
        <v>24</v>
      </c>
      <c r="H2427" s="3" t="s">
        <v>4873</v>
      </c>
      <c r="I2427" s="1"/>
      <c r="J2427" s="1"/>
      <c r="K2427" s="1"/>
    </row>
    <row r="2428" ht="15.75" customHeight="1">
      <c r="A2428" s="2">
        <v>2427.0</v>
      </c>
      <c r="B2428" s="1" t="s">
        <v>6504</v>
      </c>
      <c r="C2428" s="1" t="s">
        <v>2642</v>
      </c>
      <c r="D2428" s="1" t="s">
        <v>504</v>
      </c>
      <c r="E2428" s="2">
        <v>5.70038001664E11</v>
      </c>
      <c r="F2428" s="1" t="s">
        <v>5134</v>
      </c>
      <c r="G2428" s="1" t="s">
        <v>12</v>
      </c>
      <c r="H2428" s="3" t="s">
        <v>4873</v>
      </c>
      <c r="I2428" s="1"/>
      <c r="J2428" s="1"/>
      <c r="K2428" s="1"/>
    </row>
    <row r="2429" ht="15.75" customHeight="1">
      <c r="A2429" s="2">
        <v>2428.0</v>
      </c>
      <c r="B2429" s="1" t="s">
        <v>6505</v>
      </c>
      <c r="C2429" s="1" t="s">
        <v>6506</v>
      </c>
      <c r="D2429" s="1" t="s">
        <v>6507</v>
      </c>
      <c r="E2429" s="2">
        <v>5.70038544935E11</v>
      </c>
      <c r="F2429" s="1" t="s">
        <v>6508</v>
      </c>
      <c r="G2429" s="1" t="s">
        <v>18</v>
      </c>
      <c r="H2429" s="3" t="s">
        <v>4873</v>
      </c>
      <c r="I2429" s="1"/>
      <c r="J2429" s="1"/>
      <c r="K2429" s="1"/>
    </row>
    <row r="2430" ht="15.75" customHeight="1">
      <c r="A2430" s="2">
        <v>2429.0</v>
      </c>
      <c r="B2430" s="1" t="s">
        <v>5075</v>
      </c>
      <c r="C2430" s="1" t="s">
        <v>6509</v>
      </c>
      <c r="D2430" s="1" t="s">
        <v>6510</v>
      </c>
      <c r="E2430" s="2">
        <v>5.70038544941E11</v>
      </c>
      <c r="F2430" s="1" t="s">
        <v>6511</v>
      </c>
      <c r="G2430" s="1" t="s">
        <v>143</v>
      </c>
      <c r="H2430" s="3" t="s">
        <v>4873</v>
      </c>
      <c r="I2430" s="1"/>
      <c r="J2430" s="1"/>
      <c r="K2430" s="1"/>
    </row>
    <row r="2431" ht="15.75" customHeight="1">
      <c r="A2431" s="2">
        <v>2430.0</v>
      </c>
      <c r="B2431" s="1" t="s">
        <v>5895</v>
      </c>
      <c r="C2431" s="1" t="s">
        <v>1602</v>
      </c>
      <c r="D2431" s="1" t="s">
        <v>6512</v>
      </c>
      <c r="E2431" s="2">
        <v>5.70038544943E11</v>
      </c>
      <c r="F2431" s="1" t="s">
        <v>6513</v>
      </c>
      <c r="G2431" s="1" t="s">
        <v>121</v>
      </c>
      <c r="H2431" s="3" t="s">
        <v>4999</v>
      </c>
      <c r="I2431" s="1"/>
      <c r="J2431" s="1"/>
      <c r="K2431" s="1"/>
    </row>
    <row r="2432" ht="15.75" customHeight="1">
      <c r="A2432" s="2">
        <v>2431.0</v>
      </c>
      <c r="B2432" s="1" t="s">
        <v>6514</v>
      </c>
      <c r="C2432" s="1" t="s">
        <v>6515</v>
      </c>
      <c r="D2432" s="1" t="s">
        <v>6516</v>
      </c>
      <c r="E2432" s="2">
        <v>5.70038544942E11</v>
      </c>
      <c r="F2432" s="1" t="s">
        <v>1282</v>
      </c>
      <c r="G2432" s="1" t="s">
        <v>143</v>
      </c>
      <c r="H2432" s="3" t="s">
        <v>4873</v>
      </c>
      <c r="I2432" s="1"/>
      <c r="J2432" s="1"/>
      <c r="K2432" s="1"/>
    </row>
    <row r="2433" ht="15.75" customHeight="1">
      <c r="A2433" s="2">
        <v>2432.0</v>
      </c>
      <c r="B2433" s="1" t="s">
        <v>1700</v>
      </c>
      <c r="C2433" s="1" t="s">
        <v>4967</v>
      </c>
      <c r="D2433" s="1" t="s">
        <v>307</v>
      </c>
      <c r="E2433" s="2">
        <v>5.70038544945E11</v>
      </c>
      <c r="F2433" s="1" t="s">
        <v>1500</v>
      </c>
      <c r="G2433" s="1" t="s">
        <v>18</v>
      </c>
      <c r="H2433" s="3" t="s">
        <v>4873</v>
      </c>
      <c r="I2433" s="1"/>
      <c r="J2433" s="1"/>
      <c r="K2433" s="1"/>
    </row>
    <row r="2434" ht="15.75" customHeight="1">
      <c r="A2434" s="2">
        <v>2433.0</v>
      </c>
      <c r="B2434" s="1" t="s">
        <v>6406</v>
      </c>
      <c r="C2434" s="1" t="s">
        <v>6517</v>
      </c>
      <c r="D2434" s="1" t="s">
        <v>6518</v>
      </c>
      <c r="E2434" s="2">
        <v>5.70038544946E11</v>
      </c>
      <c r="F2434" s="1" t="s">
        <v>6519</v>
      </c>
      <c r="G2434" s="1" t="s">
        <v>38</v>
      </c>
      <c r="H2434" s="3" t="s">
        <v>4873</v>
      </c>
      <c r="I2434" s="1"/>
      <c r="J2434" s="1"/>
      <c r="K2434" s="1"/>
    </row>
    <row r="2435" ht="15.75" customHeight="1">
      <c r="A2435" s="2">
        <v>2434.0</v>
      </c>
      <c r="B2435" s="1" t="s">
        <v>3053</v>
      </c>
      <c r="C2435" s="1" t="s">
        <v>1699</v>
      </c>
      <c r="D2435" s="1" t="s">
        <v>6520</v>
      </c>
      <c r="E2435" s="2">
        <v>5.70038544947E11</v>
      </c>
      <c r="F2435" s="1" t="s">
        <v>920</v>
      </c>
      <c r="G2435" s="1" t="s">
        <v>38</v>
      </c>
      <c r="H2435" s="3" t="s">
        <v>4873</v>
      </c>
      <c r="I2435" s="1"/>
      <c r="J2435" s="1"/>
      <c r="K2435" s="1"/>
    </row>
    <row r="2436" ht="15.75" customHeight="1">
      <c r="A2436" s="2">
        <v>2435.0</v>
      </c>
      <c r="B2436" s="1" t="s">
        <v>1699</v>
      </c>
      <c r="C2436" s="1" t="s">
        <v>1167</v>
      </c>
      <c r="D2436" s="1" t="s">
        <v>721</v>
      </c>
      <c r="E2436" s="2">
        <v>5.70038544949E11</v>
      </c>
      <c r="F2436" s="1" t="s">
        <v>6521</v>
      </c>
      <c r="G2436" s="1" t="s">
        <v>143</v>
      </c>
      <c r="H2436" s="3" t="s">
        <v>4873</v>
      </c>
      <c r="I2436" s="1"/>
      <c r="J2436" s="1"/>
      <c r="K2436" s="1"/>
    </row>
    <row r="2437" ht="15.75" customHeight="1">
      <c r="A2437" s="2">
        <v>2436.0</v>
      </c>
      <c r="B2437" s="1" t="s">
        <v>6522</v>
      </c>
      <c r="C2437" s="1" t="s">
        <v>6523</v>
      </c>
      <c r="D2437" s="1" t="s">
        <v>6524</v>
      </c>
      <c r="E2437" s="2">
        <v>5.70038544951E11</v>
      </c>
      <c r="F2437" s="1" t="s">
        <v>3477</v>
      </c>
      <c r="G2437" s="1" t="s">
        <v>38</v>
      </c>
      <c r="H2437" s="3" t="s">
        <v>6525</v>
      </c>
      <c r="I2437" s="1"/>
      <c r="J2437" s="1"/>
      <c r="K2437" s="1"/>
    </row>
    <row r="2438" ht="15.75" customHeight="1">
      <c r="A2438" s="2">
        <v>2437.0</v>
      </c>
      <c r="B2438" s="1" t="s">
        <v>6526</v>
      </c>
      <c r="C2438" s="1" t="s">
        <v>6527</v>
      </c>
      <c r="D2438" s="1" t="s">
        <v>6528</v>
      </c>
      <c r="E2438" s="2">
        <v>5.70038544963E11</v>
      </c>
      <c r="F2438" s="1" t="s">
        <v>6529</v>
      </c>
      <c r="G2438" s="1" t="s">
        <v>383</v>
      </c>
      <c r="H2438" s="3" t="s">
        <v>6530</v>
      </c>
      <c r="I2438" s="1"/>
      <c r="J2438" s="1"/>
      <c r="K2438" s="1"/>
    </row>
    <row r="2439" ht="15.75" customHeight="1">
      <c r="A2439" s="2">
        <v>2438.0</v>
      </c>
      <c r="B2439" s="1" t="s">
        <v>6437</v>
      </c>
      <c r="C2439" s="1" t="s">
        <v>3707</v>
      </c>
      <c r="D2439" s="1" t="s">
        <v>135</v>
      </c>
      <c r="E2439" s="2">
        <v>5.7003800006E11</v>
      </c>
      <c r="F2439" s="1" t="s">
        <v>6531</v>
      </c>
      <c r="G2439" s="1" t="s">
        <v>121</v>
      </c>
      <c r="H2439" s="3" t="s">
        <v>4873</v>
      </c>
      <c r="I2439" s="1"/>
      <c r="J2439" s="1"/>
      <c r="K2439" s="1"/>
    </row>
    <row r="2440" ht="15.75" customHeight="1">
      <c r="A2440" s="2">
        <v>2439.0</v>
      </c>
      <c r="B2440" s="1" t="s">
        <v>6114</v>
      </c>
      <c r="C2440" s="1" t="s">
        <v>514</v>
      </c>
      <c r="D2440" s="1" t="s">
        <v>6532</v>
      </c>
      <c r="E2440" s="2">
        <v>5.70038000293E11</v>
      </c>
      <c r="F2440" s="1" t="s">
        <v>6533</v>
      </c>
      <c r="G2440" s="1" t="s">
        <v>121</v>
      </c>
      <c r="H2440" s="3" t="s">
        <v>4873</v>
      </c>
      <c r="I2440" s="1"/>
      <c r="J2440" s="1"/>
      <c r="K2440" s="1"/>
    </row>
    <row r="2441" ht="15.75" customHeight="1">
      <c r="A2441" s="2">
        <v>2440.0</v>
      </c>
      <c r="B2441" s="1" t="s">
        <v>6534</v>
      </c>
      <c r="C2441" s="1" t="s">
        <v>3280</v>
      </c>
      <c r="D2441" s="1" t="s">
        <v>6535</v>
      </c>
      <c r="E2441" s="2">
        <v>5.70038000472E11</v>
      </c>
      <c r="F2441" s="1" t="s">
        <v>6536</v>
      </c>
      <c r="G2441" s="1" t="s">
        <v>121</v>
      </c>
      <c r="H2441" s="3" t="s">
        <v>4873</v>
      </c>
      <c r="I2441" s="1"/>
      <c r="J2441" s="1"/>
      <c r="K2441" s="1"/>
    </row>
    <row r="2442" ht="15.75" customHeight="1">
      <c r="A2442" s="2">
        <v>2441.0</v>
      </c>
      <c r="B2442" s="1" t="s">
        <v>6537</v>
      </c>
      <c r="C2442" s="1" t="s">
        <v>223</v>
      </c>
      <c r="D2442" s="1" t="s">
        <v>3269</v>
      </c>
      <c r="E2442" s="2">
        <v>5.70038000586E11</v>
      </c>
      <c r="F2442" s="1" t="s">
        <v>6538</v>
      </c>
      <c r="G2442" s="1" t="s">
        <v>121</v>
      </c>
      <c r="H2442" s="3" t="s">
        <v>4873</v>
      </c>
      <c r="I2442" s="1"/>
      <c r="J2442" s="1"/>
      <c r="K2442" s="1"/>
    </row>
    <row r="2443" ht="15.75" customHeight="1">
      <c r="A2443" s="2">
        <v>2442.0</v>
      </c>
      <c r="B2443" s="1" t="s">
        <v>311</v>
      </c>
      <c r="C2443" s="1" t="s">
        <v>1253</v>
      </c>
      <c r="D2443" s="1" t="s">
        <v>178</v>
      </c>
      <c r="E2443" s="2">
        <v>5.70038000589E11</v>
      </c>
      <c r="F2443" s="1" t="s">
        <v>6539</v>
      </c>
      <c r="G2443" s="1" t="s">
        <v>121</v>
      </c>
      <c r="H2443" s="3" t="s">
        <v>6540</v>
      </c>
      <c r="I2443" s="1"/>
      <c r="J2443" s="1"/>
      <c r="K2443" s="1"/>
    </row>
    <row r="2444" ht="15.75" customHeight="1">
      <c r="A2444" s="2">
        <v>2443.0</v>
      </c>
      <c r="B2444" s="1" t="s">
        <v>6541</v>
      </c>
      <c r="C2444" s="1" t="s">
        <v>559</v>
      </c>
      <c r="D2444" s="1" t="s">
        <v>265</v>
      </c>
      <c r="E2444" s="2">
        <v>5.70038000683E11</v>
      </c>
      <c r="F2444" s="1" t="s">
        <v>6542</v>
      </c>
      <c r="G2444" s="1" t="s">
        <v>121</v>
      </c>
      <c r="H2444" s="3" t="s">
        <v>4873</v>
      </c>
      <c r="I2444" s="1"/>
      <c r="J2444" s="1"/>
      <c r="K2444" s="1"/>
    </row>
    <row r="2445" ht="15.75" customHeight="1">
      <c r="A2445" s="2">
        <v>2444.0</v>
      </c>
      <c r="B2445" s="1" t="s">
        <v>6543</v>
      </c>
      <c r="C2445" s="1" t="s">
        <v>608</v>
      </c>
      <c r="D2445" s="1" t="s">
        <v>6544</v>
      </c>
      <c r="E2445" s="2">
        <v>5.70038000868E11</v>
      </c>
      <c r="F2445" s="1" t="s">
        <v>6545</v>
      </c>
      <c r="G2445" s="1" t="s">
        <v>121</v>
      </c>
      <c r="H2445" s="3" t="s">
        <v>4873</v>
      </c>
      <c r="I2445" s="1"/>
      <c r="J2445" s="1"/>
      <c r="K2445" s="1"/>
    </row>
    <row r="2446" ht="15.75" customHeight="1">
      <c r="A2446" s="2">
        <v>2445.0</v>
      </c>
      <c r="B2446" s="1" t="s">
        <v>6546</v>
      </c>
      <c r="C2446" s="1" t="s">
        <v>6547</v>
      </c>
      <c r="D2446" s="1" t="s">
        <v>6548</v>
      </c>
      <c r="E2446" s="2">
        <v>5.70038001082E11</v>
      </c>
      <c r="F2446" s="1" t="s">
        <v>6531</v>
      </c>
      <c r="G2446" s="1" t="s">
        <v>121</v>
      </c>
      <c r="H2446" s="3" t="s">
        <v>4873</v>
      </c>
      <c r="I2446" s="1"/>
      <c r="J2446" s="1"/>
      <c r="K2446" s="1"/>
    </row>
    <row r="2447" ht="15.75" customHeight="1">
      <c r="A2447" s="2">
        <v>2446.0</v>
      </c>
      <c r="B2447" s="1" t="s">
        <v>6549</v>
      </c>
      <c r="C2447" s="1" t="s">
        <v>514</v>
      </c>
      <c r="D2447" s="1" t="s">
        <v>6550</v>
      </c>
      <c r="E2447" s="2">
        <v>5.70038001089E11</v>
      </c>
      <c r="F2447" s="1" t="s">
        <v>6551</v>
      </c>
      <c r="G2447" s="1" t="s">
        <v>121</v>
      </c>
      <c r="H2447" s="3" t="s">
        <v>6552</v>
      </c>
      <c r="I2447" s="1"/>
      <c r="J2447" s="1"/>
      <c r="K2447" s="1"/>
    </row>
    <row r="2448" ht="15.75" customHeight="1">
      <c r="A2448" s="2">
        <v>2447.0</v>
      </c>
      <c r="B2448" s="1" t="s">
        <v>6553</v>
      </c>
      <c r="C2448" s="1" t="s">
        <v>2040</v>
      </c>
      <c r="D2448" s="1" t="s">
        <v>6554</v>
      </c>
      <c r="E2448" s="2">
        <v>5.70038001296E11</v>
      </c>
      <c r="F2448" s="1" t="s">
        <v>6555</v>
      </c>
      <c r="G2448" s="1" t="s">
        <v>121</v>
      </c>
      <c r="H2448" s="3" t="s">
        <v>4873</v>
      </c>
      <c r="I2448" s="1"/>
      <c r="J2448" s="1"/>
      <c r="K2448" s="1"/>
    </row>
    <row r="2449" ht="15.75" customHeight="1">
      <c r="A2449" s="2">
        <v>2448.0</v>
      </c>
      <c r="B2449" s="1" t="s">
        <v>6556</v>
      </c>
      <c r="C2449" s="1" t="s">
        <v>311</v>
      </c>
      <c r="D2449" s="1" t="s">
        <v>6557</v>
      </c>
      <c r="E2449" s="2">
        <v>5.70038001656E11</v>
      </c>
      <c r="F2449" s="1" t="s">
        <v>6558</v>
      </c>
      <c r="G2449" s="1" t="s">
        <v>121</v>
      </c>
      <c r="H2449" s="3" t="s">
        <v>4873</v>
      </c>
      <c r="I2449" s="1"/>
      <c r="J2449" s="1"/>
      <c r="K2449" s="1"/>
    </row>
    <row r="2450" ht="15.75" customHeight="1">
      <c r="A2450" s="2">
        <v>2449.0</v>
      </c>
      <c r="B2450" s="1" t="s">
        <v>6559</v>
      </c>
      <c r="C2450" s="1" t="s">
        <v>496</v>
      </c>
      <c r="D2450" s="1" t="s">
        <v>6560</v>
      </c>
      <c r="E2450" s="2">
        <v>5.70038001668E11</v>
      </c>
      <c r="F2450" s="1" t="s">
        <v>6561</v>
      </c>
      <c r="G2450" s="1" t="s">
        <v>121</v>
      </c>
      <c r="H2450" s="3" t="s">
        <v>4873</v>
      </c>
      <c r="I2450" s="1"/>
      <c r="J2450" s="1"/>
      <c r="K2450" s="1"/>
    </row>
    <row r="2451" ht="15.75" customHeight="1">
      <c r="A2451" s="2">
        <v>2450.0</v>
      </c>
      <c r="B2451" s="1" t="s">
        <v>6562</v>
      </c>
      <c r="C2451" s="1" t="s">
        <v>5390</v>
      </c>
      <c r="D2451" s="1" t="s">
        <v>6563</v>
      </c>
      <c r="E2451" s="2">
        <v>5.7003800167E11</v>
      </c>
      <c r="F2451" s="1" t="s">
        <v>6564</v>
      </c>
      <c r="G2451" s="1" t="s">
        <v>121</v>
      </c>
      <c r="H2451" s="3" t="s">
        <v>4873</v>
      </c>
      <c r="I2451" s="1"/>
      <c r="J2451" s="1"/>
      <c r="K2451" s="1"/>
    </row>
    <row r="2452" ht="15.75" customHeight="1">
      <c r="A2452" s="2">
        <v>2451.0</v>
      </c>
      <c r="B2452" s="1" t="s">
        <v>6565</v>
      </c>
      <c r="C2452" s="1" t="s">
        <v>25</v>
      </c>
      <c r="D2452" s="1" t="s">
        <v>335</v>
      </c>
      <c r="E2452" s="2">
        <v>5.70038001673E11</v>
      </c>
      <c r="F2452" s="1" t="s">
        <v>6566</v>
      </c>
      <c r="G2452" s="1" t="s">
        <v>121</v>
      </c>
      <c r="H2452" s="3" t="s">
        <v>4873</v>
      </c>
      <c r="I2452" s="1"/>
      <c r="J2452" s="1"/>
      <c r="K2452" s="1"/>
    </row>
    <row r="2453" ht="15.75" customHeight="1">
      <c r="A2453" s="2">
        <v>2452.0</v>
      </c>
      <c r="B2453" s="1" t="s">
        <v>3316</v>
      </c>
      <c r="C2453" s="1" t="s">
        <v>488</v>
      </c>
      <c r="D2453" s="1" t="s">
        <v>6567</v>
      </c>
      <c r="E2453" s="2">
        <v>5.70038001674E11</v>
      </c>
      <c r="F2453" s="1" t="s">
        <v>6568</v>
      </c>
      <c r="G2453" s="1" t="s">
        <v>121</v>
      </c>
      <c r="H2453" s="3" t="s">
        <v>4873</v>
      </c>
      <c r="I2453" s="1"/>
      <c r="J2453" s="1"/>
      <c r="K2453" s="1"/>
    </row>
    <row r="2454" ht="15.75" customHeight="1">
      <c r="A2454" s="2">
        <v>2453.0</v>
      </c>
      <c r="B2454" s="1" t="s">
        <v>6569</v>
      </c>
      <c r="C2454" s="1" t="s">
        <v>289</v>
      </c>
      <c r="D2454" s="1" t="s">
        <v>6570</v>
      </c>
      <c r="E2454" s="2">
        <v>5.70038001675E11</v>
      </c>
      <c r="F2454" s="1" t="s">
        <v>6571</v>
      </c>
      <c r="G2454" s="1" t="s">
        <v>121</v>
      </c>
      <c r="H2454" s="3" t="s">
        <v>4873</v>
      </c>
      <c r="I2454" s="1"/>
      <c r="J2454" s="1"/>
      <c r="K2454" s="1"/>
    </row>
    <row r="2455" ht="15.75" customHeight="1">
      <c r="A2455" s="2">
        <v>2454.0</v>
      </c>
      <c r="B2455" s="1" t="s">
        <v>6572</v>
      </c>
      <c r="C2455" s="1" t="s">
        <v>308</v>
      </c>
      <c r="D2455" s="1" t="s">
        <v>6573</v>
      </c>
      <c r="E2455" s="2">
        <v>5.70038001676E11</v>
      </c>
      <c r="F2455" s="1" t="s">
        <v>6574</v>
      </c>
      <c r="G2455" s="1" t="s">
        <v>47</v>
      </c>
      <c r="H2455" s="3" t="s">
        <v>4873</v>
      </c>
      <c r="I2455" s="1"/>
      <c r="J2455" s="1"/>
      <c r="K2455" s="1"/>
    </row>
    <row r="2456" ht="15.75" customHeight="1">
      <c r="A2456" s="2">
        <v>2455.0</v>
      </c>
      <c r="B2456" s="1" t="s">
        <v>6575</v>
      </c>
      <c r="C2456" s="1" t="s">
        <v>6576</v>
      </c>
      <c r="D2456" s="1" t="s">
        <v>381</v>
      </c>
      <c r="E2456" s="2">
        <v>5.70038001677E11</v>
      </c>
      <c r="F2456" s="1" t="s">
        <v>6577</v>
      </c>
      <c r="G2456" s="1" t="s">
        <v>121</v>
      </c>
      <c r="H2456" s="3" t="s">
        <v>4873</v>
      </c>
      <c r="I2456" s="1"/>
      <c r="J2456" s="1"/>
      <c r="K2456" s="1"/>
    </row>
    <row r="2457" ht="15.75" customHeight="1">
      <c r="A2457" s="2">
        <v>2456.0</v>
      </c>
      <c r="B2457" s="1" t="s">
        <v>6578</v>
      </c>
      <c r="C2457" s="1" t="s">
        <v>1088</v>
      </c>
      <c r="D2457" s="1" t="s">
        <v>381</v>
      </c>
      <c r="E2457" s="2">
        <v>5.70038001678E11</v>
      </c>
      <c r="F2457" s="1" t="s">
        <v>6579</v>
      </c>
      <c r="G2457" s="1" t="s">
        <v>121</v>
      </c>
      <c r="H2457" s="3" t="s">
        <v>4873</v>
      </c>
      <c r="I2457" s="1"/>
      <c r="J2457" s="1"/>
      <c r="K2457" s="1"/>
    </row>
    <row r="2458" ht="15.75" customHeight="1">
      <c r="A2458" s="2">
        <v>2457.0</v>
      </c>
      <c r="B2458" s="1" t="s">
        <v>735</v>
      </c>
      <c r="C2458" s="1" t="s">
        <v>6580</v>
      </c>
      <c r="D2458" s="1" t="s">
        <v>5089</v>
      </c>
      <c r="E2458" s="2">
        <v>5.7003800168E11</v>
      </c>
      <c r="F2458" s="1" t="s">
        <v>6581</v>
      </c>
      <c r="G2458" s="1" t="s">
        <v>121</v>
      </c>
      <c r="H2458" s="3" t="s">
        <v>4873</v>
      </c>
      <c r="I2458" s="1"/>
      <c r="J2458" s="1"/>
      <c r="K2458" s="1"/>
    </row>
    <row r="2459" ht="15.75" customHeight="1">
      <c r="A2459" s="2">
        <v>2458.0</v>
      </c>
      <c r="B2459" s="1" t="s">
        <v>187</v>
      </c>
      <c r="C2459" s="1" t="s">
        <v>257</v>
      </c>
      <c r="D2459" s="1" t="s">
        <v>755</v>
      </c>
      <c r="E2459" s="2">
        <v>5.70038001681E11</v>
      </c>
      <c r="F2459" s="1" t="s">
        <v>6582</v>
      </c>
      <c r="G2459" s="1" t="s">
        <v>121</v>
      </c>
      <c r="H2459" s="3" t="s">
        <v>4873</v>
      </c>
      <c r="I2459" s="1"/>
      <c r="J2459" s="1"/>
      <c r="K2459" s="1"/>
    </row>
    <row r="2460" ht="15.75" customHeight="1">
      <c r="A2460" s="2">
        <v>2459.0</v>
      </c>
      <c r="B2460" s="1" t="s">
        <v>6583</v>
      </c>
      <c r="C2460" s="1" t="s">
        <v>488</v>
      </c>
      <c r="D2460" s="1" t="s">
        <v>335</v>
      </c>
      <c r="E2460" s="2">
        <v>5.70038001682E11</v>
      </c>
      <c r="F2460" s="1" t="s">
        <v>6584</v>
      </c>
      <c r="G2460" s="1" t="s">
        <v>121</v>
      </c>
      <c r="H2460" s="3" t="s">
        <v>4873</v>
      </c>
      <c r="I2460" s="1"/>
      <c r="J2460" s="1"/>
      <c r="K2460" s="1"/>
    </row>
    <row r="2461" ht="15.75" customHeight="1">
      <c r="A2461" s="2">
        <v>2460.0</v>
      </c>
      <c r="B2461" s="1" t="s">
        <v>6585</v>
      </c>
      <c r="C2461" s="1" t="s">
        <v>590</v>
      </c>
      <c r="D2461" s="1" t="s">
        <v>6586</v>
      </c>
      <c r="E2461" s="2">
        <v>5.70038001688E11</v>
      </c>
      <c r="F2461" s="1" t="s">
        <v>6587</v>
      </c>
      <c r="G2461" s="1" t="s">
        <v>121</v>
      </c>
      <c r="H2461" s="3" t="s">
        <v>4873</v>
      </c>
      <c r="I2461" s="1"/>
      <c r="J2461" s="1"/>
      <c r="K2461" s="1"/>
    </row>
    <row r="2462" ht="15.75" customHeight="1">
      <c r="A2462" s="2">
        <v>2461.0</v>
      </c>
      <c r="B2462" s="1" t="s">
        <v>3673</v>
      </c>
      <c r="C2462" s="1" t="s">
        <v>1904</v>
      </c>
      <c r="D2462" s="1" t="s">
        <v>2072</v>
      </c>
      <c r="E2462" s="2">
        <v>5.7003800169E11</v>
      </c>
      <c r="F2462" s="1" t="s">
        <v>6588</v>
      </c>
      <c r="G2462" s="1" t="s">
        <v>121</v>
      </c>
      <c r="H2462" s="3" t="s">
        <v>4873</v>
      </c>
      <c r="I2462" s="1"/>
      <c r="J2462" s="1"/>
      <c r="K2462" s="1"/>
    </row>
    <row r="2463" ht="15.75" customHeight="1">
      <c r="A2463" s="2">
        <v>2462.0</v>
      </c>
      <c r="B2463" s="1" t="s">
        <v>6589</v>
      </c>
      <c r="C2463" s="1" t="s">
        <v>2402</v>
      </c>
      <c r="D2463" s="1" t="s">
        <v>6590</v>
      </c>
      <c r="E2463" s="2">
        <v>5.70038001691E11</v>
      </c>
      <c r="F2463" s="1" t="s">
        <v>6591</v>
      </c>
      <c r="G2463" s="1" t="s">
        <v>121</v>
      </c>
      <c r="H2463" s="3" t="s">
        <v>4873</v>
      </c>
      <c r="I2463" s="1"/>
      <c r="J2463" s="1"/>
      <c r="K2463" s="1"/>
    </row>
    <row r="2464" ht="15.75" customHeight="1">
      <c r="A2464" s="2">
        <v>2463.0</v>
      </c>
      <c r="B2464" s="1" t="s">
        <v>4939</v>
      </c>
      <c r="C2464" s="1" t="s">
        <v>254</v>
      </c>
      <c r="D2464" s="1" t="s">
        <v>2551</v>
      </c>
      <c r="E2464" s="2">
        <v>5.70038001693E11</v>
      </c>
      <c r="F2464" s="1" t="s">
        <v>6592</v>
      </c>
      <c r="G2464" s="1" t="s">
        <v>121</v>
      </c>
      <c r="H2464" s="3" t="s">
        <v>6593</v>
      </c>
      <c r="I2464" s="1"/>
      <c r="J2464" s="1"/>
      <c r="K2464" s="1"/>
    </row>
    <row r="2465" ht="15.75" customHeight="1">
      <c r="A2465" s="2">
        <v>2464.0</v>
      </c>
      <c r="B2465" s="1" t="s">
        <v>6068</v>
      </c>
      <c r="C2465" s="1" t="s">
        <v>6594</v>
      </c>
      <c r="D2465" s="1" t="s">
        <v>6595</v>
      </c>
      <c r="E2465" s="2">
        <v>5.70038001694E11</v>
      </c>
      <c r="F2465" s="1" t="s">
        <v>6596</v>
      </c>
      <c r="G2465" s="1" t="s">
        <v>121</v>
      </c>
      <c r="H2465" s="3" t="s">
        <v>4873</v>
      </c>
      <c r="I2465" s="1"/>
      <c r="J2465" s="1"/>
      <c r="K2465" s="1"/>
    </row>
    <row r="2466" ht="15.75" customHeight="1">
      <c r="A2466" s="2">
        <v>2465.0</v>
      </c>
      <c r="B2466" s="1" t="s">
        <v>6597</v>
      </c>
      <c r="C2466" s="1" t="s">
        <v>39</v>
      </c>
      <c r="D2466" s="1" t="s">
        <v>6598</v>
      </c>
      <c r="E2466" s="2">
        <v>5.70038001695E11</v>
      </c>
      <c r="F2466" s="1" t="s">
        <v>6599</v>
      </c>
      <c r="G2466" s="1" t="s">
        <v>47</v>
      </c>
      <c r="H2466" s="3" t="s">
        <v>4873</v>
      </c>
      <c r="I2466" s="1"/>
      <c r="J2466" s="1"/>
      <c r="K2466" s="1"/>
    </row>
    <row r="2467" ht="15.75" customHeight="1">
      <c r="A2467" s="2">
        <v>2466.0</v>
      </c>
      <c r="B2467" s="1" t="s">
        <v>6600</v>
      </c>
      <c r="C2467" s="1" t="s">
        <v>1760</v>
      </c>
      <c r="D2467" s="1" t="s">
        <v>6601</v>
      </c>
      <c r="E2467" s="2">
        <v>5.70038001698E11</v>
      </c>
      <c r="F2467" s="1" t="s">
        <v>6602</v>
      </c>
      <c r="G2467" s="1" t="s">
        <v>121</v>
      </c>
      <c r="H2467" s="3" t="s">
        <v>4873</v>
      </c>
      <c r="I2467" s="1"/>
      <c r="J2467" s="1"/>
      <c r="K2467" s="1"/>
    </row>
    <row r="2468" ht="15.75" customHeight="1">
      <c r="A2468" s="2">
        <v>2467.0</v>
      </c>
      <c r="B2468" s="1" t="s">
        <v>6603</v>
      </c>
      <c r="C2468" s="1" t="s">
        <v>936</v>
      </c>
      <c r="D2468" s="1" t="s">
        <v>6604</v>
      </c>
      <c r="E2468" s="2">
        <v>5.700380017E11</v>
      </c>
      <c r="F2468" s="1" t="s">
        <v>6605</v>
      </c>
      <c r="G2468" s="1" t="s">
        <v>121</v>
      </c>
      <c r="H2468" s="3" t="s">
        <v>4873</v>
      </c>
      <c r="I2468" s="1"/>
      <c r="J2468" s="1"/>
      <c r="K2468" s="1"/>
    </row>
    <row r="2469" ht="15.75" customHeight="1">
      <c r="A2469" s="2">
        <v>2468.0</v>
      </c>
      <c r="B2469" s="1" t="s">
        <v>6606</v>
      </c>
      <c r="C2469" s="1" t="s">
        <v>6607</v>
      </c>
      <c r="D2469" s="1" t="s">
        <v>6608</v>
      </c>
      <c r="E2469" s="2">
        <v>5.70038001703E11</v>
      </c>
      <c r="F2469" s="1" t="s">
        <v>6609</v>
      </c>
      <c r="G2469" s="1" t="s">
        <v>121</v>
      </c>
      <c r="H2469" s="3" t="s">
        <v>4873</v>
      </c>
      <c r="I2469" s="1"/>
      <c r="J2469" s="1"/>
      <c r="K2469" s="1"/>
    </row>
    <row r="2470" ht="15.75" customHeight="1">
      <c r="A2470" s="2">
        <v>2469.0</v>
      </c>
      <c r="B2470" s="1" t="s">
        <v>6610</v>
      </c>
      <c r="C2470" s="1" t="s">
        <v>326</v>
      </c>
      <c r="D2470" s="1" t="s">
        <v>6611</v>
      </c>
      <c r="E2470" s="2">
        <v>5.70038001704E11</v>
      </c>
      <c r="F2470" s="1" t="s">
        <v>6612</v>
      </c>
      <c r="G2470" s="1" t="s">
        <v>121</v>
      </c>
      <c r="H2470" s="3" t="s">
        <v>4873</v>
      </c>
      <c r="I2470" s="1"/>
      <c r="J2470" s="1"/>
      <c r="K2470" s="1"/>
    </row>
    <row r="2471" ht="15.75" customHeight="1">
      <c r="A2471" s="2">
        <v>2470.0</v>
      </c>
      <c r="B2471" s="1" t="s">
        <v>6613</v>
      </c>
      <c r="C2471" s="1" t="s">
        <v>2041</v>
      </c>
      <c r="D2471" s="1" t="s">
        <v>6614</v>
      </c>
      <c r="E2471" s="2">
        <v>5.70038001706E11</v>
      </c>
      <c r="F2471" s="1" t="s">
        <v>6615</v>
      </c>
      <c r="G2471" s="1" t="s">
        <v>121</v>
      </c>
      <c r="H2471" s="3" t="s">
        <v>4873</v>
      </c>
      <c r="I2471" s="1"/>
      <c r="J2471" s="1"/>
      <c r="K2471" s="1"/>
    </row>
    <row r="2472" ht="15.75" customHeight="1">
      <c r="A2472" s="2">
        <v>2471.0</v>
      </c>
      <c r="B2472" s="1" t="s">
        <v>6616</v>
      </c>
      <c r="C2472" s="1" t="s">
        <v>844</v>
      </c>
      <c r="D2472" s="1" t="s">
        <v>6617</v>
      </c>
      <c r="E2472" s="2">
        <v>5.70038001709E11</v>
      </c>
      <c r="F2472" s="1" t="s">
        <v>6618</v>
      </c>
      <c r="G2472" s="1" t="s">
        <v>121</v>
      </c>
      <c r="H2472" s="3" t="s">
        <v>4873</v>
      </c>
      <c r="I2472" s="1"/>
      <c r="J2472" s="1"/>
      <c r="K2472" s="1"/>
    </row>
    <row r="2473" ht="15.75" customHeight="1">
      <c r="A2473" s="2">
        <v>2472.0</v>
      </c>
      <c r="B2473" s="1" t="s">
        <v>6597</v>
      </c>
      <c r="C2473" s="1" t="s">
        <v>387</v>
      </c>
      <c r="D2473" s="1" t="s">
        <v>6619</v>
      </c>
      <c r="E2473" s="2">
        <v>5.70038001714E11</v>
      </c>
      <c r="F2473" s="1" t="s">
        <v>6620</v>
      </c>
      <c r="G2473" s="1" t="s">
        <v>121</v>
      </c>
      <c r="H2473" s="3" t="s">
        <v>4873</v>
      </c>
      <c r="I2473" s="1"/>
      <c r="J2473" s="1"/>
      <c r="K2473" s="1"/>
    </row>
    <row r="2474" ht="15.75" customHeight="1">
      <c r="A2474" s="2">
        <v>2473.0</v>
      </c>
      <c r="B2474" s="1" t="s">
        <v>6621</v>
      </c>
      <c r="C2474" s="1" t="s">
        <v>165</v>
      </c>
      <c r="D2474" s="1" t="s">
        <v>6622</v>
      </c>
      <c r="E2474" s="2">
        <v>5.7003800172E11</v>
      </c>
      <c r="F2474" s="1" t="s">
        <v>6531</v>
      </c>
      <c r="G2474" s="1" t="s">
        <v>121</v>
      </c>
      <c r="H2474" s="3" t="s">
        <v>6623</v>
      </c>
      <c r="I2474" s="1"/>
      <c r="J2474" s="1"/>
      <c r="K2474" s="1"/>
    </row>
    <row r="2475" ht="15.75" customHeight="1">
      <c r="A2475" s="2">
        <v>2474.0</v>
      </c>
      <c r="B2475" s="1" t="s">
        <v>6624</v>
      </c>
      <c r="C2475" s="1" t="s">
        <v>753</v>
      </c>
      <c r="D2475" s="1" t="s">
        <v>5089</v>
      </c>
      <c r="E2475" s="2">
        <v>5.70038001723E11</v>
      </c>
      <c r="F2475" s="1" t="s">
        <v>6625</v>
      </c>
      <c r="G2475" s="1" t="s">
        <v>121</v>
      </c>
      <c r="H2475" s="3" t="s">
        <v>4873</v>
      </c>
      <c r="I2475" s="1"/>
      <c r="J2475" s="1"/>
      <c r="K2475" s="1"/>
    </row>
    <row r="2476" ht="15.75" customHeight="1">
      <c r="A2476" s="2">
        <v>2475.0</v>
      </c>
      <c r="B2476" s="1" t="s">
        <v>6626</v>
      </c>
      <c r="C2476" s="1" t="s">
        <v>6627</v>
      </c>
      <c r="D2476" s="1" t="s">
        <v>5790</v>
      </c>
      <c r="E2476" s="2">
        <v>5.70038001726E11</v>
      </c>
      <c r="F2476" s="1" t="s">
        <v>6628</v>
      </c>
      <c r="G2476" s="1" t="s">
        <v>121</v>
      </c>
      <c r="H2476" s="3" t="s">
        <v>4873</v>
      </c>
      <c r="I2476" s="1"/>
      <c r="J2476" s="1"/>
      <c r="K2476" s="1"/>
    </row>
    <row r="2477" ht="15.75" customHeight="1">
      <c r="A2477" s="2">
        <v>2476.0</v>
      </c>
      <c r="B2477" s="1" t="s">
        <v>6629</v>
      </c>
      <c r="C2477" s="1" t="s">
        <v>2830</v>
      </c>
      <c r="D2477" s="1" t="s">
        <v>1209</v>
      </c>
      <c r="E2477" s="2">
        <v>5.70038001728E11</v>
      </c>
      <c r="F2477" s="1" t="s">
        <v>6630</v>
      </c>
      <c r="G2477" s="1" t="s">
        <v>90</v>
      </c>
      <c r="H2477" s="3" t="s">
        <v>6631</v>
      </c>
      <c r="I2477" s="1"/>
      <c r="J2477" s="1"/>
      <c r="K2477" s="1"/>
    </row>
    <row r="2478" ht="15.75" customHeight="1">
      <c r="A2478" s="2">
        <v>2477.0</v>
      </c>
      <c r="B2478" s="1" t="s">
        <v>6086</v>
      </c>
      <c r="C2478" s="1" t="s">
        <v>656</v>
      </c>
      <c r="D2478" s="1" t="s">
        <v>5183</v>
      </c>
      <c r="E2478" s="2">
        <v>5.7003800173E11</v>
      </c>
      <c r="F2478" s="1" t="s">
        <v>6632</v>
      </c>
      <c r="G2478" s="1" t="s">
        <v>121</v>
      </c>
      <c r="H2478" s="3" t="s">
        <v>4873</v>
      </c>
      <c r="I2478" s="1"/>
      <c r="J2478" s="1"/>
      <c r="K2478" s="1"/>
    </row>
    <row r="2479" ht="15.75" customHeight="1">
      <c r="A2479" s="2">
        <v>2478.0</v>
      </c>
      <c r="B2479" s="1" t="s">
        <v>5970</v>
      </c>
      <c r="C2479" s="1" t="s">
        <v>2610</v>
      </c>
      <c r="D2479" s="1" t="s">
        <v>2182</v>
      </c>
      <c r="E2479" s="2">
        <v>5.70038001731E11</v>
      </c>
      <c r="F2479" s="1" t="s">
        <v>6531</v>
      </c>
      <c r="G2479" s="1" t="s">
        <v>121</v>
      </c>
      <c r="H2479" s="3" t="s">
        <v>4873</v>
      </c>
      <c r="I2479" s="1"/>
      <c r="J2479" s="1"/>
      <c r="K2479" s="1"/>
    </row>
    <row r="2480" ht="15.75" customHeight="1">
      <c r="A2480" s="2">
        <v>2479.0</v>
      </c>
      <c r="B2480" s="1" t="s">
        <v>6633</v>
      </c>
      <c r="C2480" s="1" t="s">
        <v>6634</v>
      </c>
      <c r="D2480" s="1" t="s">
        <v>6635</v>
      </c>
      <c r="E2480" s="2">
        <v>5.70038001732E11</v>
      </c>
      <c r="F2480" s="1" t="s">
        <v>6636</v>
      </c>
      <c r="G2480" s="1" t="s">
        <v>121</v>
      </c>
      <c r="H2480" s="3" t="s">
        <v>4873</v>
      </c>
      <c r="I2480" s="1"/>
      <c r="J2480" s="1"/>
      <c r="K2480" s="1"/>
    </row>
    <row r="2481" ht="15.75" customHeight="1">
      <c r="A2481" s="2">
        <v>2480.0</v>
      </c>
      <c r="B2481" s="1" t="s">
        <v>6637</v>
      </c>
      <c r="C2481" s="1" t="s">
        <v>827</v>
      </c>
      <c r="D2481" s="1" t="s">
        <v>6638</v>
      </c>
      <c r="E2481" s="2">
        <v>5.70038001734E11</v>
      </c>
      <c r="F2481" s="1" t="s">
        <v>6639</v>
      </c>
      <c r="G2481" s="1" t="s">
        <v>121</v>
      </c>
      <c r="H2481" s="3" t="s">
        <v>4873</v>
      </c>
      <c r="I2481" s="1"/>
      <c r="J2481" s="1"/>
      <c r="K2481" s="1"/>
    </row>
    <row r="2482" ht="15.75" customHeight="1">
      <c r="A2482" s="2">
        <v>2481.0</v>
      </c>
      <c r="B2482" s="1" t="s">
        <v>6640</v>
      </c>
      <c r="C2482" s="1" t="s">
        <v>257</v>
      </c>
      <c r="D2482" s="1" t="s">
        <v>5501</v>
      </c>
      <c r="E2482" s="2">
        <v>5.70038001736E11</v>
      </c>
      <c r="F2482" s="1" t="s">
        <v>6641</v>
      </c>
      <c r="G2482" s="1" t="s">
        <v>121</v>
      </c>
      <c r="H2482" s="3" t="s">
        <v>4873</v>
      </c>
      <c r="I2482" s="1"/>
      <c r="J2482" s="1"/>
      <c r="K2482" s="1"/>
    </row>
    <row r="2483" ht="15.75" customHeight="1">
      <c r="A2483" s="2">
        <v>2482.0</v>
      </c>
      <c r="B2483" s="1" t="s">
        <v>6642</v>
      </c>
      <c r="C2483" s="1" t="s">
        <v>6643</v>
      </c>
      <c r="D2483" s="1" t="s">
        <v>1270</v>
      </c>
      <c r="E2483" s="2">
        <v>5.70038001741E11</v>
      </c>
      <c r="F2483" s="1" t="s">
        <v>6644</v>
      </c>
      <c r="G2483" s="1" t="s">
        <v>121</v>
      </c>
      <c r="H2483" s="3" t="s">
        <v>4873</v>
      </c>
      <c r="I2483" s="1"/>
      <c r="J2483" s="1"/>
      <c r="K2483" s="1"/>
    </row>
    <row r="2484" ht="15.75" customHeight="1">
      <c r="A2484" s="2">
        <v>2483.0</v>
      </c>
      <c r="B2484" s="1" t="s">
        <v>5498</v>
      </c>
      <c r="C2484" s="1" t="s">
        <v>1394</v>
      </c>
      <c r="D2484" s="1" t="s">
        <v>6645</v>
      </c>
      <c r="E2484" s="2">
        <v>5.70038001742E11</v>
      </c>
      <c r="F2484" s="1" t="s">
        <v>6646</v>
      </c>
      <c r="G2484" s="1" t="s">
        <v>121</v>
      </c>
      <c r="H2484" s="3" t="s">
        <v>4873</v>
      </c>
      <c r="I2484" s="1"/>
      <c r="J2484" s="1"/>
      <c r="K2484" s="1"/>
    </row>
    <row r="2485" ht="15.75" customHeight="1">
      <c r="A2485" s="2">
        <v>2484.0</v>
      </c>
      <c r="B2485" s="1" t="s">
        <v>6647</v>
      </c>
      <c r="C2485" s="1" t="s">
        <v>1133</v>
      </c>
      <c r="D2485" s="1" t="s">
        <v>265</v>
      </c>
      <c r="E2485" s="2">
        <v>5.70038001743E11</v>
      </c>
      <c r="F2485" s="1" t="s">
        <v>6648</v>
      </c>
      <c r="G2485" s="1" t="s">
        <v>121</v>
      </c>
      <c r="H2485" s="3" t="s">
        <v>4873</v>
      </c>
      <c r="I2485" s="1"/>
      <c r="J2485" s="1"/>
      <c r="K2485" s="1"/>
    </row>
    <row r="2486" ht="15.75" customHeight="1">
      <c r="A2486" s="2">
        <v>2485.0</v>
      </c>
      <c r="B2486" s="1" t="s">
        <v>6649</v>
      </c>
      <c r="C2486" s="1" t="s">
        <v>3449</v>
      </c>
      <c r="D2486" s="1" t="s">
        <v>6269</v>
      </c>
      <c r="E2486" s="2">
        <v>5.70038001744E11</v>
      </c>
      <c r="F2486" s="1" t="s">
        <v>6650</v>
      </c>
      <c r="G2486" s="1" t="s">
        <v>24</v>
      </c>
      <c r="H2486" s="3" t="s">
        <v>4873</v>
      </c>
      <c r="I2486" s="1"/>
      <c r="J2486" s="1"/>
      <c r="K2486" s="1"/>
    </row>
    <row r="2487" ht="15.75" customHeight="1">
      <c r="A2487" s="2">
        <v>2486.0</v>
      </c>
      <c r="B2487" s="1" t="s">
        <v>6546</v>
      </c>
      <c r="C2487" s="1" t="s">
        <v>139</v>
      </c>
      <c r="D2487" s="1" t="s">
        <v>1880</v>
      </c>
      <c r="E2487" s="2">
        <v>5.7003800175E11</v>
      </c>
      <c r="F2487" s="1" t="s">
        <v>6651</v>
      </c>
      <c r="G2487" s="1" t="s">
        <v>121</v>
      </c>
      <c r="H2487" s="3" t="s">
        <v>4873</v>
      </c>
      <c r="I2487" s="1"/>
      <c r="J2487" s="1"/>
      <c r="K2487" s="1"/>
    </row>
    <row r="2488" ht="15.75" customHeight="1">
      <c r="A2488" s="2">
        <v>2487.0</v>
      </c>
      <c r="B2488" s="1" t="s">
        <v>223</v>
      </c>
      <c r="C2488" s="1" t="s">
        <v>6652</v>
      </c>
      <c r="D2488" s="1" t="s">
        <v>335</v>
      </c>
      <c r="E2488" s="2">
        <v>5.70038001751E11</v>
      </c>
      <c r="F2488" s="1" t="s">
        <v>6653</v>
      </c>
      <c r="G2488" s="1" t="s">
        <v>47</v>
      </c>
      <c r="H2488" s="3" t="s">
        <v>4873</v>
      </c>
      <c r="I2488" s="1"/>
      <c r="J2488" s="1"/>
      <c r="K2488" s="1"/>
    </row>
    <row r="2489" ht="15.75" customHeight="1">
      <c r="A2489" s="2">
        <v>2488.0</v>
      </c>
      <c r="B2489" s="1" t="s">
        <v>6654</v>
      </c>
      <c r="C2489" s="1" t="s">
        <v>192</v>
      </c>
      <c r="D2489" s="1" t="s">
        <v>115</v>
      </c>
      <c r="E2489" s="2">
        <v>5.70038001752E11</v>
      </c>
      <c r="F2489" s="1" t="s">
        <v>6655</v>
      </c>
      <c r="G2489" s="1" t="s">
        <v>121</v>
      </c>
      <c r="H2489" s="3" t="s">
        <v>4873</v>
      </c>
      <c r="I2489" s="1"/>
      <c r="J2489" s="1"/>
      <c r="K2489" s="1"/>
    </row>
    <row r="2490" ht="15.75" customHeight="1">
      <c r="A2490" s="2">
        <v>2489.0</v>
      </c>
      <c r="B2490" s="1" t="s">
        <v>6656</v>
      </c>
      <c r="C2490" s="1" t="s">
        <v>149</v>
      </c>
      <c r="D2490" s="1" t="s">
        <v>440</v>
      </c>
      <c r="E2490" s="2">
        <v>5.7003800176E11</v>
      </c>
      <c r="F2490" s="1" t="s">
        <v>6657</v>
      </c>
      <c r="G2490" s="1" t="s">
        <v>383</v>
      </c>
      <c r="H2490" s="3" t="s">
        <v>4873</v>
      </c>
      <c r="I2490" s="1"/>
      <c r="J2490" s="1"/>
      <c r="K2490" s="1"/>
    </row>
    <row r="2491" ht="15.75" customHeight="1">
      <c r="A2491" s="2">
        <v>2490.0</v>
      </c>
      <c r="B2491" s="1" t="s">
        <v>6658</v>
      </c>
      <c r="C2491" s="1" t="s">
        <v>559</v>
      </c>
      <c r="D2491" s="1" t="s">
        <v>6638</v>
      </c>
      <c r="E2491" s="2">
        <v>5.70038001762E11</v>
      </c>
      <c r="F2491" s="1" t="s">
        <v>6659</v>
      </c>
      <c r="G2491" s="1" t="s">
        <v>121</v>
      </c>
      <c r="H2491" s="3" t="s">
        <v>4873</v>
      </c>
      <c r="I2491" s="1"/>
      <c r="J2491" s="1"/>
      <c r="K2491" s="1"/>
    </row>
    <row r="2492" ht="15.75" customHeight="1">
      <c r="A2492" s="2">
        <v>2491.0</v>
      </c>
      <c r="B2492" s="1" t="s">
        <v>6086</v>
      </c>
      <c r="C2492" s="1" t="s">
        <v>945</v>
      </c>
      <c r="D2492" s="1" t="s">
        <v>6660</v>
      </c>
      <c r="E2492" s="2">
        <v>5.70038001764E11</v>
      </c>
      <c r="F2492" s="1" t="s">
        <v>6661</v>
      </c>
      <c r="G2492" s="1" t="s">
        <v>24</v>
      </c>
      <c r="H2492" s="3" t="s">
        <v>4873</v>
      </c>
      <c r="I2492" s="1"/>
      <c r="J2492" s="1"/>
      <c r="K2492" s="1"/>
    </row>
    <row r="2493" ht="15.75" customHeight="1">
      <c r="A2493" s="2">
        <v>2492.0</v>
      </c>
      <c r="B2493" s="1" t="s">
        <v>6662</v>
      </c>
      <c r="C2493" s="1" t="s">
        <v>1676</v>
      </c>
      <c r="D2493" s="1" t="s">
        <v>2535</v>
      </c>
      <c r="E2493" s="2">
        <v>5.70038001766E11</v>
      </c>
      <c r="F2493" s="1" t="s">
        <v>6663</v>
      </c>
      <c r="G2493" s="1" t="s">
        <v>18</v>
      </c>
      <c r="H2493" s="3" t="s">
        <v>4873</v>
      </c>
      <c r="I2493" s="1"/>
      <c r="J2493" s="1"/>
      <c r="K2493" s="1"/>
    </row>
    <row r="2494" ht="15.75" customHeight="1">
      <c r="A2494" s="2">
        <v>2493.0</v>
      </c>
      <c r="B2494" s="1" t="s">
        <v>6664</v>
      </c>
      <c r="C2494" s="1" t="s">
        <v>986</v>
      </c>
      <c r="D2494" s="1" t="s">
        <v>2072</v>
      </c>
      <c r="E2494" s="2">
        <v>5.70038001767E11</v>
      </c>
      <c r="F2494" s="1" t="s">
        <v>6665</v>
      </c>
      <c r="G2494" s="1" t="s">
        <v>121</v>
      </c>
      <c r="H2494" s="3" t="s">
        <v>4873</v>
      </c>
      <c r="I2494" s="1"/>
      <c r="J2494" s="1"/>
      <c r="K2494" s="1"/>
    </row>
    <row r="2495" ht="15.75" customHeight="1">
      <c r="A2495" s="2">
        <v>2494.0</v>
      </c>
      <c r="B2495" s="1" t="s">
        <v>6666</v>
      </c>
      <c r="C2495" s="1" t="s">
        <v>1574</v>
      </c>
      <c r="D2495" s="1" t="s">
        <v>6667</v>
      </c>
      <c r="E2495" s="2">
        <v>5.70038001768E11</v>
      </c>
      <c r="F2495" s="1" t="s">
        <v>6668</v>
      </c>
      <c r="G2495" s="1" t="s">
        <v>2327</v>
      </c>
      <c r="H2495" s="3" t="s">
        <v>4873</v>
      </c>
      <c r="I2495" s="1"/>
      <c r="J2495" s="1"/>
      <c r="K2495" s="1"/>
    </row>
    <row r="2496" ht="15.75" customHeight="1">
      <c r="A2496" s="2">
        <v>2495.0</v>
      </c>
      <c r="B2496" s="1" t="s">
        <v>6669</v>
      </c>
      <c r="C2496" s="1" t="s">
        <v>740</v>
      </c>
      <c r="D2496" s="1" t="s">
        <v>1519</v>
      </c>
      <c r="E2496" s="2">
        <v>5.70038001771E11</v>
      </c>
      <c r="F2496" s="1" t="s">
        <v>6670</v>
      </c>
      <c r="G2496" s="1" t="s">
        <v>121</v>
      </c>
      <c r="H2496" s="3" t="s">
        <v>4873</v>
      </c>
      <c r="I2496" s="1"/>
      <c r="J2496" s="1"/>
      <c r="K2496" s="1"/>
    </row>
    <row r="2497" ht="15.75" customHeight="1">
      <c r="A2497" s="2">
        <v>2496.0</v>
      </c>
      <c r="B2497" s="1" t="s">
        <v>6671</v>
      </c>
      <c r="C2497" s="1" t="s">
        <v>612</v>
      </c>
      <c r="D2497" s="1" t="s">
        <v>1918</v>
      </c>
      <c r="E2497" s="2">
        <v>5.70038001777E11</v>
      </c>
      <c r="F2497" s="1" t="s">
        <v>6672</v>
      </c>
      <c r="G2497" s="1" t="s">
        <v>121</v>
      </c>
      <c r="H2497" s="3" t="s">
        <v>4873</v>
      </c>
      <c r="I2497" s="1"/>
      <c r="J2497" s="1"/>
      <c r="K2497" s="1"/>
    </row>
    <row r="2498" ht="15.75" customHeight="1">
      <c r="A2498" s="2">
        <v>2497.0</v>
      </c>
      <c r="B2498" s="1" t="s">
        <v>1634</v>
      </c>
      <c r="C2498" s="1" t="s">
        <v>434</v>
      </c>
      <c r="D2498" s="1" t="s">
        <v>962</v>
      </c>
      <c r="E2498" s="2">
        <v>5.70038001779E11</v>
      </c>
      <c r="F2498" s="1" t="s">
        <v>6672</v>
      </c>
      <c r="G2498" s="1" t="s">
        <v>47</v>
      </c>
      <c r="H2498" s="3" t="s">
        <v>4873</v>
      </c>
      <c r="I2498" s="1"/>
      <c r="J2498" s="1"/>
      <c r="K2498" s="1"/>
    </row>
    <row r="2499" ht="15.75" customHeight="1">
      <c r="A2499" s="2">
        <v>2498.0</v>
      </c>
      <c r="B2499" s="1" t="s">
        <v>6673</v>
      </c>
      <c r="C2499" s="1" t="s">
        <v>2591</v>
      </c>
      <c r="D2499" s="1" t="s">
        <v>6674</v>
      </c>
      <c r="E2499" s="2">
        <v>5.7003800178E11</v>
      </c>
      <c r="F2499" s="1" t="s">
        <v>6675</v>
      </c>
      <c r="G2499" s="1" t="s">
        <v>121</v>
      </c>
      <c r="H2499" s="3" t="s">
        <v>4873</v>
      </c>
      <c r="I2499" s="1"/>
      <c r="J2499" s="1"/>
      <c r="K2499" s="1"/>
    </row>
    <row r="2500" ht="15.75" customHeight="1">
      <c r="A2500" s="2">
        <v>2499.0</v>
      </c>
      <c r="B2500" s="1" t="s">
        <v>5435</v>
      </c>
      <c r="C2500" s="1" t="s">
        <v>330</v>
      </c>
      <c r="D2500" s="1" t="s">
        <v>5337</v>
      </c>
      <c r="E2500" s="2">
        <v>5.70038001782E11</v>
      </c>
      <c r="F2500" s="1" t="s">
        <v>6676</v>
      </c>
      <c r="G2500" s="1" t="s">
        <v>121</v>
      </c>
      <c r="H2500" s="3" t="s">
        <v>4873</v>
      </c>
      <c r="I2500" s="1"/>
      <c r="J2500" s="1"/>
      <c r="K2500" s="1"/>
    </row>
    <row r="2501" ht="15.75" customHeight="1">
      <c r="A2501" s="2">
        <v>2500.0</v>
      </c>
      <c r="B2501" s="1" t="s">
        <v>6677</v>
      </c>
      <c r="C2501" s="1" t="s">
        <v>1783</v>
      </c>
      <c r="D2501" s="1" t="s">
        <v>6678</v>
      </c>
      <c r="E2501" s="2">
        <v>5.70038001783E11</v>
      </c>
      <c r="F2501" s="1" t="s">
        <v>6679</v>
      </c>
      <c r="G2501" s="1" t="s">
        <v>121</v>
      </c>
      <c r="H2501" s="3" t="s">
        <v>4873</v>
      </c>
      <c r="I2501" s="1"/>
      <c r="J2501" s="1"/>
      <c r="K2501" s="1"/>
    </row>
    <row r="2502" ht="15.75" customHeight="1">
      <c r="A2502" s="2">
        <v>2501.0</v>
      </c>
      <c r="B2502" s="1" t="s">
        <v>122</v>
      </c>
      <c r="C2502" s="1" t="s">
        <v>6680</v>
      </c>
      <c r="D2502" s="1" t="s">
        <v>6681</v>
      </c>
      <c r="E2502" s="2">
        <v>5.70038001784E11</v>
      </c>
      <c r="F2502" s="1" t="s">
        <v>6682</v>
      </c>
      <c r="G2502" s="1" t="s">
        <v>24</v>
      </c>
      <c r="H2502" s="3" t="s">
        <v>4873</v>
      </c>
      <c r="I2502" s="1"/>
      <c r="J2502" s="1"/>
      <c r="K2502" s="1"/>
    </row>
    <row r="2503" ht="15.75" customHeight="1">
      <c r="A2503" s="2">
        <v>2502.0</v>
      </c>
      <c r="B2503" s="1" t="s">
        <v>6683</v>
      </c>
      <c r="C2503" s="1" t="s">
        <v>6684</v>
      </c>
      <c r="D2503" s="1" t="s">
        <v>3456</v>
      </c>
      <c r="E2503" s="2">
        <v>5.70038001786E11</v>
      </c>
      <c r="F2503" s="1" t="s">
        <v>6685</v>
      </c>
      <c r="G2503" s="1" t="s">
        <v>121</v>
      </c>
      <c r="H2503" s="3" t="s">
        <v>4873</v>
      </c>
      <c r="I2503" s="1"/>
      <c r="J2503" s="1"/>
      <c r="K2503" s="1"/>
    </row>
    <row r="2504" ht="15.75" customHeight="1">
      <c r="A2504" s="2">
        <v>2503.0</v>
      </c>
      <c r="B2504" s="1" t="s">
        <v>6686</v>
      </c>
      <c r="C2504" s="1" t="s">
        <v>57</v>
      </c>
      <c r="D2504" s="1" t="s">
        <v>6687</v>
      </c>
      <c r="E2504" s="2">
        <v>5.70038001788E11</v>
      </c>
      <c r="F2504" s="1" t="s">
        <v>6688</v>
      </c>
      <c r="G2504" s="1" t="s">
        <v>121</v>
      </c>
      <c r="H2504" s="3" t="s">
        <v>4873</v>
      </c>
      <c r="I2504" s="1"/>
      <c r="J2504" s="1"/>
      <c r="K2504" s="1"/>
    </row>
    <row r="2505" ht="15.75" customHeight="1">
      <c r="A2505" s="2">
        <v>2504.0</v>
      </c>
      <c r="B2505" s="1" t="s">
        <v>6689</v>
      </c>
      <c r="C2505" s="1" t="s">
        <v>503</v>
      </c>
      <c r="D2505" s="1" t="s">
        <v>6690</v>
      </c>
      <c r="E2505" s="2">
        <v>5.70038001789E11</v>
      </c>
      <c r="F2505" s="1" t="s">
        <v>6691</v>
      </c>
      <c r="G2505" s="1" t="s">
        <v>121</v>
      </c>
      <c r="H2505" s="3" t="s">
        <v>4873</v>
      </c>
      <c r="I2505" s="1"/>
      <c r="J2505" s="1"/>
      <c r="K2505" s="1"/>
    </row>
    <row r="2506" ht="15.75" customHeight="1">
      <c r="A2506" s="2">
        <v>2505.0</v>
      </c>
      <c r="B2506" s="1" t="s">
        <v>6692</v>
      </c>
      <c r="C2506" s="1" t="s">
        <v>6693</v>
      </c>
      <c r="D2506" s="1" t="s">
        <v>1194</v>
      </c>
      <c r="E2506" s="2">
        <v>5.70038001793E11</v>
      </c>
      <c r="F2506" s="1" t="s">
        <v>6694</v>
      </c>
      <c r="G2506" s="1" t="s">
        <v>121</v>
      </c>
      <c r="H2506" s="3" t="s">
        <v>4873</v>
      </c>
      <c r="I2506" s="1"/>
      <c r="J2506" s="1"/>
      <c r="K2506" s="1"/>
    </row>
    <row r="2507" ht="15.75" customHeight="1">
      <c r="A2507" s="2">
        <v>2506.0</v>
      </c>
      <c r="B2507" s="1" t="s">
        <v>6695</v>
      </c>
      <c r="C2507" s="1" t="s">
        <v>964</v>
      </c>
      <c r="D2507" s="1" t="s">
        <v>4902</v>
      </c>
      <c r="E2507" s="2">
        <v>5.70038001794E11</v>
      </c>
      <c r="F2507" s="1" t="s">
        <v>6696</v>
      </c>
      <c r="G2507" s="1" t="s">
        <v>121</v>
      </c>
      <c r="H2507" s="3" t="s">
        <v>4873</v>
      </c>
      <c r="I2507" s="1"/>
      <c r="J2507" s="1"/>
      <c r="K2507" s="1"/>
    </row>
    <row r="2508" ht="15.75" customHeight="1">
      <c r="A2508" s="2">
        <v>2507.0</v>
      </c>
      <c r="B2508" s="1" t="s">
        <v>6697</v>
      </c>
      <c r="C2508" s="1" t="s">
        <v>6627</v>
      </c>
      <c r="D2508" s="1" t="s">
        <v>5790</v>
      </c>
      <c r="E2508" s="2">
        <v>5.70038001796E11</v>
      </c>
      <c r="F2508" s="1" t="s">
        <v>6676</v>
      </c>
      <c r="G2508" s="1" t="s">
        <v>121</v>
      </c>
      <c r="H2508" s="3" t="s">
        <v>4873</v>
      </c>
      <c r="I2508" s="1"/>
      <c r="J2508" s="1"/>
      <c r="K2508" s="1"/>
    </row>
    <row r="2509" ht="15.75" customHeight="1">
      <c r="A2509" s="2">
        <v>2508.0</v>
      </c>
      <c r="B2509" s="1" t="s">
        <v>6698</v>
      </c>
      <c r="C2509" s="1" t="s">
        <v>195</v>
      </c>
      <c r="D2509" s="1" t="s">
        <v>6699</v>
      </c>
      <c r="E2509" s="2">
        <v>5.70038001797E11</v>
      </c>
      <c r="F2509" s="1" t="s">
        <v>6700</v>
      </c>
      <c r="G2509" s="1" t="s">
        <v>121</v>
      </c>
      <c r="H2509" s="3" t="s">
        <v>4873</v>
      </c>
      <c r="I2509" s="1"/>
      <c r="J2509" s="1"/>
      <c r="K2509" s="1"/>
    </row>
    <row r="2510" ht="15.75" customHeight="1">
      <c r="A2510" s="2">
        <v>2509.0</v>
      </c>
      <c r="B2510" s="1" t="s">
        <v>6701</v>
      </c>
      <c r="C2510" s="1" t="s">
        <v>1584</v>
      </c>
      <c r="D2510" s="1" t="s">
        <v>115</v>
      </c>
      <c r="E2510" s="2">
        <v>5.70038001799E11</v>
      </c>
      <c r="F2510" s="1" t="s">
        <v>6702</v>
      </c>
      <c r="G2510" s="1" t="s">
        <v>121</v>
      </c>
      <c r="H2510" s="3" t="s">
        <v>4873</v>
      </c>
      <c r="I2510" s="1"/>
      <c r="J2510" s="1"/>
      <c r="K2510" s="1"/>
    </row>
    <row r="2511" ht="15.75" customHeight="1">
      <c r="A2511" s="2">
        <v>2510.0</v>
      </c>
      <c r="B2511" s="1" t="s">
        <v>6703</v>
      </c>
      <c r="C2511" s="1" t="s">
        <v>139</v>
      </c>
      <c r="D2511" s="1" t="s">
        <v>5627</v>
      </c>
      <c r="E2511" s="2">
        <v>5.70038001801E11</v>
      </c>
      <c r="F2511" s="1" t="s">
        <v>6704</v>
      </c>
      <c r="G2511" s="1" t="s">
        <v>90</v>
      </c>
      <c r="H2511" s="3" t="s">
        <v>4873</v>
      </c>
      <c r="I2511" s="1"/>
      <c r="J2511" s="1"/>
      <c r="K2511" s="1"/>
    </row>
    <row r="2512" ht="15.75" customHeight="1">
      <c r="A2512" s="2">
        <v>2511.0</v>
      </c>
      <c r="B2512" s="1" t="s">
        <v>6705</v>
      </c>
      <c r="C2512" s="1" t="s">
        <v>251</v>
      </c>
      <c r="D2512" s="1" t="s">
        <v>6706</v>
      </c>
      <c r="E2512" s="2">
        <v>5.70038001802E11</v>
      </c>
      <c r="F2512" s="1" t="s">
        <v>6707</v>
      </c>
      <c r="G2512" s="1" t="s">
        <v>121</v>
      </c>
      <c r="H2512" s="3" t="s">
        <v>4873</v>
      </c>
      <c r="I2512" s="1"/>
      <c r="J2512" s="1"/>
      <c r="K2512" s="1"/>
    </row>
    <row r="2513" ht="15.75" customHeight="1">
      <c r="A2513" s="2">
        <v>2512.0</v>
      </c>
      <c r="B2513" s="1" t="s">
        <v>6708</v>
      </c>
      <c r="C2513" s="1" t="s">
        <v>5865</v>
      </c>
      <c r="D2513" s="1" t="s">
        <v>6709</v>
      </c>
      <c r="E2513" s="2">
        <v>5.70038001803E11</v>
      </c>
      <c r="F2513" s="1" t="s">
        <v>6710</v>
      </c>
      <c r="G2513" s="1" t="s">
        <v>121</v>
      </c>
      <c r="H2513" s="3" t="s">
        <v>4873</v>
      </c>
      <c r="I2513" s="1"/>
      <c r="J2513" s="1"/>
      <c r="K2513" s="1"/>
    </row>
    <row r="2514" ht="15.75" customHeight="1">
      <c r="A2514" s="2">
        <v>2513.0</v>
      </c>
      <c r="B2514" s="1" t="s">
        <v>6711</v>
      </c>
      <c r="C2514" s="1" t="s">
        <v>3156</v>
      </c>
      <c r="D2514" s="1" t="s">
        <v>6712</v>
      </c>
      <c r="E2514" s="2">
        <v>5.70038001808E11</v>
      </c>
      <c r="F2514" s="1" t="s">
        <v>6713</v>
      </c>
      <c r="G2514" s="1" t="s">
        <v>121</v>
      </c>
      <c r="H2514" s="3" t="s">
        <v>4873</v>
      </c>
      <c r="I2514" s="1"/>
      <c r="J2514" s="1"/>
      <c r="K2514" s="1"/>
    </row>
    <row r="2515" ht="15.75" customHeight="1">
      <c r="A2515" s="2">
        <v>2514.0</v>
      </c>
      <c r="B2515" s="1" t="s">
        <v>6430</v>
      </c>
      <c r="C2515" s="1" t="s">
        <v>3749</v>
      </c>
      <c r="D2515" s="1" t="s">
        <v>6714</v>
      </c>
      <c r="E2515" s="2">
        <v>5.70038001809E11</v>
      </c>
      <c r="F2515" s="1" t="s">
        <v>6715</v>
      </c>
      <c r="G2515" s="1" t="s">
        <v>47</v>
      </c>
      <c r="H2515" s="3" t="s">
        <v>4873</v>
      </c>
      <c r="I2515" s="1"/>
      <c r="J2515" s="1"/>
      <c r="K2515" s="1"/>
    </row>
    <row r="2516" ht="15.75" customHeight="1">
      <c r="A2516" s="2">
        <v>2515.0</v>
      </c>
      <c r="B2516" s="1" t="s">
        <v>6716</v>
      </c>
      <c r="C2516" s="1" t="s">
        <v>5294</v>
      </c>
      <c r="D2516" s="1" t="s">
        <v>6717</v>
      </c>
      <c r="E2516" s="2">
        <v>5.7003800181E11</v>
      </c>
      <c r="F2516" s="1" t="s">
        <v>6718</v>
      </c>
      <c r="G2516" s="1" t="s">
        <v>121</v>
      </c>
      <c r="H2516" s="3" t="s">
        <v>4873</v>
      </c>
      <c r="I2516" s="1"/>
      <c r="J2516" s="1"/>
      <c r="K2516" s="1"/>
    </row>
    <row r="2517" ht="15.75" customHeight="1">
      <c r="A2517" s="2">
        <v>2516.0</v>
      </c>
      <c r="B2517" s="1" t="s">
        <v>6719</v>
      </c>
      <c r="C2517" s="1" t="s">
        <v>488</v>
      </c>
      <c r="D2517" s="1" t="s">
        <v>6720</v>
      </c>
      <c r="E2517" s="2">
        <v>5.70038001812E11</v>
      </c>
      <c r="F2517" s="1" t="s">
        <v>6721</v>
      </c>
      <c r="G2517" s="1" t="s">
        <v>121</v>
      </c>
      <c r="H2517" s="3" t="s">
        <v>4873</v>
      </c>
      <c r="I2517" s="1"/>
      <c r="J2517" s="1"/>
      <c r="K2517" s="1"/>
    </row>
    <row r="2518" ht="15.75" customHeight="1">
      <c r="A2518" s="2">
        <v>2517.0</v>
      </c>
      <c r="B2518" s="1" t="s">
        <v>6722</v>
      </c>
      <c r="C2518" s="1" t="s">
        <v>6381</v>
      </c>
      <c r="D2518" s="1" t="s">
        <v>6382</v>
      </c>
      <c r="E2518" s="2">
        <v>5.70038001814E11</v>
      </c>
      <c r="F2518" s="1" t="s">
        <v>6710</v>
      </c>
      <c r="G2518" s="1" t="s">
        <v>121</v>
      </c>
      <c r="H2518" s="3" t="s">
        <v>4873</v>
      </c>
      <c r="I2518" s="1"/>
      <c r="J2518" s="1"/>
      <c r="K2518" s="1"/>
    </row>
    <row r="2519" ht="15.75" customHeight="1">
      <c r="A2519" s="2">
        <v>2518.0</v>
      </c>
      <c r="B2519" s="1" t="s">
        <v>6723</v>
      </c>
      <c r="C2519" s="1" t="s">
        <v>603</v>
      </c>
      <c r="D2519" s="1" t="s">
        <v>6724</v>
      </c>
      <c r="E2519" s="2">
        <v>5.70038001815E11</v>
      </c>
      <c r="F2519" s="1" t="s">
        <v>6725</v>
      </c>
      <c r="G2519" s="1" t="s">
        <v>121</v>
      </c>
      <c r="H2519" s="3" t="s">
        <v>4873</v>
      </c>
      <c r="I2519" s="1"/>
      <c r="J2519" s="1"/>
      <c r="K2519" s="1"/>
    </row>
    <row r="2520" ht="15.75" customHeight="1">
      <c r="A2520" s="2">
        <v>2519.0</v>
      </c>
      <c r="B2520" s="1" t="s">
        <v>6726</v>
      </c>
      <c r="C2520" s="1" t="s">
        <v>1438</v>
      </c>
      <c r="D2520" s="1" t="s">
        <v>6601</v>
      </c>
      <c r="E2520" s="2">
        <v>5.70038001817E11</v>
      </c>
      <c r="F2520" s="1" t="s">
        <v>6727</v>
      </c>
      <c r="G2520" s="1" t="s">
        <v>121</v>
      </c>
      <c r="H2520" s="3" t="s">
        <v>4873</v>
      </c>
      <c r="I2520" s="1"/>
      <c r="J2520" s="1"/>
      <c r="K2520" s="1"/>
    </row>
    <row r="2521" ht="15.75" customHeight="1">
      <c r="A2521" s="2">
        <v>2520.0</v>
      </c>
      <c r="B2521" s="1" t="s">
        <v>6728</v>
      </c>
      <c r="C2521" s="1" t="s">
        <v>1565</v>
      </c>
      <c r="D2521" s="1" t="s">
        <v>6729</v>
      </c>
      <c r="E2521" s="2">
        <v>5.70038001818E11</v>
      </c>
      <c r="F2521" s="1" t="s">
        <v>6730</v>
      </c>
      <c r="G2521" s="1" t="s">
        <v>121</v>
      </c>
      <c r="H2521" s="3" t="s">
        <v>4873</v>
      </c>
      <c r="I2521" s="1"/>
      <c r="J2521" s="1"/>
      <c r="K2521" s="1"/>
    </row>
    <row r="2522" ht="15.75" customHeight="1">
      <c r="A2522" s="2">
        <v>2521.0</v>
      </c>
      <c r="B2522" s="1" t="s">
        <v>6731</v>
      </c>
      <c r="C2522" s="1" t="s">
        <v>1776</v>
      </c>
      <c r="D2522" s="1" t="s">
        <v>978</v>
      </c>
      <c r="E2522" s="2">
        <v>5.70038001822E11</v>
      </c>
      <c r="F2522" s="1" t="s">
        <v>6732</v>
      </c>
      <c r="G2522" s="1" t="s">
        <v>121</v>
      </c>
      <c r="H2522" s="3" t="s">
        <v>4873</v>
      </c>
      <c r="I2522" s="1"/>
      <c r="J2522" s="1"/>
      <c r="K2522" s="1"/>
    </row>
    <row r="2523" ht="15.75" customHeight="1">
      <c r="A2523" s="2">
        <v>2522.0</v>
      </c>
      <c r="B2523" s="1" t="s">
        <v>2471</v>
      </c>
      <c r="C2523" s="1" t="s">
        <v>1438</v>
      </c>
      <c r="D2523" s="1" t="s">
        <v>457</v>
      </c>
      <c r="E2523" s="2">
        <v>5.7003854497E11</v>
      </c>
      <c r="F2523" s="1" t="s">
        <v>6098</v>
      </c>
      <c r="G2523" s="1" t="s">
        <v>383</v>
      </c>
      <c r="H2523" s="3" t="s">
        <v>4873</v>
      </c>
      <c r="I2523" s="1"/>
      <c r="J2523" s="1"/>
      <c r="K2523" s="1"/>
    </row>
    <row r="2524" ht="15.75" customHeight="1">
      <c r="A2524" s="2">
        <v>2523.0</v>
      </c>
      <c r="B2524" s="1" t="s">
        <v>2849</v>
      </c>
      <c r="C2524" s="1" t="s">
        <v>257</v>
      </c>
      <c r="D2524" s="1" t="s">
        <v>324</v>
      </c>
      <c r="E2524" s="2">
        <v>5.70038544971E11</v>
      </c>
      <c r="F2524" s="1" t="s">
        <v>6733</v>
      </c>
      <c r="G2524" s="1" t="s">
        <v>121</v>
      </c>
      <c r="H2524" s="3" t="s">
        <v>4873</v>
      </c>
      <c r="I2524" s="1"/>
      <c r="J2524" s="1"/>
      <c r="K2524" s="1"/>
    </row>
    <row r="2525" ht="15.75" customHeight="1">
      <c r="A2525" s="2">
        <v>2524.0</v>
      </c>
      <c r="B2525" s="1" t="s">
        <v>6381</v>
      </c>
      <c r="C2525" s="1" t="s">
        <v>6734</v>
      </c>
      <c r="D2525" s="1" t="s">
        <v>6735</v>
      </c>
      <c r="E2525" s="2">
        <v>5.70038544972E11</v>
      </c>
      <c r="F2525" s="1" t="s">
        <v>6736</v>
      </c>
      <c r="G2525" s="1" t="s">
        <v>18</v>
      </c>
      <c r="H2525" s="3" t="s">
        <v>6737</v>
      </c>
      <c r="I2525" s="1"/>
      <c r="J2525" s="1"/>
      <c r="K2525" s="1"/>
    </row>
    <row r="2526" ht="15.75" customHeight="1">
      <c r="A2526" s="2">
        <v>2525.0</v>
      </c>
      <c r="B2526" s="1" t="s">
        <v>6738</v>
      </c>
      <c r="C2526" s="1" t="s">
        <v>3475</v>
      </c>
      <c r="D2526" s="1" t="s">
        <v>6739</v>
      </c>
      <c r="E2526" s="2">
        <v>5.70038544974E11</v>
      </c>
      <c r="F2526" s="1" t="s">
        <v>6740</v>
      </c>
      <c r="G2526" s="1" t="s">
        <v>121</v>
      </c>
      <c r="H2526" s="3" t="s">
        <v>6741</v>
      </c>
      <c r="I2526" s="1"/>
      <c r="J2526" s="1"/>
      <c r="K2526" s="1"/>
    </row>
    <row r="2527" ht="15.75" customHeight="1">
      <c r="A2527" s="2">
        <v>2526.0</v>
      </c>
      <c r="B2527" s="1" t="s">
        <v>6742</v>
      </c>
      <c r="C2527" s="1" t="s">
        <v>3621</v>
      </c>
      <c r="D2527" s="1" t="s">
        <v>6743</v>
      </c>
      <c r="E2527" s="2">
        <v>5.70038544977E11</v>
      </c>
      <c r="F2527" s="1" t="s">
        <v>6740</v>
      </c>
      <c r="G2527" s="1" t="s">
        <v>383</v>
      </c>
      <c r="H2527" s="3" t="s">
        <v>6744</v>
      </c>
      <c r="I2527" s="1"/>
      <c r="J2527" s="1"/>
      <c r="K2527" s="1"/>
    </row>
    <row r="2528" ht="15.75" customHeight="1">
      <c r="A2528" s="2">
        <v>2527.0</v>
      </c>
      <c r="B2528" s="1" t="s">
        <v>6745</v>
      </c>
      <c r="C2528" s="1" t="s">
        <v>434</v>
      </c>
      <c r="D2528" s="1" t="s">
        <v>6411</v>
      </c>
      <c r="E2528" s="2">
        <v>5.70038544978E11</v>
      </c>
      <c r="F2528" s="1" t="s">
        <v>6746</v>
      </c>
      <c r="G2528" s="1" t="s">
        <v>121</v>
      </c>
      <c r="H2528" s="3" t="s">
        <v>4999</v>
      </c>
      <c r="I2528" s="1"/>
      <c r="J2528" s="1"/>
      <c r="K2528" s="1"/>
    </row>
    <row r="2529" ht="15.75" customHeight="1">
      <c r="A2529" s="2">
        <v>2528.0</v>
      </c>
      <c r="B2529" s="1" t="s">
        <v>6747</v>
      </c>
      <c r="C2529" s="1" t="s">
        <v>6748</v>
      </c>
      <c r="D2529" s="1" t="s">
        <v>6749</v>
      </c>
      <c r="E2529" s="2">
        <v>5.70038544985E11</v>
      </c>
      <c r="F2529" s="1" t="s">
        <v>6750</v>
      </c>
      <c r="G2529" s="1" t="s">
        <v>121</v>
      </c>
      <c r="H2529" s="3" t="s">
        <v>6751</v>
      </c>
      <c r="I2529" s="1"/>
      <c r="J2529" s="1"/>
      <c r="K2529" s="1"/>
    </row>
    <row r="2530" ht="15.75" customHeight="1">
      <c r="A2530" s="2">
        <v>2529.0</v>
      </c>
      <c r="B2530" s="1" t="s">
        <v>6752</v>
      </c>
      <c r="C2530" s="1" t="s">
        <v>6753</v>
      </c>
      <c r="D2530" s="1" t="s">
        <v>6754</v>
      </c>
      <c r="E2530" s="2">
        <v>5.70038544987E11</v>
      </c>
      <c r="F2530" s="1" t="s">
        <v>6755</v>
      </c>
      <c r="G2530" s="1" t="s">
        <v>18</v>
      </c>
      <c r="H2530" s="3" t="s">
        <v>6756</v>
      </c>
      <c r="I2530" s="1"/>
      <c r="J2530" s="1"/>
      <c r="K2530" s="1"/>
    </row>
    <row r="2531" ht="15.75" customHeight="1">
      <c r="A2531" s="2">
        <v>2530.0</v>
      </c>
      <c r="B2531" s="1" t="s">
        <v>5948</v>
      </c>
      <c r="C2531" s="1" t="s">
        <v>106</v>
      </c>
      <c r="D2531" s="1" t="s">
        <v>1209</v>
      </c>
      <c r="E2531" s="2">
        <v>5.70038544988E11</v>
      </c>
      <c r="F2531" s="1" t="s">
        <v>6757</v>
      </c>
      <c r="G2531" s="1" t="s">
        <v>121</v>
      </c>
      <c r="H2531" s="3" t="s">
        <v>6758</v>
      </c>
      <c r="I2531" s="1"/>
      <c r="J2531" s="1"/>
      <c r="K2531" s="1"/>
    </row>
    <row r="2532" ht="15.75" customHeight="1">
      <c r="A2532" s="2">
        <v>2531.0</v>
      </c>
      <c r="B2532" s="1" t="s">
        <v>6759</v>
      </c>
      <c r="C2532" s="1" t="s">
        <v>2650</v>
      </c>
      <c r="D2532" s="1" t="s">
        <v>5790</v>
      </c>
      <c r="E2532" s="2">
        <v>5.70038545002E11</v>
      </c>
      <c r="F2532" s="1" t="s">
        <v>6760</v>
      </c>
      <c r="G2532" s="1" t="s">
        <v>24</v>
      </c>
      <c r="H2532" s="3" t="s">
        <v>4873</v>
      </c>
      <c r="I2532" s="1"/>
      <c r="J2532" s="1"/>
      <c r="K2532" s="1"/>
    </row>
    <row r="2533" ht="15.75" customHeight="1">
      <c r="A2533" s="2">
        <v>2532.0</v>
      </c>
      <c r="B2533" s="1" t="s">
        <v>6761</v>
      </c>
      <c r="C2533" s="1" t="s">
        <v>2781</v>
      </c>
      <c r="D2533" s="1" t="s">
        <v>457</v>
      </c>
      <c r="E2533" s="2">
        <v>5.70038545003E11</v>
      </c>
      <c r="F2533" s="1" t="s">
        <v>6403</v>
      </c>
      <c r="G2533" s="1" t="s">
        <v>121</v>
      </c>
      <c r="H2533" s="3" t="s">
        <v>6762</v>
      </c>
      <c r="I2533" s="1"/>
      <c r="J2533" s="1"/>
      <c r="K2533" s="1"/>
    </row>
    <row r="2534" ht="15.75" customHeight="1">
      <c r="A2534" s="2">
        <v>2533.0</v>
      </c>
      <c r="B2534" s="1" t="s">
        <v>6763</v>
      </c>
      <c r="C2534" s="1" t="s">
        <v>657</v>
      </c>
      <c r="D2534" s="1" t="s">
        <v>6764</v>
      </c>
      <c r="E2534" s="2">
        <v>5.70038545005E11</v>
      </c>
      <c r="F2534" s="1" t="s">
        <v>5947</v>
      </c>
      <c r="G2534" s="1" t="s">
        <v>24</v>
      </c>
      <c r="H2534" s="3" t="s">
        <v>4873</v>
      </c>
      <c r="I2534" s="1"/>
      <c r="J2534" s="1"/>
      <c r="K2534" s="1"/>
    </row>
    <row r="2535" ht="15.75" customHeight="1">
      <c r="A2535" s="2">
        <v>2534.0</v>
      </c>
      <c r="B2535" s="1" t="s">
        <v>180</v>
      </c>
      <c r="C2535" s="1" t="s">
        <v>559</v>
      </c>
      <c r="D2535" s="1" t="s">
        <v>6765</v>
      </c>
      <c r="E2535" s="2">
        <v>5.70038545007E11</v>
      </c>
      <c r="F2535" s="1" t="s">
        <v>5628</v>
      </c>
      <c r="G2535" s="1" t="s">
        <v>24</v>
      </c>
      <c r="H2535" s="3" t="s">
        <v>4873</v>
      </c>
      <c r="I2535" s="1"/>
      <c r="J2535" s="1"/>
      <c r="K2535" s="1"/>
    </row>
    <row r="2536" ht="15.75" customHeight="1">
      <c r="A2536" s="2">
        <v>2535.0</v>
      </c>
      <c r="B2536" s="1" t="s">
        <v>6766</v>
      </c>
      <c r="C2536" s="1" t="s">
        <v>6767</v>
      </c>
      <c r="D2536" s="1" t="s">
        <v>6768</v>
      </c>
      <c r="E2536" s="2">
        <v>5.70038545009E11</v>
      </c>
      <c r="F2536" s="1" t="s">
        <v>6769</v>
      </c>
      <c r="G2536" s="1" t="s">
        <v>24</v>
      </c>
      <c r="H2536" s="3" t="s">
        <v>4873</v>
      </c>
      <c r="I2536" s="1"/>
      <c r="J2536" s="1"/>
      <c r="K2536" s="1"/>
    </row>
    <row r="2537" ht="15.75" customHeight="1">
      <c r="A2537" s="2">
        <v>2536.0</v>
      </c>
      <c r="B2537" s="1" t="s">
        <v>6770</v>
      </c>
      <c r="C2537" s="1" t="s">
        <v>66</v>
      </c>
      <c r="D2537" s="1" t="s">
        <v>5398</v>
      </c>
      <c r="E2537" s="2">
        <v>5.70038545015E11</v>
      </c>
      <c r="F2537" s="1" t="s">
        <v>6771</v>
      </c>
      <c r="G2537" s="1" t="s">
        <v>24</v>
      </c>
      <c r="H2537" s="3" t="s">
        <v>4873</v>
      </c>
      <c r="I2537" s="1"/>
      <c r="J2537" s="1"/>
      <c r="K2537" s="1"/>
    </row>
    <row r="2538" ht="15.75" customHeight="1">
      <c r="A2538" s="2">
        <v>2537.0</v>
      </c>
      <c r="B2538" s="1" t="s">
        <v>735</v>
      </c>
      <c r="C2538" s="1" t="s">
        <v>6772</v>
      </c>
      <c r="D2538" s="1" t="s">
        <v>6773</v>
      </c>
      <c r="E2538" s="2">
        <v>5.70038545017E11</v>
      </c>
      <c r="F2538" s="1" t="s">
        <v>5921</v>
      </c>
      <c r="G2538" s="1" t="s">
        <v>121</v>
      </c>
      <c r="H2538" s="3" t="s">
        <v>4873</v>
      </c>
      <c r="I2538" s="1"/>
      <c r="J2538" s="1"/>
      <c r="K2538" s="1"/>
    </row>
    <row r="2539" ht="15.75" customHeight="1">
      <c r="A2539" s="2">
        <v>2538.0</v>
      </c>
      <c r="B2539" s="1" t="s">
        <v>5860</v>
      </c>
      <c r="C2539" s="1" t="s">
        <v>6774</v>
      </c>
      <c r="D2539" s="1" t="s">
        <v>5858</v>
      </c>
      <c r="E2539" s="2">
        <v>5.70038545019E11</v>
      </c>
      <c r="F2539" s="1" t="s">
        <v>6775</v>
      </c>
      <c r="G2539" s="1" t="s">
        <v>24</v>
      </c>
      <c r="H2539" s="3" t="s">
        <v>6776</v>
      </c>
      <c r="I2539" s="1"/>
      <c r="J2539" s="1"/>
      <c r="K2539" s="1"/>
    </row>
    <row r="2540" ht="15.75" customHeight="1">
      <c r="A2540" s="2">
        <v>2539.0</v>
      </c>
      <c r="B2540" s="1" t="s">
        <v>1845</v>
      </c>
      <c r="C2540" s="1" t="s">
        <v>899</v>
      </c>
      <c r="D2540" s="1" t="s">
        <v>6777</v>
      </c>
      <c r="E2540" s="2">
        <v>5.7003854502E11</v>
      </c>
      <c r="F2540" s="1" t="s">
        <v>5705</v>
      </c>
      <c r="G2540" s="1" t="s">
        <v>24</v>
      </c>
      <c r="H2540" s="3" t="s">
        <v>4873</v>
      </c>
      <c r="I2540" s="1"/>
      <c r="J2540" s="1"/>
      <c r="K2540" s="1"/>
    </row>
    <row r="2541" ht="15.75" customHeight="1">
      <c r="A2541" s="2">
        <v>2540.0</v>
      </c>
      <c r="B2541" s="1" t="s">
        <v>6778</v>
      </c>
      <c r="C2541" s="1" t="s">
        <v>223</v>
      </c>
      <c r="D2541" s="1" t="s">
        <v>320</v>
      </c>
      <c r="E2541" s="2">
        <v>5.70038545024E11</v>
      </c>
      <c r="F2541" s="1" t="s">
        <v>6779</v>
      </c>
      <c r="G2541" s="1" t="s">
        <v>47</v>
      </c>
      <c r="H2541" s="3" t="s">
        <v>4873</v>
      </c>
      <c r="I2541" s="1"/>
      <c r="J2541" s="1"/>
      <c r="K2541" s="1"/>
    </row>
    <row r="2542" ht="15.75" customHeight="1">
      <c r="A2542" s="2">
        <v>2541.0</v>
      </c>
      <c r="B2542" s="1" t="s">
        <v>6780</v>
      </c>
      <c r="C2542" s="1" t="s">
        <v>106</v>
      </c>
      <c r="D2542" s="1" t="s">
        <v>5550</v>
      </c>
      <c r="E2542" s="2">
        <v>5.70038545027E11</v>
      </c>
      <c r="F2542" s="1" t="s">
        <v>6781</v>
      </c>
      <c r="G2542" s="1" t="s">
        <v>5625</v>
      </c>
      <c r="H2542" s="3" t="s">
        <v>4873</v>
      </c>
      <c r="I2542" s="1"/>
      <c r="J2542" s="1"/>
      <c r="K2542" s="1"/>
    </row>
    <row r="2543" ht="15.75" customHeight="1">
      <c r="A2543" s="2">
        <v>2542.0</v>
      </c>
      <c r="B2543" s="1" t="s">
        <v>6782</v>
      </c>
      <c r="C2543" s="1" t="s">
        <v>1912</v>
      </c>
      <c r="D2543" s="1" t="s">
        <v>860</v>
      </c>
      <c r="E2543" s="2">
        <v>5.70038545032E11</v>
      </c>
      <c r="F2543" s="1" t="s">
        <v>6783</v>
      </c>
      <c r="G2543" s="1" t="s">
        <v>24</v>
      </c>
      <c r="H2543" s="3" t="s">
        <v>4873</v>
      </c>
      <c r="I2543" s="1"/>
      <c r="J2543" s="1"/>
      <c r="K2543" s="1"/>
    </row>
    <row r="2544" ht="15.75" customHeight="1">
      <c r="A2544" s="2">
        <v>2543.0</v>
      </c>
      <c r="B2544" s="1" t="s">
        <v>6784</v>
      </c>
      <c r="C2544" s="1" t="s">
        <v>6785</v>
      </c>
      <c r="D2544" s="1" t="s">
        <v>6786</v>
      </c>
      <c r="E2544" s="2">
        <v>5.70038545034E11</v>
      </c>
      <c r="F2544" s="1" t="s">
        <v>6733</v>
      </c>
      <c r="G2544" s="1" t="s">
        <v>121</v>
      </c>
      <c r="H2544" s="3" t="s">
        <v>4873</v>
      </c>
      <c r="I2544" s="1"/>
      <c r="J2544" s="1"/>
      <c r="K2544" s="1"/>
    </row>
    <row r="2545" ht="15.75" customHeight="1">
      <c r="A2545" s="2">
        <v>2544.0</v>
      </c>
      <c r="B2545" s="1" t="s">
        <v>6787</v>
      </c>
      <c r="C2545" s="1" t="s">
        <v>6788</v>
      </c>
      <c r="D2545" s="1" t="s">
        <v>6789</v>
      </c>
      <c r="E2545" s="2">
        <v>5.70038545035E11</v>
      </c>
      <c r="F2545" s="1" t="s">
        <v>6790</v>
      </c>
      <c r="G2545" s="1" t="s">
        <v>38</v>
      </c>
      <c r="H2545" s="3" t="s">
        <v>4873</v>
      </c>
      <c r="I2545" s="1"/>
      <c r="J2545" s="1"/>
      <c r="K2545" s="1"/>
    </row>
    <row r="2546" ht="15.75" customHeight="1">
      <c r="A2546" s="2">
        <v>2545.0</v>
      </c>
      <c r="B2546" s="1" t="s">
        <v>5585</v>
      </c>
      <c r="C2546" s="1" t="s">
        <v>195</v>
      </c>
      <c r="D2546" s="1" t="s">
        <v>6307</v>
      </c>
      <c r="E2546" s="2">
        <v>5.70038545038E11</v>
      </c>
      <c r="F2546" s="1" t="s">
        <v>6034</v>
      </c>
      <c r="G2546" s="1" t="s">
        <v>121</v>
      </c>
      <c r="H2546" s="3" t="s">
        <v>4873</v>
      </c>
      <c r="I2546" s="1"/>
      <c r="J2546" s="1"/>
      <c r="K2546" s="1"/>
    </row>
    <row r="2547" ht="15.75" customHeight="1">
      <c r="A2547" s="2">
        <v>2546.0</v>
      </c>
      <c r="B2547" s="1" t="s">
        <v>6791</v>
      </c>
      <c r="C2547" s="1" t="s">
        <v>149</v>
      </c>
      <c r="D2547" s="1" t="s">
        <v>3561</v>
      </c>
      <c r="E2547" s="2">
        <v>5.7003854504E11</v>
      </c>
      <c r="F2547" s="1" t="s">
        <v>6792</v>
      </c>
      <c r="G2547" s="1" t="s">
        <v>121</v>
      </c>
      <c r="H2547" s="3" t="s">
        <v>4873</v>
      </c>
      <c r="I2547" s="1"/>
      <c r="J2547" s="1"/>
      <c r="K2547" s="1"/>
    </row>
    <row r="2548" ht="15.75" customHeight="1">
      <c r="A2548" s="2">
        <v>2547.0</v>
      </c>
      <c r="B2548" s="1" t="s">
        <v>5796</v>
      </c>
      <c r="C2548" s="1" t="s">
        <v>6793</v>
      </c>
      <c r="D2548" s="1" t="s">
        <v>6794</v>
      </c>
      <c r="E2548" s="2">
        <v>5.70038545042E11</v>
      </c>
      <c r="F2548" s="1" t="s">
        <v>6795</v>
      </c>
      <c r="G2548" s="1" t="s">
        <v>121</v>
      </c>
      <c r="H2548" s="3" t="s">
        <v>4873</v>
      </c>
      <c r="I2548" s="1"/>
      <c r="J2548" s="1"/>
      <c r="K2548" s="1"/>
    </row>
    <row r="2549" ht="15.75" customHeight="1">
      <c r="A2549" s="2">
        <v>2548.0</v>
      </c>
      <c r="B2549" s="1" t="s">
        <v>396</v>
      </c>
      <c r="C2549" s="1" t="s">
        <v>1783</v>
      </c>
      <c r="D2549" s="1" t="s">
        <v>5104</v>
      </c>
      <c r="E2549" s="2">
        <v>5.70038545044E11</v>
      </c>
      <c r="F2549" s="1" t="s">
        <v>6796</v>
      </c>
      <c r="G2549" s="1" t="s">
        <v>24</v>
      </c>
      <c r="H2549" s="3" t="s">
        <v>4873</v>
      </c>
      <c r="I2549" s="1"/>
      <c r="J2549" s="1"/>
      <c r="K2549" s="1"/>
    </row>
    <row r="2550" ht="15.75" customHeight="1">
      <c r="A2550" s="2">
        <v>2549.0</v>
      </c>
      <c r="B2550" s="1" t="s">
        <v>6797</v>
      </c>
      <c r="C2550" s="1" t="s">
        <v>459</v>
      </c>
      <c r="D2550" s="1" t="s">
        <v>1964</v>
      </c>
      <c r="E2550" s="2">
        <v>5.70038545047E11</v>
      </c>
      <c r="F2550" s="1" t="s">
        <v>6798</v>
      </c>
      <c r="G2550" s="1" t="s">
        <v>90</v>
      </c>
      <c r="H2550" s="3" t="s">
        <v>4873</v>
      </c>
      <c r="I2550" s="1"/>
      <c r="J2550" s="1"/>
      <c r="K2550" s="1"/>
    </row>
    <row r="2551" ht="15.75" customHeight="1">
      <c r="A2551" s="2">
        <v>2550.0</v>
      </c>
      <c r="B2551" s="1" t="s">
        <v>4885</v>
      </c>
      <c r="C2551" s="1" t="s">
        <v>311</v>
      </c>
      <c r="D2551" s="1" t="s">
        <v>6799</v>
      </c>
      <c r="E2551" s="2">
        <v>5.70038545049E11</v>
      </c>
      <c r="F2551" s="1" t="s">
        <v>5797</v>
      </c>
      <c r="G2551" s="1" t="s">
        <v>38</v>
      </c>
      <c r="H2551" s="3" t="s">
        <v>6800</v>
      </c>
      <c r="I2551" s="1"/>
      <c r="J2551" s="1"/>
      <c r="K2551" s="1"/>
    </row>
    <row r="2552" ht="15.75" customHeight="1">
      <c r="A2552" s="2">
        <v>2551.0</v>
      </c>
      <c r="B2552" s="1" t="s">
        <v>5516</v>
      </c>
      <c r="C2552" s="1" t="s">
        <v>195</v>
      </c>
      <c r="D2552" s="1" t="s">
        <v>904</v>
      </c>
      <c r="E2552" s="2">
        <v>5.70038545053E11</v>
      </c>
      <c r="F2552" s="1" t="s">
        <v>6116</v>
      </c>
      <c r="G2552" s="1" t="s">
        <v>90</v>
      </c>
      <c r="H2552" s="3" t="s">
        <v>4873</v>
      </c>
      <c r="I2552" s="1"/>
      <c r="J2552" s="1"/>
      <c r="K2552" s="1"/>
    </row>
    <row r="2553" ht="15.75" customHeight="1">
      <c r="A2553" s="2">
        <v>2552.0</v>
      </c>
      <c r="B2553" s="1" t="s">
        <v>397</v>
      </c>
      <c r="C2553" s="1" t="s">
        <v>66</v>
      </c>
      <c r="D2553" s="1" t="s">
        <v>5288</v>
      </c>
      <c r="E2553" s="2">
        <v>5.70038545055E11</v>
      </c>
      <c r="F2553" s="1" t="s">
        <v>6801</v>
      </c>
      <c r="G2553" s="1" t="s">
        <v>47</v>
      </c>
      <c r="H2553" s="3" t="s">
        <v>4873</v>
      </c>
      <c r="I2553" s="1"/>
      <c r="J2553" s="1"/>
      <c r="K2553" s="1"/>
    </row>
    <row r="2554" ht="15.75" customHeight="1">
      <c r="A2554" s="2">
        <v>2553.0</v>
      </c>
      <c r="B2554" s="1" t="s">
        <v>6802</v>
      </c>
      <c r="C2554" s="1" t="s">
        <v>344</v>
      </c>
      <c r="D2554" s="1" t="s">
        <v>5262</v>
      </c>
      <c r="E2554" s="2">
        <v>5.70038545056E11</v>
      </c>
      <c r="F2554" s="1" t="s">
        <v>6803</v>
      </c>
      <c r="G2554" s="1" t="s">
        <v>18</v>
      </c>
      <c r="H2554" s="3" t="s">
        <v>4873</v>
      </c>
      <c r="I2554" s="1"/>
      <c r="J2554" s="1"/>
      <c r="K2554" s="1"/>
    </row>
    <row r="2555" ht="15.75" customHeight="1">
      <c r="A2555" s="2">
        <v>2554.0</v>
      </c>
      <c r="B2555" s="1" t="s">
        <v>6804</v>
      </c>
      <c r="C2555" s="1" t="s">
        <v>6805</v>
      </c>
      <c r="D2555" s="1" t="s">
        <v>5790</v>
      </c>
      <c r="E2555" s="2">
        <v>5.70038545058E11</v>
      </c>
      <c r="F2555" s="1" t="s">
        <v>6806</v>
      </c>
      <c r="G2555" s="1" t="s">
        <v>24</v>
      </c>
      <c r="H2555" s="3" t="s">
        <v>4873</v>
      </c>
      <c r="I2555" s="1"/>
      <c r="J2555" s="1"/>
      <c r="K2555" s="1"/>
    </row>
    <row r="2556" ht="15.75" customHeight="1">
      <c r="A2556" s="2">
        <v>2555.0</v>
      </c>
      <c r="B2556" s="1" t="s">
        <v>6807</v>
      </c>
      <c r="C2556" s="1" t="s">
        <v>1096</v>
      </c>
      <c r="D2556" s="1" t="s">
        <v>6808</v>
      </c>
      <c r="E2556" s="2">
        <v>5.70038545061E11</v>
      </c>
      <c r="F2556" s="1" t="s">
        <v>6809</v>
      </c>
      <c r="G2556" s="1" t="s">
        <v>24</v>
      </c>
      <c r="H2556" s="3" t="s">
        <v>4873</v>
      </c>
      <c r="I2556" s="1"/>
      <c r="J2556" s="1"/>
      <c r="K2556" s="1"/>
    </row>
    <row r="2557" ht="15.75" customHeight="1">
      <c r="A2557" s="2">
        <v>2556.0</v>
      </c>
      <c r="B2557" s="1" t="s">
        <v>6810</v>
      </c>
      <c r="C2557" s="1" t="s">
        <v>665</v>
      </c>
      <c r="D2557" s="1" t="s">
        <v>6811</v>
      </c>
      <c r="E2557" s="2">
        <v>5.70038000869E11</v>
      </c>
      <c r="F2557" s="1" t="s">
        <v>6812</v>
      </c>
      <c r="G2557" s="1" t="s">
        <v>121</v>
      </c>
      <c r="H2557" s="3" t="s">
        <v>4873</v>
      </c>
      <c r="I2557" s="1"/>
      <c r="J2557" s="1"/>
      <c r="K2557" s="1"/>
    </row>
    <row r="2558" ht="15.75" customHeight="1">
      <c r="A2558" s="2">
        <v>2557.0</v>
      </c>
      <c r="B2558" s="1" t="s">
        <v>6813</v>
      </c>
      <c r="C2558" s="1" t="s">
        <v>713</v>
      </c>
      <c r="D2558" s="1" t="s">
        <v>6814</v>
      </c>
      <c r="E2558" s="2">
        <v>5.70038001665E11</v>
      </c>
      <c r="F2558" s="1" t="s">
        <v>6815</v>
      </c>
      <c r="G2558" s="1" t="s">
        <v>24</v>
      </c>
      <c r="H2558" s="3" t="s">
        <v>4873</v>
      </c>
      <c r="I2558" s="1"/>
      <c r="J2558" s="1"/>
      <c r="K2558" s="1"/>
    </row>
    <row r="2559" ht="15.75" customHeight="1">
      <c r="A2559" s="2">
        <v>2558.0</v>
      </c>
      <c r="B2559" s="1" t="s">
        <v>281</v>
      </c>
      <c r="C2559" s="1" t="s">
        <v>118</v>
      </c>
      <c r="D2559" s="1" t="s">
        <v>6816</v>
      </c>
      <c r="E2559" s="2">
        <v>5.70038001666E11</v>
      </c>
      <c r="F2559" s="1" t="s">
        <v>6817</v>
      </c>
      <c r="G2559" s="1" t="s">
        <v>121</v>
      </c>
      <c r="H2559" s="3" t="s">
        <v>4873</v>
      </c>
      <c r="I2559" s="1"/>
      <c r="J2559" s="1"/>
      <c r="K2559" s="1"/>
    </row>
    <row r="2560" ht="15.75" customHeight="1">
      <c r="A2560" s="2">
        <v>2559.0</v>
      </c>
      <c r="B2560" s="1" t="s">
        <v>187</v>
      </c>
      <c r="C2560" s="1" t="s">
        <v>130</v>
      </c>
      <c r="D2560" s="1" t="s">
        <v>6818</v>
      </c>
      <c r="E2560" s="2">
        <v>5.70038001672E11</v>
      </c>
      <c r="F2560" s="1" t="s">
        <v>6615</v>
      </c>
      <c r="G2560" s="1" t="s">
        <v>121</v>
      </c>
      <c r="H2560" s="3" t="s">
        <v>4873</v>
      </c>
      <c r="I2560" s="1"/>
      <c r="J2560" s="1"/>
      <c r="K2560" s="1"/>
    </row>
    <row r="2561" ht="15.75" customHeight="1">
      <c r="A2561" s="2">
        <v>2560.0</v>
      </c>
      <c r="B2561" s="1" t="s">
        <v>6819</v>
      </c>
      <c r="C2561" s="1" t="s">
        <v>6820</v>
      </c>
      <c r="D2561" s="1" t="s">
        <v>6821</v>
      </c>
      <c r="E2561" s="2">
        <v>5.70038001679E11</v>
      </c>
      <c r="F2561" s="1" t="s">
        <v>6822</v>
      </c>
      <c r="G2561" s="1" t="s">
        <v>24</v>
      </c>
      <c r="H2561" s="3" t="s">
        <v>4873</v>
      </c>
      <c r="I2561" s="1"/>
      <c r="J2561" s="1"/>
      <c r="K2561" s="1"/>
    </row>
    <row r="2562" ht="15.75" customHeight="1">
      <c r="A2562" s="2">
        <v>2561.0</v>
      </c>
      <c r="B2562" s="1" t="s">
        <v>6426</v>
      </c>
      <c r="C2562" s="1" t="s">
        <v>1218</v>
      </c>
      <c r="D2562" s="1" t="s">
        <v>6823</v>
      </c>
      <c r="E2562" s="2">
        <v>5.70038001697E11</v>
      </c>
      <c r="F2562" s="1" t="s">
        <v>6824</v>
      </c>
      <c r="G2562" s="1" t="s">
        <v>121</v>
      </c>
      <c r="H2562" s="3" t="s">
        <v>4873</v>
      </c>
      <c r="I2562" s="1"/>
      <c r="J2562" s="1"/>
      <c r="K2562" s="1"/>
    </row>
    <row r="2563" ht="15.75" customHeight="1">
      <c r="A2563" s="2">
        <v>2562.0</v>
      </c>
      <c r="B2563" s="1" t="s">
        <v>6759</v>
      </c>
      <c r="C2563" s="1" t="s">
        <v>514</v>
      </c>
      <c r="D2563" s="1" t="s">
        <v>5114</v>
      </c>
      <c r="E2563" s="2">
        <v>5.70038001702E11</v>
      </c>
      <c r="F2563" s="1" t="s">
        <v>6825</v>
      </c>
      <c r="G2563" s="1" t="s">
        <v>121</v>
      </c>
      <c r="H2563" s="3" t="s">
        <v>4873</v>
      </c>
      <c r="I2563" s="1"/>
      <c r="J2563" s="1"/>
      <c r="K2563" s="1"/>
    </row>
    <row r="2564" ht="15.75" customHeight="1">
      <c r="A2564" s="2">
        <v>2563.0</v>
      </c>
      <c r="B2564" s="1" t="s">
        <v>6826</v>
      </c>
      <c r="C2564" s="1" t="s">
        <v>6505</v>
      </c>
      <c r="D2564" s="1" t="s">
        <v>1018</v>
      </c>
      <c r="E2564" s="2">
        <v>5.70038001716E11</v>
      </c>
      <c r="F2564" s="1" t="s">
        <v>6827</v>
      </c>
      <c r="G2564" s="1" t="s">
        <v>47</v>
      </c>
      <c r="H2564" s="3" t="s">
        <v>4873</v>
      </c>
      <c r="I2564" s="1"/>
      <c r="J2564" s="1"/>
      <c r="K2564" s="1"/>
    </row>
    <row r="2565" ht="15.75" customHeight="1">
      <c r="A2565" s="2">
        <v>2564.0</v>
      </c>
      <c r="B2565" s="1" t="s">
        <v>6828</v>
      </c>
      <c r="C2565" s="1" t="s">
        <v>762</v>
      </c>
      <c r="D2565" s="1" t="s">
        <v>6829</v>
      </c>
      <c r="E2565" s="2">
        <v>5.70038001738E11</v>
      </c>
      <c r="F2565" s="1" t="s">
        <v>6830</v>
      </c>
      <c r="G2565" s="1" t="s">
        <v>121</v>
      </c>
      <c r="H2565" s="3" t="s">
        <v>4873</v>
      </c>
      <c r="I2565" s="1"/>
      <c r="J2565" s="1"/>
      <c r="K2565" s="1"/>
    </row>
    <row r="2566" ht="15.75" customHeight="1">
      <c r="A2566" s="2">
        <v>2565.0</v>
      </c>
      <c r="B2566" s="1" t="s">
        <v>6831</v>
      </c>
      <c r="C2566" s="1" t="s">
        <v>1065</v>
      </c>
      <c r="D2566" s="1" t="s">
        <v>5258</v>
      </c>
      <c r="E2566" s="2">
        <v>5.70038001759E11</v>
      </c>
      <c r="F2566" s="1" t="s">
        <v>6832</v>
      </c>
      <c r="G2566" s="1" t="s">
        <v>24</v>
      </c>
      <c r="H2566" s="3" t="s">
        <v>4873</v>
      </c>
      <c r="I2566" s="1"/>
      <c r="J2566" s="1"/>
      <c r="K2566" s="1"/>
    </row>
    <row r="2567" ht="15.75" customHeight="1">
      <c r="A2567" s="2">
        <v>2566.0</v>
      </c>
      <c r="B2567" s="1" t="s">
        <v>5917</v>
      </c>
      <c r="C2567" s="1" t="s">
        <v>1652</v>
      </c>
      <c r="D2567" s="1" t="s">
        <v>359</v>
      </c>
      <c r="E2567" s="2">
        <v>5.70038001769E11</v>
      </c>
      <c r="F2567" s="1" t="s">
        <v>6833</v>
      </c>
      <c r="G2567" s="1" t="s">
        <v>90</v>
      </c>
      <c r="H2567" s="3" t="s">
        <v>4873</v>
      </c>
      <c r="I2567" s="1"/>
      <c r="J2567" s="1"/>
      <c r="K2567" s="1"/>
    </row>
    <row r="2568" ht="15.75" customHeight="1">
      <c r="A2568" s="2">
        <v>2567.0</v>
      </c>
      <c r="B2568" s="1" t="s">
        <v>361</v>
      </c>
      <c r="C2568" s="1" t="s">
        <v>6422</v>
      </c>
      <c r="D2568" s="1" t="s">
        <v>733</v>
      </c>
      <c r="E2568" s="2">
        <v>5.70038001804E11</v>
      </c>
      <c r="F2568" s="1" t="s">
        <v>6834</v>
      </c>
      <c r="G2568" s="1" t="s">
        <v>24</v>
      </c>
      <c r="H2568" s="3" t="s">
        <v>4873</v>
      </c>
      <c r="I2568" s="1"/>
      <c r="J2568" s="1"/>
      <c r="K2568" s="1"/>
    </row>
    <row r="2569" ht="15.75" customHeight="1">
      <c r="A2569" s="2">
        <v>2568.0</v>
      </c>
      <c r="B2569" s="1" t="s">
        <v>6835</v>
      </c>
      <c r="C2569" s="1" t="s">
        <v>559</v>
      </c>
      <c r="D2569" s="1" t="s">
        <v>6836</v>
      </c>
      <c r="E2569" s="2">
        <v>5.70038001824E11</v>
      </c>
      <c r="F2569" s="1" t="s">
        <v>6837</v>
      </c>
      <c r="G2569" s="1" t="s">
        <v>121</v>
      </c>
      <c r="H2569" s="3" t="s">
        <v>4873</v>
      </c>
      <c r="I2569" s="1"/>
      <c r="J2569" s="1"/>
      <c r="K2569" s="1"/>
    </row>
    <row r="2570" ht="15.75" customHeight="1">
      <c r="A2570" s="2">
        <v>2569.0</v>
      </c>
      <c r="B2570" s="1" t="s">
        <v>6838</v>
      </c>
      <c r="C2570" s="1" t="s">
        <v>6839</v>
      </c>
      <c r="D2570" s="1" t="s">
        <v>6840</v>
      </c>
      <c r="E2570" s="2">
        <v>5.70038545064E11</v>
      </c>
      <c r="F2570" s="1" t="s">
        <v>5515</v>
      </c>
      <c r="G2570" s="1" t="s">
        <v>24</v>
      </c>
      <c r="H2570" s="3" t="s">
        <v>4873</v>
      </c>
      <c r="I2570" s="1"/>
      <c r="J2570" s="1"/>
      <c r="K2570" s="1"/>
    </row>
    <row r="2571" ht="15.75" customHeight="1">
      <c r="A2571" s="2">
        <v>2570.0</v>
      </c>
      <c r="B2571" s="1" t="s">
        <v>191</v>
      </c>
      <c r="C2571" s="1" t="s">
        <v>1922</v>
      </c>
      <c r="D2571" s="1" t="s">
        <v>6841</v>
      </c>
      <c r="E2571" s="2">
        <v>5.70038545066E11</v>
      </c>
      <c r="F2571" s="1" t="s">
        <v>6842</v>
      </c>
      <c r="G2571" s="1" t="s">
        <v>24</v>
      </c>
      <c r="H2571" s="3" t="s">
        <v>4873</v>
      </c>
      <c r="I2571" s="1"/>
      <c r="J2571" s="1"/>
      <c r="K2571" s="1"/>
    </row>
    <row r="2572" ht="15.75" customHeight="1">
      <c r="A2572" s="2">
        <v>2571.0</v>
      </c>
      <c r="B2572" s="1" t="s">
        <v>6843</v>
      </c>
      <c r="C2572" s="1" t="s">
        <v>3250</v>
      </c>
      <c r="D2572" s="1" t="s">
        <v>3561</v>
      </c>
      <c r="E2572" s="2">
        <v>5.70038545067E11</v>
      </c>
      <c r="F2572" s="1" t="s">
        <v>6844</v>
      </c>
      <c r="G2572" s="1" t="s">
        <v>18</v>
      </c>
      <c r="H2572" s="3" t="s">
        <v>4873</v>
      </c>
      <c r="I2572" s="1"/>
      <c r="J2572" s="1"/>
      <c r="K2572" s="1"/>
    </row>
    <row r="2573" ht="15.75" customHeight="1">
      <c r="A2573" s="2">
        <v>2572.0</v>
      </c>
      <c r="B2573" s="1" t="s">
        <v>6845</v>
      </c>
      <c r="C2573" s="1" t="s">
        <v>6505</v>
      </c>
      <c r="D2573" s="1" t="s">
        <v>475</v>
      </c>
      <c r="E2573" s="2">
        <v>5.70038545068E11</v>
      </c>
      <c r="F2573" s="1" t="s">
        <v>6846</v>
      </c>
      <c r="G2573" s="1" t="s">
        <v>121</v>
      </c>
      <c r="H2573" s="1" t="s">
        <v>6847</v>
      </c>
      <c r="I2573" s="1" t="s">
        <v>595</v>
      </c>
      <c r="J2573" s="1" t="s">
        <v>596</v>
      </c>
      <c r="K2573" s="1"/>
    </row>
    <row r="2574" ht="15.75" customHeight="1">
      <c r="A2574" s="2">
        <v>2573.0</v>
      </c>
      <c r="B2574" s="1" t="s">
        <v>1626</v>
      </c>
      <c r="C2574" s="1" t="s">
        <v>39</v>
      </c>
      <c r="D2574" s="1" t="s">
        <v>6848</v>
      </c>
      <c r="E2574" s="2">
        <v>5.70038545069E11</v>
      </c>
      <c r="F2574" s="1" t="s">
        <v>6849</v>
      </c>
      <c r="G2574" s="1" t="s">
        <v>90</v>
      </c>
      <c r="H2574" s="1" t="s">
        <v>6847</v>
      </c>
      <c r="I2574" s="1" t="s">
        <v>595</v>
      </c>
      <c r="J2574" s="1" t="s">
        <v>596</v>
      </c>
      <c r="K2574" s="1"/>
    </row>
    <row r="2575" ht="15.75" customHeight="1">
      <c r="A2575" s="2">
        <v>2574.0</v>
      </c>
      <c r="B2575" s="1" t="s">
        <v>5498</v>
      </c>
      <c r="C2575" s="1" t="s">
        <v>39</v>
      </c>
      <c r="D2575" s="1" t="s">
        <v>532</v>
      </c>
      <c r="E2575" s="2">
        <v>5.7003854507E11</v>
      </c>
      <c r="F2575" s="1" t="s">
        <v>6134</v>
      </c>
      <c r="G2575" s="1" t="s">
        <v>24</v>
      </c>
      <c r="H2575" s="1" t="s">
        <v>6847</v>
      </c>
      <c r="I2575" s="1" t="s">
        <v>595</v>
      </c>
      <c r="J2575" s="1" t="s">
        <v>596</v>
      </c>
      <c r="K2575" s="1"/>
    </row>
    <row r="2576" ht="15.75" customHeight="1">
      <c r="A2576" s="2">
        <v>2575.0</v>
      </c>
      <c r="B2576" s="1" t="s">
        <v>6850</v>
      </c>
      <c r="C2576" s="1" t="s">
        <v>153</v>
      </c>
      <c r="D2576" s="1" t="s">
        <v>6851</v>
      </c>
      <c r="E2576" s="2">
        <v>5.70038545071E11</v>
      </c>
      <c r="F2576" s="1" t="s">
        <v>6852</v>
      </c>
      <c r="G2576" s="1" t="s">
        <v>24</v>
      </c>
      <c r="H2576" s="1" t="s">
        <v>6847</v>
      </c>
      <c r="I2576" s="1" t="s">
        <v>595</v>
      </c>
      <c r="J2576" s="1" t="s">
        <v>596</v>
      </c>
      <c r="K2576" s="1"/>
    </row>
    <row r="2577" ht="15.75" customHeight="1">
      <c r="A2577" s="2">
        <v>2576.0</v>
      </c>
      <c r="B2577" s="1" t="s">
        <v>5192</v>
      </c>
      <c r="C2577" s="1" t="s">
        <v>6853</v>
      </c>
      <c r="D2577" s="1" t="s">
        <v>6851</v>
      </c>
      <c r="E2577" s="2">
        <v>5.70038545072E11</v>
      </c>
      <c r="F2577" s="1" t="s">
        <v>6854</v>
      </c>
      <c r="G2577" s="1" t="s">
        <v>24</v>
      </c>
      <c r="H2577" s="1" t="s">
        <v>6847</v>
      </c>
      <c r="I2577" s="1" t="s">
        <v>595</v>
      </c>
      <c r="J2577" s="1" t="s">
        <v>596</v>
      </c>
      <c r="K2577" s="1"/>
    </row>
    <row r="2578" ht="15.75" customHeight="1">
      <c r="A2578" s="2">
        <v>2577.0</v>
      </c>
      <c r="B2578" s="1" t="s">
        <v>6855</v>
      </c>
      <c r="C2578" s="1" t="s">
        <v>6856</v>
      </c>
      <c r="D2578" s="1" t="s">
        <v>6284</v>
      </c>
      <c r="E2578" s="2">
        <v>5.70038545074E11</v>
      </c>
      <c r="F2578" s="1" t="s">
        <v>6857</v>
      </c>
      <c r="G2578" s="1" t="s">
        <v>24</v>
      </c>
      <c r="H2578" s="1" t="s">
        <v>6847</v>
      </c>
      <c r="I2578" s="1" t="s">
        <v>595</v>
      </c>
      <c r="J2578" s="1" t="s">
        <v>596</v>
      </c>
      <c r="K2578" s="1"/>
    </row>
    <row r="2579" ht="15.75" customHeight="1">
      <c r="A2579" s="2">
        <v>2578.0</v>
      </c>
      <c r="B2579" s="1" t="s">
        <v>3697</v>
      </c>
      <c r="C2579" s="1" t="s">
        <v>316</v>
      </c>
      <c r="D2579" s="1" t="s">
        <v>6284</v>
      </c>
      <c r="E2579" s="2">
        <v>5.70038545077E11</v>
      </c>
      <c r="F2579" s="1" t="s">
        <v>6403</v>
      </c>
      <c r="G2579" s="1" t="s">
        <v>121</v>
      </c>
      <c r="H2579" s="1" t="s">
        <v>6847</v>
      </c>
      <c r="I2579" s="1" t="s">
        <v>595</v>
      </c>
      <c r="J2579" s="1" t="s">
        <v>596</v>
      </c>
      <c r="K2579" s="1"/>
    </row>
    <row r="2580" ht="15.75" customHeight="1">
      <c r="A2580" s="2">
        <v>2579.0</v>
      </c>
      <c r="B2580" s="1" t="s">
        <v>2743</v>
      </c>
      <c r="C2580" s="1" t="s">
        <v>97</v>
      </c>
      <c r="D2580" s="1" t="s">
        <v>1110</v>
      </c>
      <c r="E2580" s="2">
        <v>5.70038545079E11</v>
      </c>
      <c r="F2580" s="1" t="s">
        <v>6858</v>
      </c>
      <c r="G2580" s="1" t="s">
        <v>24</v>
      </c>
      <c r="H2580" s="1" t="s">
        <v>6847</v>
      </c>
      <c r="I2580" s="1" t="s">
        <v>595</v>
      </c>
      <c r="J2580" s="1" t="s">
        <v>596</v>
      </c>
      <c r="K2580" s="1"/>
    </row>
    <row r="2581" ht="15.75" customHeight="1">
      <c r="A2581" s="2">
        <v>2580.0</v>
      </c>
      <c r="B2581" s="1" t="s">
        <v>6859</v>
      </c>
      <c r="C2581" s="1" t="s">
        <v>2872</v>
      </c>
      <c r="D2581" s="1" t="s">
        <v>5820</v>
      </c>
      <c r="E2581" s="2">
        <v>5.7003854508E11</v>
      </c>
      <c r="F2581" s="1" t="s">
        <v>6860</v>
      </c>
      <c r="G2581" s="1" t="s">
        <v>18</v>
      </c>
      <c r="H2581" s="1" t="s">
        <v>6847</v>
      </c>
      <c r="I2581" s="1" t="s">
        <v>595</v>
      </c>
      <c r="J2581" s="1" t="s">
        <v>596</v>
      </c>
      <c r="K2581" s="1"/>
    </row>
    <row r="2582" ht="15.75" customHeight="1">
      <c r="A2582" s="2">
        <v>2581.0</v>
      </c>
      <c r="B2582" s="1" t="s">
        <v>6629</v>
      </c>
      <c r="C2582" s="1" t="s">
        <v>456</v>
      </c>
      <c r="D2582" s="1" t="s">
        <v>5301</v>
      </c>
      <c r="E2582" s="2">
        <v>5.70038545083E11</v>
      </c>
      <c r="F2582" s="1" t="s">
        <v>6771</v>
      </c>
      <c r="G2582" s="1" t="s">
        <v>18</v>
      </c>
      <c r="H2582" s="1" t="s">
        <v>6847</v>
      </c>
      <c r="I2582" s="1" t="s">
        <v>595</v>
      </c>
      <c r="J2582" s="1" t="s">
        <v>596</v>
      </c>
      <c r="K2582" s="1"/>
    </row>
    <row r="2583" ht="15.75" customHeight="1">
      <c r="A2583" s="2">
        <v>2582.0</v>
      </c>
      <c r="B2583" s="1" t="s">
        <v>1416</v>
      </c>
      <c r="C2583" s="1" t="s">
        <v>367</v>
      </c>
      <c r="D2583" s="1" t="s">
        <v>6861</v>
      </c>
      <c r="E2583" s="2">
        <v>5.70038545086E11</v>
      </c>
      <c r="F2583" s="1" t="s">
        <v>6862</v>
      </c>
      <c r="G2583" s="1" t="s">
        <v>121</v>
      </c>
      <c r="H2583" s="2">
        <v>181.0</v>
      </c>
      <c r="I2583" s="1" t="s">
        <v>6847</v>
      </c>
      <c r="J2583" s="1" t="s">
        <v>595</v>
      </c>
      <c r="K2583" s="1" t="s">
        <v>596</v>
      </c>
    </row>
    <row r="2584" ht="15.75" customHeight="1">
      <c r="A2584" s="2">
        <v>2583.0</v>
      </c>
      <c r="B2584" s="1" t="s">
        <v>6863</v>
      </c>
      <c r="C2584" s="1" t="s">
        <v>6864</v>
      </c>
      <c r="D2584" s="1" t="s">
        <v>6481</v>
      </c>
      <c r="E2584" s="2">
        <v>5.70038545088E11</v>
      </c>
      <c r="F2584" s="1" t="s">
        <v>6865</v>
      </c>
      <c r="G2584" s="1" t="s">
        <v>121</v>
      </c>
      <c r="H2584" s="1" t="s">
        <v>6847</v>
      </c>
      <c r="I2584" s="1" t="s">
        <v>595</v>
      </c>
      <c r="J2584" s="1" t="s">
        <v>596</v>
      </c>
      <c r="K2584" s="1"/>
    </row>
    <row r="2585" ht="15.75" customHeight="1">
      <c r="A2585" s="2">
        <v>2584.0</v>
      </c>
      <c r="B2585" s="1" t="s">
        <v>6597</v>
      </c>
      <c r="C2585" s="1" t="s">
        <v>520</v>
      </c>
      <c r="D2585" s="1" t="s">
        <v>103</v>
      </c>
      <c r="E2585" s="2">
        <v>5.70038545089E11</v>
      </c>
      <c r="F2585" s="1" t="s">
        <v>6866</v>
      </c>
      <c r="G2585" s="1" t="s">
        <v>18</v>
      </c>
      <c r="H2585" s="1" t="s">
        <v>6847</v>
      </c>
      <c r="I2585" s="1" t="s">
        <v>595</v>
      </c>
      <c r="J2585" s="1" t="s">
        <v>596</v>
      </c>
      <c r="K2585" s="1"/>
    </row>
    <row r="2586" ht="15.75" customHeight="1">
      <c r="A2586" s="2">
        <v>2585.0</v>
      </c>
      <c r="B2586" s="1" t="s">
        <v>165</v>
      </c>
      <c r="C2586" s="1" t="s">
        <v>6867</v>
      </c>
      <c r="D2586" s="1" t="s">
        <v>850</v>
      </c>
      <c r="E2586" s="2">
        <v>5.7003854498E11</v>
      </c>
      <c r="F2586" s="1" t="s">
        <v>6868</v>
      </c>
      <c r="G2586" s="1" t="s">
        <v>38</v>
      </c>
      <c r="H2586" s="1" t="s">
        <v>6847</v>
      </c>
      <c r="I2586" s="1" t="s">
        <v>595</v>
      </c>
      <c r="J2586" s="1" t="s">
        <v>596</v>
      </c>
      <c r="K2586" s="1"/>
    </row>
    <row r="2587" ht="15.75" customHeight="1">
      <c r="A2587" s="2">
        <v>2586.0</v>
      </c>
      <c r="B2587" s="1" t="s">
        <v>6869</v>
      </c>
      <c r="C2587" s="1" t="s">
        <v>6870</v>
      </c>
      <c r="D2587" s="1" t="s">
        <v>3086</v>
      </c>
      <c r="E2587" s="2">
        <v>5.70038545062E11</v>
      </c>
      <c r="F2587" s="1" t="s">
        <v>6871</v>
      </c>
      <c r="G2587" s="1" t="s">
        <v>121</v>
      </c>
      <c r="H2587" s="1" t="s">
        <v>6847</v>
      </c>
      <c r="I2587" s="1" t="s">
        <v>595</v>
      </c>
      <c r="J2587" s="1" t="s">
        <v>596</v>
      </c>
      <c r="K2587" s="1"/>
    </row>
    <row r="2588" ht="15.75" customHeight="1">
      <c r="A2588" s="2">
        <v>2587.0</v>
      </c>
      <c r="B2588" s="1" t="s">
        <v>6872</v>
      </c>
      <c r="C2588" s="1" t="s">
        <v>6873</v>
      </c>
      <c r="D2588" s="1" t="s">
        <v>6874</v>
      </c>
      <c r="E2588" s="2">
        <v>5.70038545064E11</v>
      </c>
      <c r="F2588" s="1" t="s">
        <v>931</v>
      </c>
      <c r="G2588" s="1" t="s">
        <v>18</v>
      </c>
      <c r="H2588" s="1" t="s">
        <v>6847</v>
      </c>
      <c r="I2588" s="1" t="s">
        <v>595</v>
      </c>
      <c r="J2588" s="1" t="s">
        <v>596</v>
      </c>
      <c r="K2588" s="1"/>
    </row>
    <row r="2589" ht="15.75" customHeight="1">
      <c r="A2589" s="2">
        <v>2588.0</v>
      </c>
      <c r="B2589" s="1" t="s">
        <v>827</v>
      </c>
      <c r="C2589" s="1" t="s">
        <v>6875</v>
      </c>
      <c r="D2589" s="1" t="s">
        <v>6876</v>
      </c>
      <c r="E2589" s="2">
        <v>5.70038001712E11</v>
      </c>
      <c r="F2589" s="1" t="s">
        <v>6877</v>
      </c>
      <c r="G2589" s="1" t="s">
        <v>18</v>
      </c>
      <c r="H2589" s="1" t="s">
        <v>6847</v>
      </c>
      <c r="I2589" s="1" t="s">
        <v>595</v>
      </c>
      <c r="J2589" s="1" t="s">
        <v>596</v>
      </c>
      <c r="K2589" s="1"/>
    </row>
    <row r="2590" ht="15.75" customHeight="1">
      <c r="A2590" s="2">
        <v>2589.0</v>
      </c>
      <c r="B2590" s="1" t="s">
        <v>6878</v>
      </c>
      <c r="C2590" s="1" t="s">
        <v>762</v>
      </c>
      <c r="D2590" s="1" t="s">
        <v>2535</v>
      </c>
      <c r="E2590" s="2">
        <v>5.70038001717E11</v>
      </c>
      <c r="F2590" s="1" t="s">
        <v>6879</v>
      </c>
      <c r="G2590" s="1" t="s">
        <v>121</v>
      </c>
      <c r="H2590" s="2">
        <v>1469.0</v>
      </c>
      <c r="I2590" s="1" t="s">
        <v>6847</v>
      </c>
      <c r="J2590" s="1" t="s">
        <v>595</v>
      </c>
      <c r="K2590" s="1" t="s">
        <v>596</v>
      </c>
    </row>
    <row r="2591" ht="15.75" customHeight="1">
      <c r="A2591" s="2">
        <v>2590.0</v>
      </c>
      <c r="B2591" s="1" t="s">
        <v>6880</v>
      </c>
      <c r="C2591" s="1" t="s">
        <v>3607</v>
      </c>
      <c r="D2591" s="1" t="s">
        <v>6881</v>
      </c>
      <c r="E2591" s="2">
        <v>5.70038001721E11</v>
      </c>
      <c r="F2591" s="1" t="s">
        <v>6882</v>
      </c>
      <c r="G2591" s="1" t="s">
        <v>38</v>
      </c>
      <c r="H2591" s="1" t="s">
        <v>6883</v>
      </c>
      <c r="I2591" s="1" t="s">
        <v>6847</v>
      </c>
      <c r="J2591" s="1" t="s">
        <v>595</v>
      </c>
      <c r="K2591" s="1" t="s">
        <v>596</v>
      </c>
    </row>
    <row r="2592" ht="15.75" customHeight="1">
      <c r="A2592" s="2">
        <v>2591.0</v>
      </c>
      <c r="B2592" s="1" t="s">
        <v>6884</v>
      </c>
      <c r="C2592" s="1" t="s">
        <v>6885</v>
      </c>
      <c r="D2592" s="1" t="s">
        <v>574</v>
      </c>
      <c r="E2592" s="2">
        <v>5.7003800174E11</v>
      </c>
      <c r="F2592" s="1" t="s">
        <v>617</v>
      </c>
      <c r="G2592" s="1" t="s">
        <v>18</v>
      </c>
      <c r="H2592" s="1" t="s">
        <v>6847</v>
      </c>
      <c r="I2592" s="1" t="s">
        <v>595</v>
      </c>
      <c r="J2592" s="1" t="s">
        <v>596</v>
      </c>
      <c r="K2592" s="1"/>
    </row>
    <row r="2593" ht="15.75" customHeight="1">
      <c r="A2593" s="2">
        <v>2592.0</v>
      </c>
      <c r="B2593" s="1" t="s">
        <v>6886</v>
      </c>
      <c r="C2593" s="1" t="s">
        <v>1699</v>
      </c>
      <c r="D2593" s="1" t="s">
        <v>6887</v>
      </c>
      <c r="E2593" s="2">
        <v>5.70038001748E11</v>
      </c>
      <c r="F2593" s="1" t="s">
        <v>6888</v>
      </c>
      <c r="G2593" s="1" t="s">
        <v>18</v>
      </c>
      <c r="H2593" s="2">
        <v>196.0</v>
      </c>
      <c r="I2593" s="1" t="s">
        <v>6847</v>
      </c>
      <c r="J2593" s="1" t="s">
        <v>595</v>
      </c>
      <c r="K2593" s="1" t="s">
        <v>596</v>
      </c>
    </row>
    <row r="2594" ht="15.75" customHeight="1">
      <c r="A2594" s="2">
        <v>2593.0</v>
      </c>
      <c r="B2594" s="1" t="s">
        <v>5287</v>
      </c>
      <c r="C2594" s="1" t="s">
        <v>79</v>
      </c>
      <c r="D2594" s="1" t="s">
        <v>6889</v>
      </c>
      <c r="E2594" s="2">
        <v>5.70038545093E11</v>
      </c>
      <c r="F2594" s="1" t="s">
        <v>6131</v>
      </c>
      <c r="G2594" s="1" t="s">
        <v>18</v>
      </c>
      <c r="H2594" s="2">
        <v>503.0</v>
      </c>
      <c r="I2594" s="1" t="s">
        <v>6847</v>
      </c>
      <c r="J2594" s="1" t="s">
        <v>595</v>
      </c>
      <c r="K2594" s="1" t="s">
        <v>596</v>
      </c>
    </row>
    <row r="2595" ht="15.75" customHeight="1">
      <c r="A2595" s="2">
        <v>2594.0</v>
      </c>
      <c r="B2595" s="1" t="s">
        <v>6890</v>
      </c>
      <c r="C2595" s="1" t="s">
        <v>276</v>
      </c>
      <c r="D2595" s="1" t="s">
        <v>5354</v>
      </c>
      <c r="E2595" s="2">
        <v>5.70038545095E11</v>
      </c>
      <c r="F2595" s="1" t="s">
        <v>6891</v>
      </c>
      <c r="G2595" s="1" t="s">
        <v>121</v>
      </c>
      <c r="H2595" s="2">
        <v>1510.0</v>
      </c>
      <c r="I2595" s="1" t="s">
        <v>6847</v>
      </c>
      <c r="J2595" s="1" t="s">
        <v>595</v>
      </c>
      <c r="K2595" s="1" t="s">
        <v>596</v>
      </c>
    </row>
    <row r="2596" ht="15.75" customHeight="1">
      <c r="A2596" s="2">
        <v>2595.0</v>
      </c>
      <c r="B2596" s="1" t="s">
        <v>2849</v>
      </c>
      <c r="C2596" s="1" t="s">
        <v>329</v>
      </c>
      <c r="D2596" s="1" t="s">
        <v>6892</v>
      </c>
      <c r="E2596" s="2">
        <v>5.700385451E11</v>
      </c>
      <c r="F2596" s="1" t="s">
        <v>6893</v>
      </c>
      <c r="G2596" s="1" t="s">
        <v>143</v>
      </c>
      <c r="H2596" s="1" t="s">
        <v>6847</v>
      </c>
      <c r="I2596" s="1" t="s">
        <v>595</v>
      </c>
      <c r="J2596" s="1" t="s">
        <v>596</v>
      </c>
      <c r="K2596" s="1"/>
    </row>
    <row r="2597" ht="15.75" customHeight="1">
      <c r="A2597" s="2">
        <v>2596.0</v>
      </c>
      <c r="B2597" s="1" t="s">
        <v>6894</v>
      </c>
      <c r="C2597" s="1" t="s">
        <v>6895</v>
      </c>
      <c r="D2597" s="1" t="s">
        <v>6896</v>
      </c>
      <c r="E2597" s="2">
        <v>5.70038545102E11</v>
      </c>
      <c r="F2597" s="1" t="s">
        <v>6897</v>
      </c>
      <c r="G2597" s="1" t="s">
        <v>143</v>
      </c>
      <c r="H2597" s="1" t="s">
        <v>6847</v>
      </c>
      <c r="I2597" s="1" t="s">
        <v>595</v>
      </c>
      <c r="J2597" s="1" t="s">
        <v>596</v>
      </c>
      <c r="K2597" s="1"/>
    </row>
    <row r="2598" ht="15.75" customHeight="1">
      <c r="A2598" s="2">
        <v>2597.0</v>
      </c>
      <c r="B2598" s="1" t="s">
        <v>5796</v>
      </c>
      <c r="C2598" s="1" t="s">
        <v>6898</v>
      </c>
      <c r="D2598" s="1" t="s">
        <v>6899</v>
      </c>
      <c r="E2598" s="2">
        <v>5.70038545103E11</v>
      </c>
      <c r="F2598" s="1" t="s">
        <v>6900</v>
      </c>
      <c r="G2598" s="1" t="s">
        <v>121</v>
      </c>
      <c r="H2598" s="2">
        <v>629.0</v>
      </c>
      <c r="I2598" s="1" t="s">
        <v>6847</v>
      </c>
      <c r="J2598" s="1" t="s">
        <v>595</v>
      </c>
      <c r="K2598" s="1" t="s">
        <v>596</v>
      </c>
    </row>
    <row r="2599" ht="15.75" customHeight="1">
      <c r="A2599" s="2">
        <v>2598.0</v>
      </c>
      <c r="B2599" s="1" t="s">
        <v>6901</v>
      </c>
      <c r="C2599" s="1" t="s">
        <v>445</v>
      </c>
      <c r="D2599" s="1" t="s">
        <v>536</v>
      </c>
      <c r="E2599" s="2">
        <v>5.70038545106E11</v>
      </c>
      <c r="F2599" s="1" t="s">
        <v>6902</v>
      </c>
      <c r="G2599" s="1" t="s">
        <v>121</v>
      </c>
      <c r="H2599" s="1" t="s">
        <v>6847</v>
      </c>
      <c r="I2599" s="1" t="s">
        <v>595</v>
      </c>
      <c r="J2599" s="1" t="s">
        <v>596</v>
      </c>
      <c r="K2599" s="1"/>
    </row>
    <row r="2600" ht="15.75" customHeight="1">
      <c r="A2600" s="2">
        <v>2599.0</v>
      </c>
      <c r="B2600" s="1" t="s">
        <v>188</v>
      </c>
      <c r="C2600" s="1" t="s">
        <v>710</v>
      </c>
      <c r="D2600" s="1" t="s">
        <v>6903</v>
      </c>
      <c r="E2600" s="2">
        <v>5.70038545119E11</v>
      </c>
      <c r="F2600" s="1" t="s">
        <v>6904</v>
      </c>
      <c r="G2600" s="1" t="s">
        <v>38</v>
      </c>
      <c r="H2600" s="1" t="s">
        <v>6847</v>
      </c>
      <c r="I2600" s="1" t="s">
        <v>595</v>
      </c>
      <c r="J2600" s="1" t="s">
        <v>596</v>
      </c>
      <c r="K2600" s="1"/>
    </row>
    <row r="2601" ht="15.75" customHeight="1">
      <c r="A2601" s="2">
        <v>2600.0</v>
      </c>
      <c r="B2601" s="1" t="s">
        <v>6905</v>
      </c>
      <c r="C2601" s="1" t="s">
        <v>2041</v>
      </c>
      <c r="D2601" s="1" t="s">
        <v>273</v>
      </c>
      <c r="E2601" s="2">
        <v>5.70038001813E11</v>
      </c>
      <c r="F2601" s="1" t="s">
        <v>6906</v>
      </c>
      <c r="G2601" s="1" t="s">
        <v>18</v>
      </c>
      <c r="H2601" s="2">
        <v>1120.0</v>
      </c>
      <c r="I2601" s="1" t="s">
        <v>6847</v>
      </c>
      <c r="J2601" s="1" t="s">
        <v>595</v>
      </c>
      <c r="K2601" s="1" t="s">
        <v>596</v>
      </c>
    </row>
    <row r="2602" ht="15.75" customHeight="1">
      <c r="A2602" s="2">
        <v>2601.0</v>
      </c>
      <c r="B2602" s="1" t="s">
        <v>6086</v>
      </c>
      <c r="C2602" s="1" t="s">
        <v>3634</v>
      </c>
      <c r="D2602" s="1" t="s">
        <v>6907</v>
      </c>
      <c r="E2602" s="2">
        <v>5.70038001821E11</v>
      </c>
      <c r="F2602" s="1" t="s">
        <v>6688</v>
      </c>
      <c r="G2602" s="1" t="s">
        <v>121</v>
      </c>
      <c r="H2602" s="1" t="s">
        <v>6847</v>
      </c>
      <c r="I2602" s="1" t="s">
        <v>595</v>
      </c>
      <c r="J2602" s="1" t="s">
        <v>596</v>
      </c>
      <c r="K2602" s="1"/>
    </row>
    <row r="2603" ht="15.75" customHeight="1">
      <c r="A2603" s="2">
        <v>2602.0</v>
      </c>
      <c r="B2603" s="1" t="s">
        <v>6908</v>
      </c>
      <c r="C2603" s="1" t="s">
        <v>3518</v>
      </c>
      <c r="D2603" s="1" t="s">
        <v>5811</v>
      </c>
      <c r="E2603" s="2">
        <v>5.70038545121E11</v>
      </c>
      <c r="F2603" s="1" t="s">
        <v>6909</v>
      </c>
      <c r="G2603" s="1" t="s">
        <v>18</v>
      </c>
      <c r="H2603" s="2">
        <v>1003.0</v>
      </c>
      <c r="I2603" s="1" t="s">
        <v>6847</v>
      </c>
      <c r="J2603" s="1" t="s">
        <v>595</v>
      </c>
      <c r="K2603" s="1" t="s">
        <v>596</v>
      </c>
    </row>
    <row r="2604" ht="15.75" customHeight="1">
      <c r="A2604" s="2">
        <v>2603.0</v>
      </c>
      <c r="B2604" s="1" t="s">
        <v>6057</v>
      </c>
      <c r="C2604" s="1" t="s">
        <v>1972</v>
      </c>
      <c r="D2604" s="1" t="s">
        <v>2239</v>
      </c>
      <c r="E2604" s="2">
        <v>5.70038545122E11</v>
      </c>
      <c r="F2604" s="1" t="s">
        <v>6910</v>
      </c>
      <c r="G2604" s="1" t="s">
        <v>18</v>
      </c>
      <c r="H2604" s="1" t="s">
        <v>6847</v>
      </c>
      <c r="I2604" s="1" t="s">
        <v>595</v>
      </c>
      <c r="J2604" s="1" t="s">
        <v>596</v>
      </c>
      <c r="K2604" s="1"/>
    </row>
    <row r="2605" ht="15.75" customHeight="1">
      <c r="A2605" s="2">
        <v>2604.0</v>
      </c>
      <c r="B2605" s="1" t="s">
        <v>6911</v>
      </c>
      <c r="C2605" s="1" t="s">
        <v>6912</v>
      </c>
      <c r="D2605" s="1" t="s">
        <v>5288</v>
      </c>
      <c r="E2605" s="2">
        <v>5.70038545123E11</v>
      </c>
      <c r="F2605" s="1" t="s">
        <v>6913</v>
      </c>
      <c r="G2605" s="1" t="s">
        <v>121</v>
      </c>
      <c r="H2605" s="2">
        <v>219.0</v>
      </c>
      <c r="I2605" s="1" t="s">
        <v>6847</v>
      </c>
      <c r="J2605" s="1" t="s">
        <v>595</v>
      </c>
      <c r="K2605" s="1" t="s">
        <v>596</v>
      </c>
    </row>
    <row r="2606" ht="15.75" customHeight="1">
      <c r="A2606" s="2">
        <v>2605.0</v>
      </c>
      <c r="B2606" s="1" t="s">
        <v>6914</v>
      </c>
      <c r="C2606" s="1" t="s">
        <v>3454</v>
      </c>
      <c r="D2606" s="1" t="s">
        <v>6915</v>
      </c>
      <c r="E2606" s="2">
        <v>5.70038545124E11</v>
      </c>
      <c r="F2606" s="1" t="s">
        <v>6916</v>
      </c>
      <c r="G2606" s="1" t="s">
        <v>121</v>
      </c>
      <c r="H2606" s="1" t="s">
        <v>6883</v>
      </c>
      <c r="I2606" s="1" t="s">
        <v>6847</v>
      </c>
      <c r="J2606" s="1" t="s">
        <v>595</v>
      </c>
      <c r="K2606" s="1" t="s">
        <v>596</v>
      </c>
    </row>
    <row r="2607" ht="15.75" customHeight="1">
      <c r="A2607" s="2">
        <v>2606.0</v>
      </c>
      <c r="B2607" s="1" t="s">
        <v>6917</v>
      </c>
      <c r="C2607" s="1" t="s">
        <v>5759</v>
      </c>
      <c r="D2607" s="1" t="s">
        <v>335</v>
      </c>
      <c r="E2607" s="2">
        <v>5.70038545125E11</v>
      </c>
      <c r="F2607" s="1" t="s">
        <v>6918</v>
      </c>
      <c r="G2607" s="1" t="s">
        <v>5625</v>
      </c>
      <c r="H2607" s="1" t="s">
        <v>6847</v>
      </c>
      <c r="I2607" s="1" t="s">
        <v>595</v>
      </c>
      <c r="J2607" s="1" t="s">
        <v>596</v>
      </c>
      <c r="K2607" s="1"/>
    </row>
    <row r="2608" ht="15.75" customHeight="1">
      <c r="A2608" s="2">
        <v>2607.0</v>
      </c>
      <c r="B2608" s="1" t="s">
        <v>6919</v>
      </c>
      <c r="C2608" s="1" t="s">
        <v>6920</v>
      </c>
      <c r="D2608" s="1" t="s">
        <v>359</v>
      </c>
      <c r="E2608" s="2">
        <v>5.70038545126E11</v>
      </c>
      <c r="F2608" s="1" t="s">
        <v>6921</v>
      </c>
      <c r="G2608" s="1" t="s">
        <v>38</v>
      </c>
      <c r="H2608" s="1" t="s">
        <v>6883</v>
      </c>
      <c r="I2608" s="1" t="s">
        <v>6847</v>
      </c>
      <c r="J2608" s="1" t="s">
        <v>595</v>
      </c>
      <c r="K2608" s="1" t="s">
        <v>596</v>
      </c>
    </row>
    <row r="2609" ht="15.75" customHeight="1">
      <c r="A2609" s="2">
        <v>2608.0</v>
      </c>
      <c r="B2609" s="1" t="s">
        <v>323</v>
      </c>
      <c r="C2609" s="1" t="s">
        <v>1535</v>
      </c>
      <c r="D2609" s="1" t="s">
        <v>6922</v>
      </c>
      <c r="E2609" s="2">
        <v>5.70038545127E11</v>
      </c>
      <c r="F2609" s="1" t="s">
        <v>6923</v>
      </c>
      <c r="G2609" s="1" t="s">
        <v>121</v>
      </c>
      <c r="H2609" s="2">
        <v>799.0</v>
      </c>
      <c r="I2609" s="1" t="s">
        <v>6847</v>
      </c>
      <c r="J2609" s="1" t="s">
        <v>595</v>
      </c>
      <c r="K2609" s="1" t="s">
        <v>596</v>
      </c>
    </row>
    <row r="2610" ht="15.75" customHeight="1">
      <c r="A2610" s="2">
        <v>2609.0</v>
      </c>
      <c r="B2610" s="1" t="s">
        <v>293</v>
      </c>
      <c r="C2610" s="1" t="s">
        <v>1783</v>
      </c>
      <c r="D2610" s="1" t="s">
        <v>6396</v>
      </c>
      <c r="E2610" s="2">
        <v>5.7003854513E11</v>
      </c>
      <c r="F2610" s="1" t="s">
        <v>6924</v>
      </c>
      <c r="G2610" s="1" t="s">
        <v>121</v>
      </c>
      <c r="H2610" s="2">
        <v>1509.0</v>
      </c>
      <c r="I2610" s="1" t="s">
        <v>6847</v>
      </c>
      <c r="J2610" s="1" t="s">
        <v>595</v>
      </c>
      <c r="K2610" s="1" t="s">
        <v>596</v>
      </c>
    </row>
    <row r="2611" ht="15.75" customHeight="1">
      <c r="A2611" s="2">
        <v>2610.0</v>
      </c>
      <c r="B2611" s="1" t="s">
        <v>6925</v>
      </c>
      <c r="C2611" s="1" t="s">
        <v>730</v>
      </c>
      <c r="D2611" s="1" t="s">
        <v>6926</v>
      </c>
      <c r="E2611" s="2">
        <v>5.70038545131E11</v>
      </c>
      <c r="F2611" s="1" t="s">
        <v>6927</v>
      </c>
      <c r="G2611" s="1" t="s">
        <v>18</v>
      </c>
      <c r="H2611" s="2">
        <v>468.0</v>
      </c>
      <c r="I2611" s="1" t="s">
        <v>6847</v>
      </c>
      <c r="J2611" s="1" t="s">
        <v>595</v>
      </c>
      <c r="K2611" s="1" t="s">
        <v>596</v>
      </c>
    </row>
    <row r="2612" ht="15.75" customHeight="1">
      <c r="A2612" s="2">
        <v>2611.0</v>
      </c>
      <c r="B2612" s="1" t="s">
        <v>6928</v>
      </c>
      <c r="C2612" s="1" t="s">
        <v>6929</v>
      </c>
      <c r="D2612" s="1" t="s">
        <v>751</v>
      </c>
      <c r="E2612" s="2">
        <v>5.70038545132E11</v>
      </c>
      <c r="F2612" s="1" t="s">
        <v>6930</v>
      </c>
      <c r="G2612" s="1" t="s">
        <v>18</v>
      </c>
      <c r="H2612" s="1" t="s">
        <v>6847</v>
      </c>
      <c r="I2612" s="1" t="s">
        <v>595</v>
      </c>
      <c r="J2612" s="1" t="s">
        <v>596</v>
      </c>
      <c r="K2612" s="1"/>
    </row>
    <row r="2613" ht="15.75" customHeight="1">
      <c r="A2613" s="2">
        <v>2612.0</v>
      </c>
      <c r="B2613" s="1" t="s">
        <v>3577</v>
      </c>
      <c r="C2613" s="1" t="s">
        <v>6931</v>
      </c>
      <c r="D2613" s="1" t="s">
        <v>6268</v>
      </c>
      <c r="E2613" s="2">
        <v>5.70038545134E11</v>
      </c>
      <c r="F2613" s="1" t="s">
        <v>6932</v>
      </c>
      <c r="G2613" s="1" t="s">
        <v>18</v>
      </c>
      <c r="H2613" s="1" t="s">
        <v>6847</v>
      </c>
      <c r="I2613" s="1" t="s">
        <v>595</v>
      </c>
      <c r="J2613" s="1" t="s">
        <v>596</v>
      </c>
      <c r="K2613" s="1"/>
    </row>
    <row r="2614" ht="15.75" customHeight="1">
      <c r="A2614" s="2">
        <v>2613.0</v>
      </c>
      <c r="B2614" s="1" t="s">
        <v>2615</v>
      </c>
      <c r="C2614" s="1" t="s">
        <v>6933</v>
      </c>
      <c r="D2614" s="1" t="s">
        <v>5489</v>
      </c>
      <c r="E2614" s="2">
        <v>5.70038545136E11</v>
      </c>
      <c r="F2614" s="1" t="s">
        <v>6934</v>
      </c>
      <c r="G2614" s="1" t="s">
        <v>121</v>
      </c>
      <c r="H2614" s="2">
        <v>101.0</v>
      </c>
      <c r="I2614" s="1" t="s">
        <v>6847</v>
      </c>
      <c r="J2614" s="1" t="s">
        <v>595</v>
      </c>
      <c r="K2614" s="1" t="s">
        <v>596</v>
      </c>
    </row>
    <row r="2615" ht="15.75" customHeight="1">
      <c r="A2615" s="2">
        <v>2614.0</v>
      </c>
      <c r="B2615" s="1" t="s">
        <v>6935</v>
      </c>
      <c r="C2615" s="1" t="s">
        <v>106</v>
      </c>
      <c r="D2615" s="1" t="s">
        <v>6326</v>
      </c>
      <c r="E2615" s="2">
        <v>5.70038545137E11</v>
      </c>
      <c r="F2615" s="1" t="s">
        <v>6646</v>
      </c>
      <c r="G2615" s="1" t="s">
        <v>121</v>
      </c>
      <c r="H2615" s="1" t="s">
        <v>6847</v>
      </c>
      <c r="I2615" s="1" t="s">
        <v>595</v>
      </c>
      <c r="J2615" s="1" t="s">
        <v>596</v>
      </c>
      <c r="K2615" s="1"/>
    </row>
    <row r="2616" ht="15.75" customHeight="1">
      <c r="A2616" s="2">
        <v>2615.0</v>
      </c>
      <c r="B2616" s="1" t="s">
        <v>6936</v>
      </c>
      <c r="C2616" s="1" t="s">
        <v>6937</v>
      </c>
      <c r="D2616" s="1" t="s">
        <v>6938</v>
      </c>
      <c r="E2616" s="2">
        <v>5.70038545141E11</v>
      </c>
      <c r="F2616" s="1" t="s">
        <v>6939</v>
      </c>
      <c r="G2616" s="1" t="s">
        <v>121</v>
      </c>
      <c r="H2616" s="1" t="s">
        <v>6847</v>
      </c>
      <c r="I2616" s="1" t="s">
        <v>595</v>
      </c>
      <c r="J2616" s="1" t="s">
        <v>596</v>
      </c>
      <c r="K2616" s="1"/>
    </row>
    <row r="2617" ht="15.75" customHeight="1">
      <c r="A2617" s="2">
        <v>2616.0</v>
      </c>
      <c r="B2617" s="1" t="s">
        <v>6940</v>
      </c>
      <c r="C2617" s="1" t="s">
        <v>6941</v>
      </c>
      <c r="D2617" s="1" t="s">
        <v>5337</v>
      </c>
      <c r="E2617" s="2">
        <v>5.70038545142E11</v>
      </c>
      <c r="F2617" s="1" t="s">
        <v>6105</v>
      </c>
      <c r="G2617" s="1" t="s">
        <v>18</v>
      </c>
      <c r="H2617" s="1" t="s">
        <v>6942</v>
      </c>
      <c r="I2617" s="1" t="s">
        <v>6847</v>
      </c>
      <c r="J2617" s="1" t="s">
        <v>595</v>
      </c>
      <c r="K2617" s="1" t="s">
        <v>596</v>
      </c>
    </row>
    <row r="2618" ht="15.75" customHeight="1">
      <c r="A2618" s="2">
        <v>2617.0</v>
      </c>
      <c r="B2618" s="1" t="s">
        <v>5769</v>
      </c>
      <c r="C2618" s="1" t="s">
        <v>1304</v>
      </c>
      <c r="D2618" s="1" t="s">
        <v>6943</v>
      </c>
      <c r="E2618" s="2">
        <v>5.70038545143E11</v>
      </c>
      <c r="F2618" s="1" t="s">
        <v>6944</v>
      </c>
      <c r="G2618" s="1" t="s">
        <v>18</v>
      </c>
      <c r="H2618" s="1" t="s">
        <v>6847</v>
      </c>
      <c r="I2618" s="1" t="s">
        <v>595</v>
      </c>
      <c r="J2618" s="1" t="s">
        <v>596</v>
      </c>
      <c r="K2618" s="1"/>
    </row>
    <row r="2619" ht="15.75" customHeight="1">
      <c r="A2619" s="2">
        <v>2618.0</v>
      </c>
      <c r="B2619" s="1" t="s">
        <v>6945</v>
      </c>
      <c r="C2619" s="1" t="s">
        <v>597</v>
      </c>
      <c r="D2619" s="1" t="s">
        <v>6946</v>
      </c>
      <c r="E2619" s="2">
        <v>5.70038545144E11</v>
      </c>
      <c r="F2619" s="1" t="s">
        <v>6947</v>
      </c>
      <c r="G2619" s="1" t="s">
        <v>18</v>
      </c>
      <c r="H2619" s="2">
        <v>144.0</v>
      </c>
      <c r="I2619" s="1" t="s">
        <v>6847</v>
      </c>
      <c r="J2619" s="1" t="s">
        <v>595</v>
      </c>
      <c r="K2619" s="1" t="s">
        <v>596</v>
      </c>
    </row>
    <row r="2620" ht="15.75" customHeight="1">
      <c r="A2620" s="2">
        <v>2619.0</v>
      </c>
      <c r="B2620" s="1" t="s">
        <v>5996</v>
      </c>
      <c r="C2620" s="1" t="s">
        <v>165</v>
      </c>
      <c r="D2620" s="1" t="s">
        <v>6948</v>
      </c>
      <c r="E2620" s="2">
        <v>5.70038545146E11</v>
      </c>
      <c r="F2620" s="1" t="s">
        <v>5950</v>
      </c>
      <c r="G2620" s="1" t="s">
        <v>18</v>
      </c>
      <c r="H2620" s="2">
        <v>78.0</v>
      </c>
      <c r="I2620" s="1" t="s">
        <v>6847</v>
      </c>
      <c r="J2620" s="1" t="s">
        <v>595</v>
      </c>
      <c r="K2620" s="1" t="s">
        <v>596</v>
      </c>
    </row>
    <row r="2621" ht="15.75" customHeight="1">
      <c r="A2621" s="2">
        <v>2620.0</v>
      </c>
      <c r="B2621" s="1" t="s">
        <v>6949</v>
      </c>
      <c r="C2621" s="1" t="s">
        <v>3192</v>
      </c>
      <c r="D2621" s="1" t="s">
        <v>307</v>
      </c>
      <c r="E2621" s="2">
        <v>5.70038545148E11</v>
      </c>
      <c r="F2621" s="1" t="s">
        <v>6950</v>
      </c>
      <c r="G2621" s="1" t="s">
        <v>18</v>
      </c>
      <c r="H2621" s="2">
        <v>144.0</v>
      </c>
      <c r="I2621" s="1" t="s">
        <v>6847</v>
      </c>
      <c r="J2621" s="1" t="s">
        <v>595</v>
      </c>
      <c r="K2621" s="1" t="s">
        <v>596</v>
      </c>
    </row>
    <row r="2622" ht="15.75" customHeight="1">
      <c r="A2622" s="2">
        <v>2621.0</v>
      </c>
      <c r="B2622" s="1" t="s">
        <v>6951</v>
      </c>
      <c r="C2622" s="1" t="s">
        <v>361</v>
      </c>
      <c r="D2622" s="1" t="s">
        <v>4904</v>
      </c>
      <c r="E2622" s="2">
        <v>5.70038545149E11</v>
      </c>
      <c r="F2622" s="1" t="s">
        <v>6579</v>
      </c>
      <c r="G2622" s="1" t="s">
        <v>121</v>
      </c>
      <c r="H2622" s="2">
        <v>144.0</v>
      </c>
      <c r="I2622" s="1" t="s">
        <v>6847</v>
      </c>
      <c r="J2622" s="1" t="s">
        <v>595</v>
      </c>
      <c r="K2622" s="1" t="s">
        <v>596</v>
      </c>
    </row>
    <row r="2623" ht="15.75" customHeight="1">
      <c r="A2623" s="2">
        <v>2622.0</v>
      </c>
      <c r="B2623" s="1" t="s">
        <v>6952</v>
      </c>
      <c r="C2623" s="1" t="s">
        <v>1358</v>
      </c>
      <c r="D2623" s="1" t="s">
        <v>6953</v>
      </c>
      <c r="E2623" s="2">
        <v>5.70038545152E11</v>
      </c>
      <c r="F2623" s="1" t="s">
        <v>6954</v>
      </c>
      <c r="G2623" s="1" t="s">
        <v>24</v>
      </c>
      <c r="H2623" s="1" t="s">
        <v>6955</v>
      </c>
      <c r="I2623" s="1" t="s">
        <v>6847</v>
      </c>
      <c r="J2623" s="1" t="s">
        <v>595</v>
      </c>
      <c r="K2623" s="1" t="s">
        <v>596</v>
      </c>
    </row>
    <row r="2624" ht="15.75" customHeight="1">
      <c r="A2624" s="2">
        <v>2623.0</v>
      </c>
      <c r="B2624" s="1" t="s">
        <v>6956</v>
      </c>
      <c r="C2624" s="1" t="s">
        <v>1014</v>
      </c>
      <c r="D2624" s="1" t="s">
        <v>2072</v>
      </c>
      <c r="E2624" s="2">
        <v>5.70038001671E11</v>
      </c>
      <c r="F2624" s="1" t="s">
        <v>6957</v>
      </c>
      <c r="G2624" s="1" t="s">
        <v>121</v>
      </c>
      <c r="H2624" s="2">
        <v>786.0</v>
      </c>
      <c r="I2624" s="1" t="s">
        <v>6958</v>
      </c>
      <c r="J2624" s="1" t="s">
        <v>595</v>
      </c>
      <c r="K2624" s="1" t="s">
        <v>596</v>
      </c>
    </row>
    <row r="2625" ht="15.75" customHeight="1">
      <c r="A2625" s="2">
        <v>2624.0</v>
      </c>
      <c r="B2625" s="1" t="s">
        <v>1951</v>
      </c>
      <c r="C2625" s="1" t="s">
        <v>6959</v>
      </c>
      <c r="D2625" s="1" t="s">
        <v>6960</v>
      </c>
      <c r="E2625" s="2">
        <v>5.70038545155E11</v>
      </c>
      <c r="F2625" s="1" t="s">
        <v>6961</v>
      </c>
      <c r="G2625" s="1" t="s">
        <v>143</v>
      </c>
      <c r="H2625" s="1" t="s">
        <v>6847</v>
      </c>
      <c r="I2625" s="1" t="s">
        <v>595</v>
      </c>
      <c r="J2625" s="1" t="s">
        <v>596</v>
      </c>
      <c r="K2625" s="1"/>
    </row>
    <row r="2626" ht="15.75" customHeight="1">
      <c r="A2626" s="2">
        <v>2625.0</v>
      </c>
      <c r="B2626" s="1" t="s">
        <v>6962</v>
      </c>
      <c r="C2626" s="1" t="s">
        <v>6963</v>
      </c>
      <c r="D2626" s="1" t="s">
        <v>5433</v>
      </c>
      <c r="E2626" s="2">
        <v>5.70038545154E11</v>
      </c>
      <c r="F2626" s="1" t="s">
        <v>6964</v>
      </c>
      <c r="G2626" s="1" t="s">
        <v>24</v>
      </c>
      <c r="H2626" s="2">
        <v>938.0</v>
      </c>
      <c r="I2626" s="1" t="s">
        <v>6847</v>
      </c>
      <c r="J2626" s="1" t="s">
        <v>595</v>
      </c>
      <c r="K2626" s="1" t="s">
        <v>596</v>
      </c>
    </row>
    <row r="2627" ht="15.75" customHeight="1">
      <c r="A2627" s="2">
        <v>2626.0</v>
      </c>
      <c r="B2627" s="1" t="s">
        <v>315</v>
      </c>
      <c r="C2627" s="1" t="s">
        <v>6965</v>
      </c>
      <c r="D2627" s="1" t="s">
        <v>5811</v>
      </c>
      <c r="E2627" s="2">
        <v>5.70038545158E11</v>
      </c>
      <c r="F2627" s="1" t="s">
        <v>6966</v>
      </c>
      <c r="G2627" s="1" t="s">
        <v>24</v>
      </c>
      <c r="H2627" s="1" t="s">
        <v>6847</v>
      </c>
      <c r="I2627" s="1" t="s">
        <v>595</v>
      </c>
      <c r="J2627" s="1" t="s">
        <v>596</v>
      </c>
      <c r="K2627" s="1"/>
    </row>
    <row r="2628" ht="15.75" customHeight="1">
      <c r="A2628" s="2">
        <v>2627.0</v>
      </c>
      <c r="B2628" s="1" t="s">
        <v>6386</v>
      </c>
      <c r="C2628" s="1" t="s">
        <v>54</v>
      </c>
      <c r="D2628" s="1" t="s">
        <v>295</v>
      </c>
      <c r="E2628" s="2">
        <v>5.7003854516E11</v>
      </c>
      <c r="F2628" s="1" t="s">
        <v>6967</v>
      </c>
      <c r="G2628" s="1" t="s">
        <v>18</v>
      </c>
      <c r="H2628" s="1" t="s">
        <v>6847</v>
      </c>
      <c r="I2628" s="1" t="s">
        <v>595</v>
      </c>
      <c r="J2628" s="1" t="s">
        <v>596</v>
      </c>
      <c r="K2628" s="1"/>
    </row>
    <row r="2629" ht="15.75" customHeight="1">
      <c r="A2629" s="2">
        <v>2628.0</v>
      </c>
      <c r="B2629" s="1" t="s">
        <v>6968</v>
      </c>
      <c r="C2629" s="1" t="s">
        <v>43</v>
      </c>
      <c r="D2629" s="1" t="s">
        <v>6969</v>
      </c>
      <c r="E2629" s="2">
        <v>5.70038545161E11</v>
      </c>
      <c r="F2629" s="1" t="s">
        <v>6970</v>
      </c>
      <c r="G2629" s="1" t="s">
        <v>18</v>
      </c>
      <c r="H2629" s="1" t="s">
        <v>6847</v>
      </c>
      <c r="I2629" s="1" t="s">
        <v>595</v>
      </c>
      <c r="J2629" s="1" t="s">
        <v>596</v>
      </c>
      <c r="K2629" s="1"/>
    </row>
    <row r="2630" ht="15.75" customHeight="1">
      <c r="A2630" s="2">
        <v>2629.0</v>
      </c>
      <c r="B2630" s="1" t="s">
        <v>6971</v>
      </c>
      <c r="C2630" s="1" t="s">
        <v>2335</v>
      </c>
      <c r="D2630" s="1" t="s">
        <v>5704</v>
      </c>
      <c r="E2630" s="2">
        <v>5.70038545163E11</v>
      </c>
      <c r="F2630" s="1" t="s">
        <v>6972</v>
      </c>
      <c r="G2630" s="1" t="s">
        <v>18</v>
      </c>
      <c r="H2630" s="1" t="s">
        <v>6847</v>
      </c>
      <c r="I2630" s="1" t="s">
        <v>595</v>
      </c>
      <c r="J2630" s="1" t="s">
        <v>596</v>
      </c>
      <c r="K2630" s="1"/>
    </row>
    <row r="2631" ht="15.75" customHeight="1">
      <c r="A2631" s="2">
        <v>2630.0</v>
      </c>
      <c r="B2631" s="1" t="s">
        <v>6973</v>
      </c>
      <c r="C2631" s="1" t="s">
        <v>6974</v>
      </c>
      <c r="D2631" s="1" t="s">
        <v>955</v>
      </c>
      <c r="E2631" s="2">
        <v>5.70038545165E11</v>
      </c>
      <c r="F2631" s="1" t="s">
        <v>6975</v>
      </c>
      <c r="G2631" s="1" t="s">
        <v>121</v>
      </c>
      <c r="H2631" s="1" t="s">
        <v>6847</v>
      </c>
      <c r="I2631" s="1" t="s">
        <v>595</v>
      </c>
      <c r="J2631" s="1" t="s">
        <v>596</v>
      </c>
      <c r="K2631" s="1"/>
    </row>
    <row r="2632" ht="15.75" customHeight="1">
      <c r="A2632" s="2">
        <v>2631.0</v>
      </c>
      <c r="B2632" s="1" t="s">
        <v>6976</v>
      </c>
      <c r="C2632" s="1" t="s">
        <v>72</v>
      </c>
      <c r="D2632" s="1" t="s">
        <v>4931</v>
      </c>
      <c r="E2632" s="2">
        <v>5.70038545168E11</v>
      </c>
      <c r="F2632" s="1" t="s">
        <v>6977</v>
      </c>
      <c r="G2632" s="1" t="s">
        <v>121</v>
      </c>
      <c r="H2632" s="2">
        <v>38.0</v>
      </c>
      <c r="I2632" s="1" t="s">
        <v>6847</v>
      </c>
      <c r="J2632" s="1" t="s">
        <v>595</v>
      </c>
      <c r="K2632" s="1" t="s">
        <v>596</v>
      </c>
    </row>
    <row r="2633" ht="15.75" customHeight="1">
      <c r="A2633" s="2">
        <v>2632.0</v>
      </c>
      <c r="B2633" s="1" t="s">
        <v>6978</v>
      </c>
      <c r="C2633" s="1" t="s">
        <v>1484</v>
      </c>
      <c r="D2633" s="1" t="s">
        <v>1420</v>
      </c>
      <c r="E2633" s="2">
        <v>5.70038545173E11</v>
      </c>
      <c r="F2633" s="1" t="s">
        <v>6857</v>
      </c>
      <c r="G2633" s="1" t="s">
        <v>24</v>
      </c>
      <c r="H2633" s="1" t="s">
        <v>6847</v>
      </c>
      <c r="I2633" s="1" t="s">
        <v>595</v>
      </c>
      <c r="J2633" s="1" t="s">
        <v>596</v>
      </c>
      <c r="K2633" s="1"/>
    </row>
    <row r="2634" ht="15.75" customHeight="1">
      <c r="A2634" s="2">
        <v>2633.0</v>
      </c>
      <c r="B2634" s="1" t="s">
        <v>6979</v>
      </c>
      <c r="C2634" s="1" t="s">
        <v>361</v>
      </c>
      <c r="D2634" s="1" t="s">
        <v>273</v>
      </c>
      <c r="E2634" s="2">
        <v>5.70038545175E11</v>
      </c>
      <c r="F2634" s="1" t="s">
        <v>6980</v>
      </c>
      <c r="G2634" s="1" t="s">
        <v>18</v>
      </c>
      <c r="H2634" s="1" t="s">
        <v>6847</v>
      </c>
      <c r="I2634" s="1" t="s">
        <v>595</v>
      </c>
      <c r="J2634" s="1" t="s">
        <v>596</v>
      </c>
      <c r="K2634" s="1"/>
    </row>
    <row r="2635" ht="15.75" customHeight="1">
      <c r="A2635" s="2">
        <v>2634.0</v>
      </c>
      <c r="B2635" s="1" t="s">
        <v>1634</v>
      </c>
      <c r="C2635" s="1" t="s">
        <v>6981</v>
      </c>
      <c r="D2635" s="1" t="s">
        <v>6450</v>
      </c>
      <c r="E2635" s="2">
        <v>5.70038545179E11</v>
      </c>
      <c r="F2635" s="1" t="s">
        <v>5921</v>
      </c>
      <c r="G2635" s="1" t="s">
        <v>121</v>
      </c>
      <c r="H2635" s="1" t="s">
        <v>6847</v>
      </c>
      <c r="I2635" s="1" t="s">
        <v>595</v>
      </c>
      <c r="J2635" s="1" t="s">
        <v>596</v>
      </c>
      <c r="K2635" s="1"/>
    </row>
    <row r="2636" ht="15.75" customHeight="1">
      <c r="A2636" s="2">
        <v>2635.0</v>
      </c>
      <c r="B2636" s="1" t="s">
        <v>97</v>
      </c>
      <c r="C2636" s="1" t="s">
        <v>2360</v>
      </c>
      <c r="D2636" s="1" t="s">
        <v>2363</v>
      </c>
      <c r="E2636" s="2">
        <v>5.70038545182E11</v>
      </c>
      <c r="F2636" s="1" t="s">
        <v>6982</v>
      </c>
      <c r="G2636" s="1" t="s">
        <v>18</v>
      </c>
      <c r="H2636" s="1" t="s">
        <v>6847</v>
      </c>
      <c r="I2636" s="1" t="s">
        <v>595</v>
      </c>
      <c r="J2636" s="1" t="s">
        <v>596</v>
      </c>
      <c r="K2636" s="1"/>
    </row>
    <row r="2637" ht="15.75" customHeight="1">
      <c r="A2637" s="2">
        <v>2636.0</v>
      </c>
      <c r="B2637" s="1" t="s">
        <v>6983</v>
      </c>
      <c r="C2637" s="1" t="s">
        <v>117</v>
      </c>
      <c r="D2637" s="1" t="s">
        <v>273</v>
      </c>
      <c r="E2637" s="2">
        <v>5.70038545183E11</v>
      </c>
      <c r="F2637" s="1" t="s">
        <v>6536</v>
      </c>
      <c r="G2637" s="1" t="s">
        <v>18</v>
      </c>
      <c r="H2637" s="1" t="s">
        <v>6847</v>
      </c>
      <c r="I2637" s="1" t="s">
        <v>595</v>
      </c>
      <c r="J2637" s="1" t="s">
        <v>596</v>
      </c>
      <c r="K2637" s="1"/>
    </row>
    <row r="2638" ht="15.75" customHeight="1">
      <c r="A2638" s="2">
        <v>2637.0</v>
      </c>
      <c r="B2638" s="1" t="s">
        <v>6984</v>
      </c>
      <c r="C2638" s="1" t="s">
        <v>2556</v>
      </c>
      <c r="D2638" s="1" t="s">
        <v>6022</v>
      </c>
      <c r="E2638" s="2">
        <v>5.7003854519E11</v>
      </c>
      <c r="F2638" s="1" t="s">
        <v>6085</v>
      </c>
      <c r="G2638" s="1" t="s">
        <v>18</v>
      </c>
      <c r="H2638" s="1" t="s">
        <v>6847</v>
      </c>
      <c r="I2638" s="1" t="s">
        <v>595</v>
      </c>
      <c r="J2638" s="1" t="s">
        <v>596</v>
      </c>
      <c r="K2638" s="1"/>
    </row>
    <row r="2639" ht="15.75" customHeight="1">
      <c r="A2639" s="2">
        <v>2638.0</v>
      </c>
      <c r="B2639" s="1" t="s">
        <v>503</v>
      </c>
      <c r="C2639" s="1" t="s">
        <v>117</v>
      </c>
      <c r="D2639" s="1" t="s">
        <v>273</v>
      </c>
      <c r="E2639" s="2">
        <v>5.70038545193E11</v>
      </c>
      <c r="F2639" s="1" t="s">
        <v>6985</v>
      </c>
      <c r="G2639" s="1" t="s">
        <v>18</v>
      </c>
      <c r="H2639" s="1" t="s">
        <v>6847</v>
      </c>
      <c r="I2639" s="1" t="s">
        <v>595</v>
      </c>
      <c r="J2639" s="1" t="s">
        <v>596</v>
      </c>
      <c r="K2639" s="1"/>
    </row>
    <row r="2640" ht="15.75" customHeight="1">
      <c r="A2640" s="2">
        <v>2639.0</v>
      </c>
      <c r="B2640" s="1" t="s">
        <v>5840</v>
      </c>
      <c r="C2640" s="1" t="s">
        <v>165</v>
      </c>
      <c r="D2640" s="1" t="s">
        <v>6724</v>
      </c>
      <c r="E2640" s="2">
        <v>5.70038545196E11</v>
      </c>
      <c r="F2640" s="1" t="s">
        <v>6644</v>
      </c>
      <c r="G2640" s="1" t="s">
        <v>121</v>
      </c>
      <c r="H2640" s="1" t="s">
        <v>6847</v>
      </c>
      <c r="I2640" s="1" t="s">
        <v>595</v>
      </c>
      <c r="J2640" s="1" t="s">
        <v>596</v>
      </c>
      <c r="K2640" s="1"/>
    </row>
    <row r="2641" ht="15.75" customHeight="1">
      <c r="A2641" s="2">
        <v>2640.0</v>
      </c>
      <c r="B2641" s="1" t="s">
        <v>5549</v>
      </c>
      <c r="C2641" s="1" t="s">
        <v>2714</v>
      </c>
      <c r="D2641" s="1" t="s">
        <v>6986</v>
      </c>
      <c r="E2641" s="2">
        <v>5.70038545197E11</v>
      </c>
      <c r="F2641" s="1" t="s">
        <v>6987</v>
      </c>
      <c r="G2641" s="1" t="s">
        <v>18</v>
      </c>
      <c r="H2641" s="1" t="s">
        <v>6847</v>
      </c>
      <c r="I2641" s="1" t="s">
        <v>595</v>
      </c>
      <c r="J2641" s="1" t="s">
        <v>596</v>
      </c>
      <c r="K2641" s="1"/>
    </row>
    <row r="2642" ht="15.75" customHeight="1">
      <c r="A2642" s="2">
        <v>2641.0</v>
      </c>
      <c r="B2642" s="1" t="s">
        <v>6988</v>
      </c>
      <c r="C2642" s="1" t="s">
        <v>2714</v>
      </c>
      <c r="D2642" s="1" t="s">
        <v>6986</v>
      </c>
      <c r="E2642" s="2">
        <v>5.70038545198E11</v>
      </c>
      <c r="F2642" s="1" t="s">
        <v>6989</v>
      </c>
      <c r="G2642" s="1" t="s">
        <v>18</v>
      </c>
      <c r="H2642" s="1" t="s">
        <v>6847</v>
      </c>
      <c r="I2642" s="1" t="s">
        <v>595</v>
      </c>
      <c r="J2642" s="1" t="s">
        <v>596</v>
      </c>
      <c r="K2642" s="1"/>
    </row>
    <row r="2643" ht="15.75" customHeight="1">
      <c r="A2643" s="2">
        <v>2642.0</v>
      </c>
      <c r="B2643" s="1" t="s">
        <v>72</v>
      </c>
      <c r="C2643" s="1" t="s">
        <v>1249</v>
      </c>
      <c r="D2643" s="1" t="s">
        <v>6990</v>
      </c>
      <c r="E2643" s="2">
        <v>5.70038545199E11</v>
      </c>
      <c r="F2643" s="1" t="s">
        <v>6531</v>
      </c>
      <c r="G2643" s="1" t="s">
        <v>24</v>
      </c>
      <c r="H2643" s="1" t="s">
        <v>6847</v>
      </c>
      <c r="I2643" s="1" t="s">
        <v>595</v>
      </c>
      <c r="J2643" s="1" t="s">
        <v>596</v>
      </c>
      <c r="K2643" s="1"/>
    </row>
    <row r="2644" ht="15.75" customHeight="1">
      <c r="A2644" s="2">
        <v>2643.0</v>
      </c>
      <c r="B2644" s="1" t="s">
        <v>6086</v>
      </c>
      <c r="C2644" s="1" t="s">
        <v>555</v>
      </c>
      <c r="D2644" s="1" t="s">
        <v>283</v>
      </c>
      <c r="E2644" s="2">
        <v>5.70038545202E11</v>
      </c>
      <c r="F2644" s="1" t="s">
        <v>6991</v>
      </c>
      <c r="G2644" s="1" t="s">
        <v>18</v>
      </c>
      <c r="H2644" s="1" t="s">
        <v>6847</v>
      </c>
      <c r="I2644" s="1" t="s">
        <v>595</v>
      </c>
      <c r="J2644" s="1" t="s">
        <v>596</v>
      </c>
      <c r="K2644" s="1"/>
    </row>
    <row r="2645" ht="15.75" customHeight="1">
      <c r="A2645" s="2">
        <v>2644.0</v>
      </c>
      <c r="B2645" s="1" t="s">
        <v>6992</v>
      </c>
      <c r="C2645" s="1" t="s">
        <v>387</v>
      </c>
      <c r="D2645" s="1" t="s">
        <v>6993</v>
      </c>
      <c r="E2645" s="2">
        <v>5.70038545203E11</v>
      </c>
      <c r="F2645" s="1" t="s">
        <v>6994</v>
      </c>
      <c r="G2645" s="1" t="s">
        <v>121</v>
      </c>
      <c r="H2645" s="1" t="s">
        <v>6847</v>
      </c>
      <c r="I2645" s="1" t="s">
        <v>595</v>
      </c>
      <c r="J2645" s="1" t="s">
        <v>596</v>
      </c>
      <c r="K2645" s="1"/>
    </row>
    <row r="2646" ht="15.75" customHeight="1">
      <c r="A2646" s="2">
        <v>2645.0</v>
      </c>
      <c r="B2646" s="1" t="s">
        <v>6995</v>
      </c>
      <c r="C2646" s="1" t="s">
        <v>3035</v>
      </c>
      <c r="D2646" s="1" t="s">
        <v>6996</v>
      </c>
      <c r="E2646" s="2">
        <v>5.70038545204E11</v>
      </c>
      <c r="F2646" s="1" t="s">
        <v>6966</v>
      </c>
      <c r="G2646" s="1" t="s">
        <v>18</v>
      </c>
      <c r="H2646" s="1" t="s">
        <v>6847</v>
      </c>
      <c r="I2646" s="1" t="s">
        <v>595</v>
      </c>
      <c r="J2646" s="1" t="s">
        <v>596</v>
      </c>
      <c r="K2646" s="1"/>
    </row>
    <row r="2647" ht="15.75" customHeight="1">
      <c r="A2647" s="2">
        <v>2646.0</v>
      </c>
      <c r="B2647" s="1" t="s">
        <v>6086</v>
      </c>
      <c r="C2647" s="1" t="s">
        <v>106</v>
      </c>
      <c r="D2647" s="1" t="s">
        <v>6997</v>
      </c>
      <c r="E2647" s="2">
        <v>5.70038545205E11</v>
      </c>
      <c r="F2647" s="1" t="s">
        <v>6998</v>
      </c>
      <c r="G2647" s="1" t="s">
        <v>383</v>
      </c>
      <c r="H2647" s="1" t="s">
        <v>6847</v>
      </c>
      <c r="I2647" s="1" t="s">
        <v>595</v>
      </c>
      <c r="J2647" s="1" t="s">
        <v>596</v>
      </c>
      <c r="K2647" s="1"/>
    </row>
    <row r="2648" ht="15.75" customHeight="1">
      <c r="A2648" s="2">
        <v>2647.0</v>
      </c>
      <c r="B2648" s="1" t="s">
        <v>5674</v>
      </c>
      <c r="C2648" s="1" t="s">
        <v>2964</v>
      </c>
      <c r="D2648" s="1" t="s">
        <v>6999</v>
      </c>
      <c r="E2648" s="2">
        <v>5.70038545213E11</v>
      </c>
      <c r="F2648" s="1" t="s">
        <v>6849</v>
      </c>
      <c r="G2648" s="1" t="s">
        <v>18</v>
      </c>
      <c r="H2648" s="1" t="s">
        <v>6847</v>
      </c>
      <c r="I2648" s="1" t="s">
        <v>595</v>
      </c>
      <c r="J2648" s="1" t="s">
        <v>596</v>
      </c>
      <c r="K2648" s="1"/>
    </row>
    <row r="2649" ht="15.75" customHeight="1">
      <c r="A2649" s="2">
        <v>2648.0</v>
      </c>
      <c r="B2649" s="1" t="s">
        <v>6971</v>
      </c>
      <c r="C2649" s="1" t="s">
        <v>3075</v>
      </c>
      <c r="D2649" s="1" t="s">
        <v>7000</v>
      </c>
      <c r="E2649" s="2">
        <v>5.70038545214E11</v>
      </c>
      <c r="F2649" s="1" t="s">
        <v>6531</v>
      </c>
      <c r="G2649" s="1" t="s">
        <v>18</v>
      </c>
      <c r="H2649" s="1" t="s">
        <v>6847</v>
      </c>
      <c r="I2649" s="1" t="s">
        <v>595</v>
      </c>
      <c r="J2649" s="1" t="s">
        <v>596</v>
      </c>
      <c r="K2649" s="1"/>
    </row>
    <row r="2650" ht="15.75" customHeight="1">
      <c r="A2650" s="2">
        <v>2649.0</v>
      </c>
      <c r="B2650" s="1" t="s">
        <v>1249</v>
      </c>
      <c r="C2650" s="1" t="s">
        <v>3208</v>
      </c>
      <c r="D2650" s="1" t="s">
        <v>2496</v>
      </c>
      <c r="E2650" s="2">
        <v>5.70038545216E11</v>
      </c>
      <c r="F2650" s="1" t="s">
        <v>7001</v>
      </c>
      <c r="G2650" s="1" t="s">
        <v>18</v>
      </c>
      <c r="H2650" s="1" t="s">
        <v>6847</v>
      </c>
      <c r="I2650" s="1" t="s">
        <v>595</v>
      </c>
      <c r="J2650" s="1" t="s">
        <v>596</v>
      </c>
      <c r="K2650" s="1"/>
    </row>
    <row r="2651" ht="15.75" customHeight="1">
      <c r="A2651" s="2">
        <v>2650.0</v>
      </c>
      <c r="B2651" s="1" t="s">
        <v>7002</v>
      </c>
      <c r="C2651" s="1" t="s">
        <v>2495</v>
      </c>
      <c r="D2651" s="1" t="s">
        <v>3551</v>
      </c>
      <c r="E2651" s="2">
        <v>5.70038545218E11</v>
      </c>
      <c r="F2651" s="1" t="s">
        <v>7003</v>
      </c>
      <c r="G2651" s="1" t="s">
        <v>121</v>
      </c>
      <c r="H2651" s="1" t="s">
        <v>6847</v>
      </c>
      <c r="I2651" s="1" t="s">
        <v>595</v>
      </c>
      <c r="J2651" s="1" t="s">
        <v>596</v>
      </c>
      <c r="K2651" s="1"/>
    </row>
    <row r="2652" ht="15.75" customHeight="1">
      <c r="A2652" s="2">
        <v>2651.0</v>
      </c>
      <c r="B2652" s="1" t="s">
        <v>1806</v>
      </c>
      <c r="C2652" s="1" t="s">
        <v>2299</v>
      </c>
      <c r="D2652" s="1" t="s">
        <v>7004</v>
      </c>
      <c r="E2652" s="2">
        <v>5.7003854522E11</v>
      </c>
      <c r="F2652" s="1" t="s">
        <v>7005</v>
      </c>
      <c r="G2652" s="1" t="s">
        <v>18</v>
      </c>
      <c r="H2652" s="1" t="s">
        <v>6847</v>
      </c>
      <c r="I2652" s="1" t="s">
        <v>595</v>
      </c>
      <c r="J2652" s="1" t="s">
        <v>596</v>
      </c>
      <c r="K2652" s="1"/>
    </row>
    <row r="2653" ht="15.75" customHeight="1">
      <c r="A2653" s="2">
        <v>2652.0</v>
      </c>
      <c r="B2653" s="1" t="s">
        <v>5486</v>
      </c>
      <c r="C2653" s="1" t="s">
        <v>251</v>
      </c>
      <c r="D2653" s="1" t="s">
        <v>7006</v>
      </c>
      <c r="E2653" s="2">
        <v>5.70038545221E11</v>
      </c>
      <c r="F2653" s="1" t="s">
        <v>7007</v>
      </c>
      <c r="G2653" s="1" t="s">
        <v>18</v>
      </c>
      <c r="H2653" s="1" t="s">
        <v>6847</v>
      </c>
      <c r="I2653" s="1" t="s">
        <v>595</v>
      </c>
      <c r="J2653" s="1" t="s">
        <v>596</v>
      </c>
      <c r="K2653" s="1"/>
    </row>
    <row r="2654" ht="15.75" customHeight="1">
      <c r="A2654" s="2">
        <v>2653.0</v>
      </c>
      <c r="B2654" s="1" t="s">
        <v>5516</v>
      </c>
      <c r="C2654" s="1" t="s">
        <v>2029</v>
      </c>
      <c r="D2654" s="1" t="s">
        <v>7008</v>
      </c>
      <c r="E2654" s="2">
        <v>5.70038545222E11</v>
      </c>
      <c r="F2654" s="1" t="s">
        <v>7009</v>
      </c>
      <c r="G2654" s="1" t="s">
        <v>121</v>
      </c>
      <c r="H2654" s="1" t="s">
        <v>6847</v>
      </c>
      <c r="I2654" s="1" t="s">
        <v>595</v>
      </c>
      <c r="J2654" s="1" t="s">
        <v>596</v>
      </c>
      <c r="K2654" s="1"/>
    </row>
    <row r="2655" ht="15.75" customHeight="1">
      <c r="A2655" s="2">
        <v>2654.0</v>
      </c>
      <c r="B2655" s="1" t="s">
        <v>7010</v>
      </c>
      <c r="C2655" s="1" t="s">
        <v>1119</v>
      </c>
      <c r="D2655" s="1" t="s">
        <v>5211</v>
      </c>
      <c r="E2655" s="2">
        <v>5.70038545223E11</v>
      </c>
      <c r="F2655" s="1" t="s">
        <v>7011</v>
      </c>
      <c r="G2655" s="1" t="s">
        <v>121</v>
      </c>
      <c r="H2655" s="1" t="s">
        <v>6847</v>
      </c>
      <c r="I2655" s="1" t="s">
        <v>595</v>
      </c>
      <c r="J2655" s="1" t="s">
        <v>596</v>
      </c>
      <c r="K2655" s="1"/>
    </row>
    <row r="2656" ht="15.75" customHeight="1">
      <c r="A2656" s="2">
        <v>2655.0</v>
      </c>
      <c r="B2656" s="1" t="s">
        <v>7012</v>
      </c>
      <c r="C2656" s="1" t="s">
        <v>7013</v>
      </c>
      <c r="D2656" s="1" t="s">
        <v>7014</v>
      </c>
      <c r="E2656" s="2">
        <v>5.70038545225E11</v>
      </c>
      <c r="F2656" s="1" t="s">
        <v>7015</v>
      </c>
      <c r="G2656" s="1" t="s">
        <v>121</v>
      </c>
      <c r="H2656" s="1" t="s">
        <v>6847</v>
      </c>
      <c r="I2656" s="1" t="s">
        <v>595</v>
      </c>
      <c r="J2656" s="1" t="s">
        <v>596</v>
      </c>
      <c r="K2656" s="1"/>
    </row>
    <row r="2657" ht="15.75" customHeight="1">
      <c r="A2657" s="2">
        <v>2656.0</v>
      </c>
      <c r="B2657" s="1" t="s">
        <v>7016</v>
      </c>
      <c r="C2657" s="1" t="s">
        <v>762</v>
      </c>
      <c r="D2657" s="1" t="s">
        <v>7017</v>
      </c>
      <c r="E2657" s="2">
        <v>5.70038545227E11</v>
      </c>
      <c r="F2657" s="1" t="s">
        <v>6551</v>
      </c>
      <c r="G2657" s="1" t="s">
        <v>121</v>
      </c>
      <c r="H2657" s="1" t="s">
        <v>6847</v>
      </c>
      <c r="I2657" s="1" t="s">
        <v>595</v>
      </c>
      <c r="J2657" s="1" t="s">
        <v>596</v>
      </c>
      <c r="K2657" s="1"/>
    </row>
    <row r="2658" ht="15.75" customHeight="1">
      <c r="A2658" s="2">
        <v>2657.0</v>
      </c>
      <c r="B2658" s="1" t="s">
        <v>6430</v>
      </c>
      <c r="C2658" s="1" t="s">
        <v>191</v>
      </c>
      <c r="D2658" s="1" t="s">
        <v>3636</v>
      </c>
      <c r="E2658" s="2">
        <v>5.70038545229E11</v>
      </c>
      <c r="F2658" s="1" t="s">
        <v>7018</v>
      </c>
      <c r="G2658" s="1" t="s">
        <v>121</v>
      </c>
      <c r="H2658" s="1" t="s">
        <v>6847</v>
      </c>
      <c r="I2658" s="1" t="s">
        <v>595</v>
      </c>
      <c r="J2658" s="1" t="s">
        <v>596</v>
      </c>
      <c r="K2658" s="1"/>
    </row>
    <row r="2659" ht="15.75" customHeight="1">
      <c r="A2659" s="2">
        <v>2658.0</v>
      </c>
      <c r="B2659" s="1" t="s">
        <v>5135</v>
      </c>
      <c r="C2659" s="1" t="s">
        <v>403</v>
      </c>
      <c r="D2659" s="1" t="s">
        <v>440</v>
      </c>
      <c r="E2659" s="2">
        <v>5.7003854523E11</v>
      </c>
      <c r="F2659" s="1" t="s">
        <v>7019</v>
      </c>
      <c r="G2659" s="1" t="s">
        <v>121</v>
      </c>
      <c r="H2659" s="1" t="s">
        <v>6847</v>
      </c>
      <c r="I2659" s="1" t="s">
        <v>595</v>
      </c>
      <c r="J2659" s="1" t="s">
        <v>596</v>
      </c>
      <c r="K2659" s="1"/>
    </row>
    <row r="2660" ht="15.75" customHeight="1">
      <c r="A2660" s="2">
        <v>2659.0</v>
      </c>
      <c r="B2660" s="1" t="s">
        <v>7020</v>
      </c>
      <c r="C2660" s="1" t="s">
        <v>1700</v>
      </c>
      <c r="D2660" s="1" t="s">
        <v>6329</v>
      </c>
      <c r="E2660" s="2">
        <v>5.70038545231E11</v>
      </c>
      <c r="F2660" s="1" t="s">
        <v>7021</v>
      </c>
      <c r="G2660" s="1" t="s">
        <v>121</v>
      </c>
      <c r="H2660" s="1" t="s">
        <v>6847</v>
      </c>
      <c r="I2660" s="1" t="s">
        <v>595</v>
      </c>
      <c r="J2660" s="1" t="s">
        <v>596</v>
      </c>
      <c r="K2660" s="1"/>
    </row>
    <row r="2661" ht="15.75" customHeight="1">
      <c r="A2661" s="2">
        <v>2660.0</v>
      </c>
      <c r="B2661" s="1" t="s">
        <v>7022</v>
      </c>
      <c r="C2661" s="1" t="s">
        <v>669</v>
      </c>
      <c r="D2661" s="1" t="s">
        <v>7023</v>
      </c>
      <c r="E2661" s="2">
        <v>5.70038545236E11</v>
      </c>
      <c r="F2661" s="1" t="s">
        <v>7024</v>
      </c>
      <c r="G2661" s="1" t="s">
        <v>121</v>
      </c>
      <c r="H2661" s="1" t="s">
        <v>6847</v>
      </c>
      <c r="I2661" s="1" t="s">
        <v>595</v>
      </c>
      <c r="J2661" s="1" t="s">
        <v>596</v>
      </c>
      <c r="K2661" s="1"/>
    </row>
    <row r="2662" ht="15.75" customHeight="1">
      <c r="A2662" s="2">
        <v>2661.0</v>
      </c>
      <c r="B2662" s="1" t="s">
        <v>7025</v>
      </c>
      <c r="C2662" s="1" t="s">
        <v>2964</v>
      </c>
      <c r="D2662" s="1" t="s">
        <v>6999</v>
      </c>
      <c r="E2662" s="2">
        <v>5.70038545245E11</v>
      </c>
      <c r="F2662" s="1" t="s">
        <v>6630</v>
      </c>
      <c r="G2662" s="1" t="s">
        <v>18</v>
      </c>
      <c r="H2662" s="1" t="s">
        <v>6847</v>
      </c>
      <c r="I2662" s="1" t="s">
        <v>595</v>
      </c>
      <c r="J2662" s="1" t="s">
        <v>596</v>
      </c>
      <c r="K2662" s="1"/>
    </row>
    <row r="2663" ht="15.75" customHeight="1">
      <c r="A2663" s="2">
        <v>2662.0</v>
      </c>
      <c r="B2663" s="1" t="s">
        <v>7026</v>
      </c>
      <c r="C2663" s="1" t="s">
        <v>348</v>
      </c>
      <c r="D2663" s="1" t="s">
        <v>7027</v>
      </c>
      <c r="E2663" s="2">
        <v>5.70038545246E11</v>
      </c>
      <c r="F2663" s="1" t="s">
        <v>7028</v>
      </c>
      <c r="G2663" s="1" t="s">
        <v>18</v>
      </c>
      <c r="H2663" s="1" t="s">
        <v>6847</v>
      </c>
      <c r="I2663" s="1" t="s">
        <v>595</v>
      </c>
      <c r="J2663" s="1" t="s">
        <v>596</v>
      </c>
      <c r="K2663" s="1"/>
    </row>
    <row r="2664" ht="15.75" customHeight="1">
      <c r="A2664" s="2">
        <v>2663.0</v>
      </c>
      <c r="B2664" s="1" t="s">
        <v>6859</v>
      </c>
      <c r="C2664" s="1" t="s">
        <v>682</v>
      </c>
      <c r="D2664" s="1" t="s">
        <v>335</v>
      </c>
      <c r="E2664" s="2">
        <v>5.7003854526E11</v>
      </c>
      <c r="F2664" s="1" t="s">
        <v>7029</v>
      </c>
      <c r="G2664" s="1" t="s">
        <v>121</v>
      </c>
      <c r="H2664" s="1" t="s">
        <v>6847</v>
      </c>
      <c r="I2664" s="1" t="s">
        <v>595</v>
      </c>
      <c r="J2664" s="1" t="s">
        <v>596</v>
      </c>
      <c r="K2664" s="1"/>
    </row>
    <row r="2665" ht="15.75" customHeight="1">
      <c r="A2665" s="2">
        <v>2664.0</v>
      </c>
      <c r="B2665" s="1" t="s">
        <v>5805</v>
      </c>
      <c r="C2665" s="1" t="s">
        <v>7030</v>
      </c>
      <c r="D2665" s="1" t="s">
        <v>331</v>
      </c>
      <c r="E2665" s="2">
        <v>5.70038545262E11</v>
      </c>
      <c r="F2665" s="1" t="s">
        <v>7031</v>
      </c>
      <c r="G2665" s="1" t="s">
        <v>121</v>
      </c>
      <c r="H2665" s="1" t="s">
        <v>6847</v>
      </c>
      <c r="I2665" s="1" t="s">
        <v>595</v>
      </c>
      <c r="J2665" s="1" t="s">
        <v>596</v>
      </c>
      <c r="K2665" s="1"/>
    </row>
    <row r="2666" ht="15.75" customHeight="1">
      <c r="A2666" s="2">
        <v>2665.0</v>
      </c>
      <c r="B2666" s="1" t="s">
        <v>7032</v>
      </c>
      <c r="C2666" s="1" t="s">
        <v>14</v>
      </c>
      <c r="D2666" s="1" t="s">
        <v>5790</v>
      </c>
      <c r="E2666" s="2">
        <v>5.70038545263E11</v>
      </c>
      <c r="F2666" s="1" t="s">
        <v>7033</v>
      </c>
      <c r="G2666" s="1" t="s">
        <v>18</v>
      </c>
      <c r="H2666" s="1" t="s">
        <v>6847</v>
      </c>
      <c r="I2666" s="1" t="s">
        <v>595</v>
      </c>
      <c r="J2666" s="1" t="s">
        <v>596</v>
      </c>
      <c r="K2666" s="1"/>
    </row>
    <row r="2667" ht="15.75" customHeight="1">
      <c r="A2667" s="2">
        <v>2666.0</v>
      </c>
      <c r="B2667" s="1" t="s">
        <v>7034</v>
      </c>
      <c r="C2667" s="1" t="s">
        <v>66</v>
      </c>
      <c r="D2667" s="1" t="s">
        <v>135</v>
      </c>
      <c r="E2667" s="2">
        <v>5.70038545266E11</v>
      </c>
      <c r="F2667" s="1" t="s">
        <v>7028</v>
      </c>
      <c r="G2667" s="1" t="s">
        <v>121</v>
      </c>
      <c r="H2667" s="1" t="s">
        <v>6847</v>
      </c>
      <c r="I2667" s="1" t="s">
        <v>595</v>
      </c>
      <c r="J2667" s="1" t="s">
        <v>596</v>
      </c>
      <c r="K2667" s="1"/>
    </row>
    <row r="2668" ht="15.75" customHeight="1">
      <c r="A2668" s="2">
        <v>2667.0</v>
      </c>
      <c r="B2668" s="1" t="s">
        <v>3654</v>
      </c>
      <c r="C2668" s="1" t="s">
        <v>70</v>
      </c>
      <c r="D2668" s="1" t="s">
        <v>7035</v>
      </c>
      <c r="E2668" s="2">
        <v>5.70038545269E11</v>
      </c>
      <c r="F2668" s="1" t="s">
        <v>6954</v>
      </c>
      <c r="G2668" s="1" t="s">
        <v>980</v>
      </c>
      <c r="H2668" s="1" t="s">
        <v>6847</v>
      </c>
      <c r="I2668" s="1" t="s">
        <v>595</v>
      </c>
      <c r="J2668" s="1" t="s">
        <v>596</v>
      </c>
      <c r="K2668" s="1"/>
    </row>
    <row r="2669" ht="15.75" customHeight="1">
      <c r="A2669" s="2">
        <v>2668.0</v>
      </c>
      <c r="B2669" s="1" t="s">
        <v>7036</v>
      </c>
      <c r="C2669" s="1" t="s">
        <v>5400</v>
      </c>
      <c r="D2669" s="1" t="s">
        <v>5491</v>
      </c>
      <c r="E2669" s="2">
        <v>5.70038545274E11</v>
      </c>
      <c r="F2669" s="1" t="s">
        <v>7037</v>
      </c>
      <c r="G2669" s="1" t="s">
        <v>18</v>
      </c>
      <c r="H2669" s="1" t="s">
        <v>6847</v>
      </c>
      <c r="I2669" s="1" t="s">
        <v>595</v>
      </c>
      <c r="J2669" s="1" t="s">
        <v>596</v>
      </c>
      <c r="K2669" s="1"/>
    </row>
    <row r="2670" ht="15.75" customHeight="1">
      <c r="A2670" s="2">
        <v>2669.0</v>
      </c>
      <c r="B2670" s="1" t="s">
        <v>7038</v>
      </c>
      <c r="C2670" s="1" t="s">
        <v>7039</v>
      </c>
      <c r="D2670" s="1" t="s">
        <v>2421</v>
      </c>
      <c r="E2670" s="2">
        <v>5.70038545275E11</v>
      </c>
      <c r="F2670" s="1" t="s">
        <v>7040</v>
      </c>
      <c r="G2670" s="1" t="s">
        <v>18</v>
      </c>
      <c r="H2670" s="1" t="s">
        <v>6847</v>
      </c>
      <c r="I2670" s="1" t="s">
        <v>595</v>
      </c>
      <c r="J2670" s="1" t="s">
        <v>596</v>
      </c>
      <c r="K2670" s="1"/>
    </row>
    <row r="2671" ht="15.75" customHeight="1">
      <c r="A2671" s="2">
        <v>2670.0</v>
      </c>
      <c r="B2671" s="1" t="s">
        <v>7041</v>
      </c>
      <c r="C2671" s="1" t="s">
        <v>308</v>
      </c>
      <c r="D2671" s="1" t="s">
        <v>6889</v>
      </c>
      <c r="E2671" s="2">
        <v>5.70038545276E11</v>
      </c>
      <c r="F2671" s="1" t="s">
        <v>7042</v>
      </c>
      <c r="G2671" s="1" t="s">
        <v>38</v>
      </c>
      <c r="H2671" s="1" t="s">
        <v>6847</v>
      </c>
      <c r="I2671" s="1" t="s">
        <v>595</v>
      </c>
      <c r="J2671" s="1" t="s">
        <v>596</v>
      </c>
      <c r="K2671" s="1"/>
    </row>
    <row r="2672" ht="15.75" customHeight="1">
      <c r="A2672" s="2">
        <v>2671.0</v>
      </c>
      <c r="B2672" s="1" t="s">
        <v>6649</v>
      </c>
      <c r="C2672" s="1" t="s">
        <v>549</v>
      </c>
      <c r="D2672" s="1" t="s">
        <v>7043</v>
      </c>
      <c r="E2672" s="2">
        <v>5.70038545277E11</v>
      </c>
      <c r="F2672" s="1" t="s">
        <v>7044</v>
      </c>
      <c r="G2672" s="1" t="s">
        <v>18</v>
      </c>
      <c r="H2672" s="1" t="s">
        <v>6847</v>
      </c>
      <c r="I2672" s="1" t="s">
        <v>595</v>
      </c>
      <c r="J2672" s="1" t="s">
        <v>596</v>
      </c>
      <c r="K2672" s="1"/>
    </row>
    <row r="2673" ht="15.75" customHeight="1">
      <c r="A2673" s="2">
        <v>2672.0</v>
      </c>
      <c r="B2673" s="1" t="s">
        <v>6981</v>
      </c>
      <c r="C2673" s="1" t="s">
        <v>2438</v>
      </c>
      <c r="D2673" s="1" t="s">
        <v>781</v>
      </c>
      <c r="E2673" s="2">
        <v>5.70038545278E11</v>
      </c>
      <c r="F2673" s="1" t="s">
        <v>7045</v>
      </c>
      <c r="G2673" s="1" t="s">
        <v>24</v>
      </c>
      <c r="H2673" s="1" t="s">
        <v>6847</v>
      </c>
      <c r="I2673" s="1" t="s">
        <v>595</v>
      </c>
      <c r="J2673" s="1" t="s">
        <v>596</v>
      </c>
      <c r="K2673" s="1"/>
    </row>
    <row r="2674" ht="15.75" customHeight="1">
      <c r="A2674" s="2">
        <v>2673.0</v>
      </c>
      <c r="B2674" s="1" t="s">
        <v>7046</v>
      </c>
      <c r="C2674" s="1" t="s">
        <v>43</v>
      </c>
      <c r="D2674" s="1" t="s">
        <v>5354</v>
      </c>
      <c r="E2674" s="2">
        <v>5.70038545279E11</v>
      </c>
      <c r="F2674" s="1" t="s">
        <v>7047</v>
      </c>
      <c r="G2674" s="1" t="s">
        <v>121</v>
      </c>
      <c r="H2674" s="1" t="s">
        <v>6847</v>
      </c>
      <c r="I2674" s="1" t="s">
        <v>595</v>
      </c>
      <c r="J2674" s="1" t="s">
        <v>596</v>
      </c>
      <c r="K2674" s="1"/>
    </row>
    <row r="2675" ht="15.75" customHeight="1">
      <c r="A2675" s="2">
        <v>2674.0</v>
      </c>
      <c r="B2675" s="1" t="s">
        <v>7048</v>
      </c>
      <c r="C2675" s="1" t="s">
        <v>780</v>
      </c>
      <c r="D2675" s="1" t="s">
        <v>5089</v>
      </c>
      <c r="E2675" s="2">
        <v>5.70038545282E11</v>
      </c>
      <c r="F2675" s="1" t="s">
        <v>6663</v>
      </c>
      <c r="G2675" s="1" t="s">
        <v>18</v>
      </c>
      <c r="H2675" s="1" t="s">
        <v>6847</v>
      </c>
      <c r="I2675" s="1" t="s">
        <v>595</v>
      </c>
      <c r="J2675" s="1" t="s">
        <v>596</v>
      </c>
      <c r="K2675" s="1"/>
    </row>
    <row r="2676" ht="15.75" customHeight="1">
      <c r="A2676" s="2">
        <v>2675.0</v>
      </c>
      <c r="B2676" s="1" t="s">
        <v>5287</v>
      </c>
      <c r="C2676" s="1" t="s">
        <v>1240</v>
      </c>
      <c r="D2676" s="1" t="s">
        <v>6195</v>
      </c>
      <c r="E2676" s="2">
        <v>5.70038545284E11</v>
      </c>
      <c r="F2676" s="1" t="s">
        <v>7049</v>
      </c>
      <c r="G2676" s="1" t="s">
        <v>121</v>
      </c>
      <c r="H2676" s="1" t="s">
        <v>6847</v>
      </c>
      <c r="I2676" s="1" t="s">
        <v>595</v>
      </c>
      <c r="J2676" s="1" t="s">
        <v>596</v>
      </c>
      <c r="K2676" s="1"/>
    </row>
    <row r="2677" ht="15.75" customHeight="1">
      <c r="A2677" s="2">
        <v>2676.0</v>
      </c>
      <c r="B2677" s="1" t="s">
        <v>5027</v>
      </c>
      <c r="C2677" s="1" t="s">
        <v>1228</v>
      </c>
      <c r="D2677" s="1" t="s">
        <v>5531</v>
      </c>
      <c r="E2677" s="2">
        <v>5.70038545294E11</v>
      </c>
      <c r="F2677" s="1" t="s">
        <v>7003</v>
      </c>
      <c r="G2677" s="1" t="s">
        <v>18</v>
      </c>
      <c r="H2677" s="2">
        <v>828.0</v>
      </c>
      <c r="I2677" s="1" t="s">
        <v>6847</v>
      </c>
      <c r="J2677" s="1" t="s">
        <v>595</v>
      </c>
      <c r="K2677" s="1" t="s">
        <v>596</v>
      </c>
    </row>
    <row r="2678" ht="15.75" customHeight="1">
      <c r="A2678" s="2">
        <v>2677.0</v>
      </c>
      <c r="B2678" s="1" t="s">
        <v>6057</v>
      </c>
      <c r="C2678" s="1" t="s">
        <v>559</v>
      </c>
      <c r="D2678" s="1" t="s">
        <v>324</v>
      </c>
      <c r="E2678" s="2">
        <v>5.70038545295E11</v>
      </c>
      <c r="F2678" s="1" t="s">
        <v>6599</v>
      </c>
      <c r="G2678" s="1" t="s">
        <v>18</v>
      </c>
      <c r="H2678" s="1" t="s">
        <v>6847</v>
      </c>
      <c r="I2678" s="1" t="s">
        <v>595</v>
      </c>
      <c r="J2678" s="1" t="s">
        <v>596</v>
      </c>
      <c r="K2678" s="1"/>
    </row>
    <row r="2679" ht="15.75" customHeight="1">
      <c r="A2679" s="2">
        <v>2678.0</v>
      </c>
      <c r="B2679" s="1" t="s">
        <v>7050</v>
      </c>
      <c r="C2679" s="1" t="s">
        <v>1970</v>
      </c>
      <c r="D2679" s="1" t="s">
        <v>265</v>
      </c>
      <c r="E2679" s="2">
        <v>5.70038545297E11</v>
      </c>
      <c r="F2679" s="1" t="s">
        <v>6374</v>
      </c>
      <c r="G2679" s="1" t="s">
        <v>18</v>
      </c>
      <c r="H2679" s="1" t="s">
        <v>7051</v>
      </c>
      <c r="I2679" s="1" t="s">
        <v>6847</v>
      </c>
      <c r="J2679" s="1" t="s">
        <v>595</v>
      </c>
      <c r="K2679" s="1" t="s">
        <v>596</v>
      </c>
    </row>
    <row r="2680" ht="15.75" customHeight="1">
      <c r="A2680" s="2">
        <v>2679.0</v>
      </c>
      <c r="B2680" s="1" t="s">
        <v>7052</v>
      </c>
      <c r="C2680" s="1" t="s">
        <v>2385</v>
      </c>
      <c r="D2680" s="1" t="s">
        <v>335</v>
      </c>
      <c r="E2680" s="2">
        <v>5.700385453E11</v>
      </c>
      <c r="F2680" s="1" t="s">
        <v>7053</v>
      </c>
      <c r="G2680" s="1" t="s">
        <v>38</v>
      </c>
      <c r="H2680" s="1" t="s">
        <v>6847</v>
      </c>
      <c r="I2680" s="1" t="s">
        <v>595</v>
      </c>
      <c r="J2680" s="1" t="s">
        <v>596</v>
      </c>
      <c r="K2680" s="1"/>
    </row>
    <row r="2681" ht="15.75" customHeight="1">
      <c r="A2681" s="2">
        <v>2680.0</v>
      </c>
      <c r="B2681" s="1" t="s">
        <v>7054</v>
      </c>
      <c r="C2681" s="1" t="s">
        <v>60</v>
      </c>
      <c r="D2681" s="1" t="s">
        <v>6614</v>
      </c>
      <c r="E2681" s="2">
        <v>5.70038545308E11</v>
      </c>
      <c r="F2681" s="1" t="s">
        <v>7055</v>
      </c>
      <c r="G2681" s="1" t="s">
        <v>121</v>
      </c>
      <c r="H2681" s="2">
        <v>1091.0</v>
      </c>
      <c r="I2681" s="1" t="s">
        <v>6847</v>
      </c>
      <c r="J2681" s="1" t="s">
        <v>595</v>
      </c>
      <c r="K2681" s="1" t="s">
        <v>596</v>
      </c>
    </row>
    <row r="2682" ht="15.75" customHeight="1">
      <c r="A2682" s="2">
        <v>2681.0</v>
      </c>
      <c r="B2682" s="1" t="s">
        <v>838</v>
      </c>
      <c r="C2682" s="1" t="s">
        <v>1471</v>
      </c>
      <c r="D2682" s="1" t="s">
        <v>335</v>
      </c>
      <c r="E2682" s="2">
        <v>5.70038545299E11</v>
      </c>
      <c r="F2682" s="1" t="s">
        <v>7056</v>
      </c>
      <c r="G2682" s="1" t="s">
        <v>143</v>
      </c>
      <c r="H2682" s="1" t="s">
        <v>6847</v>
      </c>
      <c r="I2682" s="1" t="s">
        <v>595</v>
      </c>
      <c r="J2682" s="1" t="s">
        <v>596</v>
      </c>
      <c r="K2682" s="1"/>
    </row>
    <row r="2683" ht="15.75" customHeight="1">
      <c r="A2683" s="2">
        <v>2682.0</v>
      </c>
      <c r="B2683" s="1" t="s">
        <v>7057</v>
      </c>
      <c r="C2683" s="1" t="s">
        <v>1320</v>
      </c>
      <c r="D2683" s="1" t="s">
        <v>7058</v>
      </c>
      <c r="E2683" s="2">
        <v>5.70038545301E11</v>
      </c>
      <c r="F2683" s="1" t="s">
        <v>7059</v>
      </c>
      <c r="G2683" s="1" t="s">
        <v>38</v>
      </c>
      <c r="H2683" s="1" t="s">
        <v>6847</v>
      </c>
      <c r="I2683" s="1" t="s">
        <v>595</v>
      </c>
      <c r="J2683" s="1" t="s">
        <v>596</v>
      </c>
      <c r="K2683" s="1"/>
    </row>
    <row r="2684" ht="15.75" customHeight="1">
      <c r="A2684" s="2">
        <v>2683.0</v>
      </c>
      <c r="B2684" s="1" t="s">
        <v>7060</v>
      </c>
      <c r="C2684" s="1" t="s">
        <v>5017</v>
      </c>
      <c r="D2684" s="1" t="s">
        <v>7061</v>
      </c>
      <c r="E2684" s="2">
        <v>5.70038545304E11</v>
      </c>
      <c r="F2684" s="1" t="s">
        <v>7062</v>
      </c>
      <c r="G2684" s="1" t="s">
        <v>38</v>
      </c>
      <c r="H2684" s="1" t="s">
        <v>6847</v>
      </c>
      <c r="I2684" s="1" t="s">
        <v>595</v>
      </c>
      <c r="J2684" s="1" t="s">
        <v>596</v>
      </c>
      <c r="K2684" s="1"/>
    </row>
    <row r="2685" ht="15.75" customHeight="1">
      <c r="A2685" s="2">
        <v>2684.0</v>
      </c>
      <c r="B2685" s="1" t="s">
        <v>5017</v>
      </c>
      <c r="C2685" s="1" t="s">
        <v>7063</v>
      </c>
      <c r="D2685" s="1" t="s">
        <v>7064</v>
      </c>
      <c r="E2685" s="2">
        <v>5.70038545305E11</v>
      </c>
      <c r="F2685" s="1" t="s">
        <v>7065</v>
      </c>
      <c r="G2685" s="1" t="s">
        <v>38</v>
      </c>
      <c r="H2685" s="1" t="s">
        <v>6847</v>
      </c>
      <c r="I2685" s="1" t="s">
        <v>595</v>
      </c>
      <c r="J2685" s="1" t="s">
        <v>596</v>
      </c>
      <c r="K2685" s="1"/>
    </row>
    <row r="2686" ht="15.75" customHeight="1">
      <c r="A2686" s="2">
        <v>2685.0</v>
      </c>
      <c r="B2686" s="1" t="s">
        <v>7066</v>
      </c>
      <c r="C2686" s="1" t="s">
        <v>5017</v>
      </c>
      <c r="D2686" s="1" t="s">
        <v>7061</v>
      </c>
      <c r="E2686" s="2">
        <v>5.70038545314E11</v>
      </c>
      <c r="F2686" s="1" t="s">
        <v>7067</v>
      </c>
      <c r="G2686" s="1" t="s">
        <v>38</v>
      </c>
      <c r="H2686" s="1" t="s">
        <v>6847</v>
      </c>
      <c r="I2686" s="1" t="s">
        <v>595</v>
      </c>
      <c r="J2686" s="1" t="s">
        <v>596</v>
      </c>
      <c r="K2686" s="1"/>
    </row>
    <row r="2687" ht="15.75" customHeight="1">
      <c r="A2687" s="2">
        <v>2686.0</v>
      </c>
      <c r="B2687" s="1" t="s">
        <v>7068</v>
      </c>
      <c r="C2687" s="1" t="s">
        <v>7069</v>
      </c>
      <c r="D2687" s="1" t="s">
        <v>5574</v>
      </c>
      <c r="E2687" s="2">
        <v>5.70038545319E11</v>
      </c>
      <c r="F2687" s="1" t="s">
        <v>4928</v>
      </c>
      <c r="G2687" s="1" t="s">
        <v>24</v>
      </c>
      <c r="H2687" s="1" t="s">
        <v>6847</v>
      </c>
      <c r="I2687" s="1" t="s">
        <v>595</v>
      </c>
      <c r="J2687" s="1" t="s">
        <v>596</v>
      </c>
      <c r="K2687" s="1"/>
    </row>
    <row r="2688" ht="15.75" customHeight="1">
      <c r="A2688" s="2">
        <v>2687.0</v>
      </c>
      <c r="B2688" s="1" t="s">
        <v>7070</v>
      </c>
      <c r="C2688" s="1" t="s">
        <v>2212</v>
      </c>
      <c r="D2688" s="1" t="s">
        <v>7071</v>
      </c>
      <c r="E2688" s="2">
        <v>5.70038545322E11</v>
      </c>
      <c r="F2688" s="1" t="s">
        <v>7072</v>
      </c>
      <c r="G2688" s="1" t="s">
        <v>12</v>
      </c>
      <c r="H2688" s="1" t="s">
        <v>6847</v>
      </c>
      <c r="I2688" s="1" t="s">
        <v>595</v>
      </c>
      <c r="J2688" s="1" t="s">
        <v>596</v>
      </c>
      <c r="K2688" s="1"/>
    </row>
    <row r="2689" ht="15.75" customHeight="1">
      <c r="A2689" s="2">
        <v>2688.0</v>
      </c>
      <c r="B2689" s="1" t="s">
        <v>7073</v>
      </c>
      <c r="C2689" s="1" t="s">
        <v>1453</v>
      </c>
      <c r="D2689" s="1" t="s">
        <v>7074</v>
      </c>
      <c r="E2689" s="2">
        <v>5.70038000298E11</v>
      </c>
      <c r="F2689" s="1" t="s">
        <v>7075</v>
      </c>
      <c r="G2689" s="1" t="s">
        <v>18</v>
      </c>
      <c r="H2689" s="1" t="s">
        <v>6847</v>
      </c>
      <c r="I2689" s="1" t="s">
        <v>595</v>
      </c>
      <c r="J2689" s="1" t="s">
        <v>596</v>
      </c>
      <c r="K2689" s="1"/>
    </row>
    <row r="2690" ht="15.75" customHeight="1">
      <c r="A2690" s="2">
        <v>2689.0</v>
      </c>
      <c r="B2690" s="1" t="s">
        <v>7076</v>
      </c>
      <c r="C2690" s="1" t="s">
        <v>7077</v>
      </c>
      <c r="D2690" s="1" t="s">
        <v>7078</v>
      </c>
      <c r="E2690" s="2">
        <v>5.70038000397E11</v>
      </c>
      <c r="F2690" s="1" t="s">
        <v>7079</v>
      </c>
      <c r="G2690" s="1" t="s">
        <v>121</v>
      </c>
      <c r="H2690" s="1" t="s">
        <v>6847</v>
      </c>
      <c r="I2690" s="1" t="s">
        <v>595</v>
      </c>
      <c r="J2690" s="1" t="s">
        <v>596</v>
      </c>
      <c r="K2690" s="1"/>
    </row>
    <row r="2691" ht="15.75" customHeight="1">
      <c r="A2691" s="2">
        <v>2690.0</v>
      </c>
      <c r="B2691" s="1" t="s">
        <v>6613</v>
      </c>
      <c r="C2691" s="1" t="s">
        <v>39</v>
      </c>
      <c r="D2691" s="1" t="s">
        <v>7080</v>
      </c>
      <c r="E2691" s="2">
        <v>5.70038000601E11</v>
      </c>
      <c r="F2691" s="1" t="s">
        <v>7081</v>
      </c>
      <c r="G2691" s="1" t="s">
        <v>121</v>
      </c>
      <c r="H2691" s="1" t="s">
        <v>6847</v>
      </c>
      <c r="I2691" s="1" t="s">
        <v>595</v>
      </c>
      <c r="J2691" s="1" t="s">
        <v>596</v>
      </c>
      <c r="K2691" s="1"/>
    </row>
    <row r="2692" ht="15.75" customHeight="1">
      <c r="A2692" s="2">
        <v>2691.0</v>
      </c>
      <c r="B2692" s="1" t="s">
        <v>7082</v>
      </c>
      <c r="C2692" s="1" t="s">
        <v>2526</v>
      </c>
      <c r="D2692" s="1" t="s">
        <v>7083</v>
      </c>
      <c r="E2692" s="2">
        <v>5.70038000978E11</v>
      </c>
      <c r="F2692" s="1" t="s">
        <v>7084</v>
      </c>
      <c r="G2692" s="1" t="s">
        <v>121</v>
      </c>
      <c r="H2692" s="1" t="s">
        <v>6847</v>
      </c>
      <c r="I2692" s="1" t="s">
        <v>595</v>
      </c>
      <c r="J2692" s="1" t="s">
        <v>596</v>
      </c>
      <c r="K2692" s="1"/>
    </row>
    <row r="2693" ht="15.75" customHeight="1">
      <c r="A2693" s="2">
        <v>2692.0</v>
      </c>
      <c r="B2693" s="1" t="s">
        <v>7085</v>
      </c>
      <c r="C2693" s="1" t="s">
        <v>311</v>
      </c>
      <c r="D2693" s="1" t="s">
        <v>135</v>
      </c>
      <c r="E2693" s="2">
        <v>5.70038001628E11</v>
      </c>
      <c r="F2693" s="1" t="s">
        <v>7086</v>
      </c>
      <c r="G2693" s="1" t="s">
        <v>38</v>
      </c>
      <c r="H2693" s="2">
        <v>685.0</v>
      </c>
      <c r="I2693" s="1" t="s">
        <v>6847</v>
      </c>
      <c r="J2693" s="1" t="s">
        <v>595</v>
      </c>
      <c r="K2693" s="1" t="s">
        <v>596</v>
      </c>
    </row>
    <row r="2694" ht="15.75" customHeight="1">
      <c r="A2694" s="2">
        <v>2693.0</v>
      </c>
      <c r="B2694" s="1" t="s">
        <v>7087</v>
      </c>
      <c r="C2694" s="1" t="s">
        <v>1592</v>
      </c>
      <c r="D2694" s="1" t="s">
        <v>6284</v>
      </c>
      <c r="E2694" s="2">
        <v>5.70038001827E11</v>
      </c>
      <c r="F2694" s="1" t="s">
        <v>7088</v>
      </c>
      <c r="G2694" s="1" t="s">
        <v>18</v>
      </c>
      <c r="H2694" s="1" t="s">
        <v>6847</v>
      </c>
      <c r="I2694" s="1" t="s">
        <v>595</v>
      </c>
      <c r="J2694" s="1" t="s">
        <v>596</v>
      </c>
      <c r="K2694" s="1"/>
    </row>
    <row r="2695" ht="15.75" customHeight="1">
      <c r="A2695" s="2">
        <v>2694.0</v>
      </c>
      <c r="B2695" s="1" t="s">
        <v>7089</v>
      </c>
      <c r="C2695" s="1" t="s">
        <v>1676</v>
      </c>
      <c r="D2695" s="1" t="s">
        <v>7090</v>
      </c>
      <c r="E2695" s="2">
        <v>5.70038001828E11</v>
      </c>
      <c r="F2695" s="1" t="s">
        <v>7091</v>
      </c>
      <c r="G2695" s="1" t="s">
        <v>121</v>
      </c>
      <c r="H2695" s="1" t="s">
        <v>6847</v>
      </c>
      <c r="I2695" s="1" t="s">
        <v>595</v>
      </c>
      <c r="J2695" s="1" t="s">
        <v>596</v>
      </c>
      <c r="K2695" s="1"/>
    </row>
    <row r="2696" ht="15.75" customHeight="1">
      <c r="A2696" s="2">
        <v>2695.0</v>
      </c>
      <c r="B2696" s="1" t="s">
        <v>7092</v>
      </c>
      <c r="C2696" s="1" t="s">
        <v>7093</v>
      </c>
      <c r="D2696" s="1" t="s">
        <v>7094</v>
      </c>
      <c r="E2696" s="2">
        <v>5.70038001829E11</v>
      </c>
      <c r="F2696" s="1" t="s">
        <v>7095</v>
      </c>
      <c r="G2696" s="1" t="s">
        <v>121</v>
      </c>
      <c r="H2696" s="1" t="s">
        <v>6847</v>
      </c>
      <c r="I2696" s="1" t="s">
        <v>595</v>
      </c>
      <c r="J2696" s="1" t="s">
        <v>596</v>
      </c>
      <c r="K2696" s="1"/>
    </row>
    <row r="2697" ht="15.75" customHeight="1">
      <c r="A2697" s="2">
        <v>2696.0</v>
      </c>
      <c r="B2697" s="1" t="s">
        <v>7096</v>
      </c>
      <c r="C2697" s="1" t="s">
        <v>7097</v>
      </c>
      <c r="D2697" s="1" t="s">
        <v>7098</v>
      </c>
      <c r="E2697" s="2">
        <v>5.7003800183E11</v>
      </c>
      <c r="F2697" s="1" t="s">
        <v>7099</v>
      </c>
      <c r="G2697" s="1" t="s">
        <v>18</v>
      </c>
      <c r="H2697" s="1" t="s">
        <v>6847</v>
      </c>
      <c r="I2697" s="1" t="s">
        <v>595</v>
      </c>
      <c r="J2697" s="1" t="s">
        <v>596</v>
      </c>
      <c r="K2697" s="1"/>
    </row>
    <row r="2698" ht="15.75" customHeight="1">
      <c r="A2698" s="2">
        <v>2697.0</v>
      </c>
      <c r="B2698" s="1" t="s">
        <v>7100</v>
      </c>
      <c r="C2698" s="1" t="s">
        <v>66</v>
      </c>
      <c r="D2698" s="1" t="s">
        <v>335</v>
      </c>
      <c r="E2698" s="2">
        <v>5.70038001831E11</v>
      </c>
      <c r="F2698" s="1" t="s">
        <v>7101</v>
      </c>
      <c r="G2698" s="1" t="s">
        <v>121</v>
      </c>
      <c r="H2698" s="1" t="s">
        <v>6847</v>
      </c>
      <c r="I2698" s="1" t="s">
        <v>595</v>
      </c>
      <c r="J2698" s="1" t="s">
        <v>596</v>
      </c>
      <c r="K2698" s="1"/>
    </row>
    <row r="2699" ht="15.75" customHeight="1">
      <c r="A2699" s="2">
        <v>2698.0</v>
      </c>
      <c r="B2699" s="1" t="s">
        <v>827</v>
      </c>
      <c r="C2699" s="1" t="s">
        <v>195</v>
      </c>
      <c r="D2699" s="1" t="s">
        <v>7102</v>
      </c>
      <c r="E2699" s="2">
        <v>5.70038001834E11</v>
      </c>
      <c r="F2699" s="1" t="s">
        <v>7103</v>
      </c>
      <c r="G2699" s="1" t="s">
        <v>121</v>
      </c>
      <c r="H2699" s="1" t="s">
        <v>6847</v>
      </c>
      <c r="I2699" s="1" t="s">
        <v>595</v>
      </c>
      <c r="J2699" s="1" t="s">
        <v>596</v>
      </c>
      <c r="K2699" s="1"/>
    </row>
    <row r="2700" ht="15.75" customHeight="1">
      <c r="A2700" s="2">
        <v>2699.0</v>
      </c>
      <c r="B2700" s="1" t="s">
        <v>7104</v>
      </c>
      <c r="C2700" s="1" t="s">
        <v>7105</v>
      </c>
      <c r="D2700" s="1" t="s">
        <v>1194</v>
      </c>
      <c r="E2700" s="2">
        <v>5.70038001835E11</v>
      </c>
      <c r="F2700" s="1" t="s">
        <v>7106</v>
      </c>
      <c r="G2700" s="1" t="s">
        <v>121</v>
      </c>
      <c r="H2700" s="1" t="s">
        <v>6847</v>
      </c>
      <c r="I2700" s="1" t="s">
        <v>595</v>
      </c>
      <c r="J2700" s="1" t="s">
        <v>596</v>
      </c>
      <c r="K2700" s="1"/>
    </row>
    <row r="2701" ht="15.75" customHeight="1">
      <c r="A2701" s="2">
        <v>2700.0</v>
      </c>
      <c r="B2701" s="1" t="s">
        <v>6000</v>
      </c>
      <c r="C2701" s="1" t="s">
        <v>1643</v>
      </c>
      <c r="D2701" s="1" t="s">
        <v>7107</v>
      </c>
      <c r="E2701" s="2">
        <v>5.70038001837E11</v>
      </c>
      <c r="F2701" s="1" t="s">
        <v>7108</v>
      </c>
      <c r="G2701" s="1" t="s">
        <v>121</v>
      </c>
      <c r="H2701" s="1" t="s">
        <v>6847</v>
      </c>
      <c r="I2701" s="1" t="s">
        <v>595</v>
      </c>
      <c r="J2701" s="1" t="s">
        <v>596</v>
      </c>
      <c r="K2701" s="1"/>
    </row>
    <row r="2702" ht="15.75" customHeight="1">
      <c r="A2702" s="2">
        <v>2701.0</v>
      </c>
      <c r="B2702" s="1" t="s">
        <v>7109</v>
      </c>
      <c r="C2702" s="1" t="s">
        <v>84</v>
      </c>
      <c r="D2702" s="1" t="s">
        <v>7110</v>
      </c>
      <c r="E2702" s="2">
        <v>5.70038001838E11</v>
      </c>
      <c r="F2702" s="1" t="s">
        <v>7111</v>
      </c>
      <c r="G2702" s="1" t="s">
        <v>18</v>
      </c>
      <c r="H2702" s="1" t="s">
        <v>6847</v>
      </c>
      <c r="I2702" s="1" t="s">
        <v>595</v>
      </c>
      <c r="J2702" s="1" t="s">
        <v>596</v>
      </c>
      <c r="K2702" s="1"/>
    </row>
    <row r="2703" ht="15.75" customHeight="1">
      <c r="A2703" s="2">
        <v>2702.0</v>
      </c>
      <c r="B2703" s="1" t="s">
        <v>7112</v>
      </c>
      <c r="C2703" s="1" t="s">
        <v>180</v>
      </c>
      <c r="D2703" s="1" t="s">
        <v>7113</v>
      </c>
      <c r="E2703" s="2">
        <v>5.70038001839E11</v>
      </c>
      <c r="F2703" s="1" t="s">
        <v>7114</v>
      </c>
      <c r="G2703" s="1" t="s">
        <v>121</v>
      </c>
      <c r="H2703" s="1" t="s">
        <v>6847</v>
      </c>
      <c r="I2703" s="1" t="s">
        <v>595</v>
      </c>
      <c r="J2703" s="1" t="s">
        <v>596</v>
      </c>
      <c r="K2703" s="1"/>
    </row>
    <row r="2704" ht="15.75" customHeight="1">
      <c r="A2704" s="2">
        <v>2703.0</v>
      </c>
      <c r="B2704" s="1" t="s">
        <v>1422</v>
      </c>
      <c r="C2704" s="1" t="s">
        <v>2006</v>
      </c>
      <c r="D2704" s="1" t="s">
        <v>7115</v>
      </c>
      <c r="E2704" s="2">
        <v>5.7003800184E11</v>
      </c>
      <c r="F2704" s="1" t="s">
        <v>7116</v>
      </c>
      <c r="G2704" s="1" t="s">
        <v>18</v>
      </c>
      <c r="H2704" s="1" t="s">
        <v>6847</v>
      </c>
      <c r="I2704" s="1" t="s">
        <v>595</v>
      </c>
      <c r="J2704" s="1" t="s">
        <v>596</v>
      </c>
      <c r="K2704" s="1"/>
    </row>
    <row r="2705" ht="15.75" customHeight="1">
      <c r="A2705" s="2">
        <v>2704.0</v>
      </c>
      <c r="B2705" s="1" t="s">
        <v>7117</v>
      </c>
      <c r="C2705" s="1" t="s">
        <v>149</v>
      </c>
      <c r="D2705" s="1" t="s">
        <v>5089</v>
      </c>
      <c r="E2705" s="2">
        <v>5.70038001841E11</v>
      </c>
      <c r="F2705" s="1" t="s">
        <v>7118</v>
      </c>
      <c r="G2705" s="1" t="s">
        <v>18</v>
      </c>
      <c r="H2705" s="1" t="s">
        <v>6847</v>
      </c>
      <c r="I2705" s="1" t="s">
        <v>595</v>
      </c>
      <c r="J2705" s="1" t="s">
        <v>596</v>
      </c>
      <c r="K2705" s="1"/>
    </row>
    <row r="2706" ht="15.75" customHeight="1">
      <c r="A2706" s="2">
        <v>2705.0</v>
      </c>
      <c r="B2706" s="1" t="s">
        <v>7119</v>
      </c>
      <c r="C2706" s="1" t="s">
        <v>7120</v>
      </c>
      <c r="D2706" s="1" t="s">
        <v>7121</v>
      </c>
      <c r="E2706" s="2">
        <v>5.70038001843E11</v>
      </c>
      <c r="F2706" s="1" t="s">
        <v>7122</v>
      </c>
      <c r="G2706" s="1" t="s">
        <v>18</v>
      </c>
      <c r="H2706" s="1" t="s">
        <v>6847</v>
      </c>
      <c r="I2706" s="1" t="s">
        <v>595</v>
      </c>
      <c r="J2706" s="1" t="s">
        <v>596</v>
      </c>
      <c r="K2706" s="1"/>
    </row>
    <row r="2707" ht="15.75" customHeight="1">
      <c r="A2707" s="2">
        <v>2706.0</v>
      </c>
      <c r="B2707" s="1" t="s">
        <v>7123</v>
      </c>
      <c r="C2707" s="1" t="s">
        <v>337</v>
      </c>
      <c r="D2707" s="1" t="s">
        <v>5448</v>
      </c>
      <c r="E2707" s="2">
        <v>5.70038001845E11</v>
      </c>
      <c r="F2707" s="1" t="s">
        <v>7124</v>
      </c>
      <c r="G2707" s="1" t="s">
        <v>121</v>
      </c>
      <c r="H2707" s="1" t="s">
        <v>6847</v>
      </c>
      <c r="I2707" s="1" t="s">
        <v>595</v>
      </c>
      <c r="J2707" s="1" t="s">
        <v>596</v>
      </c>
      <c r="K2707" s="1"/>
    </row>
    <row r="2708" ht="15.75" customHeight="1">
      <c r="A2708" s="2">
        <v>2707.0</v>
      </c>
      <c r="B2708" s="1" t="s">
        <v>7125</v>
      </c>
      <c r="C2708" s="1" t="s">
        <v>7126</v>
      </c>
      <c r="D2708" s="1" t="s">
        <v>6907</v>
      </c>
      <c r="E2708" s="2">
        <v>5.70038001846E11</v>
      </c>
      <c r="F2708" s="1" t="s">
        <v>7127</v>
      </c>
      <c r="G2708" s="1" t="s">
        <v>121</v>
      </c>
      <c r="H2708" s="1" t="s">
        <v>6847</v>
      </c>
      <c r="I2708" s="1" t="s">
        <v>595</v>
      </c>
      <c r="J2708" s="1" t="s">
        <v>596</v>
      </c>
      <c r="K2708" s="1"/>
    </row>
    <row r="2709" ht="15.75" customHeight="1">
      <c r="A2709" s="2">
        <v>2708.0</v>
      </c>
      <c r="B2709" s="1" t="s">
        <v>7128</v>
      </c>
      <c r="C2709" s="1" t="s">
        <v>524</v>
      </c>
      <c r="D2709" s="1" t="s">
        <v>7129</v>
      </c>
      <c r="E2709" s="2">
        <v>5.70038001847E11</v>
      </c>
      <c r="F2709" s="1" t="s">
        <v>7130</v>
      </c>
      <c r="G2709" s="1" t="s">
        <v>121</v>
      </c>
      <c r="H2709" s="2">
        <v>872.0</v>
      </c>
      <c r="I2709" s="1" t="s">
        <v>6847</v>
      </c>
      <c r="J2709" s="1" t="s">
        <v>595</v>
      </c>
      <c r="K2709" s="1" t="s">
        <v>596</v>
      </c>
    </row>
    <row r="2710" ht="15.75" customHeight="1">
      <c r="A2710" s="2">
        <v>2709.0</v>
      </c>
      <c r="B2710" s="1" t="s">
        <v>7131</v>
      </c>
      <c r="C2710" s="1" t="s">
        <v>276</v>
      </c>
      <c r="D2710" s="1" t="s">
        <v>6428</v>
      </c>
      <c r="E2710" s="2">
        <v>5.70038001849E11</v>
      </c>
      <c r="F2710" s="1" t="s">
        <v>7132</v>
      </c>
      <c r="G2710" s="1" t="s">
        <v>121</v>
      </c>
      <c r="H2710" s="1" t="s">
        <v>6847</v>
      </c>
      <c r="I2710" s="1" t="s">
        <v>595</v>
      </c>
      <c r="J2710" s="1" t="s">
        <v>596</v>
      </c>
      <c r="K2710" s="1"/>
    </row>
    <row r="2711" ht="15.75" customHeight="1">
      <c r="A2711" s="2">
        <v>2710.0</v>
      </c>
      <c r="B2711" s="1" t="s">
        <v>5499</v>
      </c>
      <c r="C2711" s="1" t="s">
        <v>1240</v>
      </c>
      <c r="D2711" s="1" t="s">
        <v>6278</v>
      </c>
      <c r="E2711" s="2">
        <v>5.70038001851E11</v>
      </c>
      <c r="F2711" s="1" t="s">
        <v>7133</v>
      </c>
      <c r="G2711" s="1" t="s">
        <v>24</v>
      </c>
      <c r="H2711" s="1" t="s">
        <v>6847</v>
      </c>
      <c r="I2711" s="1" t="s">
        <v>595</v>
      </c>
      <c r="J2711" s="1" t="s">
        <v>596</v>
      </c>
      <c r="K2711" s="1"/>
    </row>
    <row r="2712" ht="15.75" customHeight="1">
      <c r="A2712" s="2">
        <v>2711.0</v>
      </c>
      <c r="B2712" s="1" t="s">
        <v>7134</v>
      </c>
      <c r="C2712" s="1" t="s">
        <v>407</v>
      </c>
      <c r="D2712" s="1" t="s">
        <v>7135</v>
      </c>
      <c r="E2712" s="2">
        <v>5.70038001859E11</v>
      </c>
      <c r="F2712" s="1" t="s">
        <v>7136</v>
      </c>
      <c r="G2712" s="1" t="s">
        <v>121</v>
      </c>
      <c r="H2712" s="1" t="s">
        <v>6847</v>
      </c>
      <c r="I2712" s="1" t="s">
        <v>595</v>
      </c>
      <c r="J2712" s="1" t="s">
        <v>596</v>
      </c>
      <c r="K2712" s="1"/>
    </row>
    <row r="2713" ht="15.75" customHeight="1">
      <c r="A2713" s="2">
        <v>2712.0</v>
      </c>
      <c r="B2713" s="1" t="s">
        <v>7137</v>
      </c>
      <c r="C2713" s="1" t="s">
        <v>340</v>
      </c>
      <c r="D2713" s="1" t="s">
        <v>7138</v>
      </c>
      <c r="E2713" s="2">
        <v>5.7003800186E11</v>
      </c>
      <c r="F2713" s="1" t="s">
        <v>7139</v>
      </c>
      <c r="G2713" s="1" t="s">
        <v>24</v>
      </c>
      <c r="H2713" s="1" t="s">
        <v>6847</v>
      </c>
      <c r="I2713" s="1" t="s">
        <v>595</v>
      </c>
      <c r="J2713" s="1" t="s">
        <v>596</v>
      </c>
      <c r="K2713" s="1"/>
    </row>
    <row r="2714" ht="15.75" customHeight="1">
      <c r="A2714" s="2">
        <v>2713.0</v>
      </c>
      <c r="B2714" s="1" t="s">
        <v>6782</v>
      </c>
      <c r="C2714" s="1" t="s">
        <v>191</v>
      </c>
      <c r="D2714" s="1" t="s">
        <v>1420</v>
      </c>
      <c r="E2714" s="2">
        <v>5.70038001861E11</v>
      </c>
      <c r="F2714" s="1" t="s">
        <v>7140</v>
      </c>
      <c r="G2714" s="1" t="s">
        <v>121</v>
      </c>
      <c r="H2714" s="1" t="s">
        <v>6847</v>
      </c>
      <c r="I2714" s="1" t="s">
        <v>595</v>
      </c>
      <c r="J2714" s="1" t="s">
        <v>596</v>
      </c>
      <c r="K2714" s="1"/>
    </row>
    <row r="2715" ht="15.75" customHeight="1">
      <c r="A2715" s="2">
        <v>2714.0</v>
      </c>
      <c r="B2715" s="1" t="s">
        <v>7141</v>
      </c>
      <c r="C2715" s="1" t="s">
        <v>3553</v>
      </c>
      <c r="D2715" s="1" t="s">
        <v>7142</v>
      </c>
      <c r="E2715" s="2">
        <v>5.70038001865E11</v>
      </c>
      <c r="F2715" s="1" t="s">
        <v>7099</v>
      </c>
      <c r="G2715" s="1" t="s">
        <v>121</v>
      </c>
      <c r="H2715" s="1" t="s">
        <v>6847</v>
      </c>
      <c r="I2715" s="1" t="s">
        <v>595</v>
      </c>
      <c r="J2715" s="1" t="s">
        <v>596</v>
      </c>
      <c r="K2715" s="1"/>
    </row>
    <row r="2716" ht="15.75" customHeight="1">
      <c r="A2716" s="2">
        <v>2715.0</v>
      </c>
      <c r="B2716" s="1" t="s">
        <v>7143</v>
      </c>
      <c r="C2716" s="1" t="s">
        <v>2471</v>
      </c>
      <c r="D2716" s="1" t="s">
        <v>7144</v>
      </c>
      <c r="E2716" s="2">
        <v>5.70038001866E11</v>
      </c>
      <c r="F2716" s="1" t="s">
        <v>7145</v>
      </c>
      <c r="G2716" s="1" t="s">
        <v>121</v>
      </c>
      <c r="H2716" s="1" t="s">
        <v>6847</v>
      </c>
      <c r="I2716" s="1" t="s">
        <v>595</v>
      </c>
      <c r="J2716" s="1" t="s">
        <v>596</v>
      </c>
      <c r="K2716" s="1"/>
    </row>
    <row r="2717" ht="15.75" customHeight="1">
      <c r="A2717" s="2">
        <v>2716.0</v>
      </c>
      <c r="B2717" s="1" t="s">
        <v>7146</v>
      </c>
      <c r="C2717" s="1" t="s">
        <v>180</v>
      </c>
      <c r="D2717" s="1" t="s">
        <v>3692</v>
      </c>
      <c r="E2717" s="2">
        <v>5.70038545309E11</v>
      </c>
      <c r="F2717" s="1" t="s">
        <v>7147</v>
      </c>
      <c r="G2717" s="1" t="s">
        <v>38</v>
      </c>
      <c r="H2717" s="1" t="s">
        <v>6942</v>
      </c>
      <c r="I2717" s="1" t="s">
        <v>595</v>
      </c>
      <c r="J2717" s="1" t="s">
        <v>596</v>
      </c>
      <c r="K2717" s="1"/>
    </row>
    <row r="2718" ht="15.75" customHeight="1">
      <c r="A2718" s="2">
        <v>2717.0</v>
      </c>
      <c r="B2718" s="1" t="s">
        <v>7148</v>
      </c>
      <c r="C2718" s="1" t="s">
        <v>7149</v>
      </c>
      <c r="D2718" s="1" t="s">
        <v>7150</v>
      </c>
      <c r="E2718" s="2">
        <v>5.70038545321E11</v>
      </c>
      <c r="F2718" s="1" t="s">
        <v>7151</v>
      </c>
      <c r="G2718" s="1" t="s">
        <v>18</v>
      </c>
      <c r="H2718" s="2">
        <v>330.0</v>
      </c>
      <c r="I2718" s="1" t="s">
        <v>6847</v>
      </c>
      <c r="J2718" s="1" t="s">
        <v>595</v>
      </c>
      <c r="K2718" s="1" t="s">
        <v>596</v>
      </c>
    </row>
    <row r="2719" ht="15.75" customHeight="1">
      <c r="A2719" s="2">
        <v>2718.0</v>
      </c>
      <c r="B2719" s="1" t="s">
        <v>7152</v>
      </c>
      <c r="C2719" s="1" t="s">
        <v>66</v>
      </c>
      <c r="D2719" s="1" t="s">
        <v>7153</v>
      </c>
      <c r="E2719" s="2">
        <v>5.70038545323E11</v>
      </c>
      <c r="F2719" s="1" t="s">
        <v>7154</v>
      </c>
      <c r="G2719" s="1" t="s">
        <v>121</v>
      </c>
      <c r="H2719" s="2">
        <v>1092.0</v>
      </c>
      <c r="I2719" s="1" t="s">
        <v>6847</v>
      </c>
      <c r="J2719" s="1" t="s">
        <v>595</v>
      </c>
      <c r="K2719" s="1" t="s">
        <v>596</v>
      </c>
    </row>
    <row r="2720" ht="15.75" customHeight="1">
      <c r="A2720" s="2"/>
      <c r="B2720" s="1"/>
      <c r="C2720" s="1"/>
      <c r="D2720" s="1"/>
      <c r="E2720" s="2"/>
      <c r="F2720" s="1"/>
      <c r="G2720" s="1"/>
      <c r="H2720" s="2"/>
      <c r="I2720" s="1"/>
      <c r="J2720" s="1"/>
      <c r="K2720" s="1"/>
    </row>
    <row r="2721" ht="15.75" customHeight="1">
      <c r="A2721" s="2"/>
      <c r="B2721" s="1"/>
      <c r="C2721" s="1"/>
      <c r="D2721" s="1"/>
      <c r="E2721" s="2"/>
      <c r="F2721" s="1"/>
      <c r="G2721" s="1"/>
      <c r="H2721" s="2"/>
      <c r="I2721" s="1"/>
      <c r="J2721" s="1"/>
      <c r="K2721" s="1"/>
    </row>
    <row r="2722" ht="15.75" customHeight="1">
      <c r="A2722" s="2"/>
      <c r="B2722" s="1"/>
      <c r="C2722" s="1"/>
      <c r="D2722" s="1"/>
      <c r="E2722" s="2"/>
      <c r="F2722" s="1"/>
      <c r="G2722" s="1"/>
      <c r="H2722" s="2"/>
      <c r="I2722" s="1"/>
      <c r="J2722" s="1"/>
      <c r="K27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7155</v>
      </c>
      <c r="B1" s="5" t="str">
        <f>IFERROR(__xludf.DUMMYFUNCTION("SPLIT(A1,"","")"),"ক্রমিক নং")</f>
        <v>ক্রমিক নং</v>
      </c>
      <c r="C1" s="5" t="str">
        <f>IFERROR(__xludf.DUMMYFUNCTION("""COMPUTED_VALUE"""),"নাম")</f>
        <v>নাম</v>
      </c>
      <c r="D1" s="5" t="str">
        <f>IFERROR(__xludf.DUMMYFUNCTION("""COMPUTED_VALUE"""),"ভোটার নং")</f>
        <v>ভোটার নং</v>
      </c>
      <c r="E1" s="5" t="str">
        <f>IFERROR(__xludf.DUMMYFUNCTION("""COMPUTED_VALUE"""),"পিতা")</f>
        <v>পিতা</v>
      </c>
      <c r="F1" s="5" t="str">
        <f>IFERROR(__xludf.DUMMYFUNCTION("""COMPUTED_VALUE"""),"মাতা")</f>
        <v>মাতা</v>
      </c>
      <c r="G1" s="5" t="str">
        <f>IFERROR(__xludf.DUMMYFUNCTION("""COMPUTED_VALUE"""),"জন্ম তারিখ")</f>
        <v>জন্ম তারিখ</v>
      </c>
      <c r="H1" s="5" t="str">
        <f>IFERROR(__xludf.DUMMYFUNCTION("""COMPUTED_VALUE"""),"পেশা")</f>
        <v>পেশা</v>
      </c>
      <c r="I1" s="5" t="str">
        <f>IFERROR(__xludf.DUMMYFUNCTION("""COMPUTED_VALUE"""),"ঠিকানা")</f>
        <v>ঠিকানা</v>
      </c>
    </row>
    <row r="2">
      <c r="A2" s="7" t="s">
        <v>7156</v>
      </c>
      <c r="B2" s="5">
        <f>IFERROR(__xludf.DUMMYFUNCTION("SPLIT(A2,"","")"),772.0)</f>
        <v>772</v>
      </c>
      <c r="C2" s="5" t="str">
        <f>IFERROR(__xludf.DUMMYFUNCTION("""COMPUTED_VALUE"""),"মোঃ আব্দুস সামাদ")</f>
        <v>মোঃ আব্দুস সামাদ</v>
      </c>
      <c r="D2" s="5">
        <f>IFERROR(__xludf.DUMMYFUNCTION("""COMPUTED_VALUE"""),5.7003835495E11)</f>
        <v>570038354950</v>
      </c>
      <c r="E2" s="5" t="str">
        <f>IFERROR(__xludf.DUMMYFUNCTION("""COMPUTED_VALUE"""),"আব্দুল গফুর")</f>
        <v>আব্দুল গফুর</v>
      </c>
      <c r="F2" s="5" t="str">
        <f>IFERROR(__xludf.DUMMYFUNCTION("""COMPUTED_VALUE"""),"মোছাঃ খোসজান")</f>
        <v>মোছাঃ খোসজান</v>
      </c>
      <c r="G2" s="5" t="str">
        <f>IFERROR(__xludf.DUMMYFUNCTION("""COMPUTED_VALUE"""),"২০/০৯/১৯৫০")</f>
        <v>২০/০৯/১৯৫০</v>
      </c>
      <c r="H2" s="5" t="str">
        <f>IFERROR(__xludf.DUMMYFUNCTION("""COMPUTED_VALUE"""),"দিনমজুর")</f>
        <v>দিনমজুর</v>
      </c>
      <c r="I2" s="5" t="str">
        <f>IFERROR(__xludf.DUMMYFUNCTION("""COMPUTED_VALUE"""),"""গাড়াডোব")</f>
        <v>"গাড়াডোব</v>
      </c>
      <c r="J2" s="5" t="str">
        <f>IFERROR(__xludf.DUMMYFUNCTION("""COMPUTED_VALUE""")," গাংনী")</f>
        <v> গাংনী</v>
      </c>
      <c r="K2" s="5" t="str">
        <f>IFERROR(__xludf.DUMMYFUNCTION("""COMPUTED_VALUE""")," মেহেরপুর""")</f>
        <v> মেহেরপুর"</v>
      </c>
    </row>
    <row r="3">
      <c r="A3" s="7" t="s">
        <v>7157</v>
      </c>
      <c r="B3" s="5">
        <f>IFERROR(__xludf.DUMMYFUNCTION("SPLIT(A3,"","")"),773.0)</f>
        <v>773</v>
      </c>
      <c r="C3" s="5" t="str">
        <f>IFERROR(__xludf.DUMMYFUNCTION("""COMPUTED_VALUE"""),"মোঃ শরিফুল ইসলাম")</f>
        <v>মোঃ শরিফুল ইসলাম</v>
      </c>
      <c r="D3" s="5">
        <f>IFERROR(__xludf.DUMMYFUNCTION("""COMPUTED_VALUE"""),5.70038354952E11)</f>
        <v>570038354952</v>
      </c>
      <c r="E3" s="5" t="str">
        <f>IFERROR(__xludf.DUMMYFUNCTION("""COMPUTED_VALUE"""),"মোঃ আঃ সামাদ")</f>
        <v>মোঃ আঃ সামাদ</v>
      </c>
      <c r="F3" s="5" t="str">
        <f>IFERROR(__xludf.DUMMYFUNCTION("""COMPUTED_VALUE"""),"মোছাঃ মানুয়ারা খাতুন")</f>
        <v>মোছাঃ মানুয়ারা খাতুন</v>
      </c>
      <c r="G3" s="5" t="str">
        <f>IFERROR(__xludf.DUMMYFUNCTION("""COMPUTED_VALUE"""),"০১/০৭/১৯৮০")</f>
        <v>০১/০৭/১৯৮০</v>
      </c>
      <c r="H3" s="5" t="str">
        <f>IFERROR(__xludf.DUMMYFUNCTION("""COMPUTED_VALUE"""),"দিনমজুর")</f>
        <v>দিনমজুর</v>
      </c>
      <c r="I3" s="5" t="str">
        <f>IFERROR(__xludf.DUMMYFUNCTION("""COMPUTED_VALUE"""),"""গাড়াডোব")</f>
        <v>"গাড়াডোব</v>
      </c>
      <c r="J3" s="5" t="str">
        <f>IFERROR(__xludf.DUMMYFUNCTION("""COMPUTED_VALUE""")," গাংনী")</f>
        <v> গাংনী</v>
      </c>
      <c r="K3" s="5" t="str">
        <f>IFERROR(__xludf.DUMMYFUNCTION("""COMPUTED_VALUE""")," মেহেরপুর""")</f>
        <v> মেহেরপুর"</v>
      </c>
    </row>
    <row r="4">
      <c r="A4" s="7" t="s">
        <v>7158</v>
      </c>
      <c r="B4" s="5">
        <f>IFERROR(__xludf.DUMMYFUNCTION("SPLIT(A4,"","")"),774.0)</f>
        <v>774</v>
      </c>
      <c r="C4" s="5" t="str">
        <f>IFERROR(__xludf.DUMMYFUNCTION("""COMPUTED_VALUE"""),"মোঃ আবুল কালাম আজাদ")</f>
        <v>মোঃ আবুল কালাম আজাদ</v>
      </c>
      <c r="D4" s="5">
        <f>IFERROR(__xludf.DUMMYFUNCTION("""COMPUTED_VALUE"""),5.70038354954E11)</f>
        <v>570038354954</v>
      </c>
      <c r="E4" s="5" t="str">
        <f>IFERROR(__xludf.DUMMYFUNCTION("""COMPUTED_VALUE"""),"আব্দুল গফুর")</f>
        <v>আব্দুল গফুর</v>
      </c>
      <c r="F4" s="5" t="str">
        <f>IFERROR(__xludf.DUMMYFUNCTION("""COMPUTED_VALUE"""),"মোছাঃ খোসজান নেছা")</f>
        <v>মোছাঃ খোসজান নেছা</v>
      </c>
      <c r="G4" s="5" t="str">
        <f>IFERROR(__xludf.DUMMYFUNCTION("""COMPUTED_VALUE"""),"১৩/১২/১৯৬০")</f>
        <v>১৩/১২/১৯৬০</v>
      </c>
      <c r="H4" s="5" t="str">
        <f>IFERROR(__xludf.DUMMYFUNCTION("""COMPUTED_VALUE"""),"কৃষক")</f>
        <v>কৃষক</v>
      </c>
      <c r="I4" s="5" t="str">
        <f>IFERROR(__xludf.DUMMYFUNCTION("""COMPUTED_VALUE"""),"""গাড়াডোব")</f>
        <v>"গাড়াডোব</v>
      </c>
      <c r="J4" s="5" t="str">
        <f>IFERROR(__xludf.DUMMYFUNCTION("""COMPUTED_VALUE""")," গাংনী")</f>
        <v> গাংনী</v>
      </c>
      <c r="K4" s="5" t="str">
        <f>IFERROR(__xludf.DUMMYFUNCTION("""COMPUTED_VALUE""")," মেহেরপুর""")</f>
        <v> মেহেরপুর"</v>
      </c>
    </row>
    <row r="5">
      <c r="A5" s="7" t="s">
        <v>7159</v>
      </c>
      <c r="B5" s="5">
        <f>IFERROR(__xludf.DUMMYFUNCTION("SPLIT(A5,"","")"),775.0)</f>
        <v>775</v>
      </c>
      <c r="C5" s="5" t="str">
        <f>IFERROR(__xludf.DUMMYFUNCTION("""COMPUTED_VALUE"""),"মোঃ ওয়ারেছ আলী")</f>
        <v>মোঃ ওয়ারেছ আলী</v>
      </c>
      <c r="D5" s="5">
        <f>IFERROR(__xludf.DUMMYFUNCTION("""COMPUTED_VALUE"""),5.70038354956E11)</f>
        <v>570038354956</v>
      </c>
      <c r="E5" s="5" t="str">
        <f>IFERROR(__xludf.DUMMYFUNCTION("""COMPUTED_VALUE"""),"আব্দুল গফুর")</f>
        <v>আব্দুল গফুর</v>
      </c>
      <c r="F5" s="5" t="str">
        <f>IFERROR(__xludf.DUMMYFUNCTION("""COMPUTED_VALUE"""),"মোছাঃ খোসজান")</f>
        <v>মোছাঃ খোসজান</v>
      </c>
      <c r="G5" s="5" t="str">
        <f>IFERROR(__xludf.DUMMYFUNCTION("""COMPUTED_VALUE"""),"১০/০৫/১৯৬৭")</f>
        <v>১০/০৫/১৯৬৭</v>
      </c>
      <c r="H5" s="5" t="str">
        <f>IFERROR(__xludf.DUMMYFUNCTION("""COMPUTED_VALUE"""),"কৃষক")</f>
        <v>কৃষক</v>
      </c>
      <c r="I5" s="5" t="str">
        <f>IFERROR(__xludf.DUMMYFUNCTION("""COMPUTED_VALUE"""),"""গাড়াডোব")</f>
        <v>"গাড়াডোব</v>
      </c>
      <c r="J5" s="5" t="str">
        <f>IFERROR(__xludf.DUMMYFUNCTION("""COMPUTED_VALUE""")," গাংনী")</f>
        <v> গাংনী</v>
      </c>
      <c r="K5" s="5" t="str">
        <f>IFERROR(__xludf.DUMMYFUNCTION("""COMPUTED_VALUE""")," মেহেরপুর""")</f>
        <v> মেহেরপুর"</v>
      </c>
    </row>
    <row r="6">
      <c r="A6" s="7" t="s">
        <v>7160</v>
      </c>
      <c r="B6" s="5">
        <f>IFERROR(__xludf.DUMMYFUNCTION("SPLIT(A6,"","")"),776.0)</f>
        <v>776</v>
      </c>
      <c r="C6" s="5" t="str">
        <f>IFERROR(__xludf.DUMMYFUNCTION("""COMPUTED_VALUE"""),"মোঃ নবীর আলী")</f>
        <v>মোঃ নবীর আলী</v>
      </c>
      <c r="D6" s="5">
        <f>IFERROR(__xludf.DUMMYFUNCTION("""COMPUTED_VALUE"""),5.70038354958E11)</f>
        <v>570038354958</v>
      </c>
      <c r="E6" s="5" t="str">
        <f>IFERROR(__xludf.DUMMYFUNCTION("""COMPUTED_VALUE"""),"গরীব আলী")</f>
        <v>গরীব আলী</v>
      </c>
      <c r="F6" s="5" t="str">
        <f>IFERROR(__xludf.DUMMYFUNCTION("""COMPUTED_VALUE"""),"মোছাঃ খুকি নেছা")</f>
        <v>মোছাঃ খুকি নেছা</v>
      </c>
      <c r="G6" s="5" t="str">
        <f>IFERROR(__xludf.DUMMYFUNCTION("""COMPUTED_VALUE"""),"১২/১০/১৯৬৫")</f>
        <v>১২/১০/১৯৬৫</v>
      </c>
      <c r="H6" s="5" t="str">
        <f>IFERROR(__xludf.DUMMYFUNCTION("""COMPUTED_VALUE"""),"দিনমজুর")</f>
        <v>দিনমজুর</v>
      </c>
      <c r="I6" s="5" t="str">
        <f>IFERROR(__xludf.DUMMYFUNCTION("""COMPUTED_VALUE"""),"""গাড়াডোব")</f>
        <v>"গাড়াডোব</v>
      </c>
      <c r="J6" s="5" t="str">
        <f>IFERROR(__xludf.DUMMYFUNCTION("""COMPUTED_VALUE""")," গাংনী")</f>
        <v> গাংনী</v>
      </c>
      <c r="K6" s="5" t="str">
        <f>IFERROR(__xludf.DUMMYFUNCTION("""COMPUTED_VALUE""")," মেহেরপুর""")</f>
        <v> মেহেরপুর"</v>
      </c>
    </row>
    <row r="7">
      <c r="A7" s="7" t="s">
        <v>7161</v>
      </c>
      <c r="B7" s="5">
        <f>IFERROR(__xludf.DUMMYFUNCTION("SPLIT(A7,"","")"),777.0)</f>
        <v>777</v>
      </c>
      <c r="C7" s="5" t="str">
        <f>IFERROR(__xludf.DUMMYFUNCTION("""COMPUTED_VALUE"""),"মোঃ সামসুল ইসলাম")</f>
        <v>মোঃ সামসুল ইসলাম</v>
      </c>
      <c r="D7" s="5">
        <f>IFERROR(__xludf.DUMMYFUNCTION("""COMPUTED_VALUE"""),5.70038354965E11)</f>
        <v>570038354965</v>
      </c>
      <c r="E7" s="5" t="str">
        <f>IFERROR(__xludf.DUMMYFUNCTION("""COMPUTED_VALUE"""),"ছাবের আলী")</f>
        <v>ছাবের আলী</v>
      </c>
      <c r="F7" s="5" t="str">
        <f>IFERROR(__xludf.DUMMYFUNCTION("""COMPUTED_VALUE"""),"মোছাঃ আজিমণ নেছা")</f>
        <v>মোছাঃ আজিমণ নেছা</v>
      </c>
      <c r="G7" s="5" t="str">
        <f>IFERROR(__xludf.DUMMYFUNCTION("""COMPUTED_VALUE"""),"০৫/১১/১৯৬৭")</f>
        <v>০৫/১১/১৯৬৭</v>
      </c>
      <c r="H7" s="5" t="str">
        <f>IFERROR(__xludf.DUMMYFUNCTION("""COMPUTED_VALUE"""),"দিনমজুর")</f>
        <v>দিনমজুর</v>
      </c>
      <c r="I7" s="5" t="str">
        <f>IFERROR(__xludf.DUMMYFUNCTION("""COMPUTED_VALUE"""),"""গাড়াডোব")</f>
        <v>"গাড়াডোব</v>
      </c>
      <c r="J7" s="5" t="str">
        <f>IFERROR(__xludf.DUMMYFUNCTION("""COMPUTED_VALUE""")," গাংনী")</f>
        <v> গাংনী</v>
      </c>
      <c r="K7" s="5" t="str">
        <f>IFERROR(__xludf.DUMMYFUNCTION("""COMPUTED_VALUE""")," মেহেরপুর""")</f>
        <v> মেহেরপুর"</v>
      </c>
    </row>
    <row r="8">
      <c r="A8" s="7" t="s">
        <v>7162</v>
      </c>
      <c r="B8" s="5">
        <f>IFERROR(__xludf.DUMMYFUNCTION("SPLIT(A8,"","")"),778.0)</f>
        <v>778</v>
      </c>
      <c r="C8" s="5" t="str">
        <f>IFERROR(__xludf.DUMMYFUNCTION("""COMPUTED_VALUE"""),"মোঃ আব্দুল মতিন")</f>
        <v>মোঃ আব্দুল মতিন</v>
      </c>
      <c r="D8" s="5">
        <f>IFERROR(__xludf.DUMMYFUNCTION("""COMPUTED_VALUE"""),5.70038354967E11)</f>
        <v>570038354967</v>
      </c>
      <c r="E8" s="5" t="str">
        <f>IFERROR(__xludf.DUMMYFUNCTION("""COMPUTED_VALUE"""),"ইব্রাহিম মোল্লা")</f>
        <v>ইব্রাহিম মোল্লা</v>
      </c>
      <c r="F8" s="5" t="str">
        <f>IFERROR(__xludf.DUMMYFUNCTION("""COMPUTED_VALUE"""),"মোছাঃ গেদু নেছা")</f>
        <v>মোছাঃ গেদু নেছা</v>
      </c>
      <c r="G8" s="5" t="str">
        <f>IFERROR(__xludf.DUMMYFUNCTION("""COMPUTED_VALUE"""),"২১/১০/১৯৬৪")</f>
        <v>২১/১০/১৯৬৪</v>
      </c>
      <c r="H8" s="5" t="str">
        <f>IFERROR(__xludf.DUMMYFUNCTION("""COMPUTED_VALUE"""),"শ্রমিক")</f>
        <v>শ্রমিক</v>
      </c>
      <c r="I8" s="5" t="str">
        <f>IFERROR(__xludf.DUMMYFUNCTION("""COMPUTED_VALUE"""),"""গাড়াডোব")</f>
        <v>"গাড়াডোব</v>
      </c>
      <c r="J8" s="5" t="str">
        <f>IFERROR(__xludf.DUMMYFUNCTION("""COMPUTED_VALUE""")," গাংনী")</f>
        <v> গাংনী</v>
      </c>
      <c r="K8" s="5" t="str">
        <f>IFERROR(__xludf.DUMMYFUNCTION("""COMPUTED_VALUE""")," মেহেরপুর""")</f>
        <v> মেহেরপুর"</v>
      </c>
    </row>
    <row r="9">
      <c r="A9" s="7" t="s">
        <v>7163</v>
      </c>
      <c r="B9" s="5">
        <f>IFERROR(__xludf.DUMMYFUNCTION("SPLIT(A9,"","")"),779.0)</f>
        <v>779</v>
      </c>
      <c r="C9" s="5" t="str">
        <f>IFERROR(__xludf.DUMMYFUNCTION("""COMPUTED_VALUE"""),"মোঃ ইব্রাহিম হোসেন")</f>
        <v>মোঃ ইব্রাহিম হোসেন</v>
      </c>
      <c r="D9" s="5">
        <f>IFERROR(__xludf.DUMMYFUNCTION("""COMPUTED_VALUE"""),5.7003835497E11)</f>
        <v>570038354970</v>
      </c>
      <c r="E9" s="5" t="str">
        <f>IFERROR(__xludf.DUMMYFUNCTION("""COMPUTED_VALUE"""),"জুলমাত মন্ডল")</f>
        <v>জুলমাত মন্ডল</v>
      </c>
      <c r="F9" s="5" t="str">
        <f>IFERROR(__xludf.DUMMYFUNCTION("""COMPUTED_VALUE"""),"মোছাঃ পেয়রা নেছা")</f>
        <v>মোছাঃ পেয়রা নেছা</v>
      </c>
      <c r="G9" s="5" t="str">
        <f>IFERROR(__xludf.DUMMYFUNCTION("""COMPUTED_VALUE"""),"১২/১০/১৯৪৮")</f>
        <v>১২/১০/১৯৪৮</v>
      </c>
      <c r="H9" s="5" t="str">
        <f>IFERROR(__xludf.DUMMYFUNCTION("""COMPUTED_VALUE"""),"কৃষক")</f>
        <v>কৃষক</v>
      </c>
      <c r="I9" s="5" t="str">
        <f>IFERROR(__xludf.DUMMYFUNCTION("""COMPUTED_VALUE"""),"""গাড়াডোব")</f>
        <v>"গাড়াডোব</v>
      </c>
      <c r="J9" s="5" t="str">
        <f>IFERROR(__xludf.DUMMYFUNCTION("""COMPUTED_VALUE""")," গাংনী")</f>
        <v> গাংনী</v>
      </c>
      <c r="K9" s="5" t="str">
        <f>IFERROR(__xludf.DUMMYFUNCTION("""COMPUTED_VALUE""")," মেহেরপুর""")</f>
        <v> মেহেরপুর"</v>
      </c>
    </row>
    <row r="10">
      <c r="A10" s="7" t="s">
        <v>7164</v>
      </c>
      <c r="B10" s="5">
        <f>IFERROR(__xludf.DUMMYFUNCTION("SPLIT(A10,"","")"),780.0)</f>
        <v>780</v>
      </c>
      <c r="C10" s="5" t="str">
        <f>IFERROR(__xludf.DUMMYFUNCTION("""COMPUTED_VALUE"""),"মোঃ সোহেল রানা")</f>
        <v>মোঃ সোহেল রানা</v>
      </c>
      <c r="D10" s="5">
        <f>IFERROR(__xludf.DUMMYFUNCTION("""COMPUTED_VALUE"""),5.70038354971E11)</f>
        <v>570038354971</v>
      </c>
      <c r="E10" s="5" t="str">
        <f>IFERROR(__xludf.DUMMYFUNCTION("""COMPUTED_VALUE"""),"মোঃ মজির আলী")</f>
        <v>মোঃ মজির আলী</v>
      </c>
      <c r="F10" s="5" t="str">
        <f>IFERROR(__xludf.DUMMYFUNCTION("""COMPUTED_VALUE"""),"মোছাঃ আমেনা খাতুন")</f>
        <v>মোছাঃ আমেনা খাতুন</v>
      </c>
      <c r="G10" s="5" t="str">
        <f>IFERROR(__xludf.DUMMYFUNCTION("""COMPUTED_VALUE"""),"০৪/০৬/১৯৮৮")</f>
        <v>০৪/০৬/১৯৮৮</v>
      </c>
      <c r="H10" s="5" t="str">
        <f>IFERROR(__xludf.DUMMYFUNCTION("""COMPUTED_VALUE"""),"দিনমজুর")</f>
        <v>দিনমজুর</v>
      </c>
      <c r="I10" s="5" t="str">
        <f>IFERROR(__xludf.DUMMYFUNCTION("""COMPUTED_VALUE"""),"""গাড়াডোব")</f>
        <v>"গাড়াডোব</v>
      </c>
      <c r="J10" s="5" t="str">
        <f>IFERROR(__xludf.DUMMYFUNCTION("""COMPUTED_VALUE""")," গাংনী")</f>
        <v> গাংনী</v>
      </c>
      <c r="K10" s="5" t="str">
        <f>IFERROR(__xludf.DUMMYFUNCTION("""COMPUTED_VALUE""")," মেহেরপুর""")</f>
        <v> মেহেরপুর"</v>
      </c>
    </row>
    <row r="11">
      <c r="A11" s="7" t="s">
        <v>7165</v>
      </c>
      <c r="B11" s="5">
        <f>IFERROR(__xludf.DUMMYFUNCTION("SPLIT(A11,"","")"),781.0)</f>
        <v>781</v>
      </c>
      <c r="C11" s="5" t="str">
        <f>IFERROR(__xludf.DUMMYFUNCTION("""COMPUTED_VALUE"""),"মোঃ আঃ হান্নান")</f>
        <v>মোঃ আঃ হান্নান</v>
      </c>
      <c r="D11" s="5">
        <f>IFERROR(__xludf.DUMMYFUNCTION("""COMPUTED_VALUE"""),5.70038355012E11)</f>
        <v>570038355012</v>
      </c>
      <c r="E11" s="5" t="str">
        <f>IFERROR(__xludf.DUMMYFUNCTION("""COMPUTED_VALUE"""),"আতর আলী")</f>
        <v>আতর আলী</v>
      </c>
      <c r="F11" s="5" t="str">
        <f>IFERROR(__xludf.DUMMYFUNCTION("""COMPUTED_VALUE"""),"মোছাঃ জামেনা খাতুন")</f>
        <v>মোছাঃ জামেনা খাতুন</v>
      </c>
      <c r="G11" s="5" t="str">
        <f>IFERROR(__xludf.DUMMYFUNCTION("""COMPUTED_VALUE"""),"২৪/০৮/১৯৮৮")</f>
        <v>২৪/০৮/১৯৮৮</v>
      </c>
      <c r="H11" s="5" t="str">
        <f>IFERROR(__xludf.DUMMYFUNCTION("""COMPUTED_VALUE"""),"কৃষক")</f>
        <v>কৃষক</v>
      </c>
      <c r="I11" s="5" t="str">
        <f>IFERROR(__xludf.DUMMYFUNCTION("""COMPUTED_VALUE"""),"""গাড়াডোব")</f>
        <v>"গাড়াডোব</v>
      </c>
      <c r="J11" s="5" t="str">
        <f>IFERROR(__xludf.DUMMYFUNCTION("""COMPUTED_VALUE""")," গাংনী")</f>
        <v> গাংনী</v>
      </c>
      <c r="K11" s="5" t="str">
        <f>IFERROR(__xludf.DUMMYFUNCTION("""COMPUTED_VALUE""")," মেহেরপুর""")</f>
        <v> মেহেরপুর"</v>
      </c>
    </row>
    <row r="12">
      <c r="A12" s="7" t="s">
        <v>7166</v>
      </c>
      <c r="B12" s="5">
        <f>IFERROR(__xludf.DUMMYFUNCTION("SPLIT(A12,"","")"),782.0)</f>
        <v>782</v>
      </c>
      <c r="C12" s="5" t="str">
        <f>IFERROR(__xludf.DUMMYFUNCTION("""COMPUTED_VALUE"""),"মোঃ শহিদুল ইসলাম")</f>
        <v>মোঃ শহিদুল ইসলাম</v>
      </c>
      <c r="D12" s="5">
        <f>IFERROR(__xludf.DUMMYFUNCTION("""COMPUTED_VALUE"""),5.70038355015E11)</f>
        <v>570038355015</v>
      </c>
      <c r="E12" s="5" t="str">
        <f>IFERROR(__xludf.DUMMYFUNCTION("""COMPUTED_VALUE"""),"মোঃ আশরাফ আলী")</f>
        <v>মোঃ আশরাফ আলী</v>
      </c>
      <c r="F12" s="5" t="str">
        <f>IFERROR(__xludf.DUMMYFUNCTION("""COMPUTED_VALUE"""),"মোছাঃ সুফিয়া বেগম")</f>
        <v>মোছাঃ সুফিয়া বেগম</v>
      </c>
      <c r="G12" s="5" t="str">
        <f>IFERROR(__xludf.DUMMYFUNCTION("""COMPUTED_VALUE"""),"১০/০৬/১৯৮২")</f>
        <v>১০/০৬/১৯৮২</v>
      </c>
      <c r="H12" s="5" t="str">
        <f>IFERROR(__xludf.DUMMYFUNCTION("""COMPUTED_VALUE"""),"বেসরকারী চাকুরী")</f>
        <v>বেসরকারী চাকুরী</v>
      </c>
      <c r="I12" s="5" t="str">
        <f>IFERROR(__xludf.DUMMYFUNCTION("""COMPUTED_VALUE"""),"""গাড়াডোব")</f>
        <v>"গাড়াডোব</v>
      </c>
      <c r="J12" s="5" t="str">
        <f>IFERROR(__xludf.DUMMYFUNCTION("""COMPUTED_VALUE""")," গাংনী")</f>
        <v> গাংনী</v>
      </c>
      <c r="K12" s="5" t="str">
        <f>IFERROR(__xludf.DUMMYFUNCTION("""COMPUTED_VALUE""")," মেহেরপুর""")</f>
        <v> মেহেরপুর"</v>
      </c>
    </row>
    <row r="13">
      <c r="A13" s="7" t="s">
        <v>7167</v>
      </c>
      <c r="B13" s="5">
        <f>IFERROR(__xludf.DUMMYFUNCTION("SPLIT(A13,"","")"),783.0)</f>
        <v>783</v>
      </c>
      <c r="C13" s="5" t="str">
        <f>IFERROR(__xludf.DUMMYFUNCTION("""COMPUTED_VALUE"""),"মোঃ সাইফুল ইসলাম")</f>
        <v>মোঃ সাইফুল ইসলাম</v>
      </c>
      <c r="D13" s="5">
        <f>IFERROR(__xludf.DUMMYFUNCTION("""COMPUTED_VALUE"""),5.70038355017E11)</f>
        <v>570038355017</v>
      </c>
      <c r="E13" s="5" t="str">
        <f>IFERROR(__xludf.DUMMYFUNCTION("""COMPUTED_VALUE"""),"নুরউদ্দীন মোঃ আশরাফ আলী")</f>
        <v>নুরউদ্দীন মোঃ আশরাফ আলী</v>
      </c>
      <c r="F13" s="5" t="str">
        <f>IFERROR(__xludf.DUMMYFUNCTION("""COMPUTED_VALUE"""),"মোছাঃ সুফিয়া খাতুন")</f>
        <v>মোছাঃ সুফিয়া খাতুন</v>
      </c>
      <c r="G13" s="5" t="str">
        <f>IFERROR(__xludf.DUMMYFUNCTION("""COMPUTED_VALUE"""),"৩০/১১/১৯৭৭")</f>
        <v>৩০/১১/১৯৭৭</v>
      </c>
      <c r="H13" s="5" t="str">
        <f>IFERROR(__xludf.DUMMYFUNCTION("""COMPUTED_VALUE"""),"ব্যবসা")</f>
        <v>ব্যবসা</v>
      </c>
      <c r="I13" s="5" t="str">
        <f>IFERROR(__xludf.DUMMYFUNCTION("""COMPUTED_VALUE"""),"""গাড়াডোব")</f>
        <v>"গাড়াডোব</v>
      </c>
      <c r="J13" s="5" t="str">
        <f>IFERROR(__xludf.DUMMYFUNCTION("""COMPUTED_VALUE""")," গাংনী")</f>
        <v> গাংনী</v>
      </c>
      <c r="K13" s="5" t="str">
        <f>IFERROR(__xludf.DUMMYFUNCTION("""COMPUTED_VALUE""")," মেহেরপুর""")</f>
        <v> মেহেরপুর"</v>
      </c>
    </row>
    <row r="14">
      <c r="A14" s="7" t="s">
        <v>7168</v>
      </c>
      <c r="B14" s="5">
        <f>IFERROR(__xludf.DUMMYFUNCTION("SPLIT(A14,"","")"),784.0)</f>
        <v>784</v>
      </c>
      <c r="C14" s="5" t="str">
        <f>IFERROR(__xludf.DUMMYFUNCTION("""COMPUTED_VALUE"""),"মোঃ আঃ কুদ্দুস")</f>
        <v>মোঃ আঃ কুদ্দুস</v>
      </c>
      <c r="D14" s="5">
        <f>IFERROR(__xludf.DUMMYFUNCTION("""COMPUTED_VALUE"""),5.70038355025E11)</f>
        <v>570038355025</v>
      </c>
      <c r="E14" s="5" t="str">
        <f>IFERROR(__xludf.DUMMYFUNCTION("""COMPUTED_VALUE"""),"আব্দুল আলীমুদ্দীন")</f>
        <v>আব্দুল আলীমুদ্দীন</v>
      </c>
      <c r="F14" s="5" t="str">
        <f>IFERROR(__xludf.DUMMYFUNCTION("""COMPUTED_VALUE"""),"মোছাঃ হালিমা খাতুন")</f>
        <v>মোছাঃ হালিমা খাতুন</v>
      </c>
      <c r="G14" s="5" t="str">
        <f>IFERROR(__xludf.DUMMYFUNCTION("""COMPUTED_VALUE"""),"১৯/০৯/১৯৫৭")</f>
        <v>১৯/০৯/১৯৫৭</v>
      </c>
      <c r="H14" s="5" t="str">
        <f>IFERROR(__xludf.DUMMYFUNCTION("""COMPUTED_VALUE"""),"ব্যবসা")</f>
        <v>ব্যবসা</v>
      </c>
      <c r="I14" s="5" t="str">
        <f>IFERROR(__xludf.DUMMYFUNCTION("""COMPUTED_VALUE"""),"""গাড়াডোব")</f>
        <v>"গাড়াডোব</v>
      </c>
      <c r="J14" s="5" t="str">
        <f>IFERROR(__xludf.DUMMYFUNCTION("""COMPUTED_VALUE""")," গাংনী")</f>
        <v> গাংনী</v>
      </c>
      <c r="K14" s="5" t="str">
        <f>IFERROR(__xludf.DUMMYFUNCTION("""COMPUTED_VALUE""")," মেহেরপুর""")</f>
        <v> মেহেরপুর"</v>
      </c>
    </row>
    <row r="15">
      <c r="A15" s="7" t="s">
        <v>7169</v>
      </c>
      <c r="B15" s="5">
        <f>IFERROR(__xludf.DUMMYFUNCTION("SPLIT(A15,"","")"),785.0)</f>
        <v>785</v>
      </c>
      <c r="C15" s="5" t="str">
        <f>IFERROR(__xludf.DUMMYFUNCTION("""COMPUTED_VALUE"""),"মোছাঃ ফনিরুল ইসলাম")</f>
        <v>মোছাঃ ফনিরুল ইসলাম</v>
      </c>
      <c r="D15" s="5">
        <f>IFERROR(__xludf.DUMMYFUNCTION("""COMPUTED_VALUE"""),5.70038355028E11)</f>
        <v>570038355028</v>
      </c>
      <c r="E15" s="5" t="str">
        <f>IFERROR(__xludf.DUMMYFUNCTION("""COMPUTED_VALUE"""),"আব্দুল আলীমুদ্দীন")</f>
        <v>আব্দুল আলীমুদ্দীন</v>
      </c>
      <c r="F15" s="5" t="str">
        <f>IFERROR(__xludf.DUMMYFUNCTION("""COMPUTED_VALUE"""),"মোছাঃ হালিমা খাতুন")</f>
        <v>মোছাঃ হালিমা খাতুন</v>
      </c>
      <c r="G15" s="5" t="str">
        <f>IFERROR(__xludf.DUMMYFUNCTION("""COMPUTED_VALUE"""),"১৭/০৬/১৯৭২")</f>
        <v>১৭/০৬/১৯৭২</v>
      </c>
      <c r="H15" s="5" t="str">
        <f>IFERROR(__xludf.DUMMYFUNCTION("""COMPUTED_VALUE"""),"কৃষক")</f>
        <v>কৃষক</v>
      </c>
      <c r="I15" s="5" t="str">
        <f>IFERROR(__xludf.DUMMYFUNCTION("""COMPUTED_VALUE"""),"""গাড়াডোব")</f>
        <v>"গাড়াডোব</v>
      </c>
      <c r="J15" s="5" t="str">
        <f>IFERROR(__xludf.DUMMYFUNCTION("""COMPUTED_VALUE""")," গাংনী")</f>
        <v> গাংনী</v>
      </c>
      <c r="K15" s="5" t="str">
        <f>IFERROR(__xludf.DUMMYFUNCTION("""COMPUTED_VALUE""")," মেহেরপুর""")</f>
        <v> মেহেরপুর"</v>
      </c>
    </row>
    <row r="16">
      <c r="A16" s="7" t="s">
        <v>7170</v>
      </c>
      <c r="B16" s="5">
        <f>IFERROR(__xludf.DUMMYFUNCTION("SPLIT(A16,"","")"),786.0)</f>
        <v>786</v>
      </c>
      <c r="C16" s="5" t="str">
        <f>IFERROR(__xludf.DUMMYFUNCTION("""COMPUTED_VALUE"""),"মোঃ ময়নুদ্দীন আহমেদ")</f>
        <v>মোঃ ময়নুদ্দীন আহমেদ</v>
      </c>
      <c r="D16" s="5">
        <f>IFERROR(__xludf.DUMMYFUNCTION("""COMPUTED_VALUE"""),5.7003835503E11)</f>
        <v>570038355030</v>
      </c>
      <c r="E16" s="5" t="str">
        <f>IFERROR(__xludf.DUMMYFUNCTION("""COMPUTED_VALUE"""),"মোঃ আঃ কুদ্দুস")</f>
        <v>মোঃ আঃ কুদ্দুস</v>
      </c>
      <c r="F16" s="5" t="str">
        <f>IFERROR(__xludf.DUMMYFUNCTION("""COMPUTED_VALUE"""),"মোছাঃ মনোয়ারা খাতুন")</f>
        <v>মোছাঃ মনোয়ারা খাতুন</v>
      </c>
      <c r="G16" s="5" t="str">
        <f>IFERROR(__xludf.DUMMYFUNCTION("""COMPUTED_VALUE"""),"২৫/০১/১৯৮৮")</f>
        <v>২৫/০১/১৯৮৮</v>
      </c>
      <c r="H16" s="5" t="str">
        <f>IFERROR(__xludf.DUMMYFUNCTION("""COMPUTED_VALUE"""),"ব্যবসা")</f>
        <v>ব্যবসা</v>
      </c>
      <c r="I16" s="5" t="str">
        <f>IFERROR(__xludf.DUMMYFUNCTION("""COMPUTED_VALUE"""),"""গাড়াডোব")</f>
        <v>"গাড়াডোব</v>
      </c>
      <c r="J16" s="5" t="str">
        <f>IFERROR(__xludf.DUMMYFUNCTION("""COMPUTED_VALUE""")," গাংনী")</f>
        <v> গাংনী</v>
      </c>
      <c r="K16" s="5" t="str">
        <f>IFERROR(__xludf.DUMMYFUNCTION("""COMPUTED_VALUE""")," মেহেরপুর""")</f>
        <v> মেহেরপুর"</v>
      </c>
    </row>
    <row r="17">
      <c r="A17" s="7" t="s">
        <v>7171</v>
      </c>
      <c r="B17" s="5">
        <f>IFERROR(__xludf.DUMMYFUNCTION("SPLIT(A17,"","")"),787.0)</f>
        <v>787</v>
      </c>
      <c r="C17" s="5" t="str">
        <f>IFERROR(__xludf.DUMMYFUNCTION("""COMPUTED_VALUE"""),"মোঃ তহিদুল ইসলাম")</f>
        <v>মোঃ তহিদুল ইসলাম</v>
      </c>
      <c r="D17" s="5">
        <f>IFERROR(__xludf.DUMMYFUNCTION("""COMPUTED_VALUE"""),5.70038355035E11)</f>
        <v>570038355035</v>
      </c>
      <c r="E17" s="5" t="str">
        <f>IFERROR(__xludf.DUMMYFUNCTION("""COMPUTED_VALUE"""),"লুৎফর রহমান")</f>
        <v>লুৎফর রহমান</v>
      </c>
      <c r="F17" s="5" t="str">
        <f>IFERROR(__xludf.DUMMYFUNCTION("""COMPUTED_VALUE"""),"মোছাঃ মলেজান")</f>
        <v>মোছাঃ মলেজান</v>
      </c>
      <c r="G17" s="5" t="str">
        <f>IFERROR(__xludf.DUMMYFUNCTION("""COMPUTED_VALUE"""),"২২/১২/১৯৫৯")</f>
        <v>২২/১২/১৯৫৯</v>
      </c>
      <c r="H17" s="5" t="str">
        <f>IFERROR(__xludf.DUMMYFUNCTION("""COMPUTED_VALUE"""),"কৃষক")</f>
        <v>কৃষক</v>
      </c>
      <c r="I17" s="5" t="str">
        <f>IFERROR(__xludf.DUMMYFUNCTION("""COMPUTED_VALUE"""),"""গাড়াডোব")</f>
        <v>"গাড়াডোব</v>
      </c>
      <c r="J17" s="5" t="str">
        <f>IFERROR(__xludf.DUMMYFUNCTION("""COMPUTED_VALUE""")," গাংনী")</f>
        <v> গাংনী</v>
      </c>
      <c r="K17" s="5" t="str">
        <f>IFERROR(__xludf.DUMMYFUNCTION("""COMPUTED_VALUE""")," মেহেরপুর""")</f>
        <v> মেহেরপুর"</v>
      </c>
    </row>
    <row r="18">
      <c r="A18" s="7" t="s">
        <v>7172</v>
      </c>
      <c r="B18" s="5">
        <f>IFERROR(__xludf.DUMMYFUNCTION("SPLIT(A18,"","")"),788.0)</f>
        <v>788</v>
      </c>
      <c r="C18" s="5" t="str">
        <f>IFERROR(__xludf.DUMMYFUNCTION("""COMPUTED_VALUE"""),"মোঃ আশরাফুল ইসলাম")</f>
        <v>মোঃ আশরাফুল ইসলাম</v>
      </c>
      <c r="D18" s="5">
        <f>IFERROR(__xludf.DUMMYFUNCTION("""COMPUTED_VALUE"""),5.7003835504E11)</f>
        <v>570038355040</v>
      </c>
      <c r="E18" s="5" t="str">
        <f>IFERROR(__xludf.DUMMYFUNCTION("""COMPUTED_VALUE"""),"দিদার বকস")</f>
        <v>দিদার বকস</v>
      </c>
      <c r="F18" s="5" t="str">
        <f>IFERROR(__xludf.DUMMYFUNCTION("""COMPUTED_VALUE"""),"মোছাঃ জুলেখা")</f>
        <v>মোছাঃ জুলেখা</v>
      </c>
      <c r="G18" s="5" t="str">
        <f>IFERROR(__xludf.DUMMYFUNCTION("""COMPUTED_VALUE"""),"২১/১১/১৯৭১")</f>
        <v>২১/১১/১৯৭১</v>
      </c>
      <c r="H18" s="5" t="str">
        <f>IFERROR(__xludf.DUMMYFUNCTION("""COMPUTED_VALUE"""),"ব্যবসা")</f>
        <v>ব্যবসা</v>
      </c>
      <c r="I18" s="5" t="str">
        <f>IFERROR(__xludf.DUMMYFUNCTION("""COMPUTED_VALUE"""),"""গাড়াডোব")</f>
        <v>"গাড়াডোব</v>
      </c>
      <c r="J18" s="5" t="str">
        <f>IFERROR(__xludf.DUMMYFUNCTION("""COMPUTED_VALUE""")," গাংনী")</f>
        <v> গাংনী</v>
      </c>
      <c r="K18" s="5" t="str">
        <f>IFERROR(__xludf.DUMMYFUNCTION("""COMPUTED_VALUE""")," মেহেরপুর""")</f>
        <v> মেহেরপুর"</v>
      </c>
    </row>
    <row r="19">
      <c r="A19" s="7" t="s">
        <v>7173</v>
      </c>
      <c r="B19" s="5">
        <f>IFERROR(__xludf.DUMMYFUNCTION("SPLIT(A19,"","")"),789.0)</f>
        <v>789</v>
      </c>
      <c r="C19" s="5" t="str">
        <f>IFERROR(__xludf.DUMMYFUNCTION("""COMPUTED_VALUE"""),"মোঃ মনিরুল ইসলাম")</f>
        <v>মোঃ মনিরুল ইসলাম</v>
      </c>
      <c r="D19" s="5">
        <f>IFERROR(__xludf.DUMMYFUNCTION("""COMPUTED_VALUE"""),5.70038355041E11)</f>
        <v>570038355041</v>
      </c>
      <c r="E19" s="5" t="str">
        <f>IFERROR(__xludf.DUMMYFUNCTION("""COMPUTED_VALUE"""),"আলীমুদ্দীন")</f>
        <v>আলীমুদ্দীন</v>
      </c>
      <c r="F19" s="5" t="str">
        <f>IFERROR(__xludf.DUMMYFUNCTION("""COMPUTED_VALUE"""),"মোছাঃ হালিমা খাতুন")</f>
        <v>মোছাঃ হালিমা খাতুন</v>
      </c>
      <c r="G19" s="5" t="str">
        <f>IFERROR(__xludf.DUMMYFUNCTION("""COMPUTED_VALUE"""),"১২/১২/১৯৭০")</f>
        <v>১২/১২/১৯৭০</v>
      </c>
      <c r="H19" s="5" t="str">
        <f>IFERROR(__xludf.DUMMYFUNCTION("""COMPUTED_VALUE"""),"ব্যবসা")</f>
        <v>ব্যবসা</v>
      </c>
      <c r="I19" s="5" t="str">
        <f>IFERROR(__xludf.DUMMYFUNCTION("""COMPUTED_VALUE"""),"""গাড়াডোব")</f>
        <v>"গাড়াডোব</v>
      </c>
      <c r="J19" s="5" t="str">
        <f>IFERROR(__xludf.DUMMYFUNCTION("""COMPUTED_VALUE""")," গাংনী")</f>
        <v> গাংনী</v>
      </c>
      <c r="K19" s="5" t="str">
        <f>IFERROR(__xludf.DUMMYFUNCTION("""COMPUTED_VALUE""")," মেহেরপুর""")</f>
        <v> মেহেরপুর"</v>
      </c>
    </row>
    <row r="20">
      <c r="A20" s="7" t="s">
        <v>7174</v>
      </c>
      <c r="B20" s="5">
        <f>IFERROR(__xludf.DUMMYFUNCTION("SPLIT(A20,"","")"),790.0)</f>
        <v>790</v>
      </c>
      <c r="C20" s="5" t="str">
        <f>IFERROR(__xludf.DUMMYFUNCTION("""COMPUTED_VALUE"""),"মোঃ আনারুল ইসলাম")</f>
        <v>মোঃ আনারুল ইসলাম</v>
      </c>
      <c r="D20" s="5">
        <f>IFERROR(__xludf.DUMMYFUNCTION("""COMPUTED_VALUE"""),5.70038355042E11)</f>
        <v>570038355042</v>
      </c>
      <c r="E20" s="5" t="str">
        <f>IFERROR(__xludf.DUMMYFUNCTION("""COMPUTED_VALUE"""),"আলীমুদ্দীন")</f>
        <v>আলীমুদ্দীন</v>
      </c>
      <c r="F20" s="5" t="str">
        <f>IFERROR(__xludf.DUMMYFUNCTION("""COMPUTED_VALUE"""),"মোছাঃ হালিমা খাতুন")</f>
        <v>মোছাঃ হালিমা খাতুন</v>
      </c>
      <c r="G20" s="5" t="str">
        <f>IFERROR(__xludf.DUMMYFUNCTION("""COMPUTED_VALUE"""),"০৫/১১/১৯৭২")</f>
        <v>০৫/১১/১৯৭২</v>
      </c>
      <c r="H20" s="5" t="str">
        <f>IFERROR(__xludf.DUMMYFUNCTION("""COMPUTED_VALUE"""),"ব্যবসা")</f>
        <v>ব্যবসা</v>
      </c>
      <c r="I20" s="5" t="str">
        <f>IFERROR(__xludf.DUMMYFUNCTION("""COMPUTED_VALUE"""),"""গাড়াডোব")</f>
        <v>"গাড়াডোব</v>
      </c>
      <c r="J20" s="5" t="str">
        <f>IFERROR(__xludf.DUMMYFUNCTION("""COMPUTED_VALUE""")," গাংনী")</f>
        <v> গাংনী</v>
      </c>
      <c r="K20" s="5" t="str">
        <f>IFERROR(__xludf.DUMMYFUNCTION("""COMPUTED_VALUE""")," মেহেরপুর""")</f>
        <v> মেহেরপুর"</v>
      </c>
    </row>
    <row r="21">
      <c r="A21" s="7" t="s">
        <v>7175</v>
      </c>
      <c r="B21" s="5">
        <f>IFERROR(__xludf.DUMMYFUNCTION("SPLIT(A21,"","")"),791.0)</f>
        <v>791</v>
      </c>
      <c r="C21" s="5" t="str">
        <f>IFERROR(__xludf.DUMMYFUNCTION("""COMPUTED_VALUE"""),"মোঃ জালাল উদ্দীন")</f>
        <v>মোঃ জালাল উদ্দীন</v>
      </c>
      <c r="D21" s="5">
        <f>IFERROR(__xludf.DUMMYFUNCTION("""COMPUTED_VALUE"""),5.70038355043E11)</f>
        <v>570038355043</v>
      </c>
      <c r="E21" s="5" t="str">
        <f>IFERROR(__xludf.DUMMYFUNCTION("""COMPUTED_VALUE"""),"আঃ জলিল")</f>
        <v>আঃ জলিল</v>
      </c>
      <c r="F21" s="5" t="str">
        <f>IFERROR(__xludf.DUMMYFUNCTION("""COMPUTED_VALUE"""),"মোছাঃ জহিরন")</f>
        <v>মোছাঃ জহিরন</v>
      </c>
      <c r="G21" s="5" t="str">
        <f>IFERROR(__xludf.DUMMYFUNCTION("""COMPUTED_VALUE"""),"১৫/০২/১৯৬৫")</f>
        <v>১৫/০২/১৯৬৫</v>
      </c>
      <c r="H21" s="5" t="str">
        <f>IFERROR(__xludf.DUMMYFUNCTION("""COMPUTED_VALUE"""),"কৃষক")</f>
        <v>কৃষক</v>
      </c>
      <c r="I21" s="5" t="str">
        <f>IFERROR(__xludf.DUMMYFUNCTION("""COMPUTED_VALUE"""),"""গাড়াডোব")</f>
        <v>"গাড়াডোব</v>
      </c>
      <c r="J21" s="5" t="str">
        <f>IFERROR(__xludf.DUMMYFUNCTION("""COMPUTED_VALUE""")," গাংনী")</f>
        <v> গাংনী</v>
      </c>
      <c r="K21" s="5" t="str">
        <f>IFERROR(__xludf.DUMMYFUNCTION("""COMPUTED_VALUE""")," মেহেরপুর""")</f>
        <v> মেহেরপুর"</v>
      </c>
    </row>
    <row r="22">
      <c r="A22" s="7" t="s">
        <v>7176</v>
      </c>
      <c r="B22" s="5">
        <f>IFERROR(__xludf.DUMMYFUNCTION("SPLIT(A22,"","")"),792.0)</f>
        <v>792</v>
      </c>
      <c r="C22" s="5" t="str">
        <f>IFERROR(__xludf.DUMMYFUNCTION("""COMPUTED_VALUE"""),"মোঃ শহিদুল ইসলাম")</f>
        <v>মোঃ শহিদুল ইসলাম</v>
      </c>
      <c r="D22" s="5">
        <f>IFERROR(__xludf.DUMMYFUNCTION("""COMPUTED_VALUE"""),5.70038355044E11)</f>
        <v>570038355044</v>
      </c>
      <c r="E22" s="5" t="str">
        <f>IFERROR(__xludf.DUMMYFUNCTION("""COMPUTED_VALUE"""),"লুৎফর রহমান")</f>
        <v>লুৎফর রহমান</v>
      </c>
      <c r="F22" s="5" t="str">
        <f>IFERROR(__xludf.DUMMYFUNCTION("""COMPUTED_VALUE"""),"মোছাঃ মলেজান")</f>
        <v>মোছাঃ মলেজান</v>
      </c>
      <c r="G22" s="5" t="str">
        <f>IFERROR(__xludf.DUMMYFUNCTION("""COMPUTED_VALUE"""),"০৭/০৩/১৯৬৫")</f>
        <v>০৭/০৩/১৯৬৫</v>
      </c>
      <c r="H22" s="5" t="str">
        <f>IFERROR(__xludf.DUMMYFUNCTION("""COMPUTED_VALUE"""),"শ্রমিক")</f>
        <v>শ্রমিক</v>
      </c>
      <c r="I22" s="5" t="str">
        <f>IFERROR(__xludf.DUMMYFUNCTION("""COMPUTED_VALUE"""),"""গাড়াডোব")</f>
        <v>"গাড়াডোব</v>
      </c>
      <c r="J22" s="5" t="str">
        <f>IFERROR(__xludf.DUMMYFUNCTION("""COMPUTED_VALUE""")," গাংনী")</f>
        <v> গাংনী</v>
      </c>
      <c r="K22" s="5" t="str">
        <f>IFERROR(__xludf.DUMMYFUNCTION("""COMPUTED_VALUE""")," মেহেরপুর""")</f>
        <v> মেহেরপুর"</v>
      </c>
    </row>
    <row r="23">
      <c r="A23" s="7" t="s">
        <v>7177</v>
      </c>
      <c r="B23" s="5">
        <f>IFERROR(__xludf.DUMMYFUNCTION("SPLIT(A23,"","")"),793.0)</f>
        <v>793</v>
      </c>
      <c r="C23" s="5" t="str">
        <f>IFERROR(__xludf.DUMMYFUNCTION("""COMPUTED_VALUE"""),"মোঃ আব্দুর রহিম")</f>
        <v>মোঃ আব্দুর রহিম</v>
      </c>
      <c r="D23" s="5">
        <f>IFERROR(__xludf.DUMMYFUNCTION("""COMPUTED_VALUE"""),5.70038355046E11)</f>
        <v>570038355046</v>
      </c>
      <c r="E23" s="5" t="str">
        <f>IFERROR(__xludf.DUMMYFUNCTION("""COMPUTED_VALUE"""),"কান্ডারী শেখ")</f>
        <v>কান্ডারী শেখ</v>
      </c>
      <c r="F23" s="5" t="str">
        <f>IFERROR(__xludf.DUMMYFUNCTION("""COMPUTED_VALUE"""),"মোছাঃ ফলেজান")</f>
        <v>মোছাঃ ফলেজান</v>
      </c>
      <c r="G23" s="5" t="str">
        <f>IFERROR(__xludf.DUMMYFUNCTION("""COMPUTED_VALUE"""),"০৫/০৯/১৯৫৯")</f>
        <v>০৫/০৯/১৯৫৯</v>
      </c>
      <c r="H23" s="5" t="str">
        <f>IFERROR(__xludf.DUMMYFUNCTION("""COMPUTED_VALUE"""),"কৃষক")</f>
        <v>কৃষক</v>
      </c>
      <c r="I23" s="5" t="str">
        <f>IFERROR(__xludf.DUMMYFUNCTION("""COMPUTED_VALUE"""),"""গাড়াডোব")</f>
        <v>"গাড়াডোব</v>
      </c>
      <c r="J23" s="5" t="str">
        <f>IFERROR(__xludf.DUMMYFUNCTION("""COMPUTED_VALUE""")," গাংনী")</f>
        <v> গাংনী</v>
      </c>
      <c r="K23" s="5" t="str">
        <f>IFERROR(__xludf.DUMMYFUNCTION("""COMPUTED_VALUE""")," মেহেরপুর""")</f>
        <v> মেহেরপুর"</v>
      </c>
    </row>
    <row r="24">
      <c r="A24" s="7" t="s">
        <v>7178</v>
      </c>
      <c r="B24" s="5">
        <f>IFERROR(__xludf.DUMMYFUNCTION("SPLIT(A24,"","")"),794.0)</f>
        <v>794</v>
      </c>
      <c r="C24" s="5" t="str">
        <f>IFERROR(__xludf.DUMMYFUNCTION("""COMPUTED_VALUE"""),"মোঃ জহুরুল ইসলাম")</f>
        <v>মোঃ জহুরুল ইসলাম</v>
      </c>
      <c r="D24" s="5">
        <f>IFERROR(__xludf.DUMMYFUNCTION("""COMPUTED_VALUE"""),5.70038355054E11)</f>
        <v>570038355054</v>
      </c>
      <c r="E24" s="5" t="str">
        <f>IFERROR(__xludf.DUMMYFUNCTION("""COMPUTED_VALUE"""),"মোঃ আখের আলী")</f>
        <v>মোঃ আখের আলী</v>
      </c>
      <c r="F24" s="5" t="str">
        <f>IFERROR(__xludf.DUMMYFUNCTION("""COMPUTED_VALUE"""),"মোছাঃ জফিরন")</f>
        <v>মোছাঃ জফিরন</v>
      </c>
      <c r="G24" s="5" t="str">
        <f>IFERROR(__xludf.DUMMYFUNCTION("""COMPUTED_VALUE"""),"০১/০১/১৯৮৮")</f>
        <v>০১/০১/১৯৮৮</v>
      </c>
      <c r="H24" s="5" t="str">
        <f>IFERROR(__xludf.DUMMYFUNCTION("""COMPUTED_VALUE"""),"ব্যবসা")</f>
        <v>ব্যবসা</v>
      </c>
      <c r="I24" s="5" t="str">
        <f>IFERROR(__xludf.DUMMYFUNCTION("""COMPUTED_VALUE"""),"""গাড়াডোব")</f>
        <v>"গাড়াডোব</v>
      </c>
      <c r="J24" s="5" t="str">
        <f>IFERROR(__xludf.DUMMYFUNCTION("""COMPUTED_VALUE""")," গাংনী")</f>
        <v> গাংনী</v>
      </c>
      <c r="K24" s="5" t="str">
        <f>IFERROR(__xludf.DUMMYFUNCTION("""COMPUTED_VALUE""")," মেহেরপুর""")</f>
        <v> মেহেরপুর"</v>
      </c>
    </row>
    <row r="25">
      <c r="A25" s="7" t="s">
        <v>7179</v>
      </c>
      <c r="B25" s="5">
        <f>IFERROR(__xludf.DUMMYFUNCTION("SPLIT(A25,"","")"),795.0)</f>
        <v>795</v>
      </c>
      <c r="C25" s="5" t="str">
        <f>IFERROR(__xludf.DUMMYFUNCTION("""COMPUTED_VALUE"""),"মোহাঃ হাফিজুর রহমান")</f>
        <v>মোহাঃ হাফিজুর রহমান</v>
      </c>
      <c r="D25" s="5">
        <f>IFERROR(__xludf.DUMMYFUNCTION("""COMPUTED_VALUE"""),5.70038355055E11)</f>
        <v>570038355055</v>
      </c>
      <c r="E25" s="5" t="str">
        <f>IFERROR(__xludf.DUMMYFUNCTION("""COMPUTED_VALUE"""),"মোহাঃ আব্দুল জব্বার")</f>
        <v>মোহাঃ আব্দুল জব্বার</v>
      </c>
      <c r="F25" s="5" t="str">
        <f>IFERROR(__xludf.DUMMYFUNCTION("""COMPUTED_VALUE"""),"মোছাঃ রাবেয়া খাতুন")</f>
        <v>মোছাঃ রাবেয়া খাতুন</v>
      </c>
      <c r="G25" s="5" t="str">
        <f>IFERROR(__xludf.DUMMYFUNCTION("""COMPUTED_VALUE"""),"০৯/০৭/১৯৭২")</f>
        <v>০৯/০৭/১৯৭২</v>
      </c>
      <c r="H25" s="5" t="str">
        <f>IFERROR(__xludf.DUMMYFUNCTION("""COMPUTED_VALUE"""),"শিক্ষক")</f>
        <v>শিক্ষক</v>
      </c>
      <c r="I25" s="5" t="str">
        <f>IFERROR(__xludf.DUMMYFUNCTION("""COMPUTED_VALUE"""),"""গাড়াডোব")</f>
        <v>"গাড়াডোব</v>
      </c>
      <c r="J25" s="5" t="str">
        <f>IFERROR(__xludf.DUMMYFUNCTION("""COMPUTED_VALUE""")," গাংনী")</f>
        <v> গাংনী</v>
      </c>
      <c r="K25" s="5" t="str">
        <f>IFERROR(__xludf.DUMMYFUNCTION("""COMPUTED_VALUE""")," মেহেরপুর""")</f>
        <v> মেহেরপুর"</v>
      </c>
    </row>
    <row r="26">
      <c r="A26" s="7" t="s">
        <v>7180</v>
      </c>
      <c r="B26" s="5">
        <f>IFERROR(__xludf.DUMMYFUNCTION("SPLIT(A26,"","")"),796.0)</f>
        <v>796</v>
      </c>
      <c r="C26" s="5" t="str">
        <f>IFERROR(__xludf.DUMMYFUNCTION("""COMPUTED_VALUE"""),"মোহাঃ তফিজুর রহমান")</f>
        <v>মোহাঃ তফিজুর রহমান</v>
      </c>
      <c r="D26" s="5">
        <f>IFERROR(__xludf.DUMMYFUNCTION("""COMPUTED_VALUE"""),5.7003835506E11)</f>
        <v>570038355060</v>
      </c>
      <c r="E26" s="5" t="str">
        <f>IFERROR(__xludf.DUMMYFUNCTION("""COMPUTED_VALUE"""),"মোহাঃ আব্দুল জব্বার")</f>
        <v>মোহাঃ আব্দুল জব্বার</v>
      </c>
      <c r="F26" s="5" t="str">
        <f>IFERROR(__xludf.DUMMYFUNCTION("""COMPUTED_VALUE"""),"মোছাঃ রাবেয়া খাতুন")</f>
        <v>মোছাঃ রাবেয়া খাতুন</v>
      </c>
      <c r="G26" s="5" t="str">
        <f>IFERROR(__xludf.DUMMYFUNCTION("""COMPUTED_VALUE"""),"১০/১১/১৯৮১")</f>
        <v>১০/১১/১৯৮১</v>
      </c>
      <c r="H26" s="5" t="str">
        <f>IFERROR(__xludf.DUMMYFUNCTION("""COMPUTED_VALUE"""),"কৃষক")</f>
        <v>কৃষক</v>
      </c>
      <c r="I26" s="5" t="str">
        <f>IFERROR(__xludf.DUMMYFUNCTION("""COMPUTED_VALUE"""),"""গাড়াডোব")</f>
        <v>"গাড়াডোব</v>
      </c>
      <c r="J26" s="5" t="str">
        <f>IFERROR(__xludf.DUMMYFUNCTION("""COMPUTED_VALUE""")," গাংনী")</f>
        <v> গাংনী</v>
      </c>
      <c r="K26" s="5" t="str">
        <f>IFERROR(__xludf.DUMMYFUNCTION("""COMPUTED_VALUE""")," মেহেরপুর""")</f>
        <v> মেহেরপুর"</v>
      </c>
    </row>
    <row r="27">
      <c r="A27" s="7" t="s">
        <v>7181</v>
      </c>
      <c r="B27" s="5">
        <f>IFERROR(__xludf.DUMMYFUNCTION("SPLIT(A27,"","")"),797.0)</f>
        <v>797</v>
      </c>
      <c r="C27" s="5" t="str">
        <f>IFERROR(__xludf.DUMMYFUNCTION("""COMPUTED_VALUE"""),"মোহাঃ মোস্তাফিজুর রহমান")</f>
        <v>মোহাঃ মোস্তাফিজুর রহমান</v>
      </c>
      <c r="D27" s="5">
        <f>IFERROR(__xludf.DUMMYFUNCTION("""COMPUTED_VALUE"""),5.70038355062E11)</f>
        <v>570038355062</v>
      </c>
      <c r="E27" s="5" t="str">
        <f>IFERROR(__xludf.DUMMYFUNCTION("""COMPUTED_VALUE"""),"মোঃ আদম আলী")</f>
        <v>মোঃ আদম আলী</v>
      </c>
      <c r="F27" s="5" t="str">
        <f>IFERROR(__xludf.DUMMYFUNCTION("""COMPUTED_VALUE"""),"মোছাঃ মমতাজ বেগম")</f>
        <v>মোছাঃ মমতাজ বেগম</v>
      </c>
      <c r="G27" s="5" t="str">
        <f>IFERROR(__xludf.DUMMYFUNCTION("""COMPUTED_VALUE"""),"২৬/০৪/১৯৮৬")</f>
        <v>২৬/০৪/১৯৮৬</v>
      </c>
      <c r="H27" s="5" t="str">
        <f>IFERROR(__xludf.DUMMYFUNCTION("""COMPUTED_VALUE"""),"ছাত্র/ছাত্রী")</f>
        <v>ছাত্র/ছাত্রী</v>
      </c>
      <c r="I27" s="5" t="str">
        <f>IFERROR(__xludf.DUMMYFUNCTION("""COMPUTED_VALUE"""),"""গাড়াডোব")</f>
        <v>"গাড়াডোব</v>
      </c>
      <c r="J27" s="5" t="str">
        <f>IFERROR(__xludf.DUMMYFUNCTION("""COMPUTED_VALUE""")," গাংনী")</f>
        <v> গাংনী</v>
      </c>
      <c r="K27" s="5" t="str">
        <f>IFERROR(__xludf.DUMMYFUNCTION("""COMPUTED_VALUE""")," মেহেরপুর""")</f>
        <v> মেহেরপুর"</v>
      </c>
    </row>
    <row r="28">
      <c r="A28" s="7" t="s">
        <v>7182</v>
      </c>
      <c r="B28" s="5">
        <f>IFERROR(__xludf.DUMMYFUNCTION("SPLIT(A28,"","")"),798.0)</f>
        <v>798</v>
      </c>
      <c r="C28" s="5" t="str">
        <f>IFERROR(__xludf.DUMMYFUNCTION("""COMPUTED_VALUE"""),"মোঃ আলী হোসেন")</f>
        <v>মোঃ আলী হোসেন</v>
      </c>
      <c r="D28" s="5">
        <f>IFERROR(__xludf.DUMMYFUNCTION("""COMPUTED_VALUE"""),5.70038355063E11)</f>
        <v>570038355063</v>
      </c>
      <c r="E28" s="5" t="str">
        <f>IFERROR(__xludf.DUMMYFUNCTION("""COMPUTED_VALUE"""),"আব্দুল জলিল")</f>
        <v>আব্দুল জলিল</v>
      </c>
      <c r="F28" s="5" t="str">
        <f>IFERROR(__xludf.DUMMYFUNCTION("""COMPUTED_VALUE"""),"মোছাঃ জহিরন খাতুন")</f>
        <v>মোছাঃ জহিরন খাতুন</v>
      </c>
      <c r="G28" s="5" t="str">
        <f>IFERROR(__xludf.DUMMYFUNCTION("""COMPUTED_VALUE"""),"০৩/০১/১৯৬৭")</f>
        <v>০৩/০১/১৯৬৭</v>
      </c>
      <c r="H28" s="5" t="str">
        <f>IFERROR(__xludf.DUMMYFUNCTION("""COMPUTED_VALUE"""),"কৃষক")</f>
        <v>কৃষক</v>
      </c>
      <c r="I28" s="5" t="str">
        <f>IFERROR(__xludf.DUMMYFUNCTION("""COMPUTED_VALUE"""),"""গাড়াডোব")</f>
        <v>"গাড়াডোব</v>
      </c>
      <c r="J28" s="5" t="str">
        <f>IFERROR(__xludf.DUMMYFUNCTION("""COMPUTED_VALUE""")," গাংনী")</f>
        <v> গাংনী</v>
      </c>
      <c r="K28" s="5" t="str">
        <f>IFERROR(__xludf.DUMMYFUNCTION("""COMPUTED_VALUE""")," মেহেরপুর""")</f>
        <v> মেহেরপুর"</v>
      </c>
    </row>
    <row r="29">
      <c r="A29" s="7" t="s">
        <v>7183</v>
      </c>
      <c r="B29" s="5">
        <f>IFERROR(__xludf.DUMMYFUNCTION("SPLIT(A29,"","")"),799.0)</f>
        <v>799</v>
      </c>
      <c r="C29" s="5" t="str">
        <f>IFERROR(__xludf.DUMMYFUNCTION("""COMPUTED_VALUE"""),"মোঃ আরজ আলী")</f>
        <v>মোঃ আরজ আলী</v>
      </c>
      <c r="D29" s="5">
        <f>IFERROR(__xludf.DUMMYFUNCTION("""COMPUTED_VALUE"""),5.70038355066E11)</f>
        <v>570038355066</v>
      </c>
      <c r="E29" s="5" t="str">
        <f>IFERROR(__xludf.DUMMYFUNCTION("""COMPUTED_VALUE"""),"আব্দুল আলীমুদ্দীন")</f>
        <v>আব্দুল আলীমুদ্দীন</v>
      </c>
      <c r="F29" s="5" t="str">
        <f>IFERROR(__xludf.DUMMYFUNCTION("""COMPUTED_VALUE"""),"মোছাঃ রাশিয়া খাতুন")</f>
        <v>মোছাঃ রাশিয়া খাতুন</v>
      </c>
      <c r="G29" s="5" t="str">
        <f>IFERROR(__xludf.DUMMYFUNCTION("""COMPUTED_VALUE"""),"১৩/০৭/১৯৭৭")</f>
        <v>১৩/০৭/১৯৭৭</v>
      </c>
      <c r="H29" s="5" t="str">
        <f>IFERROR(__xludf.DUMMYFUNCTION("""COMPUTED_VALUE"""),"শ্রমিক")</f>
        <v>শ্রমিক</v>
      </c>
      <c r="I29" s="5" t="str">
        <f>IFERROR(__xludf.DUMMYFUNCTION("""COMPUTED_VALUE"""),"""গাড়াডোব")</f>
        <v>"গাড়াডোব</v>
      </c>
      <c r="J29" s="5" t="str">
        <f>IFERROR(__xludf.DUMMYFUNCTION("""COMPUTED_VALUE""")," গাংনী")</f>
        <v> গাংনী</v>
      </c>
      <c r="K29" s="5" t="str">
        <f>IFERROR(__xludf.DUMMYFUNCTION("""COMPUTED_VALUE""")," মেহেরপুর""")</f>
        <v> মেহেরপুর"</v>
      </c>
    </row>
    <row r="30">
      <c r="A30" s="7" t="s">
        <v>7184</v>
      </c>
      <c r="B30" s="5">
        <f>IFERROR(__xludf.DUMMYFUNCTION("SPLIT(A30,"","")"),800.0)</f>
        <v>800</v>
      </c>
      <c r="C30" s="5" t="str">
        <f>IFERROR(__xludf.DUMMYFUNCTION("""COMPUTED_VALUE"""),"মোঃ সামসুল ইসলাম")</f>
        <v>মোঃ সামসুল ইসলাম</v>
      </c>
      <c r="D30" s="5">
        <f>IFERROR(__xludf.DUMMYFUNCTION("""COMPUTED_VALUE"""),5.70038355069E11)</f>
        <v>570038355069</v>
      </c>
      <c r="E30" s="5" t="str">
        <f>IFERROR(__xludf.DUMMYFUNCTION("""COMPUTED_VALUE"""),"মোঃ আব্দুল গণি")</f>
        <v>মোঃ আব্দুল গণি</v>
      </c>
      <c r="F30" s="5" t="str">
        <f>IFERROR(__xludf.DUMMYFUNCTION("""COMPUTED_VALUE"""),"মোছাঃ সামসুন্নাহার")</f>
        <v>মোছাঃ সামসুন্নাহার</v>
      </c>
      <c r="G30" s="5" t="str">
        <f>IFERROR(__xludf.DUMMYFUNCTION("""COMPUTED_VALUE"""),"০১/০৪/১৯৭৭")</f>
        <v>০১/০৪/১৯৭৭</v>
      </c>
      <c r="H30" s="5" t="str">
        <f>IFERROR(__xludf.DUMMYFUNCTION("""COMPUTED_VALUE"""),"ব্যবসা")</f>
        <v>ব্যবসা</v>
      </c>
      <c r="I30" s="5" t="str">
        <f>IFERROR(__xludf.DUMMYFUNCTION("""COMPUTED_VALUE"""),"""গাড়াডোব")</f>
        <v>"গাড়াডোব</v>
      </c>
      <c r="J30" s="5" t="str">
        <f>IFERROR(__xludf.DUMMYFUNCTION("""COMPUTED_VALUE""")," গাংনী")</f>
        <v> গাংনী</v>
      </c>
      <c r="K30" s="5" t="str">
        <f>IFERROR(__xludf.DUMMYFUNCTION("""COMPUTED_VALUE""")," মেহেরপুর""")</f>
        <v> মেহেরপুর"</v>
      </c>
    </row>
    <row r="31">
      <c r="A31" s="7" t="s">
        <v>7185</v>
      </c>
      <c r="B31" s="5">
        <f>IFERROR(__xludf.DUMMYFUNCTION("SPLIT(A31,"","")"),801.0)</f>
        <v>801</v>
      </c>
      <c r="C31" s="5" t="str">
        <f>IFERROR(__xludf.DUMMYFUNCTION("""COMPUTED_VALUE"""),"মোঃ কিরামত আলী")</f>
        <v>মোঃ কিরামত আলী</v>
      </c>
      <c r="D31" s="5">
        <f>IFERROR(__xludf.DUMMYFUNCTION("""COMPUTED_VALUE"""),5.70038355074E11)</f>
        <v>570038355074</v>
      </c>
      <c r="E31" s="5" t="str">
        <f>IFERROR(__xludf.DUMMYFUNCTION("""COMPUTED_VALUE"""),"জয়নাল শেখ")</f>
        <v>জয়নাল শেখ</v>
      </c>
      <c r="F31" s="5" t="str">
        <f>IFERROR(__xludf.DUMMYFUNCTION("""COMPUTED_VALUE"""),"মোছাঃ রফেজা")</f>
        <v>মোছাঃ রফেজা</v>
      </c>
      <c r="G31" s="5" t="str">
        <f>IFERROR(__xludf.DUMMYFUNCTION("""COMPUTED_VALUE"""),"০১/০৩/১৯৬২")</f>
        <v>০১/০৩/১৯৬২</v>
      </c>
      <c r="H31" s="5" t="str">
        <f>IFERROR(__xludf.DUMMYFUNCTION("""COMPUTED_VALUE"""),"কৃষক")</f>
        <v>কৃষক</v>
      </c>
      <c r="I31" s="5" t="str">
        <f>IFERROR(__xludf.DUMMYFUNCTION("""COMPUTED_VALUE"""),"""গাড়াডোব")</f>
        <v>"গাড়াডোব</v>
      </c>
      <c r="J31" s="5" t="str">
        <f>IFERROR(__xludf.DUMMYFUNCTION("""COMPUTED_VALUE""")," গাংনী")</f>
        <v> গাংনী</v>
      </c>
      <c r="K31" s="5" t="str">
        <f>IFERROR(__xludf.DUMMYFUNCTION("""COMPUTED_VALUE""")," মেহেরপুর""")</f>
        <v> মেহেরপুর"</v>
      </c>
    </row>
    <row r="32">
      <c r="A32" s="7" t="s">
        <v>7186</v>
      </c>
      <c r="B32" s="5">
        <f>IFERROR(__xludf.DUMMYFUNCTION("SPLIT(A32,"","")"),802.0)</f>
        <v>802</v>
      </c>
      <c r="C32" s="5" t="str">
        <f>IFERROR(__xludf.DUMMYFUNCTION("""COMPUTED_VALUE"""),"মোঃ সাইফুল ইসলাম")</f>
        <v>মোঃ সাইফুল ইসলাম</v>
      </c>
      <c r="D32" s="5">
        <f>IFERROR(__xludf.DUMMYFUNCTION("""COMPUTED_VALUE"""),5.70038355076E11)</f>
        <v>570038355076</v>
      </c>
      <c r="E32" s="5" t="str">
        <f>IFERROR(__xludf.DUMMYFUNCTION("""COMPUTED_VALUE"""),"মোঃ কিরামত আলী")</f>
        <v>মোঃ কিরামত আলী</v>
      </c>
      <c r="F32" s="5" t="str">
        <f>IFERROR(__xludf.DUMMYFUNCTION("""COMPUTED_VALUE"""),"মোছাঃ নার্গিস")</f>
        <v>মোছাঃ নার্গিস</v>
      </c>
      <c r="G32" s="5" t="str">
        <f>IFERROR(__xludf.DUMMYFUNCTION("""COMPUTED_VALUE"""),"২৮/১২/১৯৮৭")</f>
        <v>২৮/১২/১৯৮৭</v>
      </c>
      <c r="H32" s="5" t="str">
        <f>IFERROR(__xludf.DUMMYFUNCTION("""COMPUTED_VALUE"""),"কৃষক")</f>
        <v>কৃষক</v>
      </c>
      <c r="I32" s="5" t="str">
        <f>IFERROR(__xludf.DUMMYFUNCTION("""COMPUTED_VALUE"""),"""গাড়াডোব")</f>
        <v>"গাড়াডোব</v>
      </c>
      <c r="J32" s="5" t="str">
        <f>IFERROR(__xludf.DUMMYFUNCTION("""COMPUTED_VALUE""")," গাংনী")</f>
        <v> গাংনী</v>
      </c>
      <c r="K32" s="5" t="str">
        <f>IFERROR(__xludf.DUMMYFUNCTION("""COMPUTED_VALUE""")," মেহেরপুর""")</f>
        <v> মেহেরপুর"</v>
      </c>
    </row>
    <row r="33">
      <c r="A33" s="7" t="s">
        <v>7187</v>
      </c>
      <c r="B33" s="5">
        <f>IFERROR(__xludf.DUMMYFUNCTION("SPLIT(A33,"","")"),803.0)</f>
        <v>803</v>
      </c>
      <c r="C33" s="5" t="str">
        <f>IFERROR(__xludf.DUMMYFUNCTION("""COMPUTED_VALUE"""),"মোঃ সাজিদুল ইসলাম")</f>
        <v>মোঃ সাজিদুল ইসলাম</v>
      </c>
      <c r="D33" s="5">
        <f>IFERROR(__xludf.DUMMYFUNCTION("""COMPUTED_VALUE"""),5.7003835508E11)</f>
        <v>570038355080</v>
      </c>
      <c r="E33" s="5" t="str">
        <f>IFERROR(__xludf.DUMMYFUNCTION("""COMPUTED_VALUE"""),"মোঃ ইমাজুদ্দীন শেখ")</f>
        <v>মোঃ ইমাজুদ্দীন শেখ</v>
      </c>
      <c r="F33" s="5" t="str">
        <f>IFERROR(__xludf.DUMMYFUNCTION("""COMPUTED_VALUE"""),"মোছাঃ ছামেনা খাতুন")</f>
        <v>মোছাঃ ছামেনা খাতুন</v>
      </c>
      <c r="G33" s="5" t="str">
        <f>IFERROR(__xludf.DUMMYFUNCTION("""COMPUTED_VALUE"""),"০৮/১২/১৯৭৫")</f>
        <v>০৮/১২/১৯৭৫</v>
      </c>
      <c r="H33" s="5" t="str">
        <f>IFERROR(__xludf.DUMMYFUNCTION("""COMPUTED_VALUE"""),"কৃষক")</f>
        <v>কৃষক</v>
      </c>
      <c r="I33" s="5" t="str">
        <f>IFERROR(__xludf.DUMMYFUNCTION("""COMPUTED_VALUE"""),"""গাড়াডোব")</f>
        <v>"গাড়াডোব</v>
      </c>
      <c r="J33" s="5" t="str">
        <f>IFERROR(__xludf.DUMMYFUNCTION("""COMPUTED_VALUE""")," গাংনী")</f>
        <v> গাংনী</v>
      </c>
      <c r="K33" s="5" t="str">
        <f>IFERROR(__xludf.DUMMYFUNCTION("""COMPUTED_VALUE""")," মেহেরপুর""")</f>
        <v> মেহেরপুর"</v>
      </c>
    </row>
    <row r="34">
      <c r="A34" s="7" t="s">
        <v>7188</v>
      </c>
      <c r="B34" s="5">
        <f>IFERROR(__xludf.DUMMYFUNCTION("SPLIT(A34,"","")"),804.0)</f>
        <v>804</v>
      </c>
      <c r="C34" s="5" t="str">
        <f>IFERROR(__xludf.DUMMYFUNCTION("""COMPUTED_VALUE"""),"মোঃ রাশিদুল ইসলাম")</f>
        <v>মোঃ রাশিদুল ইসলাম</v>
      </c>
      <c r="D34" s="5">
        <f>IFERROR(__xludf.DUMMYFUNCTION("""COMPUTED_VALUE"""),5.70038355081E11)</f>
        <v>570038355081</v>
      </c>
      <c r="E34" s="5" t="str">
        <f>IFERROR(__xludf.DUMMYFUNCTION("""COMPUTED_VALUE"""),"মোঃ ইমাজুদ্দীন শেখ")</f>
        <v>মোঃ ইমাজুদ্দীন শেখ</v>
      </c>
      <c r="F34" s="5" t="str">
        <f>IFERROR(__xludf.DUMMYFUNCTION("""COMPUTED_VALUE"""),"মোছাঃ ছামেনা খাতুন")</f>
        <v>মোছাঃ ছামেনা খাতুন</v>
      </c>
      <c r="G34" s="5" t="str">
        <f>IFERROR(__xludf.DUMMYFUNCTION("""COMPUTED_VALUE"""),"১২/০৯/১৯৭৭")</f>
        <v>১২/০৯/১৯৭৭</v>
      </c>
      <c r="H34" s="5" t="str">
        <f>IFERROR(__xludf.DUMMYFUNCTION("""COMPUTED_VALUE"""),"কৃষক")</f>
        <v>কৃষক</v>
      </c>
      <c r="I34" s="5" t="str">
        <f>IFERROR(__xludf.DUMMYFUNCTION("""COMPUTED_VALUE"""),"""গাড়াডোব")</f>
        <v>"গাড়াডোব</v>
      </c>
      <c r="J34" s="5" t="str">
        <f>IFERROR(__xludf.DUMMYFUNCTION("""COMPUTED_VALUE""")," গাংনী")</f>
        <v> গাংনী</v>
      </c>
      <c r="K34" s="5" t="str">
        <f>IFERROR(__xludf.DUMMYFUNCTION("""COMPUTED_VALUE""")," মেহেরপুর""")</f>
        <v> মেহেরপুর"</v>
      </c>
    </row>
    <row r="35">
      <c r="A35" s="7" t="s">
        <v>7189</v>
      </c>
      <c r="B35" s="5">
        <f>IFERROR(__xludf.DUMMYFUNCTION("SPLIT(A35,"","")"),805.0)</f>
        <v>805</v>
      </c>
      <c r="C35" s="5" t="str">
        <f>IFERROR(__xludf.DUMMYFUNCTION("""COMPUTED_VALUE"""),"মোঃ রবগুল হোসেন")</f>
        <v>মোঃ রবগুল হোসেন</v>
      </c>
      <c r="D35" s="5">
        <f>IFERROR(__xludf.DUMMYFUNCTION("""COMPUTED_VALUE"""),5.70038355085E11)</f>
        <v>570038355085</v>
      </c>
      <c r="E35" s="5" t="str">
        <f>IFERROR(__xludf.DUMMYFUNCTION("""COMPUTED_VALUE"""),"কাদের বকস")</f>
        <v>কাদের বকস</v>
      </c>
      <c r="F35" s="5" t="str">
        <f>IFERROR(__xludf.DUMMYFUNCTION("""COMPUTED_VALUE"""),"মোছাঃ খাতুন")</f>
        <v>মোছাঃ খাতুন</v>
      </c>
      <c r="G35" s="5" t="str">
        <f>IFERROR(__xludf.DUMMYFUNCTION("""COMPUTED_VALUE"""),"১৩/১২/১৯৬২")</f>
        <v>১৩/১২/১৯৬২</v>
      </c>
      <c r="H35" s="5" t="str">
        <f>IFERROR(__xludf.DUMMYFUNCTION("""COMPUTED_VALUE"""),"ব্যবসা")</f>
        <v>ব্যবসা</v>
      </c>
      <c r="I35" s="5" t="str">
        <f>IFERROR(__xludf.DUMMYFUNCTION("""COMPUTED_VALUE"""),"""গাড়াডোব")</f>
        <v>"গাড়াডোব</v>
      </c>
      <c r="J35" s="5" t="str">
        <f>IFERROR(__xludf.DUMMYFUNCTION("""COMPUTED_VALUE""")," গাংনী")</f>
        <v> গাংনী</v>
      </c>
      <c r="K35" s="5" t="str">
        <f>IFERROR(__xludf.DUMMYFUNCTION("""COMPUTED_VALUE""")," মেহেরপুর""")</f>
        <v> মেহেরপুর"</v>
      </c>
    </row>
    <row r="36">
      <c r="A36" s="7" t="s">
        <v>7190</v>
      </c>
      <c r="B36" s="5">
        <f>IFERROR(__xludf.DUMMYFUNCTION("SPLIT(A36,"","")"),806.0)</f>
        <v>806</v>
      </c>
      <c r="C36" s="5" t="str">
        <f>IFERROR(__xludf.DUMMYFUNCTION("""COMPUTED_VALUE"""),"মোঃ আবুল কালাম আজাদ")</f>
        <v>মোঃ আবুল কালাম আজাদ</v>
      </c>
      <c r="D36" s="5">
        <f>IFERROR(__xludf.DUMMYFUNCTION("""COMPUTED_VALUE"""),5.70038355087E11)</f>
        <v>570038355087</v>
      </c>
      <c r="E36" s="5" t="str">
        <f>IFERROR(__xludf.DUMMYFUNCTION("""COMPUTED_VALUE"""),"দিদার বকস")</f>
        <v>দিদার বকস</v>
      </c>
      <c r="F36" s="5" t="str">
        <f>IFERROR(__xludf.DUMMYFUNCTION("""COMPUTED_VALUE"""),"মোছাঃ জুলেখা")</f>
        <v>মোছাঃ জুলেখা</v>
      </c>
      <c r="G36" s="5" t="str">
        <f>IFERROR(__xludf.DUMMYFUNCTION("""COMPUTED_VALUE"""),"২২/১১/১৯৫২")</f>
        <v>২২/১১/১৯৫২</v>
      </c>
      <c r="H36" s="5" t="str">
        <f>IFERROR(__xludf.DUMMYFUNCTION("""COMPUTED_VALUE"""),"শ্রমিক")</f>
        <v>শ্রমিক</v>
      </c>
      <c r="I36" s="5" t="str">
        <f>IFERROR(__xludf.DUMMYFUNCTION("""COMPUTED_VALUE"""),"""গাড়াডোব")</f>
        <v>"গাড়াডোব</v>
      </c>
      <c r="J36" s="5" t="str">
        <f>IFERROR(__xludf.DUMMYFUNCTION("""COMPUTED_VALUE""")," গাংনী")</f>
        <v> গাংনী</v>
      </c>
      <c r="K36" s="5" t="str">
        <f>IFERROR(__xludf.DUMMYFUNCTION("""COMPUTED_VALUE""")," মেহেরপুর""")</f>
        <v> মেহেরপুর"</v>
      </c>
    </row>
    <row r="37">
      <c r="A37" s="7" t="s">
        <v>7191</v>
      </c>
      <c r="B37" s="5">
        <f>IFERROR(__xludf.DUMMYFUNCTION("SPLIT(A37,"","")"),807.0)</f>
        <v>807</v>
      </c>
      <c r="C37" s="5" t="str">
        <f>IFERROR(__xludf.DUMMYFUNCTION("""COMPUTED_VALUE"""),"মোঃ জাহাঙ্গীর আলম")</f>
        <v>মোঃ জাহাঙ্গীর আলম</v>
      </c>
      <c r="D37" s="5">
        <f>IFERROR(__xludf.DUMMYFUNCTION("""COMPUTED_VALUE"""),5.70038355088E11)</f>
        <v>570038355088</v>
      </c>
      <c r="E37" s="5" t="str">
        <f>IFERROR(__xludf.DUMMYFUNCTION("""COMPUTED_VALUE"""),"নুরুল হুদা")</f>
        <v>নুরুল হুদা</v>
      </c>
      <c r="F37" s="5" t="str">
        <f>IFERROR(__xludf.DUMMYFUNCTION("""COMPUTED_VALUE"""),"মোছাঃ জাহানারা বেগম")</f>
        <v>মোছাঃ জাহানারা বেগম</v>
      </c>
      <c r="G37" s="5" t="str">
        <f>IFERROR(__xludf.DUMMYFUNCTION("""COMPUTED_VALUE"""),"২১/০৭/১৯৮৯")</f>
        <v>২১/০৭/১৯৮৯</v>
      </c>
      <c r="H37" s="5" t="str">
        <f>IFERROR(__xludf.DUMMYFUNCTION("""COMPUTED_VALUE"""),"ছাত্র/ছাত্রী")</f>
        <v>ছাত্র/ছাত্রী</v>
      </c>
      <c r="I37" s="5" t="str">
        <f>IFERROR(__xludf.DUMMYFUNCTION("""COMPUTED_VALUE"""),"""গাড়াডোব")</f>
        <v>"গাড়াডোব</v>
      </c>
      <c r="J37" s="5" t="str">
        <f>IFERROR(__xludf.DUMMYFUNCTION("""COMPUTED_VALUE""")," গাংনী")</f>
        <v> গাংনী</v>
      </c>
      <c r="K37" s="5" t="str">
        <f>IFERROR(__xludf.DUMMYFUNCTION("""COMPUTED_VALUE""")," মেহেরপুর""")</f>
        <v> মেহেরপুর"</v>
      </c>
    </row>
    <row r="38">
      <c r="A38" s="7" t="s">
        <v>7192</v>
      </c>
      <c r="B38" s="5">
        <f>IFERROR(__xludf.DUMMYFUNCTION("SPLIT(A38,"","")"),808.0)</f>
        <v>808</v>
      </c>
      <c r="C38" s="5" t="str">
        <f>IFERROR(__xludf.DUMMYFUNCTION("""COMPUTED_VALUE"""),"মোঃ মাসুদ রানা")</f>
        <v>মোঃ মাসুদ রানা</v>
      </c>
      <c r="D38" s="5">
        <f>IFERROR(__xludf.DUMMYFUNCTION("""COMPUTED_VALUE"""),5.70038355089E11)</f>
        <v>570038355089</v>
      </c>
      <c r="E38" s="5" t="str">
        <f>IFERROR(__xludf.DUMMYFUNCTION("""COMPUTED_VALUE"""),"মোঃ আজিজুল হক")</f>
        <v>মোঃ আজিজুল হক</v>
      </c>
      <c r="F38" s="5" t="str">
        <f>IFERROR(__xludf.DUMMYFUNCTION("""COMPUTED_VALUE"""),"মোছাঃ মাসুরা খাতুন")</f>
        <v>মোছাঃ মাসুরা খাতুন</v>
      </c>
      <c r="G38" s="5" t="str">
        <f>IFERROR(__xludf.DUMMYFUNCTION("""COMPUTED_VALUE"""),"২০/১১/১৯৮৮")</f>
        <v>২০/১১/১৯৮৮</v>
      </c>
      <c r="H38" s="5" t="str">
        <f>IFERROR(__xludf.DUMMYFUNCTION("""COMPUTED_VALUE"""),"ছাত্র/ছাত্রী")</f>
        <v>ছাত্র/ছাত্রী</v>
      </c>
      <c r="I38" s="5" t="str">
        <f>IFERROR(__xludf.DUMMYFUNCTION("""COMPUTED_VALUE"""),"""গাড়াডোব")</f>
        <v>"গাড়াডোব</v>
      </c>
      <c r="J38" s="5" t="str">
        <f>IFERROR(__xludf.DUMMYFUNCTION("""COMPUTED_VALUE""")," গাংনী")</f>
        <v> গাংনী</v>
      </c>
      <c r="K38" s="5" t="str">
        <f>IFERROR(__xludf.DUMMYFUNCTION("""COMPUTED_VALUE""")," মেহেরপুর""")</f>
        <v> মেহেরপুর"</v>
      </c>
    </row>
    <row r="39">
      <c r="A39" s="7" t="s">
        <v>7193</v>
      </c>
      <c r="B39" s="5">
        <f>IFERROR(__xludf.DUMMYFUNCTION("SPLIT(A39,"","")"),809.0)</f>
        <v>809</v>
      </c>
      <c r="C39" s="5" t="str">
        <f>IFERROR(__xludf.DUMMYFUNCTION("""COMPUTED_VALUE"""),"মোঃ নজিমুদ্দীন")</f>
        <v>মোঃ নজিমুদ্দীন</v>
      </c>
      <c r="D39" s="5">
        <f>IFERROR(__xludf.DUMMYFUNCTION("""COMPUTED_VALUE"""),5.7003835509E11)</f>
        <v>570038355090</v>
      </c>
      <c r="E39" s="5" t="str">
        <f>IFERROR(__xludf.DUMMYFUNCTION("""COMPUTED_VALUE"""),"জসিমুদ্দীন")</f>
        <v>জসিমুদ্দীন</v>
      </c>
      <c r="F39" s="5" t="str">
        <f>IFERROR(__xludf.DUMMYFUNCTION("""COMPUTED_VALUE"""),"মোছাঃ হাজেরা খাতুন")</f>
        <v>মোছাঃ হাজেরা খাতুন</v>
      </c>
      <c r="G39" s="5" t="str">
        <f>IFERROR(__xludf.DUMMYFUNCTION("""COMPUTED_VALUE"""),"০৫/০৩/১৯৫৭")</f>
        <v>০৫/০৩/১৯৫৭</v>
      </c>
      <c r="H39" s="5" t="str">
        <f>IFERROR(__xludf.DUMMYFUNCTION("""COMPUTED_VALUE"""),"কৃষক")</f>
        <v>কৃষক</v>
      </c>
      <c r="I39" s="5" t="str">
        <f>IFERROR(__xludf.DUMMYFUNCTION("""COMPUTED_VALUE"""),"""গাড়াডোব")</f>
        <v>"গাড়াডোব</v>
      </c>
      <c r="J39" s="5" t="str">
        <f>IFERROR(__xludf.DUMMYFUNCTION("""COMPUTED_VALUE""")," গাংনী")</f>
        <v> গাংনী</v>
      </c>
      <c r="K39" s="5" t="str">
        <f>IFERROR(__xludf.DUMMYFUNCTION("""COMPUTED_VALUE""")," মেহেরপুর""")</f>
        <v> মেহেরপুর"</v>
      </c>
    </row>
    <row r="40">
      <c r="A40" s="7" t="s">
        <v>7194</v>
      </c>
      <c r="B40" s="5">
        <f>IFERROR(__xludf.DUMMYFUNCTION("SPLIT(A40,"","")"),810.0)</f>
        <v>810</v>
      </c>
      <c r="C40" s="5" t="str">
        <f>IFERROR(__xludf.DUMMYFUNCTION("""COMPUTED_VALUE"""),"মোহাঃ ছানোয়ার আলী")</f>
        <v>মোহাঃ ছানোয়ার আলী</v>
      </c>
      <c r="D40" s="5">
        <f>IFERROR(__xludf.DUMMYFUNCTION("""COMPUTED_VALUE"""),5.70038355092E11)</f>
        <v>570038355092</v>
      </c>
      <c r="E40" s="5" t="str">
        <f>IFERROR(__xludf.DUMMYFUNCTION("""COMPUTED_VALUE"""),"মোঃ সোনাতন")</f>
        <v>মোঃ সোনাতন</v>
      </c>
      <c r="F40" s="5" t="str">
        <f>IFERROR(__xludf.DUMMYFUNCTION("""COMPUTED_VALUE"""),"মোছাঃ জঙ্গলী খাতুন")</f>
        <v>মোছাঃ জঙ্গলী খাতুন</v>
      </c>
      <c r="G40" s="5" t="str">
        <f>IFERROR(__xludf.DUMMYFUNCTION("""COMPUTED_VALUE"""),"০৩/০২/১৯৬২")</f>
        <v>০৩/০২/১৯৬২</v>
      </c>
      <c r="H40" s="5" t="str">
        <f>IFERROR(__xludf.DUMMYFUNCTION("""COMPUTED_VALUE"""),"শ্রমিক")</f>
        <v>শ্রমিক</v>
      </c>
      <c r="I40" s="5" t="str">
        <f>IFERROR(__xludf.DUMMYFUNCTION("""COMPUTED_VALUE"""),"""গাড়াডোব")</f>
        <v>"গাড়াডোব</v>
      </c>
      <c r="J40" s="5" t="str">
        <f>IFERROR(__xludf.DUMMYFUNCTION("""COMPUTED_VALUE""")," গাংনী")</f>
        <v> গাংনী</v>
      </c>
      <c r="K40" s="5" t="str">
        <f>IFERROR(__xludf.DUMMYFUNCTION("""COMPUTED_VALUE""")," মেহেরপুর""")</f>
        <v> মেহেরপুর"</v>
      </c>
    </row>
    <row r="41">
      <c r="A41" s="7" t="s">
        <v>7195</v>
      </c>
      <c r="B41" s="5">
        <f>IFERROR(__xludf.DUMMYFUNCTION("SPLIT(A41,"","")"),811.0)</f>
        <v>811</v>
      </c>
      <c r="C41" s="5" t="str">
        <f>IFERROR(__xludf.DUMMYFUNCTION("""COMPUTED_VALUE"""),"মোঃ মোফাজ্জেল হক")</f>
        <v>মোঃ মোফাজ্জেল হক</v>
      </c>
      <c r="D41" s="5">
        <f>IFERROR(__xludf.DUMMYFUNCTION("""COMPUTED_VALUE"""),5.70038355093E11)</f>
        <v>570038355093</v>
      </c>
      <c r="E41" s="5" t="str">
        <f>IFERROR(__xludf.DUMMYFUNCTION("""COMPUTED_VALUE"""),"মোঃ মোবারক হোসেন")</f>
        <v>মোঃ মোবারক হোসেন</v>
      </c>
      <c r="F41" s="5" t="str">
        <f>IFERROR(__xludf.DUMMYFUNCTION("""COMPUTED_VALUE"""),"মোছাঃ বানুয়ারা")</f>
        <v>মোছাঃ বানুয়ারা</v>
      </c>
      <c r="G41" s="5" t="str">
        <f>IFERROR(__xludf.DUMMYFUNCTION("""COMPUTED_VALUE"""),"০১/০৯/১৯৮২")</f>
        <v>০১/০৯/১৯৮২</v>
      </c>
      <c r="H41" s="5" t="str">
        <f>IFERROR(__xludf.DUMMYFUNCTION("""COMPUTED_VALUE"""),"শ্রমিক")</f>
        <v>শ্রমিক</v>
      </c>
      <c r="I41" s="5" t="str">
        <f>IFERROR(__xludf.DUMMYFUNCTION("""COMPUTED_VALUE"""),"""গাড়াডোব")</f>
        <v>"গাড়াডোব</v>
      </c>
      <c r="J41" s="5" t="str">
        <f>IFERROR(__xludf.DUMMYFUNCTION("""COMPUTED_VALUE""")," গাংনী")</f>
        <v> গাংনী</v>
      </c>
      <c r="K41" s="5" t="str">
        <f>IFERROR(__xludf.DUMMYFUNCTION("""COMPUTED_VALUE""")," মেহেরপুর""")</f>
        <v> মেহেরপুর"</v>
      </c>
    </row>
    <row r="42">
      <c r="A42" s="7" t="s">
        <v>7196</v>
      </c>
      <c r="B42" s="5">
        <f>IFERROR(__xludf.DUMMYFUNCTION("SPLIT(A42,"","")"),812.0)</f>
        <v>812</v>
      </c>
      <c r="C42" s="5" t="str">
        <f>IFERROR(__xludf.DUMMYFUNCTION("""COMPUTED_VALUE"""),"মোঃ আক্তারুল ইসলাম")</f>
        <v>মোঃ আক্তারুল ইসলাম</v>
      </c>
      <c r="D42" s="5">
        <f>IFERROR(__xludf.DUMMYFUNCTION("""COMPUTED_VALUE"""),5.70038355094E11)</f>
        <v>570038355094</v>
      </c>
      <c r="E42" s="5" t="str">
        <f>IFERROR(__xludf.DUMMYFUNCTION("""COMPUTED_VALUE"""),"আতর আলী")</f>
        <v>আতর আলী</v>
      </c>
      <c r="F42" s="5" t="str">
        <f>IFERROR(__xludf.DUMMYFUNCTION("""COMPUTED_VALUE"""),"মোছাঃ জামিরন")</f>
        <v>মোছাঃ জামিরন</v>
      </c>
      <c r="G42" s="5" t="str">
        <f>IFERROR(__xludf.DUMMYFUNCTION("""COMPUTED_VALUE"""),"২২/১২/১৯৬৯")</f>
        <v>২২/১২/১৯৬৯</v>
      </c>
      <c r="H42" s="5" t="str">
        <f>IFERROR(__xludf.DUMMYFUNCTION("""COMPUTED_VALUE"""),"কৃষক")</f>
        <v>কৃষক</v>
      </c>
      <c r="I42" s="5" t="str">
        <f>IFERROR(__xludf.DUMMYFUNCTION("""COMPUTED_VALUE"""),"""গাড়াডোব")</f>
        <v>"গাড়াডোব</v>
      </c>
      <c r="J42" s="5" t="str">
        <f>IFERROR(__xludf.DUMMYFUNCTION("""COMPUTED_VALUE""")," গাংনী")</f>
        <v> গাংনী</v>
      </c>
      <c r="K42" s="5" t="str">
        <f>IFERROR(__xludf.DUMMYFUNCTION("""COMPUTED_VALUE""")," মেহেরপুর""")</f>
        <v> মেহেরপুর"</v>
      </c>
    </row>
    <row r="43">
      <c r="A43" s="7" t="s">
        <v>7197</v>
      </c>
      <c r="B43" s="5">
        <f>IFERROR(__xludf.DUMMYFUNCTION("SPLIT(A43,"","")"),813.0)</f>
        <v>813</v>
      </c>
      <c r="C43" s="5" t="str">
        <f>IFERROR(__xludf.DUMMYFUNCTION("""COMPUTED_VALUE"""),"খবির")</f>
        <v>খবির</v>
      </c>
      <c r="D43" s="5">
        <f>IFERROR(__xludf.DUMMYFUNCTION("""COMPUTED_VALUE"""),5.70038355097E11)</f>
        <v>570038355097</v>
      </c>
      <c r="E43" s="5" t="str">
        <f>IFERROR(__xludf.DUMMYFUNCTION("""COMPUTED_VALUE"""),"মোঃ শহিদুল ইসলাম")</f>
        <v>মোঃ শহিদুল ইসলাম</v>
      </c>
      <c r="F43" s="5" t="str">
        <f>IFERROR(__xludf.DUMMYFUNCTION("""COMPUTED_VALUE"""),"মোছাঃ খোদেজান")</f>
        <v>মোছাঃ খোদেজান</v>
      </c>
      <c r="G43" s="5" t="str">
        <f>IFERROR(__xludf.DUMMYFUNCTION("""COMPUTED_VALUE"""),"০১/০২/১৯৮৮")</f>
        <v>০১/০২/১৯৮৮</v>
      </c>
      <c r="H43" s="5" t="str">
        <f>IFERROR(__xludf.DUMMYFUNCTION("""COMPUTED_VALUE"""),"কৃষক")</f>
        <v>কৃষক</v>
      </c>
      <c r="I43" s="5" t="str">
        <f>IFERROR(__xludf.DUMMYFUNCTION("""COMPUTED_VALUE"""),"""গাড়াডোব")</f>
        <v>"গাড়াডোব</v>
      </c>
      <c r="J43" s="5" t="str">
        <f>IFERROR(__xludf.DUMMYFUNCTION("""COMPUTED_VALUE""")," গাংনী")</f>
        <v> গাংনী</v>
      </c>
      <c r="K43" s="5" t="str">
        <f>IFERROR(__xludf.DUMMYFUNCTION("""COMPUTED_VALUE""")," মেহেরপুর""")</f>
        <v> মেহেরপুর"</v>
      </c>
    </row>
    <row r="44">
      <c r="A44" s="7" t="s">
        <v>7198</v>
      </c>
      <c r="B44" s="5">
        <f>IFERROR(__xludf.DUMMYFUNCTION("SPLIT(A44,"","")"),814.0)</f>
        <v>814</v>
      </c>
      <c r="C44" s="5" t="str">
        <f>IFERROR(__xludf.DUMMYFUNCTION("""COMPUTED_VALUE"""),"মোঃ রফিকুল")</f>
        <v>মোঃ রফিকুল</v>
      </c>
      <c r="D44" s="5">
        <f>IFERROR(__xludf.DUMMYFUNCTION("""COMPUTED_VALUE"""),5.70038355101E11)</f>
        <v>570038355101</v>
      </c>
      <c r="E44" s="5" t="str">
        <f>IFERROR(__xludf.DUMMYFUNCTION("""COMPUTED_VALUE"""),"হায়াত আলী")</f>
        <v>হায়াত আলী</v>
      </c>
      <c r="F44" s="5" t="str">
        <f>IFERROR(__xludf.DUMMYFUNCTION("""COMPUTED_VALUE"""),"মোছাঃ ছাহারন নেছা")</f>
        <v>মোছাঃ ছাহারন নেছা</v>
      </c>
      <c r="G44" s="5" t="str">
        <f>IFERROR(__xludf.DUMMYFUNCTION("""COMPUTED_VALUE"""),"০৫/০৪/১৯৬৯")</f>
        <v>০৫/০৪/১৯৬৯</v>
      </c>
      <c r="H44" s="5" t="str">
        <f>IFERROR(__xludf.DUMMYFUNCTION("""COMPUTED_VALUE"""),"ব্যবসা")</f>
        <v>ব্যবসা</v>
      </c>
      <c r="I44" s="5" t="str">
        <f>IFERROR(__xludf.DUMMYFUNCTION("""COMPUTED_VALUE"""),"""গাড়াডোব")</f>
        <v>"গাড়াডোব</v>
      </c>
      <c r="J44" s="5" t="str">
        <f>IFERROR(__xludf.DUMMYFUNCTION("""COMPUTED_VALUE""")," গাংনী")</f>
        <v> গাংনী</v>
      </c>
      <c r="K44" s="5" t="str">
        <f>IFERROR(__xludf.DUMMYFUNCTION("""COMPUTED_VALUE""")," মেহেরপুর""")</f>
        <v> মেহেরপুর"</v>
      </c>
    </row>
    <row r="45">
      <c r="A45" s="7" t="s">
        <v>7199</v>
      </c>
      <c r="B45" s="5">
        <f>IFERROR(__xludf.DUMMYFUNCTION("SPLIT(A45,"","")"),815.0)</f>
        <v>815</v>
      </c>
      <c r="C45" s="5" t="str">
        <f>IFERROR(__xludf.DUMMYFUNCTION("""COMPUTED_VALUE"""),"মোঃ কাবা")</f>
        <v>মোঃ কাবা</v>
      </c>
      <c r="D45" s="5">
        <f>IFERROR(__xludf.DUMMYFUNCTION("""COMPUTED_VALUE"""),5.70038355102E11)</f>
        <v>570038355102</v>
      </c>
      <c r="E45" s="5" t="str">
        <f>IFERROR(__xludf.DUMMYFUNCTION("""COMPUTED_VALUE"""),"নুর বকস")</f>
        <v>নুর বকস</v>
      </c>
      <c r="F45" s="5" t="str">
        <f>IFERROR(__xludf.DUMMYFUNCTION("""COMPUTED_VALUE"""),"মোছাঃ আমিরন নেছা")</f>
        <v>মোছাঃ আমিরন নেছা</v>
      </c>
      <c r="G45" s="5" t="str">
        <f>IFERROR(__xludf.DUMMYFUNCTION("""COMPUTED_VALUE"""),"০৫/০৭/১৯৮৪")</f>
        <v>০৫/০৭/১৯৮৪</v>
      </c>
      <c r="H45" s="5" t="str">
        <f>IFERROR(__xludf.DUMMYFUNCTION("""COMPUTED_VALUE"""),"ব্যবসা")</f>
        <v>ব্যবসা</v>
      </c>
      <c r="I45" s="5" t="str">
        <f>IFERROR(__xludf.DUMMYFUNCTION("""COMPUTED_VALUE"""),"""গাড়াডোব")</f>
        <v>"গাড়াডোব</v>
      </c>
      <c r="J45" s="5" t="str">
        <f>IFERROR(__xludf.DUMMYFUNCTION("""COMPUTED_VALUE""")," গাংনী")</f>
        <v> গাংনী</v>
      </c>
      <c r="K45" s="5" t="str">
        <f>IFERROR(__xludf.DUMMYFUNCTION("""COMPUTED_VALUE""")," মেহেরপুর""")</f>
        <v> মেহেরপুর"</v>
      </c>
    </row>
    <row r="46">
      <c r="A46" s="7" t="s">
        <v>7200</v>
      </c>
      <c r="B46" s="5">
        <f>IFERROR(__xludf.DUMMYFUNCTION("SPLIT(A46,"","")"),816.0)</f>
        <v>816</v>
      </c>
      <c r="C46" s="5" t="str">
        <f>IFERROR(__xludf.DUMMYFUNCTION("""COMPUTED_VALUE"""),"মোঃ আহাদ")</f>
        <v>মোঃ আহাদ</v>
      </c>
      <c r="D46" s="5">
        <f>IFERROR(__xludf.DUMMYFUNCTION("""COMPUTED_VALUE"""),5.70038355103E11)</f>
        <v>570038355103</v>
      </c>
      <c r="E46" s="5" t="str">
        <f>IFERROR(__xludf.DUMMYFUNCTION("""COMPUTED_VALUE"""),"সামসুদ্দীন")</f>
        <v>সামসুদ্দীন</v>
      </c>
      <c r="F46" s="5" t="str">
        <f>IFERROR(__xludf.DUMMYFUNCTION("""COMPUTED_VALUE"""),"মোছাঃ খুকিজান")</f>
        <v>মোছাঃ খুকিজান</v>
      </c>
      <c r="G46" s="5" t="str">
        <f>IFERROR(__xludf.DUMMYFUNCTION("""COMPUTED_VALUE"""),"২৮/০৫/১৯৬২")</f>
        <v>২৮/০৫/১৯৬২</v>
      </c>
      <c r="H46" s="5" t="str">
        <f>IFERROR(__xludf.DUMMYFUNCTION("""COMPUTED_VALUE"""),"শ্রমিক")</f>
        <v>শ্রমিক</v>
      </c>
      <c r="I46" s="5" t="str">
        <f>IFERROR(__xludf.DUMMYFUNCTION("""COMPUTED_VALUE"""),"""গাড়াডোব")</f>
        <v>"গাড়াডোব</v>
      </c>
      <c r="J46" s="5" t="str">
        <f>IFERROR(__xludf.DUMMYFUNCTION("""COMPUTED_VALUE""")," গাংনী")</f>
        <v> গাংনী</v>
      </c>
      <c r="K46" s="5" t="str">
        <f>IFERROR(__xludf.DUMMYFUNCTION("""COMPUTED_VALUE""")," মেহেরপুর""")</f>
        <v> মেহেরপুর"</v>
      </c>
    </row>
    <row r="47">
      <c r="A47" s="7" t="s">
        <v>7201</v>
      </c>
      <c r="B47" s="5">
        <f>IFERROR(__xludf.DUMMYFUNCTION("SPLIT(A47,"","")"),817.0)</f>
        <v>817</v>
      </c>
      <c r="C47" s="5" t="str">
        <f>IFERROR(__xludf.DUMMYFUNCTION("""COMPUTED_VALUE"""),"মোঃ ছানোয়ার হোসেন")</f>
        <v>মোঃ ছানোয়ার হোসেন</v>
      </c>
      <c r="D47" s="5">
        <f>IFERROR(__xludf.DUMMYFUNCTION("""COMPUTED_VALUE"""),5.70038355104E11)</f>
        <v>570038355104</v>
      </c>
      <c r="E47" s="5" t="str">
        <f>IFERROR(__xludf.DUMMYFUNCTION("""COMPUTED_VALUE"""),"মোঃ আজিমুদ্দীন")</f>
        <v>মোঃ আজিমুদ্দীন</v>
      </c>
      <c r="F47" s="5" t="str">
        <f>IFERROR(__xludf.DUMMYFUNCTION("""COMPUTED_VALUE"""),"মোছাঃ সালেহার বেগম")</f>
        <v>মোছাঃ সালেহার বেগম</v>
      </c>
      <c r="G47" s="5" t="str">
        <f>IFERROR(__xludf.DUMMYFUNCTION("""COMPUTED_VALUE"""),"১২/১২/১৯৮৩")</f>
        <v>১২/১২/১৯৮৩</v>
      </c>
      <c r="H47" s="5" t="str">
        <f>IFERROR(__xludf.DUMMYFUNCTION("""COMPUTED_VALUE"""),"ব্যবসা")</f>
        <v>ব্যবসা</v>
      </c>
      <c r="I47" s="5" t="str">
        <f>IFERROR(__xludf.DUMMYFUNCTION("""COMPUTED_VALUE"""),"""গাড়াডোব")</f>
        <v>"গাড়াডোব</v>
      </c>
      <c r="J47" s="5" t="str">
        <f>IFERROR(__xludf.DUMMYFUNCTION("""COMPUTED_VALUE""")," গাংনী")</f>
        <v> গাংনী</v>
      </c>
      <c r="K47" s="5" t="str">
        <f>IFERROR(__xludf.DUMMYFUNCTION("""COMPUTED_VALUE""")," মেহেরপুর""")</f>
        <v> মেহেরপুর"</v>
      </c>
    </row>
    <row r="48">
      <c r="A48" s="7" t="s">
        <v>7202</v>
      </c>
      <c r="B48" s="5">
        <f>IFERROR(__xludf.DUMMYFUNCTION("SPLIT(A48,"","")"),818.0)</f>
        <v>818</v>
      </c>
      <c r="C48" s="5" t="str">
        <f>IFERROR(__xludf.DUMMYFUNCTION("""COMPUTED_VALUE"""),"মোঃ বকুল হোসেন")</f>
        <v>মোঃ বকুল হোসেন</v>
      </c>
      <c r="D48" s="5">
        <f>IFERROR(__xludf.DUMMYFUNCTION("""COMPUTED_VALUE"""),5.70038355106E11)</f>
        <v>570038355106</v>
      </c>
      <c r="E48" s="5" t="str">
        <f>IFERROR(__xludf.DUMMYFUNCTION("""COMPUTED_VALUE"""),"ফজলু")</f>
        <v>ফজলু</v>
      </c>
      <c r="F48" s="5" t="str">
        <f>IFERROR(__xludf.DUMMYFUNCTION("""COMPUTED_VALUE"""),"মোছাঃ সুফিয়া খাতুন")</f>
        <v>মোছাঃ সুফিয়া খাতুন</v>
      </c>
      <c r="G48" s="5" t="str">
        <f>IFERROR(__xludf.DUMMYFUNCTION("""COMPUTED_VALUE"""),"২৩/১০/১৯৮৫")</f>
        <v>২৩/১০/১৯৮৫</v>
      </c>
      <c r="H48" s="5" t="str">
        <f>IFERROR(__xludf.DUMMYFUNCTION("""COMPUTED_VALUE"""),"ব্যবসা")</f>
        <v>ব্যবসা</v>
      </c>
      <c r="I48" s="5" t="str">
        <f>IFERROR(__xludf.DUMMYFUNCTION("""COMPUTED_VALUE"""),"""গাড়াডোব")</f>
        <v>"গাড়াডোব</v>
      </c>
      <c r="J48" s="5" t="str">
        <f>IFERROR(__xludf.DUMMYFUNCTION("""COMPUTED_VALUE""")," গাংনী")</f>
        <v> গাংনী</v>
      </c>
      <c r="K48" s="5" t="str">
        <f>IFERROR(__xludf.DUMMYFUNCTION("""COMPUTED_VALUE""")," মেহেরপুর""")</f>
        <v> মেহেরপুর"</v>
      </c>
    </row>
    <row r="49">
      <c r="A49" s="7" t="s">
        <v>7203</v>
      </c>
      <c r="B49" s="5">
        <f>IFERROR(__xludf.DUMMYFUNCTION("SPLIT(A49,"","")"),819.0)</f>
        <v>819</v>
      </c>
      <c r="C49" s="5" t="str">
        <f>IFERROR(__xludf.DUMMYFUNCTION("""COMPUTED_VALUE"""),"মোঃ মকলেছুর রহমান")</f>
        <v>মোঃ মকলেছুর রহমান</v>
      </c>
      <c r="D49" s="5">
        <f>IFERROR(__xludf.DUMMYFUNCTION("""COMPUTED_VALUE"""),5.70038355108E11)</f>
        <v>570038355108</v>
      </c>
      <c r="E49" s="5" t="str">
        <f>IFERROR(__xludf.DUMMYFUNCTION("""COMPUTED_VALUE"""),"মোঃ জমির উদ্দীন")</f>
        <v>মোঃ জমির উদ্দীন</v>
      </c>
      <c r="F49" s="5" t="str">
        <f>IFERROR(__xludf.DUMMYFUNCTION("""COMPUTED_VALUE"""),"মোছাঃ হাজেরা খাতুন")</f>
        <v>মোছাঃ হাজেরা খাতুন</v>
      </c>
      <c r="G49" s="5" t="str">
        <f>IFERROR(__xludf.DUMMYFUNCTION("""COMPUTED_VALUE"""),"১৩/১১/১৯৮৫")</f>
        <v>১৩/১১/১৯৮৫</v>
      </c>
      <c r="H49" s="5" t="str">
        <f>IFERROR(__xludf.DUMMYFUNCTION("""COMPUTED_VALUE"""),"কৃষক")</f>
        <v>কৃষক</v>
      </c>
      <c r="I49" s="5" t="str">
        <f>IFERROR(__xludf.DUMMYFUNCTION("""COMPUTED_VALUE"""),"""গাড়াডোব")</f>
        <v>"গাড়াডোব</v>
      </c>
      <c r="J49" s="5" t="str">
        <f>IFERROR(__xludf.DUMMYFUNCTION("""COMPUTED_VALUE""")," গাংনী")</f>
        <v> গাংনী</v>
      </c>
      <c r="K49" s="5" t="str">
        <f>IFERROR(__xludf.DUMMYFUNCTION("""COMPUTED_VALUE""")," মেহেরপুর""")</f>
        <v> মেহেরপুর"</v>
      </c>
    </row>
    <row r="50">
      <c r="A50" s="7" t="s">
        <v>7204</v>
      </c>
      <c r="B50" s="5">
        <f>IFERROR(__xludf.DUMMYFUNCTION("SPLIT(A50,"","")"),820.0)</f>
        <v>820</v>
      </c>
      <c r="C50" s="5" t="str">
        <f>IFERROR(__xludf.DUMMYFUNCTION("""COMPUTED_VALUE"""),"মোঃ আব্দুল গনি")</f>
        <v>মোঃ আব্দুল গনি</v>
      </c>
      <c r="D50" s="5">
        <f>IFERROR(__xludf.DUMMYFUNCTION("""COMPUTED_VALUE"""),5.7003835511E11)</f>
        <v>570038355110</v>
      </c>
      <c r="E50" s="5" t="str">
        <f>IFERROR(__xludf.DUMMYFUNCTION("""COMPUTED_VALUE"""),"খেদের আলী")</f>
        <v>খেদের আলী</v>
      </c>
      <c r="F50" s="5" t="str">
        <f>IFERROR(__xludf.DUMMYFUNCTION("""COMPUTED_VALUE"""),"মোছাঃ আবেদা খাতুন")</f>
        <v>মোছাঃ আবেদা খাতুন</v>
      </c>
      <c r="G50" s="5" t="str">
        <f>IFERROR(__xludf.DUMMYFUNCTION("""COMPUTED_VALUE"""),"২৭/০৩/১৯৫৭")</f>
        <v>২৭/০৩/১৯৫৭</v>
      </c>
      <c r="H50" s="5" t="str">
        <f>IFERROR(__xludf.DUMMYFUNCTION("""COMPUTED_VALUE"""),"ব্যবসা")</f>
        <v>ব্যবসা</v>
      </c>
      <c r="I50" s="5" t="str">
        <f>IFERROR(__xludf.DUMMYFUNCTION("""COMPUTED_VALUE"""),"""গাড়াডোব")</f>
        <v>"গাড়াডোব</v>
      </c>
      <c r="J50" s="5" t="str">
        <f>IFERROR(__xludf.DUMMYFUNCTION("""COMPUTED_VALUE""")," গাংনী")</f>
        <v> গাংনী</v>
      </c>
      <c r="K50" s="5" t="str">
        <f>IFERROR(__xludf.DUMMYFUNCTION("""COMPUTED_VALUE""")," মেহেরপুর""")</f>
        <v> মেহেরপুর"</v>
      </c>
    </row>
    <row r="51">
      <c r="A51" s="7" t="s">
        <v>7205</v>
      </c>
      <c r="B51" s="5">
        <f>IFERROR(__xludf.DUMMYFUNCTION("SPLIT(A51,"","")"),821.0)</f>
        <v>821</v>
      </c>
      <c r="C51" s="5" t="str">
        <f>IFERROR(__xludf.DUMMYFUNCTION("""COMPUTED_VALUE"""),"মোঃ আদম আলী")</f>
        <v>মোঃ আদম আলী</v>
      </c>
      <c r="D51" s="5">
        <f>IFERROR(__xludf.DUMMYFUNCTION("""COMPUTED_VALUE"""),5.70038355111E11)</f>
        <v>570038355111</v>
      </c>
      <c r="E51" s="5" t="str">
        <f>IFERROR(__xludf.DUMMYFUNCTION("""COMPUTED_VALUE"""),"রহিম বকস")</f>
        <v>রহিম বকস</v>
      </c>
      <c r="F51" s="5" t="str">
        <f>IFERROR(__xludf.DUMMYFUNCTION("""COMPUTED_VALUE"""),"মোছাঃ ছইমন নেছা")</f>
        <v>মোছাঃ ছইমন নেছা</v>
      </c>
      <c r="G51" s="5" t="str">
        <f>IFERROR(__xludf.DUMMYFUNCTION("""COMPUTED_VALUE"""),"০৪/০৪/১৯৬২")</f>
        <v>০৪/০৪/১৯৬২</v>
      </c>
      <c r="H51" s="5" t="str">
        <f>IFERROR(__xludf.DUMMYFUNCTION("""COMPUTED_VALUE"""),"কৃষক")</f>
        <v>কৃষক</v>
      </c>
      <c r="I51" s="5" t="str">
        <f>IFERROR(__xludf.DUMMYFUNCTION("""COMPUTED_VALUE"""),"""গাড়াডোব")</f>
        <v>"গাড়াডোব</v>
      </c>
      <c r="J51" s="5" t="str">
        <f>IFERROR(__xludf.DUMMYFUNCTION("""COMPUTED_VALUE""")," গাংনী")</f>
        <v> গাংনী</v>
      </c>
      <c r="K51" s="5" t="str">
        <f>IFERROR(__xludf.DUMMYFUNCTION("""COMPUTED_VALUE""")," মেহেরপুর""")</f>
        <v> মেহেরপুর"</v>
      </c>
    </row>
    <row r="52">
      <c r="A52" s="7" t="s">
        <v>7206</v>
      </c>
      <c r="B52" s="5">
        <f>IFERROR(__xludf.DUMMYFUNCTION("SPLIT(A52,"","")"),822.0)</f>
        <v>822</v>
      </c>
      <c r="C52" s="5" t="str">
        <f>IFERROR(__xludf.DUMMYFUNCTION("""COMPUTED_VALUE"""),"মোঃ জশের আলী (নাহিদ)")</f>
        <v>মোঃ জশের আলী (নাহিদ)</v>
      </c>
      <c r="D52" s="5">
        <f>IFERROR(__xludf.DUMMYFUNCTION("""COMPUTED_VALUE"""),5.70038355112E11)</f>
        <v>570038355112</v>
      </c>
      <c r="E52" s="5" t="str">
        <f>IFERROR(__xludf.DUMMYFUNCTION("""COMPUTED_VALUE"""),"মোঃ আব্দুল গনি")</f>
        <v>মোঃ আব্দুল গনি</v>
      </c>
      <c r="F52" s="5" t="str">
        <f>IFERROR(__xludf.DUMMYFUNCTION("""COMPUTED_VALUE"""),"মোছাঃ শামসুন্নাহার")</f>
        <v>মোছাঃ শামসুন্নাহার</v>
      </c>
      <c r="G52" s="5" t="str">
        <f>IFERROR(__xludf.DUMMYFUNCTION("""COMPUTED_VALUE"""),"২০/১০/১৯৮১")</f>
        <v>২০/১০/১৯৮১</v>
      </c>
      <c r="H52" s="5" t="str">
        <f>IFERROR(__xludf.DUMMYFUNCTION("""COMPUTED_VALUE"""),"বেসরকারী চাকুরী")</f>
        <v>বেসরকারী চাকুরী</v>
      </c>
      <c r="I52" s="5" t="str">
        <f>IFERROR(__xludf.DUMMYFUNCTION("""COMPUTED_VALUE"""),"""গাড়াডোব")</f>
        <v>"গাড়াডোব</v>
      </c>
      <c r="J52" s="5" t="str">
        <f>IFERROR(__xludf.DUMMYFUNCTION("""COMPUTED_VALUE""")," গাংনী")</f>
        <v> গাংনী</v>
      </c>
      <c r="K52" s="5" t="str">
        <f>IFERROR(__xludf.DUMMYFUNCTION("""COMPUTED_VALUE""")," মেহেরপুর""")</f>
        <v> মেহেরপুর"</v>
      </c>
    </row>
    <row r="53">
      <c r="A53" s="7" t="s">
        <v>7207</v>
      </c>
      <c r="B53" s="5">
        <f>IFERROR(__xludf.DUMMYFUNCTION("SPLIT(A53,"","")"),823.0)</f>
        <v>823</v>
      </c>
      <c r="C53" s="5" t="str">
        <f>IFERROR(__xludf.DUMMYFUNCTION("""COMPUTED_VALUE"""),"মোঃ আজিমুদ্দীন")</f>
        <v>মোঃ আজিমুদ্দীন</v>
      </c>
      <c r="D53" s="5">
        <f>IFERROR(__xludf.DUMMYFUNCTION("""COMPUTED_VALUE"""),5.70038355114E11)</f>
        <v>570038355114</v>
      </c>
      <c r="E53" s="5" t="str">
        <f>IFERROR(__xludf.DUMMYFUNCTION("""COMPUTED_VALUE"""),"খোদা বকস")</f>
        <v>খোদা বকস</v>
      </c>
      <c r="F53" s="5" t="str">
        <f>IFERROR(__xludf.DUMMYFUNCTION("""COMPUTED_VALUE"""),"মোছাঃ সায়েস্তা খাতুন")</f>
        <v>মোছাঃ সায়েস্তা খাতুন</v>
      </c>
      <c r="G53" s="5" t="str">
        <f>IFERROR(__xludf.DUMMYFUNCTION("""COMPUTED_VALUE"""),"২৪/০৩/১৯৪৭")</f>
        <v>২৪/০৩/১৯৪৭</v>
      </c>
      <c r="H53" s="5" t="str">
        <f>IFERROR(__xludf.DUMMYFUNCTION("""COMPUTED_VALUE"""),"ইমাম/পুরোহিত/পাদ্রী")</f>
        <v>ইমাম/পুরোহিত/পাদ্রী</v>
      </c>
      <c r="I53" s="5" t="str">
        <f>IFERROR(__xludf.DUMMYFUNCTION("""COMPUTED_VALUE"""),"""গাড়াডোব")</f>
        <v>"গাড়াডোব</v>
      </c>
      <c r="J53" s="5" t="str">
        <f>IFERROR(__xludf.DUMMYFUNCTION("""COMPUTED_VALUE""")," গাংনী")</f>
        <v> গাংনী</v>
      </c>
      <c r="K53" s="5" t="str">
        <f>IFERROR(__xludf.DUMMYFUNCTION("""COMPUTED_VALUE""")," মেহেরপুর""")</f>
        <v> মেহেরপুর"</v>
      </c>
    </row>
    <row r="54">
      <c r="A54" s="7" t="s">
        <v>7208</v>
      </c>
      <c r="B54" s="5">
        <f>IFERROR(__xludf.DUMMYFUNCTION("SPLIT(A54,"","")"),824.0)</f>
        <v>824</v>
      </c>
      <c r="C54" s="5" t="str">
        <f>IFERROR(__xludf.DUMMYFUNCTION("""COMPUTED_VALUE"""),"মোঃ মহিবুল ইসলাম")</f>
        <v>মোঃ মহিবুল ইসলাম</v>
      </c>
      <c r="D54" s="5">
        <f>IFERROR(__xludf.DUMMYFUNCTION("""COMPUTED_VALUE"""),5.70038355117E11)</f>
        <v>570038355117</v>
      </c>
      <c r="E54" s="5" t="str">
        <f>IFERROR(__xludf.DUMMYFUNCTION("""COMPUTED_VALUE"""),"মোঃ আব্দুর রহিম")</f>
        <v>মোঃ আব্দুর রহিম</v>
      </c>
      <c r="F54" s="5" t="str">
        <f>IFERROR(__xludf.DUMMYFUNCTION("""COMPUTED_VALUE"""),"মোছাঃ মাবিয়া খাতুন")</f>
        <v>মোছাঃ মাবিয়া খাতুন</v>
      </c>
      <c r="G54" s="5" t="str">
        <f>IFERROR(__xludf.DUMMYFUNCTION("""COMPUTED_VALUE"""),"১৪/১১/১৯৭৭")</f>
        <v>১৪/১১/১৯৭৭</v>
      </c>
      <c r="H54" s="5" t="str">
        <f>IFERROR(__xludf.DUMMYFUNCTION("""COMPUTED_VALUE"""),"শ্রমিক")</f>
        <v>শ্রমিক</v>
      </c>
      <c r="I54" s="5" t="str">
        <f>IFERROR(__xludf.DUMMYFUNCTION("""COMPUTED_VALUE"""),"""গাড়াডোব")</f>
        <v>"গাড়াডোব</v>
      </c>
      <c r="J54" s="5" t="str">
        <f>IFERROR(__xludf.DUMMYFUNCTION("""COMPUTED_VALUE""")," গাংনী")</f>
        <v> গাংনী</v>
      </c>
      <c r="K54" s="5" t="str">
        <f>IFERROR(__xludf.DUMMYFUNCTION("""COMPUTED_VALUE""")," মেহেরপুর""")</f>
        <v> মেহেরপুর"</v>
      </c>
    </row>
    <row r="55">
      <c r="A55" s="7" t="s">
        <v>7209</v>
      </c>
      <c r="B55" s="5">
        <f>IFERROR(__xludf.DUMMYFUNCTION("SPLIT(A55,"","")"),825.0)</f>
        <v>825</v>
      </c>
      <c r="C55" s="5" t="str">
        <f>IFERROR(__xludf.DUMMYFUNCTION("""COMPUTED_VALUE"""),"মোঃ শহিবুল ইসলাম")</f>
        <v>মোঃ শহিবুল ইসলাম</v>
      </c>
      <c r="D55" s="5">
        <f>IFERROR(__xludf.DUMMYFUNCTION("""COMPUTED_VALUE"""),5.7003835512E11)</f>
        <v>570038355120</v>
      </c>
      <c r="E55" s="5" t="str">
        <f>IFERROR(__xludf.DUMMYFUNCTION("""COMPUTED_VALUE"""),"মোঃ আব্দুর রহিম")</f>
        <v>মোঃ আব্দুর রহিম</v>
      </c>
      <c r="F55" s="5" t="str">
        <f>IFERROR(__xludf.DUMMYFUNCTION("""COMPUTED_VALUE"""),"মোছাঃ মাবিয়া")</f>
        <v>মোছাঃ মাবিয়া</v>
      </c>
      <c r="G55" s="5" t="str">
        <f>IFERROR(__xludf.DUMMYFUNCTION("""COMPUTED_VALUE"""),"০৫/০৮/১৯৮৪")</f>
        <v>০৫/০৮/১৯৮৪</v>
      </c>
      <c r="H55" s="5" t="str">
        <f>IFERROR(__xludf.DUMMYFUNCTION("""COMPUTED_VALUE"""),"শ্রমিক")</f>
        <v>শ্রমিক</v>
      </c>
      <c r="I55" s="5" t="str">
        <f>IFERROR(__xludf.DUMMYFUNCTION("""COMPUTED_VALUE"""),"""গাড়াডোব")</f>
        <v>"গাড়াডোব</v>
      </c>
      <c r="J55" s="5" t="str">
        <f>IFERROR(__xludf.DUMMYFUNCTION("""COMPUTED_VALUE""")," গাংনী")</f>
        <v> গাংনী</v>
      </c>
      <c r="K55" s="5" t="str">
        <f>IFERROR(__xludf.DUMMYFUNCTION("""COMPUTED_VALUE""")," মেহেরপুর""")</f>
        <v> মেহেরপুর"</v>
      </c>
    </row>
    <row r="56">
      <c r="A56" s="7" t="s">
        <v>7210</v>
      </c>
      <c r="B56" s="5">
        <f>IFERROR(__xludf.DUMMYFUNCTION("SPLIT(A56,"","")"),826.0)</f>
        <v>826</v>
      </c>
      <c r="C56" s="5" t="str">
        <f>IFERROR(__xludf.DUMMYFUNCTION("""COMPUTED_VALUE"""),"মোঃ আনারুল ইসলাম")</f>
        <v>মোঃ আনারুল ইসলাম</v>
      </c>
      <c r="D56" s="5">
        <f>IFERROR(__xludf.DUMMYFUNCTION("""COMPUTED_VALUE"""),5.70038355121E11)</f>
        <v>570038355121</v>
      </c>
      <c r="E56" s="5" t="str">
        <f>IFERROR(__xludf.DUMMYFUNCTION("""COMPUTED_VALUE"""),"মোঃ গোলাম মোস্তফা")</f>
        <v>মোঃ গোলাম মোস্তফা</v>
      </c>
      <c r="F56" s="5" t="str">
        <f>IFERROR(__xludf.DUMMYFUNCTION("""COMPUTED_VALUE"""),"মোছাঃ রইজন খাতুন")</f>
        <v>মোছাঃ রইজন খাতুন</v>
      </c>
      <c r="G56" s="5" t="str">
        <f>IFERROR(__xludf.DUMMYFUNCTION("""COMPUTED_VALUE"""),"১২/১১/১৯৮০")</f>
        <v>১২/১১/১৯৮০</v>
      </c>
      <c r="H56" s="5" t="str">
        <f>IFERROR(__xludf.DUMMYFUNCTION("""COMPUTED_VALUE"""),"শ্রমিক")</f>
        <v>শ্রমিক</v>
      </c>
      <c r="I56" s="5" t="str">
        <f>IFERROR(__xludf.DUMMYFUNCTION("""COMPUTED_VALUE"""),"""গাড়াডোব")</f>
        <v>"গাড়াডোব</v>
      </c>
      <c r="J56" s="5" t="str">
        <f>IFERROR(__xludf.DUMMYFUNCTION("""COMPUTED_VALUE""")," গাংনী")</f>
        <v> গাংনী</v>
      </c>
      <c r="K56" s="5" t="str">
        <f>IFERROR(__xludf.DUMMYFUNCTION("""COMPUTED_VALUE""")," মেহেরপুর""")</f>
        <v> মেহেরপুর"</v>
      </c>
    </row>
    <row r="57">
      <c r="A57" s="7" t="s">
        <v>7211</v>
      </c>
      <c r="B57" s="5">
        <f>IFERROR(__xludf.DUMMYFUNCTION("SPLIT(A57,"","")"),827.0)</f>
        <v>827</v>
      </c>
      <c r="C57" s="5" t="str">
        <f>IFERROR(__xludf.DUMMYFUNCTION("""COMPUTED_VALUE"""),"মোঃ সিরাজুল ইসলাম")</f>
        <v>মোঃ সিরাজুল ইসলাম</v>
      </c>
      <c r="D57" s="5">
        <f>IFERROR(__xludf.DUMMYFUNCTION("""COMPUTED_VALUE"""),5.70038355123E11)</f>
        <v>570038355123</v>
      </c>
      <c r="E57" s="5" t="str">
        <f>IFERROR(__xludf.DUMMYFUNCTION("""COMPUTED_VALUE"""),"ফজলু")</f>
        <v>ফজলু</v>
      </c>
      <c r="F57" s="5" t="str">
        <f>IFERROR(__xludf.DUMMYFUNCTION("""COMPUTED_VALUE"""),"মোছাঃ সুফিয়া খাতুন")</f>
        <v>মোছাঃ সুফিয়া খাতুন</v>
      </c>
      <c r="G57" s="5" t="str">
        <f>IFERROR(__xludf.DUMMYFUNCTION("""COMPUTED_VALUE"""),"২৮/০৭/১৯৮৪")</f>
        <v>২৮/০৭/১৯৮৪</v>
      </c>
      <c r="H57" s="5" t="str">
        <f>IFERROR(__xludf.DUMMYFUNCTION("""COMPUTED_VALUE"""),"শ্রমিক")</f>
        <v>শ্রমিক</v>
      </c>
      <c r="I57" s="5" t="str">
        <f>IFERROR(__xludf.DUMMYFUNCTION("""COMPUTED_VALUE"""),"""গাড়াডোব")</f>
        <v>"গাড়াডোব</v>
      </c>
      <c r="J57" s="5" t="str">
        <f>IFERROR(__xludf.DUMMYFUNCTION("""COMPUTED_VALUE""")," গাংনী")</f>
        <v> গাংনী</v>
      </c>
      <c r="K57" s="5" t="str">
        <f>IFERROR(__xludf.DUMMYFUNCTION("""COMPUTED_VALUE""")," মেহেরপুর""")</f>
        <v> মেহেরপুর"</v>
      </c>
    </row>
    <row r="58">
      <c r="A58" s="7" t="s">
        <v>7212</v>
      </c>
      <c r="B58" s="5">
        <f>IFERROR(__xludf.DUMMYFUNCTION("SPLIT(A58,"","")"),828.0)</f>
        <v>828</v>
      </c>
      <c r="C58" s="5" t="str">
        <f>IFERROR(__xludf.DUMMYFUNCTION("""COMPUTED_VALUE"""),"মোঃ তমরোজ খাঁ")</f>
        <v>মোঃ তমরোজ খাঁ</v>
      </c>
      <c r="D58" s="5">
        <f>IFERROR(__xludf.DUMMYFUNCTION("""COMPUTED_VALUE"""),5.70038355127E11)</f>
        <v>570038355127</v>
      </c>
      <c r="E58" s="5" t="str">
        <f>IFERROR(__xludf.DUMMYFUNCTION("""COMPUTED_VALUE"""),"মোঃ সবুর খাঁ")</f>
        <v>মোঃ সবুর খাঁ</v>
      </c>
      <c r="F58" s="5" t="str">
        <f>IFERROR(__xludf.DUMMYFUNCTION("""COMPUTED_VALUE"""),"মোছাঃ তহুরা খাতুন")</f>
        <v>মোছাঃ তহুরা খাতুন</v>
      </c>
      <c r="G58" s="5" t="str">
        <f>IFERROR(__xludf.DUMMYFUNCTION("""COMPUTED_VALUE"""),"২৫/১০/১৯৬২")</f>
        <v>২৫/১০/১৯৬২</v>
      </c>
      <c r="H58" s="5" t="str">
        <f>IFERROR(__xludf.DUMMYFUNCTION("""COMPUTED_VALUE"""),"শ্রমিক")</f>
        <v>শ্রমিক</v>
      </c>
      <c r="I58" s="5" t="str">
        <f>IFERROR(__xludf.DUMMYFUNCTION("""COMPUTED_VALUE"""),"""গাড়াডোব")</f>
        <v>"গাড়াডোব</v>
      </c>
      <c r="J58" s="5" t="str">
        <f>IFERROR(__xludf.DUMMYFUNCTION("""COMPUTED_VALUE""")," গাংনী")</f>
        <v> গাংনী</v>
      </c>
      <c r="K58" s="5" t="str">
        <f>IFERROR(__xludf.DUMMYFUNCTION("""COMPUTED_VALUE""")," মেহেরপুর""")</f>
        <v> মেহেরপুর"</v>
      </c>
    </row>
    <row r="59">
      <c r="A59" s="7" t="s">
        <v>7213</v>
      </c>
      <c r="B59" s="5">
        <f>IFERROR(__xludf.DUMMYFUNCTION("SPLIT(A59,"","")"),829.0)</f>
        <v>829</v>
      </c>
      <c r="C59" s="5" t="str">
        <f>IFERROR(__xludf.DUMMYFUNCTION("""COMPUTED_VALUE"""),"মোঃ গোলাম মোস্তফা")</f>
        <v>মোঃ গোলাম মোস্তফা</v>
      </c>
      <c r="D59" s="5">
        <f>IFERROR(__xludf.DUMMYFUNCTION("""COMPUTED_VALUE"""),5.70038355128E11)</f>
        <v>570038355128</v>
      </c>
      <c r="E59" s="5" t="str">
        <f>IFERROR(__xludf.DUMMYFUNCTION("""COMPUTED_VALUE"""),"আব্দুল জলিল")</f>
        <v>আব্দুল জলিল</v>
      </c>
      <c r="F59" s="5" t="str">
        <f>IFERROR(__xludf.DUMMYFUNCTION("""COMPUTED_VALUE"""),"মোছাঃ জহিরন নেছা")</f>
        <v>মোছাঃ জহিরন নেছা</v>
      </c>
      <c r="G59" s="5" t="str">
        <f>IFERROR(__xludf.DUMMYFUNCTION("""COMPUTED_VALUE"""),"২১/০২/১৯৬৩")</f>
        <v>২১/০২/১৯৬৩</v>
      </c>
      <c r="H59" s="5" t="str">
        <f>IFERROR(__xludf.DUMMYFUNCTION("""COMPUTED_VALUE"""),"সরকারী চাকুরী")</f>
        <v>সরকারী চাকুরী</v>
      </c>
      <c r="I59" s="5" t="str">
        <f>IFERROR(__xludf.DUMMYFUNCTION("""COMPUTED_VALUE"""),"""গাড়াডোব")</f>
        <v>"গাড়াডোব</v>
      </c>
      <c r="J59" s="5" t="str">
        <f>IFERROR(__xludf.DUMMYFUNCTION("""COMPUTED_VALUE""")," গাংনী")</f>
        <v> গাংনী</v>
      </c>
      <c r="K59" s="5" t="str">
        <f>IFERROR(__xludf.DUMMYFUNCTION("""COMPUTED_VALUE""")," মেহেরপুর""")</f>
        <v> মেহেরপুর"</v>
      </c>
    </row>
    <row r="60">
      <c r="A60" s="7" t="s">
        <v>7214</v>
      </c>
      <c r="B60" s="5">
        <f>IFERROR(__xludf.DUMMYFUNCTION("SPLIT(A60,"","")"),830.0)</f>
        <v>830</v>
      </c>
      <c r="C60" s="5" t="str">
        <f>IFERROR(__xludf.DUMMYFUNCTION("""COMPUTED_VALUE"""),"মোঃ আলাল উদ্দীন")</f>
        <v>মোঃ আলাল উদ্দীন</v>
      </c>
      <c r="D60" s="5">
        <f>IFERROR(__xludf.DUMMYFUNCTION("""COMPUTED_VALUE"""),5.70038355129E11)</f>
        <v>570038355129</v>
      </c>
      <c r="E60" s="5" t="str">
        <f>IFERROR(__xludf.DUMMYFUNCTION("""COMPUTED_VALUE"""),"নুর ইসলাম")</f>
        <v>নুর ইসলাম</v>
      </c>
      <c r="F60" s="5" t="str">
        <f>IFERROR(__xludf.DUMMYFUNCTION("""COMPUTED_VALUE"""),"মোছাঃ নছিয়া")</f>
        <v>মোছাঃ নছিয়া</v>
      </c>
      <c r="G60" s="5" t="str">
        <f>IFERROR(__xludf.DUMMYFUNCTION("""COMPUTED_VALUE"""),"০৫/০৮/১৯৭০")</f>
        <v>০৫/০৮/১৯৭০</v>
      </c>
      <c r="H60" s="5" t="str">
        <f>IFERROR(__xludf.DUMMYFUNCTION("""COMPUTED_VALUE"""),"রিক্সা/ভ্যান চালক")</f>
        <v>রিক্সা/ভ্যান চালক</v>
      </c>
      <c r="I60" s="5" t="str">
        <f>IFERROR(__xludf.DUMMYFUNCTION("""COMPUTED_VALUE"""),"""গাড়াডোব")</f>
        <v>"গাড়াডোব</v>
      </c>
      <c r="J60" s="5" t="str">
        <f>IFERROR(__xludf.DUMMYFUNCTION("""COMPUTED_VALUE""")," গাংনী")</f>
        <v> গাংনী</v>
      </c>
      <c r="K60" s="5" t="str">
        <f>IFERROR(__xludf.DUMMYFUNCTION("""COMPUTED_VALUE""")," মেহেরপুর""")</f>
        <v> মেহেরপুর"</v>
      </c>
    </row>
    <row r="61">
      <c r="A61" s="7" t="s">
        <v>7215</v>
      </c>
      <c r="B61" s="5">
        <f>IFERROR(__xludf.DUMMYFUNCTION("SPLIT(A61,"","")"),831.0)</f>
        <v>831</v>
      </c>
      <c r="C61" s="5" t="str">
        <f>IFERROR(__xludf.DUMMYFUNCTION("""COMPUTED_VALUE"""),"মোঃ শহীদুল ইসলাম")</f>
        <v>মোঃ শহীদুল ইসলাম</v>
      </c>
      <c r="D61" s="5">
        <f>IFERROR(__xludf.DUMMYFUNCTION("""COMPUTED_VALUE"""),5.70038355131E11)</f>
        <v>570038355131</v>
      </c>
      <c r="E61" s="5" t="str">
        <f>IFERROR(__xludf.DUMMYFUNCTION("""COMPUTED_VALUE"""),"দিদার বকস")</f>
        <v>দিদার বকস</v>
      </c>
      <c r="F61" s="5" t="str">
        <f>IFERROR(__xludf.DUMMYFUNCTION("""COMPUTED_VALUE"""),"মোছাঃ জুলেখা বিবি")</f>
        <v>মোছাঃ জুলেখা বিবি</v>
      </c>
      <c r="G61" s="5" t="str">
        <f>IFERROR(__xludf.DUMMYFUNCTION("""COMPUTED_VALUE"""),"০২/০৪/১৯৫২")</f>
        <v>০২/০৪/১৯৫২</v>
      </c>
      <c r="H61" s="5" t="str">
        <f>IFERROR(__xludf.DUMMYFUNCTION("""COMPUTED_VALUE"""),"ব্যবসা")</f>
        <v>ব্যবসা</v>
      </c>
      <c r="I61" s="5" t="str">
        <f>IFERROR(__xludf.DUMMYFUNCTION("""COMPUTED_VALUE"""),"""গাড়াডোব")</f>
        <v>"গাড়াডোব</v>
      </c>
      <c r="J61" s="5" t="str">
        <f>IFERROR(__xludf.DUMMYFUNCTION("""COMPUTED_VALUE""")," গাংনী")</f>
        <v> গাংনী</v>
      </c>
      <c r="K61" s="5" t="str">
        <f>IFERROR(__xludf.DUMMYFUNCTION("""COMPUTED_VALUE""")," মেহেরপুর""")</f>
        <v> মেহেরপুর"</v>
      </c>
    </row>
    <row r="62">
      <c r="A62" s="7" t="s">
        <v>7216</v>
      </c>
      <c r="B62" s="5">
        <f>IFERROR(__xludf.DUMMYFUNCTION("SPLIT(A62,"","")"),832.0)</f>
        <v>832</v>
      </c>
      <c r="C62" s="5" t="str">
        <f>IFERROR(__xludf.DUMMYFUNCTION("""COMPUTED_VALUE"""),"মোঃ আখের আলী")</f>
        <v>মোঃ আখের আলী</v>
      </c>
      <c r="D62" s="5">
        <f>IFERROR(__xludf.DUMMYFUNCTION("""COMPUTED_VALUE"""),5.70038355133E11)</f>
        <v>570038355133</v>
      </c>
      <c r="E62" s="5" t="str">
        <f>IFERROR(__xludf.DUMMYFUNCTION("""COMPUTED_VALUE"""),"হায়াত আলী")</f>
        <v>হায়াত আলী</v>
      </c>
      <c r="F62" s="5" t="str">
        <f>IFERROR(__xludf.DUMMYFUNCTION("""COMPUTED_VALUE"""),"মোছাঃ সাহারন বেগম")</f>
        <v>মোছাঃ সাহারন বেগম</v>
      </c>
      <c r="G62" s="5" t="str">
        <f>IFERROR(__xludf.DUMMYFUNCTION("""COMPUTED_VALUE"""),"০৫/০৮/১৯৬৩")</f>
        <v>০৫/০৮/১৯৬৩</v>
      </c>
      <c r="H62" s="5" t="str">
        <f>IFERROR(__xludf.DUMMYFUNCTION("""COMPUTED_VALUE"""),"কৃষক")</f>
        <v>কৃষক</v>
      </c>
      <c r="I62" s="5" t="str">
        <f>IFERROR(__xludf.DUMMYFUNCTION("""COMPUTED_VALUE"""),"""গাড়াডোব")</f>
        <v>"গাড়াডোব</v>
      </c>
      <c r="J62" s="5" t="str">
        <f>IFERROR(__xludf.DUMMYFUNCTION("""COMPUTED_VALUE""")," গাংনী")</f>
        <v> গাংনী</v>
      </c>
      <c r="K62" s="5" t="str">
        <f>IFERROR(__xludf.DUMMYFUNCTION("""COMPUTED_VALUE""")," মেহেরপুর""")</f>
        <v> মেহেরপুর"</v>
      </c>
    </row>
    <row r="63">
      <c r="A63" s="7" t="s">
        <v>7217</v>
      </c>
      <c r="B63" s="5">
        <f>IFERROR(__xludf.DUMMYFUNCTION("SPLIT(A63,"","")"),833.0)</f>
        <v>833</v>
      </c>
      <c r="C63" s="5" t="str">
        <f>IFERROR(__xludf.DUMMYFUNCTION("""COMPUTED_VALUE"""),"মোঃ রাহিদুল ইসলাম")</f>
        <v>মোঃ রাহিদুল ইসলাম</v>
      </c>
      <c r="D63" s="5">
        <f>IFERROR(__xludf.DUMMYFUNCTION("""COMPUTED_VALUE"""),5.70038355134E11)</f>
        <v>570038355134</v>
      </c>
      <c r="E63" s="5" t="str">
        <f>IFERROR(__xludf.DUMMYFUNCTION("""COMPUTED_VALUE"""),"হায়াত আলী")</f>
        <v>হায়াত আলী</v>
      </c>
      <c r="F63" s="5" t="str">
        <f>IFERROR(__xludf.DUMMYFUNCTION("""COMPUTED_VALUE"""),"মোছাঃ আয়েশা বেগম")</f>
        <v>মোছাঃ আয়েশা বেগম</v>
      </c>
      <c r="G63" s="5" t="str">
        <f>IFERROR(__xludf.DUMMYFUNCTION("""COMPUTED_VALUE"""),"০৩/০৪/১৯৮২")</f>
        <v>০৩/০৪/১৯৮২</v>
      </c>
      <c r="H63" s="5" t="str">
        <f>IFERROR(__xludf.DUMMYFUNCTION("""COMPUTED_VALUE"""),"শ্রমিক")</f>
        <v>শ্রমিক</v>
      </c>
      <c r="I63" s="5" t="str">
        <f>IFERROR(__xludf.DUMMYFUNCTION("""COMPUTED_VALUE"""),"""গাড়াডোব")</f>
        <v>"গাড়াডোব</v>
      </c>
      <c r="J63" s="5" t="str">
        <f>IFERROR(__xludf.DUMMYFUNCTION("""COMPUTED_VALUE""")," গাংনী")</f>
        <v> গাংনী</v>
      </c>
      <c r="K63" s="5" t="str">
        <f>IFERROR(__xludf.DUMMYFUNCTION("""COMPUTED_VALUE""")," মেহেরপুর""")</f>
        <v> মেহেরপুর"</v>
      </c>
    </row>
    <row r="64">
      <c r="A64" s="7" t="s">
        <v>7218</v>
      </c>
      <c r="B64" s="5">
        <f>IFERROR(__xludf.DUMMYFUNCTION("SPLIT(A64,"","")"),834.0)</f>
        <v>834</v>
      </c>
      <c r="C64" s="5" t="str">
        <f>IFERROR(__xludf.DUMMYFUNCTION("""COMPUTED_VALUE"""),"মোঃ শওকত আলী")</f>
        <v>মোঃ শওকত আলী</v>
      </c>
      <c r="D64" s="5">
        <f>IFERROR(__xludf.DUMMYFUNCTION("""COMPUTED_VALUE"""),5.70038355135E11)</f>
        <v>570038355135</v>
      </c>
      <c r="E64" s="5" t="str">
        <f>IFERROR(__xludf.DUMMYFUNCTION("""COMPUTED_VALUE"""),"হায়াত আলী")</f>
        <v>হায়াত আলী</v>
      </c>
      <c r="F64" s="5" t="str">
        <f>IFERROR(__xludf.DUMMYFUNCTION("""COMPUTED_VALUE"""),"মোছাঃ আয়েশা খাতুন")</f>
        <v>মোছাঃ আয়েশা খাতুন</v>
      </c>
      <c r="G64" s="5" t="str">
        <f>IFERROR(__xludf.DUMMYFUNCTION("""COMPUTED_VALUE"""),"১১/০৮/১৯৭২")</f>
        <v>১১/০৮/১৯৭২</v>
      </c>
      <c r="H64" s="5" t="str">
        <f>IFERROR(__xludf.DUMMYFUNCTION("""COMPUTED_VALUE"""),"শ্রমিক")</f>
        <v>শ্রমিক</v>
      </c>
      <c r="I64" s="5" t="str">
        <f>IFERROR(__xludf.DUMMYFUNCTION("""COMPUTED_VALUE"""),"""গাড়াডোব")</f>
        <v>"গাড়াডোব</v>
      </c>
      <c r="J64" s="5" t="str">
        <f>IFERROR(__xludf.DUMMYFUNCTION("""COMPUTED_VALUE""")," গাংনী")</f>
        <v> গাংনী</v>
      </c>
      <c r="K64" s="5" t="str">
        <f>IFERROR(__xludf.DUMMYFUNCTION("""COMPUTED_VALUE""")," মেহেরপুর""")</f>
        <v> মেহেরপুর"</v>
      </c>
    </row>
    <row r="65">
      <c r="A65" s="7" t="s">
        <v>7219</v>
      </c>
      <c r="B65" s="5">
        <f>IFERROR(__xludf.DUMMYFUNCTION("SPLIT(A65,"","")"),835.0)</f>
        <v>835</v>
      </c>
      <c r="C65" s="5" t="str">
        <f>IFERROR(__xludf.DUMMYFUNCTION("""COMPUTED_VALUE"""),"মোঃ রমজান আলী")</f>
        <v>মোঃ রমজান আলী</v>
      </c>
      <c r="D65" s="5">
        <f>IFERROR(__xludf.DUMMYFUNCTION("""COMPUTED_VALUE"""),5.70038355136E11)</f>
        <v>570038355136</v>
      </c>
      <c r="E65" s="5" t="str">
        <f>IFERROR(__xludf.DUMMYFUNCTION("""COMPUTED_VALUE"""),"মোঃ আজিল হক")</f>
        <v>মোঃ আজিল হক</v>
      </c>
      <c r="F65" s="5" t="str">
        <f>IFERROR(__xludf.DUMMYFUNCTION("""COMPUTED_VALUE"""),"মোছাঃ আয়েশা বেগম")</f>
        <v>মোছাঃ আয়েশা বেগম</v>
      </c>
      <c r="G65" s="5" t="str">
        <f>IFERROR(__xludf.DUMMYFUNCTION("""COMPUTED_VALUE"""),"২০/০৮/১৯৮৪")</f>
        <v>২০/০৮/১৯৮৪</v>
      </c>
      <c r="H65" s="5" t="str">
        <f>IFERROR(__xludf.DUMMYFUNCTION("""COMPUTED_VALUE"""),"শ্রমিক")</f>
        <v>শ্রমিক</v>
      </c>
      <c r="I65" s="5" t="str">
        <f>IFERROR(__xludf.DUMMYFUNCTION("""COMPUTED_VALUE"""),"""গাড়াডোব")</f>
        <v>"গাড়াডোব</v>
      </c>
      <c r="J65" s="5" t="str">
        <f>IFERROR(__xludf.DUMMYFUNCTION("""COMPUTED_VALUE""")," গাংনী")</f>
        <v> গাংনী</v>
      </c>
      <c r="K65" s="5" t="str">
        <f>IFERROR(__xludf.DUMMYFUNCTION("""COMPUTED_VALUE""")," মেহেরপুর""")</f>
        <v> মেহেরপুর"</v>
      </c>
    </row>
    <row r="66">
      <c r="A66" s="7" t="s">
        <v>7220</v>
      </c>
      <c r="B66" s="5">
        <f>IFERROR(__xludf.DUMMYFUNCTION("SPLIT(A66,"","")"),836.0)</f>
        <v>836</v>
      </c>
      <c r="C66" s="5" t="str">
        <f>IFERROR(__xludf.DUMMYFUNCTION("""COMPUTED_VALUE"""),"মোঃ আব্দুস সাত্তার")</f>
        <v>মোঃ আব্দুস সাত্তার</v>
      </c>
      <c r="D66" s="5">
        <f>IFERROR(__xludf.DUMMYFUNCTION("""COMPUTED_VALUE"""),5.70038355137E11)</f>
        <v>570038355137</v>
      </c>
      <c r="E66" s="5" t="str">
        <f>IFERROR(__xludf.DUMMYFUNCTION("""COMPUTED_VALUE"""),"আতর আলী")</f>
        <v>আতর আলী</v>
      </c>
      <c r="F66" s="5" t="str">
        <f>IFERROR(__xludf.DUMMYFUNCTION("""COMPUTED_VALUE"""),"মোছাঃ জামেনা খাতুন")</f>
        <v>মোছাঃ জামেনা খাতুন</v>
      </c>
      <c r="G66" s="5" t="str">
        <f>IFERROR(__xludf.DUMMYFUNCTION("""COMPUTED_VALUE"""),"২৮/১২/১৯৮৫")</f>
        <v>২৮/১২/১৯৮৫</v>
      </c>
      <c r="H66" s="5" t="str">
        <f>IFERROR(__xludf.DUMMYFUNCTION("""COMPUTED_VALUE"""),"কৃষক")</f>
        <v>কৃষক</v>
      </c>
      <c r="I66" s="5" t="str">
        <f>IFERROR(__xludf.DUMMYFUNCTION("""COMPUTED_VALUE"""),"""গাড়াডোব")</f>
        <v>"গাড়াডোব</v>
      </c>
      <c r="J66" s="5" t="str">
        <f>IFERROR(__xludf.DUMMYFUNCTION("""COMPUTED_VALUE""")," গাংনী")</f>
        <v> গাংনী</v>
      </c>
      <c r="K66" s="5" t="str">
        <f>IFERROR(__xludf.DUMMYFUNCTION("""COMPUTED_VALUE""")," মেহেরপুর""")</f>
        <v> মেহেরপুর"</v>
      </c>
    </row>
    <row r="67">
      <c r="A67" s="7" t="s">
        <v>7221</v>
      </c>
      <c r="B67" s="5">
        <f>IFERROR(__xludf.DUMMYFUNCTION("SPLIT(A67,"","")"),837.0)</f>
        <v>837</v>
      </c>
      <c r="C67" s="5" t="str">
        <f>IFERROR(__xludf.DUMMYFUNCTION("""COMPUTED_VALUE"""),"মোঃ মজিদুল ইসলাম")</f>
        <v>মোঃ মজিদুল ইসলাম</v>
      </c>
      <c r="D67" s="5">
        <f>IFERROR(__xludf.DUMMYFUNCTION("""COMPUTED_VALUE"""),5.70038355138E11)</f>
        <v>570038355138</v>
      </c>
      <c r="E67" s="5" t="str">
        <f>IFERROR(__xludf.DUMMYFUNCTION("""COMPUTED_VALUE"""),"মোঃ মোবারক আলী")</f>
        <v>মোঃ মোবারক আলী</v>
      </c>
      <c r="F67" s="5" t="str">
        <f>IFERROR(__xludf.DUMMYFUNCTION("""COMPUTED_VALUE"""),"মোছাঃ বানুয়ারা")</f>
        <v>মোছাঃ বানুয়ারা</v>
      </c>
      <c r="G67" s="5" t="str">
        <f>IFERROR(__xludf.DUMMYFUNCTION("""COMPUTED_VALUE"""),"২৯/১১/১৯৭০")</f>
        <v>২৯/১১/১৯৭০</v>
      </c>
      <c r="H67" s="5" t="str">
        <f>IFERROR(__xludf.DUMMYFUNCTION("""COMPUTED_VALUE"""),"কৃষক")</f>
        <v>কৃষক</v>
      </c>
      <c r="I67" s="5" t="str">
        <f>IFERROR(__xludf.DUMMYFUNCTION("""COMPUTED_VALUE"""),"""গাড়াডোব")</f>
        <v>"গাড়াডোব</v>
      </c>
      <c r="J67" s="5" t="str">
        <f>IFERROR(__xludf.DUMMYFUNCTION("""COMPUTED_VALUE""")," গাংনী")</f>
        <v> গাংনী</v>
      </c>
      <c r="K67" s="5" t="str">
        <f>IFERROR(__xludf.DUMMYFUNCTION("""COMPUTED_VALUE""")," মেহেরপুর""")</f>
        <v> মেহেরপুর"</v>
      </c>
    </row>
    <row r="68">
      <c r="A68" s="7" t="s">
        <v>7222</v>
      </c>
      <c r="B68" s="5">
        <f>IFERROR(__xludf.DUMMYFUNCTION("SPLIT(A68,"","")"),838.0)</f>
        <v>838</v>
      </c>
      <c r="C68" s="5" t="str">
        <f>IFERROR(__xludf.DUMMYFUNCTION("""COMPUTED_VALUE"""),"মোঃ আবিদুল হক")</f>
        <v>মোঃ আবিদুল হক</v>
      </c>
      <c r="D68" s="5">
        <f>IFERROR(__xludf.DUMMYFUNCTION("""COMPUTED_VALUE"""),5.70038355139E11)</f>
        <v>570038355139</v>
      </c>
      <c r="E68" s="5" t="str">
        <f>IFERROR(__xludf.DUMMYFUNCTION("""COMPUTED_VALUE"""),"জসিমউদ্দিন সেখ")</f>
        <v>জসিমউদ্দিন সেখ</v>
      </c>
      <c r="F68" s="5" t="str">
        <f>IFERROR(__xludf.DUMMYFUNCTION("""COMPUTED_VALUE"""),"মোছাঃ শারভানু")</f>
        <v>মোছাঃ শারভানু</v>
      </c>
      <c r="G68" s="5" t="str">
        <f>IFERROR(__xludf.DUMMYFUNCTION("""COMPUTED_VALUE"""),"০৩/০৮/১৯৭৭")</f>
        <v>০৩/০৮/১৯৭৭</v>
      </c>
      <c r="H68" s="5" t="str">
        <f>IFERROR(__xludf.DUMMYFUNCTION("""COMPUTED_VALUE"""),"ব্যবসা")</f>
        <v>ব্যবসা</v>
      </c>
      <c r="I68" s="5" t="str">
        <f>IFERROR(__xludf.DUMMYFUNCTION("""COMPUTED_VALUE"""),"""গাড়াডোব")</f>
        <v>"গাড়াডোব</v>
      </c>
      <c r="J68" s="5" t="str">
        <f>IFERROR(__xludf.DUMMYFUNCTION("""COMPUTED_VALUE""")," গাংনী")</f>
        <v> গাংনী</v>
      </c>
      <c r="K68" s="5" t="str">
        <f>IFERROR(__xludf.DUMMYFUNCTION("""COMPUTED_VALUE""")," মেহেরপুর""")</f>
        <v> মেহেরপুর"</v>
      </c>
    </row>
    <row r="69">
      <c r="A69" s="7" t="s">
        <v>7223</v>
      </c>
      <c r="B69" s="5">
        <f>IFERROR(__xludf.DUMMYFUNCTION("SPLIT(A69,"","")"),839.0)</f>
        <v>839</v>
      </c>
      <c r="C69" s="5" t="str">
        <f>IFERROR(__xludf.DUMMYFUNCTION("""COMPUTED_VALUE"""),"মোহাঃ হাসানুজ্জামান")</f>
        <v>মোহাঃ হাসানুজ্জামান</v>
      </c>
      <c r="D69" s="5">
        <f>IFERROR(__xludf.DUMMYFUNCTION("""COMPUTED_VALUE"""),5.7003835514E11)</f>
        <v>570038355140</v>
      </c>
      <c r="E69" s="5" t="str">
        <f>IFERROR(__xludf.DUMMYFUNCTION("""COMPUTED_VALUE"""),"মোহাঃ আলী হোসেন")</f>
        <v>মোহাঃ আলী হোসেন</v>
      </c>
      <c r="F69" s="5" t="str">
        <f>IFERROR(__xludf.DUMMYFUNCTION("""COMPUTED_VALUE"""),"মোছাঃ ছামেনা খাতুন")</f>
        <v>মোছাঃ ছামেনা খাতুন</v>
      </c>
      <c r="G69" s="5" t="str">
        <f>IFERROR(__xludf.DUMMYFUNCTION("""COMPUTED_VALUE"""),"০৭/০৪/১৯৮৬")</f>
        <v>০৭/০৪/১৯৮৬</v>
      </c>
      <c r="H69" s="5" t="str">
        <f>IFERROR(__xludf.DUMMYFUNCTION("""COMPUTED_VALUE"""),"ব্যবসা")</f>
        <v>ব্যবসা</v>
      </c>
      <c r="I69" s="5" t="str">
        <f>IFERROR(__xludf.DUMMYFUNCTION("""COMPUTED_VALUE"""),"""গাড়াডোব")</f>
        <v>"গাড়াডোব</v>
      </c>
      <c r="J69" s="5" t="str">
        <f>IFERROR(__xludf.DUMMYFUNCTION("""COMPUTED_VALUE""")," গাংনী")</f>
        <v> গাংনী</v>
      </c>
      <c r="K69" s="5" t="str">
        <f>IFERROR(__xludf.DUMMYFUNCTION("""COMPUTED_VALUE""")," মেহেরপুর""")</f>
        <v> মেহেরপুর"</v>
      </c>
    </row>
    <row r="70">
      <c r="A70" s="7" t="s">
        <v>7224</v>
      </c>
      <c r="B70" s="5">
        <f>IFERROR(__xludf.DUMMYFUNCTION("SPLIT(A70,"","")"),840.0)</f>
        <v>840</v>
      </c>
      <c r="C70" s="5" t="str">
        <f>IFERROR(__xludf.DUMMYFUNCTION("""COMPUTED_VALUE"""),"মোঃ হামিদুল ইসলাম")</f>
        <v>মোঃ হামিদুল ইসলাম</v>
      </c>
      <c r="D70" s="5">
        <f>IFERROR(__xludf.DUMMYFUNCTION("""COMPUTED_VALUE"""),5.70038355148E11)</f>
        <v>570038355148</v>
      </c>
      <c r="E70" s="5" t="str">
        <f>IFERROR(__xludf.DUMMYFUNCTION("""COMPUTED_VALUE"""),"মোঃ জসিম")</f>
        <v>মোঃ জসিম</v>
      </c>
      <c r="F70" s="5" t="str">
        <f>IFERROR(__xludf.DUMMYFUNCTION("""COMPUTED_VALUE"""),"মাতা: রহিমা")</f>
        <v>মাতা: রহিমা</v>
      </c>
      <c r="G70" s="5" t="str">
        <f>IFERROR(__xludf.DUMMYFUNCTION("""COMPUTED_VALUE"""),"০৫/০৮/১৯৭৯")</f>
        <v>০৫/০৮/১৯৭৯</v>
      </c>
      <c r="H70" s="5" t="str">
        <f>IFERROR(__xludf.DUMMYFUNCTION("""COMPUTED_VALUE"""),"কৃষক")</f>
        <v>কৃষক</v>
      </c>
      <c r="I70" s="5" t="str">
        <f>IFERROR(__xludf.DUMMYFUNCTION("""COMPUTED_VALUE"""),"""গাড়াডোব")</f>
        <v>"গাড়াডোব</v>
      </c>
      <c r="J70" s="5" t="str">
        <f>IFERROR(__xludf.DUMMYFUNCTION("""COMPUTED_VALUE""")," গাংনী")</f>
        <v> গাংনী</v>
      </c>
      <c r="K70" s="5" t="str">
        <f>IFERROR(__xludf.DUMMYFUNCTION("""COMPUTED_VALUE""")," মেহেরপুর""")</f>
        <v> মেহেরপুর"</v>
      </c>
    </row>
    <row r="71">
      <c r="A71" s="7" t="s">
        <v>7225</v>
      </c>
      <c r="B71" s="5">
        <f>IFERROR(__xludf.DUMMYFUNCTION("SPLIT(A71,"","")"),841.0)</f>
        <v>841</v>
      </c>
      <c r="C71" s="5" t="str">
        <f>IFERROR(__xludf.DUMMYFUNCTION("""COMPUTED_VALUE"""),"মোঃ সহিদুল")</f>
        <v>মোঃ সহিদুল</v>
      </c>
      <c r="D71" s="5">
        <f>IFERROR(__xludf.DUMMYFUNCTION("""COMPUTED_VALUE"""),5.70038355153E11)</f>
        <v>570038355153</v>
      </c>
      <c r="E71" s="5" t="str">
        <f>IFERROR(__xludf.DUMMYFUNCTION("""COMPUTED_VALUE"""),"হাদেক আলী")</f>
        <v>হাদেক আলী</v>
      </c>
      <c r="F71" s="5" t="str">
        <f>IFERROR(__xludf.DUMMYFUNCTION("""COMPUTED_VALUE"""),"মোছাঃ পনকা বিবি")</f>
        <v>মোছাঃ পনকা বিবি</v>
      </c>
      <c r="G71" s="5" t="str">
        <f>IFERROR(__xludf.DUMMYFUNCTION("""COMPUTED_VALUE"""),"১৪/১১/১৯৫৯")</f>
        <v>১৪/১১/১৯৫৯</v>
      </c>
      <c r="H71" s="5" t="str">
        <f>IFERROR(__xludf.DUMMYFUNCTION("""COMPUTED_VALUE"""),"মিস্ত্রী")</f>
        <v>মিস্ত্রী</v>
      </c>
      <c r="I71" s="5" t="str">
        <f>IFERROR(__xludf.DUMMYFUNCTION("""COMPUTED_VALUE"""),"""গাড়াডোব")</f>
        <v>"গাড়াডোব</v>
      </c>
      <c r="J71" s="5" t="str">
        <f>IFERROR(__xludf.DUMMYFUNCTION("""COMPUTED_VALUE""")," গাংনী")</f>
        <v> গাংনী</v>
      </c>
      <c r="K71" s="5" t="str">
        <f>IFERROR(__xludf.DUMMYFUNCTION("""COMPUTED_VALUE""")," মেহেরপুর""")</f>
        <v> মেহেরপুর"</v>
      </c>
    </row>
    <row r="72">
      <c r="A72" s="7" t="s">
        <v>7226</v>
      </c>
      <c r="B72" s="5">
        <f>IFERROR(__xludf.DUMMYFUNCTION("SPLIT(A72,"","")"),842.0)</f>
        <v>842</v>
      </c>
      <c r="C72" s="5" t="str">
        <f>IFERROR(__xludf.DUMMYFUNCTION("""COMPUTED_VALUE"""),"মোঃ শামীম রেজা")</f>
        <v>মোঃ শামীম রেজা</v>
      </c>
      <c r="D72" s="5">
        <f>IFERROR(__xludf.DUMMYFUNCTION("""COMPUTED_VALUE"""),5.70038355157E11)</f>
        <v>570038355157</v>
      </c>
      <c r="E72" s="5" t="str">
        <f>IFERROR(__xludf.DUMMYFUNCTION("""COMPUTED_VALUE"""),"হাবিবুর রহমান")</f>
        <v>হাবিবুর রহমান</v>
      </c>
      <c r="F72" s="5" t="str">
        <f>IFERROR(__xludf.DUMMYFUNCTION("""COMPUTED_VALUE"""),"মোছাঃ সুফিয়া খাতুন")</f>
        <v>মোছাঃ সুফিয়া খাতুন</v>
      </c>
      <c r="G72" s="5" t="str">
        <f>IFERROR(__xludf.DUMMYFUNCTION("""COMPUTED_VALUE"""),"০৮/০৪/১৯৭৭")</f>
        <v>০৮/০৪/১৯৭৭</v>
      </c>
      <c r="H72" s="5" t="str">
        <f>IFERROR(__xludf.DUMMYFUNCTION("""COMPUTED_VALUE"""),"কৃষক")</f>
        <v>কৃষক</v>
      </c>
      <c r="I72" s="5" t="str">
        <f>IFERROR(__xludf.DUMMYFUNCTION("""COMPUTED_VALUE"""),"""গাড়াডোব")</f>
        <v>"গাড়াডোব</v>
      </c>
      <c r="J72" s="5" t="str">
        <f>IFERROR(__xludf.DUMMYFUNCTION("""COMPUTED_VALUE""")," গাংনী")</f>
        <v> গাংনী</v>
      </c>
      <c r="K72" s="5" t="str">
        <f>IFERROR(__xludf.DUMMYFUNCTION("""COMPUTED_VALUE""")," মেহেরপুর""")</f>
        <v> মেহেরপুর"</v>
      </c>
    </row>
    <row r="73">
      <c r="A73" s="7" t="s">
        <v>7227</v>
      </c>
      <c r="B73" s="5">
        <f>IFERROR(__xludf.DUMMYFUNCTION("SPLIT(A73,"","")"),843.0)</f>
        <v>843</v>
      </c>
      <c r="C73" s="5" t="str">
        <f>IFERROR(__xludf.DUMMYFUNCTION("""COMPUTED_VALUE"""),"মোঃ ওমর আলী")</f>
        <v>মোঃ ওমর আলী</v>
      </c>
      <c r="D73" s="5">
        <f>IFERROR(__xludf.DUMMYFUNCTION("""COMPUTED_VALUE"""),5.70038355162E11)</f>
        <v>570038355162</v>
      </c>
      <c r="E73" s="5" t="str">
        <f>IFERROR(__xludf.DUMMYFUNCTION("""COMPUTED_VALUE"""),"আলীজান মালিথা")</f>
        <v>আলীজান মালিথা</v>
      </c>
      <c r="F73" s="5" t="str">
        <f>IFERROR(__xludf.DUMMYFUNCTION("""COMPUTED_VALUE"""),"মোছাঃ আমেনা খাতুন")</f>
        <v>মোছাঃ আমেনা খাতুন</v>
      </c>
      <c r="G73" s="5" t="str">
        <f>IFERROR(__xludf.DUMMYFUNCTION("""COMPUTED_VALUE"""),"০৫/০৮/১৯৫৭")</f>
        <v>০৫/০৮/১৯৫৭</v>
      </c>
      <c r="H73" s="5" t="str">
        <f>IFERROR(__xludf.DUMMYFUNCTION("""COMPUTED_VALUE"""),"কৃষক")</f>
        <v>কৃষক</v>
      </c>
      <c r="I73" s="5" t="str">
        <f>IFERROR(__xludf.DUMMYFUNCTION("""COMPUTED_VALUE"""),"""গাড়াডোব")</f>
        <v>"গাড়াডোব</v>
      </c>
      <c r="J73" s="5" t="str">
        <f>IFERROR(__xludf.DUMMYFUNCTION("""COMPUTED_VALUE""")," গাংনী")</f>
        <v> গাংনী</v>
      </c>
      <c r="K73" s="5" t="str">
        <f>IFERROR(__xludf.DUMMYFUNCTION("""COMPUTED_VALUE""")," মেহেরপুর""")</f>
        <v> মেহেরপুর"</v>
      </c>
    </row>
    <row r="74">
      <c r="A74" s="7" t="s">
        <v>7228</v>
      </c>
      <c r="B74" s="5">
        <f>IFERROR(__xludf.DUMMYFUNCTION("SPLIT(A74,"","")"),844.0)</f>
        <v>844</v>
      </c>
      <c r="C74" s="5" t="str">
        <f>IFERROR(__xludf.DUMMYFUNCTION("""COMPUTED_VALUE"""),"মোঃ রফিকুল ইসলাম")</f>
        <v>মোঃ রফিকুল ইসলাম</v>
      </c>
      <c r="D74" s="5">
        <f>IFERROR(__xludf.DUMMYFUNCTION("""COMPUTED_VALUE"""),5.70038355165E11)</f>
        <v>570038355165</v>
      </c>
      <c r="E74" s="5" t="str">
        <f>IFERROR(__xludf.DUMMYFUNCTION("""COMPUTED_VALUE"""),"আলীজান মালিথা")</f>
        <v>আলীজান মালিথা</v>
      </c>
      <c r="F74" s="5" t="str">
        <f>IFERROR(__xludf.DUMMYFUNCTION("""COMPUTED_VALUE"""),"মোছাঃ আমেনা খাতুন")</f>
        <v>মোছাঃ আমেনা খাতুন</v>
      </c>
      <c r="G74" s="5" t="str">
        <f>IFERROR(__xludf.DUMMYFUNCTION("""COMPUTED_VALUE"""),"২৫/০৫/১৯৫২")</f>
        <v>২৫/০৫/১৯৫২</v>
      </c>
      <c r="H74" s="5" t="str">
        <f>IFERROR(__xludf.DUMMYFUNCTION("""COMPUTED_VALUE"""),"কৃষক")</f>
        <v>কৃষক</v>
      </c>
      <c r="I74" s="5" t="str">
        <f>IFERROR(__xludf.DUMMYFUNCTION("""COMPUTED_VALUE"""),"""গাড়াডোব")</f>
        <v>"গাড়াডোব</v>
      </c>
      <c r="J74" s="5" t="str">
        <f>IFERROR(__xludf.DUMMYFUNCTION("""COMPUTED_VALUE""")," গাংনী")</f>
        <v> গাংনী</v>
      </c>
      <c r="K74" s="5" t="str">
        <f>IFERROR(__xludf.DUMMYFUNCTION("""COMPUTED_VALUE""")," মেহেরপুর""")</f>
        <v> মেহেরপুর"</v>
      </c>
    </row>
    <row r="75">
      <c r="A75" s="7" t="s">
        <v>7229</v>
      </c>
      <c r="B75" s="5">
        <f>IFERROR(__xludf.DUMMYFUNCTION("SPLIT(A75,"","")"),845.0)</f>
        <v>845</v>
      </c>
      <c r="C75" s="5" t="str">
        <f>IFERROR(__xludf.DUMMYFUNCTION("""COMPUTED_VALUE"""),"মোঃ সুন্নত আলী")</f>
        <v>মোঃ সুন্নত আলী</v>
      </c>
      <c r="D75" s="5">
        <f>IFERROR(__xludf.DUMMYFUNCTION("""COMPUTED_VALUE"""),5.70038355167E11)</f>
        <v>570038355167</v>
      </c>
      <c r="E75" s="5" t="str">
        <f>IFERROR(__xludf.DUMMYFUNCTION("""COMPUTED_VALUE"""),"আলীজান")</f>
        <v>আলীজান</v>
      </c>
      <c r="F75" s="5" t="str">
        <f>IFERROR(__xludf.DUMMYFUNCTION("""COMPUTED_VALUE"""),"মোছাঃ আমেনা খাতুন")</f>
        <v>মোছাঃ আমেনা খাতুন</v>
      </c>
      <c r="G75" s="5" t="str">
        <f>IFERROR(__xludf.DUMMYFUNCTION("""COMPUTED_VALUE"""),"০৭/০৮/১৯৪২")</f>
        <v>০৭/০৮/১৯৪২</v>
      </c>
      <c r="H75" s="5" t="str">
        <f>IFERROR(__xludf.DUMMYFUNCTION("""COMPUTED_VALUE"""),"কৃষক")</f>
        <v>কৃষক</v>
      </c>
      <c r="I75" s="5" t="str">
        <f>IFERROR(__xludf.DUMMYFUNCTION("""COMPUTED_VALUE"""),"""গাড়াডোব")</f>
        <v>"গাড়াডোব</v>
      </c>
      <c r="J75" s="5" t="str">
        <f>IFERROR(__xludf.DUMMYFUNCTION("""COMPUTED_VALUE""")," গাংনী")</f>
        <v> গাংনী</v>
      </c>
      <c r="K75" s="5" t="str">
        <f>IFERROR(__xludf.DUMMYFUNCTION("""COMPUTED_VALUE""")," মেহেরপুর""")</f>
        <v> মেহেরপুর"</v>
      </c>
    </row>
    <row r="76">
      <c r="A76" s="7" t="s">
        <v>7230</v>
      </c>
      <c r="B76" s="5">
        <f>IFERROR(__xludf.DUMMYFUNCTION("SPLIT(A76,"","")"),846.0)</f>
        <v>846</v>
      </c>
      <c r="C76" s="5" t="str">
        <f>IFERROR(__xludf.DUMMYFUNCTION("""COMPUTED_VALUE"""),"মোঃ তোজাম্মেল হক")</f>
        <v>মোঃ তোজাম্মেল হক</v>
      </c>
      <c r="D76" s="5">
        <f>IFERROR(__xludf.DUMMYFUNCTION("""COMPUTED_VALUE"""),5.70038355168E11)</f>
        <v>570038355168</v>
      </c>
      <c r="E76" s="5" t="str">
        <f>IFERROR(__xludf.DUMMYFUNCTION("""COMPUTED_VALUE"""),"মোঃ সুন্নত আলী")</f>
        <v>মোঃ সুন্নত আলী</v>
      </c>
      <c r="F76" s="5" t="str">
        <f>IFERROR(__xludf.DUMMYFUNCTION("""COMPUTED_VALUE"""),"মোছাঃ মুনজিরা খাতুন")</f>
        <v>মোছাঃ মুনজিরা খাতুন</v>
      </c>
      <c r="G76" s="5" t="str">
        <f>IFERROR(__xludf.DUMMYFUNCTION("""COMPUTED_VALUE"""),"০২/০৯/১৯৭৫")</f>
        <v>০২/০৯/১৯৭৫</v>
      </c>
      <c r="H76" s="5" t="str">
        <f>IFERROR(__xludf.DUMMYFUNCTION("""COMPUTED_VALUE"""),"ব্যবসা")</f>
        <v>ব্যবসা</v>
      </c>
      <c r="I76" s="5" t="str">
        <f>IFERROR(__xludf.DUMMYFUNCTION("""COMPUTED_VALUE"""),"""গাড়াডোব")</f>
        <v>"গাড়াডোব</v>
      </c>
      <c r="J76" s="5" t="str">
        <f>IFERROR(__xludf.DUMMYFUNCTION("""COMPUTED_VALUE""")," গাংনী")</f>
        <v> গাংনী</v>
      </c>
      <c r="K76" s="5" t="str">
        <f>IFERROR(__xludf.DUMMYFUNCTION("""COMPUTED_VALUE""")," মেহেরপুর""")</f>
        <v> মেহেরপুর"</v>
      </c>
    </row>
    <row r="77">
      <c r="A77" s="7" t="s">
        <v>7231</v>
      </c>
      <c r="B77" s="5">
        <f>IFERROR(__xludf.DUMMYFUNCTION("SPLIT(A77,"","")"),847.0)</f>
        <v>847</v>
      </c>
      <c r="C77" s="5" t="str">
        <f>IFERROR(__xludf.DUMMYFUNCTION("""COMPUTED_VALUE"""),"মোঃ মোজাম্মেল হক")</f>
        <v>মোঃ মোজাম্মেল হক</v>
      </c>
      <c r="D77" s="5">
        <f>IFERROR(__xludf.DUMMYFUNCTION("""COMPUTED_VALUE"""),5.70038355171E11)</f>
        <v>570038355171</v>
      </c>
      <c r="E77" s="5" t="str">
        <f>IFERROR(__xludf.DUMMYFUNCTION("""COMPUTED_VALUE"""),"মোঃ সুন্নত আলী")</f>
        <v>মোঃ সুন্নত আলী</v>
      </c>
      <c r="F77" s="5" t="str">
        <f>IFERROR(__xludf.DUMMYFUNCTION("""COMPUTED_VALUE"""),"মোছাঃ মুনজিরা খাতুন")</f>
        <v>মোছাঃ মুনজিরা খাতুন</v>
      </c>
      <c r="G77" s="5" t="str">
        <f>IFERROR(__xludf.DUMMYFUNCTION("""COMPUTED_VALUE"""),"০৫/০৯/১৯৭৯")</f>
        <v>০৫/০৯/১৯৭৯</v>
      </c>
      <c r="H77" s="5" t="str">
        <f>IFERROR(__xludf.DUMMYFUNCTION("""COMPUTED_VALUE"""),"কৃষক")</f>
        <v>কৃষক</v>
      </c>
      <c r="I77" s="5" t="str">
        <f>IFERROR(__xludf.DUMMYFUNCTION("""COMPUTED_VALUE"""),"""গাড়াডোব")</f>
        <v>"গাড়াডোব</v>
      </c>
      <c r="J77" s="5" t="str">
        <f>IFERROR(__xludf.DUMMYFUNCTION("""COMPUTED_VALUE""")," গাংনী")</f>
        <v> গাংনী</v>
      </c>
      <c r="K77" s="5" t="str">
        <f>IFERROR(__xludf.DUMMYFUNCTION("""COMPUTED_VALUE""")," মেহেরপুর""")</f>
        <v> মেহেরপুর"</v>
      </c>
    </row>
    <row r="78">
      <c r="A78" s="7" t="s">
        <v>7232</v>
      </c>
      <c r="B78" s="5">
        <f>IFERROR(__xludf.DUMMYFUNCTION("SPLIT(A78,"","")"),848.0)</f>
        <v>848</v>
      </c>
      <c r="C78" s="5" t="str">
        <f>IFERROR(__xludf.DUMMYFUNCTION("""COMPUTED_VALUE"""),"মোঃ ছাদিমান")</f>
        <v>মোঃ ছাদিমান</v>
      </c>
      <c r="D78" s="5">
        <f>IFERROR(__xludf.DUMMYFUNCTION("""COMPUTED_VALUE"""),5.70038355172E11)</f>
        <v>570038355172</v>
      </c>
      <c r="E78" s="5" t="str">
        <f>IFERROR(__xludf.DUMMYFUNCTION("""COMPUTED_VALUE"""),"মোঃ সুন্নত আলী")</f>
        <v>মোঃ সুন্নত আলী</v>
      </c>
      <c r="F78" s="5" t="str">
        <f>IFERROR(__xludf.DUMMYFUNCTION("""COMPUTED_VALUE"""),"মোছাঃ সুনজিরা খাতুন")</f>
        <v>মোছাঃ সুনজিরা খাতুন</v>
      </c>
      <c r="G78" s="5" t="str">
        <f>IFERROR(__xludf.DUMMYFUNCTION("""COMPUTED_VALUE"""),"০৫/০২/১৯৮১")</f>
        <v>০৫/০২/১৯৮১</v>
      </c>
      <c r="H78" s="5" t="str">
        <f>IFERROR(__xludf.DUMMYFUNCTION("""COMPUTED_VALUE"""),"কৃষক")</f>
        <v>কৃষক</v>
      </c>
      <c r="I78" s="5" t="str">
        <f>IFERROR(__xludf.DUMMYFUNCTION("""COMPUTED_VALUE"""),"""গাড়াডোব")</f>
        <v>"গাড়াডোব</v>
      </c>
      <c r="J78" s="5" t="str">
        <f>IFERROR(__xludf.DUMMYFUNCTION("""COMPUTED_VALUE""")," গাংনী")</f>
        <v> গাংনী</v>
      </c>
      <c r="K78" s="5" t="str">
        <f>IFERROR(__xludf.DUMMYFUNCTION("""COMPUTED_VALUE""")," মেহেরপুর""")</f>
        <v> মেহেরপুর"</v>
      </c>
    </row>
    <row r="79">
      <c r="A79" s="7" t="s">
        <v>7233</v>
      </c>
      <c r="B79" s="5">
        <f>IFERROR(__xludf.DUMMYFUNCTION("SPLIT(A79,"","")"),849.0)</f>
        <v>849</v>
      </c>
      <c r="C79" s="5" t="str">
        <f>IFERROR(__xludf.DUMMYFUNCTION("""COMPUTED_VALUE"""),"মোঃ মাসুদ রানা")</f>
        <v>মোঃ মাসুদ রানা</v>
      </c>
      <c r="D79" s="5">
        <f>IFERROR(__xludf.DUMMYFUNCTION("""COMPUTED_VALUE"""),5.70038355173E11)</f>
        <v>570038355173</v>
      </c>
      <c r="E79" s="5" t="str">
        <f>IFERROR(__xludf.DUMMYFUNCTION("""COMPUTED_VALUE"""),"মোঃ সুন্নত আলী")</f>
        <v>মোঃ সুন্নত আলী</v>
      </c>
      <c r="F79" s="5" t="str">
        <f>IFERROR(__xludf.DUMMYFUNCTION("""COMPUTED_VALUE"""),"মোছাঃ মুনজিরা খাতুন")</f>
        <v>মোছাঃ মুনজিরা খাতুন</v>
      </c>
      <c r="G79" s="5" t="str">
        <f>IFERROR(__xludf.DUMMYFUNCTION("""COMPUTED_VALUE"""),"১২/০৭/১৯৮৫")</f>
        <v>১২/০৭/১৯৮৫</v>
      </c>
      <c r="H79" s="5" t="str">
        <f>IFERROR(__xludf.DUMMYFUNCTION("""COMPUTED_VALUE"""),"কৃষক")</f>
        <v>কৃষক</v>
      </c>
      <c r="I79" s="5" t="str">
        <f>IFERROR(__xludf.DUMMYFUNCTION("""COMPUTED_VALUE"""),"""গাড়াডোব")</f>
        <v>"গাড়াডোব</v>
      </c>
      <c r="J79" s="5" t="str">
        <f>IFERROR(__xludf.DUMMYFUNCTION("""COMPUTED_VALUE""")," গাংনী")</f>
        <v> গাংনী</v>
      </c>
      <c r="K79" s="5" t="str">
        <f>IFERROR(__xludf.DUMMYFUNCTION("""COMPUTED_VALUE""")," মেহেরপুর""")</f>
        <v> মেহেরপুর"</v>
      </c>
    </row>
    <row r="80">
      <c r="A80" s="7" t="s">
        <v>7234</v>
      </c>
      <c r="B80" s="5">
        <f>IFERROR(__xludf.DUMMYFUNCTION("SPLIT(A80,"","")"),850.0)</f>
        <v>850</v>
      </c>
      <c r="C80" s="5" t="str">
        <f>IFERROR(__xludf.DUMMYFUNCTION("""COMPUTED_VALUE"""),"মোঃ খলিলুর রহমান")</f>
        <v>মোঃ খলিলুর রহমান</v>
      </c>
      <c r="D80" s="5">
        <f>IFERROR(__xludf.DUMMYFUNCTION("""COMPUTED_VALUE"""),5.70038355178E11)</f>
        <v>570038355178</v>
      </c>
      <c r="E80" s="5" t="str">
        <f>IFERROR(__xludf.DUMMYFUNCTION("""COMPUTED_VALUE"""),"আব্দুল জলিল")</f>
        <v>আব্দুল জলিল</v>
      </c>
      <c r="F80" s="5" t="str">
        <f>IFERROR(__xludf.DUMMYFUNCTION("""COMPUTED_VALUE"""),"মোছাঃ আজিমন খাতুন")</f>
        <v>মোছাঃ আজিমন খাতুন</v>
      </c>
      <c r="G80" s="5" t="str">
        <f>IFERROR(__xludf.DUMMYFUNCTION("""COMPUTED_VALUE"""),"০৭/০৮/১৯৬২")</f>
        <v>০৭/০৮/১৯৬২</v>
      </c>
      <c r="H80" s="5" t="str">
        <f>IFERROR(__xludf.DUMMYFUNCTION("""COMPUTED_VALUE"""),"কৃষক")</f>
        <v>কৃষক</v>
      </c>
      <c r="I80" s="5" t="str">
        <f>IFERROR(__xludf.DUMMYFUNCTION("""COMPUTED_VALUE"""),"""গাড়াডোব")</f>
        <v>"গাড়াডোব</v>
      </c>
      <c r="J80" s="5" t="str">
        <f>IFERROR(__xludf.DUMMYFUNCTION("""COMPUTED_VALUE""")," গাংনী")</f>
        <v> গাংনী</v>
      </c>
      <c r="K80" s="5" t="str">
        <f>IFERROR(__xludf.DUMMYFUNCTION("""COMPUTED_VALUE""")," মেহেরপুর""")</f>
        <v> মেহেরপুর"</v>
      </c>
    </row>
    <row r="81">
      <c r="A81" s="7" t="s">
        <v>7235</v>
      </c>
      <c r="B81" s="5">
        <f>IFERROR(__xludf.DUMMYFUNCTION("SPLIT(A81,"","")"),851.0)</f>
        <v>851</v>
      </c>
      <c r="C81" s="5" t="str">
        <f>IFERROR(__xludf.DUMMYFUNCTION("""COMPUTED_VALUE"""),"মোঃ কুবাদ আলী")</f>
        <v>মোঃ কুবাদ আলী</v>
      </c>
      <c r="D81" s="5">
        <f>IFERROR(__xludf.DUMMYFUNCTION("""COMPUTED_VALUE"""),5.70038355179E11)</f>
        <v>570038355179</v>
      </c>
      <c r="E81" s="5" t="str">
        <f>IFERROR(__xludf.DUMMYFUNCTION("""COMPUTED_VALUE"""),"হায়াত আলী")</f>
        <v>হায়াত আলী</v>
      </c>
      <c r="F81" s="5" t="str">
        <f>IFERROR(__xludf.DUMMYFUNCTION("""COMPUTED_VALUE"""),"মোছাঃ আয়েশা খাতুন")</f>
        <v>মোছাঃ আয়েশা খাতুন</v>
      </c>
      <c r="G81" s="5" t="str">
        <f>IFERROR(__xludf.DUMMYFUNCTION("""COMPUTED_VALUE"""),"০৫/০৮/১৯৭৭")</f>
        <v>০৫/০৮/১৯৭৭</v>
      </c>
      <c r="H81" s="5" t="str">
        <f>IFERROR(__xludf.DUMMYFUNCTION("""COMPUTED_VALUE"""),"কৃষক")</f>
        <v>কৃষক</v>
      </c>
      <c r="I81" s="5" t="str">
        <f>IFERROR(__xludf.DUMMYFUNCTION("""COMPUTED_VALUE"""),"""গাড়াডোব")</f>
        <v>"গাড়াডোব</v>
      </c>
      <c r="J81" s="5" t="str">
        <f>IFERROR(__xludf.DUMMYFUNCTION("""COMPUTED_VALUE""")," গাংনী")</f>
        <v> গাংনী</v>
      </c>
      <c r="K81" s="5" t="str">
        <f>IFERROR(__xludf.DUMMYFUNCTION("""COMPUTED_VALUE""")," মেহেরপুর""")</f>
        <v> মেহেরপুর"</v>
      </c>
    </row>
    <row r="82">
      <c r="A82" s="7" t="s">
        <v>7236</v>
      </c>
      <c r="B82" s="5">
        <f>IFERROR(__xludf.DUMMYFUNCTION("SPLIT(A82,"","")"),852.0)</f>
        <v>852</v>
      </c>
      <c r="C82" s="5" t="str">
        <f>IFERROR(__xludf.DUMMYFUNCTION("""COMPUTED_VALUE"""),"মোঃ নবীছদ্দীণ")</f>
        <v>মোঃ নবীছদ্দীণ</v>
      </c>
      <c r="D82" s="5">
        <f>IFERROR(__xludf.DUMMYFUNCTION("""COMPUTED_VALUE"""),5.7003835518E11)</f>
        <v>570038355180</v>
      </c>
      <c r="E82" s="5" t="str">
        <f>IFERROR(__xludf.DUMMYFUNCTION("""COMPUTED_VALUE"""),"লুৎফর শেখ")</f>
        <v>লুৎফর শেখ</v>
      </c>
      <c r="F82" s="5" t="str">
        <f>IFERROR(__xludf.DUMMYFUNCTION("""COMPUTED_VALUE"""),"মোছাঃ মলেজান বেগম")</f>
        <v>মোছাঃ মলেজান বেগম</v>
      </c>
      <c r="G82" s="5" t="str">
        <f>IFERROR(__xludf.DUMMYFUNCTION("""COMPUTED_VALUE"""),"০৮/১২/১৯৫৭")</f>
        <v>০৮/১২/১৯৫৭</v>
      </c>
      <c r="H82" s="5" t="str">
        <f>IFERROR(__xludf.DUMMYFUNCTION("""COMPUTED_VALUE"""),"শ্রমিক")</f>
        <v>শ্রমিক</v>
      </c>
      <c r="I82" s="5" t="str">
        <f>IFERROR(__xludf.DUMMYFUNCTION("""COMPUTED_VALUE"""),"""গাড়াডোব")</f>
        <v>"গাড়াডোব</v>
      </c>
      <c r="J82" s="5" t="str">
        <f>IFERROR(__xludf.DUMMYFUNCTION("""COMPUTED_VALUE""")," গাংনী")</f>
        <v> গাংনী</v>
      </c>
      <c r="K82" s="5" t="str">
        <f>IFERROR(__xludf.DUMMYFUNCTION("""COMPUTED_VALUE""")," মেহেরপুর""")</f>
        <v> মেহেরপুর"</v>
      </c>
    </row>
    <row r="83">
      <c r="A83" s="7" t="s">
        <v>7237</v>
      </c>
      <c r="B83" s="5">
        <f>IFERROR(__xludf.DUMMYFUNCTION("SPLIT(A83,"","")"),853.0)</f>
        <v>853</v>
      </c>
      <c r="C83" s="5" t="str">
        <f>IFERROR(__xludf.DUMMYFUNCTION("""COMPUTED_VALUE"""),"মোঃ আনিচুর রহমান")</f>
        <v>মোঃ আনিচুর রহমান</v>
      </c>
      <c r="D83" s="5">
        <f>IFERROR(__xludf.DUMMYFUNCTION("""COMPUTED_VALUE"""),5.70038355181E11)</f>
        <v>570038355181</v>
      </c>
      <c r="E83" s="5" t="str">
        <f>IFERROR(__xludf.DUMMYFUNCTION("""COMPUTED_VALUE"""),"মোঃ জমির আলী")</f>
        <v>মোঃ জমির আলী</v>
      </c>
      <c r="F83" s="5" t="str">
        <f>IFERROR(__xludf.DUMMYFUNCTION("""COMPUTED_VALUE"""),"মোছাঃ হাজেরা খাতুন")</f>
        <v>মোছাঃ হাজেরা খাতুন</v>
      </c>
      <c r="G83" s="5" t="str">
        <f>IFERROR(__xludf.DUMMYFUNCTION("""COMPUTED_VALUE"""),"২৪/১১/১৯৮১")</f>
        <v>২৪/১১/১৯৮১</v>
      </c>
      <c r="H83" s="5" t="str">
        <f>IFERROR(__xludf.DUMMYFUNCTION("""COMPUTED_VALUE"""),"শ্রমিক")</f>
        <v>শ্রমিক</v>
      </c>
      <c r="I83" s="5" t="str">
        <f>IFERROR(__xludf.DUMMYFUNCTION("""COMPUTED_VALUE"""),"""গাড়াডোব")</f>
        <v>"গাড়াডোব</v>
      </c>
      <c r="J83" s="5" t="str">
        <f>IFERROR(__xludf.DUMMYFUNCTION("""COMPUTED_VALUE""")," গাংনী")</f>
        <v> গাংনী</v>
      </c>
      <c r="K83" s="5" t="str">
        <f>IFERROR(__xludf.DUMMYFUNCTION("""COMPUTED_VALUE""")," মেহেরপুর""")</f>
        <v> মেহেরপুর"</v>
      </c>
    </row>
    <row r="84">
      <c r="A84" s="7" t="s">
        <v>7238</v>
      </c>
      <c r="B84" s="5">
        <f>IFERROR(__xludf.DUMMYFUNCTION("SPLIT(A84,"","")"),854.0)</f>
        <v>854</v>
      </c>
      <c r="C84" s="5" t="str">
        <f>IFERROR(__xludf.DUMMYFUNCTION("""COMPUTED_VALUE"""),"মোহাঃ আব্দুর রশিদ")</f>
        <v>মোহাঃ আব্দুর রশিদ</v>
      </c>
      <c r="D84" s="5">
        <f>IFERROR(__xludf.DUMMYFUNCTION("""COMPUTED_VALUE"""),5.70038355182E11)</f>
        <v>570038355182</v>
      </c>
      <c r="E84" s="5" t="str">
        <f>IFERROR(__xludf.DUMMYFUNCTION("""COMPUTED_VALUE"""),"হিমমত সেখ")</f>
        <v>হিমমত সেখ</v>
      </c>
      <c r="F84" s="5" t="str">
        <f>IFERROR(__xludf.DUMMYFUNCTION("""COMPUTED_VALUE"""),"মোছাঃ আতেজান নেছা")</f>
        <v>মোছাঃ আতেজান নেছা</v>
      </c>
      <c r="G84" s="5" t="str">
        <f>IFERROR(__xludf.DUMMYFUNCTION("""COMPUTED_VALUE"""),"২৫/১১/১৯৬৫")</f>
        <v>২৫/১১/১৯৬৫</v>
      </c>
      <c r="H84" s="5" t="str">
        <f>IFERROR(__xludf.DUMMYFUNCTION("""COMPUTED_VALUE"""),"সরকারী চাকুরী")</f>
        <v>সরকারী চাকুরী</v>
      </c>
      <c r="I84" s="5" t="str">
        <f>IFERROR(__xludf.DUMMYFUNCTION("""COMPUTED_VALUE"""),"""গাড়াডোব")</f>
        <v>"গাড়াডোব</v>
      </c>
      <c r="J84" s="5" t="str">
        <f>IFERROR(__xludf.DUMMYFUNCTION("""COMPUTED_VALUE""")," গাংনী")</f>
        <v> গাংনী</v>
      </c>
      <c r="K84" s="5" t="str">
        <f>IFERROR(__xludf.DUMMYFUNCTION("""COMPUTED_VALUE""")," মেহেরপুর""")</f>
        <v> মেহেরপুর"</v>
      </c>
    </row>
    <row r="85">
      <c r="A85" s="7" t="s">
        <v>7239</v>
      </c>
      <c r="B85" s="5">
        <f>IFERROR(__xludf.DUMMYFUNCTION("SPLIT(A85,"","")"),855.0)</f>
        <v>855</v>
      </c>
      <c r="C85" s="5" t="str">
        <f>IFERROR(__xludf.DUMMYFUNCTION("""COMPUTED_VALUE"""),"মোঃ বাবলু")</f>
        <v>মোঃ বাবলু</v>
      </c>
      <c r="D85" s="5">
        <f>IFERROR(__xludf.DUMMYFUNCTION("""COMPUTED_VALUE"""),5.70038355184E11)</f>
        <v>570038355184</v>
      </c>
      <c r="E85" s="5" t="str">
        <f>IFERROR(__xludf.DUMMYFUNCTION("""COMPUTED_VALUE"""),"দিদার বকস")</f>
        <v>দিদার বকস</v>
      </c>
      <c r="F85" s="5" t="str">
        <f>IFERROR(__xludf.DUMMYFUNCTION("""COMPUTED_VALUE"""),"মাতা: জেলেখা")</f>
        <v>মাতা: জেলেখা</v>
      </c>
      <c r="G85" s="5" t="str">
        <f>IFERROR(__xludf.DUMMYFUNCTION("""COMPUTED_VALUE"""),"০৫/০৫/১৯৬৭")</f>
        <v>০৫/০৫/১৯৬৭</v>
      </c>
      <c r="H85" s="5" t="str">
        <f>IFERROR(__xludf.DUMMYFUNCTION("""COMPUTED_VALUE"""),"ব্যবসা")</f>
        <v>ব্যবসা</v>
      </c>
      <c r="I85" s="5" t="str">
        <f>IFERROR(__xludf.DUMMYFUNCTION("""COMPUTED_VALUE"""),"""গাড়াডোব")</f>
        <v>"গাড়াডোব</v>
      </c>
      <c r="J85" s="5" t="str">
        <f>IFERROR(__xludf.DUMMYFUNCTION("""COMPUTED_VALUE""")," গাংনী")</f>
        <v> গাংনী</v>
      </c>
      <c r="K85" s="5" t="str">
        <f>IFERROR(__xludf.DUMMYFUNCTION("""COMPUTED_VALUE""")," মেহেরপুর""")</f>
        <v> মেহেরপুর"</v>
      </c>
    </row>
    <row r="86">
      <c r="A86" s="7" t="s">
        <v>7240</v>
      </c>
      <c r="B86" s="5">
        <f>IFERROR(__xludf.DUMMYFUNCTION("SPLIT(A86,"","")"),856.0)</f>
        <v>856</v>
      </c>
      <c r="C86" s="5" t="str">
        <f>IFERROR(__xludf.DUMMYFUNCTION("""COMPUTED_VALUE"""),"মোঃ নিহাজদ্দীন")</f>
        <v>মোঃ নিহাজদ্দীন</v>
      </c>
      <c r="D86" s="5">
        <f>IFERROR(__xludf.DUMMYFUNCTION("""COMPUTED_VALUE"""),5.70038355191E11)</f>
        <v>570038355191</v>
      </c>
      <c r="E86" s="5" t="str">
        <f>IFERROR(__xludf.DUMMYFUNCTION("""COMPUTED_VALUE"""),"হাফিজুদ্দীন")</f>
        <v>হাফিজুদ্দীন</v>
      </c>
      <c r="F86" s="5" t="str">
        <f>IFERROR(__xludf.DUMMYFUNCTION("""COMPUTED_VALUE"""),"মোছাঃ ছকিনা খাতুন")</f>
        <v>মোছাঃ ছকিনা খাতুন</v>
      </c>
      <c r="G86" s="5" t="str">
        <f>IFERROR(__xludf.DUMMYFUNCTION("""COMPUTED_VALUE"""),"১৮/১২/১৯৬৩")</f>
        <v>১৮/১২/১৯৬৩</v>
      </c>
      <c r="H86" s="5" t="str">
        <f>IFERROR(__xludf.DUMMYFUNCTION("""COMPUTED_VALUE"""),"রিক্সা/ভ্যান চালক")</f>
        <v>রিক্সা/ভ্যান চালক</v>
      </c>
      <c r="I86" s="5" t="str">
        <f>IFERROR(__xludf.DUMMYFUNCTION("""COMPUTED_VALUE"""),"""গাড়াডোব")</f>
        <v>"গাড়াডোব</v>
      </c>
      <c r="J86" s="5" t="str">
        <f>IFERROR(__xludf.DUMMYFUNCTION("""COMPUTED_VALUE""")," গাংনী")</f>
        <v> গাংনী</v>
      </c>
      <c r="K86" s="5" t="str">
        <f>IFERROR(__xludf.DUMMYFUNCTION("""COMPUTED_VALUE""")," মেহেরপুর""")</f>
        <v> মেহেরপুর"</v>
      </c>
    </row>
    <row r="87">
      <c r="A87" s="7" t="s">
        <v>7241</v>
      </c>
      <c r="B87" s="5">
        <f>IFERROR(__xludf.DUMMYFUNCTION("SPLIT(A87,"","")"),857.0)</f>
        <v>857</v>
      </c>
      <c r="C87" s="5" t="str">
        <f>IFERROR(__xludf.DUMMYFUNCTION("""COMPUTED_VALUE"""),"মোহাঃ আবুল হাশেম")</f>
        <v>মোহাঃ আবুল হাশেম</v>
      </c>
      <c r="D87" s="5">
        <f>IFERROR(__xludf.DUMMYFUNCTION("""COMPUTED_VALUE"""),5.70038355192E11)</f>
        <v>570038355192</v>
      </c>
      <c r="E87" s="5" t="str">
        <f>IFERROR(__xludf.DUMMYFUNCTION("""COMPUTED_VALUE"""),"মোহাঃ ফজের আলী খান")</f>
        <v>মোহাঃ ফজের আলী খান</v>
      </c>
      <c r="F87" s="5" t="str">
        <f>IFERROR(__xludf.DUMMYFUNCTION("""COMPUTED_VALUE"""),"মোহাঃ রহিমা খাতুন")</f>
        <v>মোহাঃ রহিমা খাতুন</v>
      </c>
      <c r="G87" s="5" t="str">
        <f>IFERROR(__xludf.DUMMYFUNCTION("""COMPUTED_VALUE"""),"১২/১০/১৯৭৭")</f>
        <v>১২/১০/১৯৭৭</v>
      </c>
      <c r="H87" s="5" t="str">
        <f>IFERROR(__xludf.DUMMYFUNCTION("""COMPUTED_VALUE"""),"কৃষক")</f>
        <v>কৃষক</v>
      </c>
      <c r="I87" s="5" t="str">
        <f>IFERROR(__xludf.DUMMYFUNCTION("""COMPUTED_VALUE"""),"""গাড়াডোব")</f>
        <v>"গাড়াডোব</v>
      </c>
      <c r="J87" s="5" t="str">
        <f>IFERROR(__xludf.DUMMYFUNCTION("""COMPUTED_VALUE""")," গাংনী")</f>
        <v> গাংনী</v>
      </c>
      <c r="K87" s="5" t="str">
        <f>IFERROR(__xludf.DUMMYFUNCTION("""COMPUTED_VALUE""")," মেহেরপুর""")</f>
        <v> মেহেরপুর"</v>
      </c>
    </row>
    <row r="88">
      <c r="A88" s="7" t="s">
        <v>7242</v>
      </c>
      <c r="B88" s="5">
        <f>IFERROR(__xludf.DUMMYFUNCTION("SPLIT(A88,"","")"),858.0)</f>
        <v>858</v>
      </c>
      <c r="C88" s="5" t="str">
        <f>IFERROR(__xludf.DUMMYFUNCTION("""COMPUTED_VALUE"""),"মোঃ আবুল কাশেম")</f>
        <v>মোঃ আবুল কাশেম</v>
      </c>
      <c r="D88" s="5">
        <f>IFERROR(__xludf.DUMMYFUNCTION("""COMPUTED_VALUE"""),5.70038355196E11)</f>
        <v>570038355196</v>
      </c>
      <c r="E88" s="5" t="str">
        <f>IFERROR(__xludf.DUMMYFUNCTION("""COMPUTED_VALUE"""),"মোঃ ফজের আলী খান")</f>
        <v>মোঃ ফজের আলী খান</v>
      </c>
      <c r="F88" s="5" t="str">
        <f>IFERROR(__xludf.DUMMYFUNCTION("""COMPUTED_VALUE"""),"মোছাঃ রহিমা খাতুন")</f>
        <v>মোছাঃ রহিমা খাতুন</v>
      </c>
      <c r="G88" s="5" t="str">
        <f>IFERROR(__xludf.DUMMYFUNCTION("""COMPUTED_VALUE"""),"০৩/০২/১৯৬৯")</f>
        <v>০৩/০২/১৯৬৯</v>
      </c>
      <c r="H88" s="5" t="str">
        <f>IFERROR(__xludf.DUMMYFUNCTION("""COMPUTED_VALUE"""),"কৃষক")</f>
        <v>কৃষক</v>
      </c>
      <c r="I88" s="5" t="str">
        <f>IFERROR(__xludf.DUMMYFUNCTION("""COMPUTED_VALUE"""),"""গাড়াডোব")</f>
        <v>"গাড়াডোব</v>
      </c>
      <c r="J88" s="5" t="str">
        <f>IFERROR(__xludf.DUMMYFUNCTION("""COMPUTED_VALUE""")," গাংনী")</f>
        <v> গাংনী</v>
      </c>
      <c r="K88" s="5" t="str">
        <f>IFERROR(__xludf.DUMMYFUNCTION("""COMPUTED_VALUE""")," মেহেরপুর""")</f>
        <v> মেহেরপুর"</v>
      </c>
    </row>
    <row r="89">
      <c r="A89" s="7" t="s">
        <v>7243</v>
      </c>
      <c r="B89" s="5">
        <f>IFERROR(__xludf.DUMMYFUNCTION("SPLIT(A89,"","")"),859.0)</f>
        <v>859</v>
      </c>
      <c r="C89" s="5" t="str">
        <f>IFERROR(__xludf.DUMMYFUNCTION("""COMPUTED_VALUE"""),"মোঃ ইসমাইল হোসেন")</f>
        <v>মোঃ ইসমাইল হোসেন</v>
      </c>
      <c r="D89" s="5">
        <f>IFERROR(__xludf.DUMMYFUNCTION("""COMPUTED_VALUE"""),5.70038355199E11)</f>
        <v>570038355199</v>
      </c>
      <c r="E89" s="5" t="str">
        <f>IFERROR(__xludf.DUMMYFUNCTION("""COMPUTED_VALUE"""),"মোঃ ফজের আলী খান")</f>
        <v>মোঃ ফজের আলী খান</v>
      </c>
      <c r="F89" s="5" t="str">
        <f>IFERROR(__xludf.DUMMYFUNCTION("""COMPUTED_VALUE"""),"মোছাঃ রহিমা খাতুন")</f>
        <v>মোছাঃ রহিমা খাতুন</v>
      </c>
      <c r="G89" s="5" t="str">
        <f>IFERROR(__xludf.DUMMYFUNCTION("""COMPUTED_VALUE"""),"১৭/০৩/১৯৫৯")</f>
        <v>১৭/০৩/১৯৫৯</v>
      </c>
      <c r="H89" s="5" t="str">
        <f>IFERROR(__xludf.DUMMYFUNCTION("""COMPUTED_VALUE"""),"কৃষক")</f>
        <v>কৃষক</v>
      </c>
      <c r="I89" s="5" t="str">
        <f>IFERROR(__xludf.DUMMYFUNCTION("""COMPUTED_VALUE"""),"""গাড়াডোব")</f>
        <v>"গাড়াডোব</v>
      </c>
      <c r="J89" s="5" t="str">
        <f>IFERROR(__xludf.DUMMYFUNCTION("""COMPUTED_VALUE""")," গাংনী")</f>
        <v> গাংনী</v>
      </c>
      <c r="K89" s="5" t="str">
        <f>IFERROR(__xludf.DUMMYFUNCTION("""COMPUTED_VALUE""")," মেহেরপুর""")</f>
        <v> মেহেরপুর"</v>
      </c>
    </row>
    <row r="90">
      <c r="A90" s="7" t="s">
        <v>7244</v>
      </c>
      <c r="B90" s="5">
        <f>IFERROR(__xludf.DUMMYFUNCTION("SPLIT(A90,"","")"),860.0)</f>
        <v>860</v>
      </c>
      <c r="C90" s="5" t="str">
        <f>IFERROR(__xludf.DUMMYFUNCTION("""COMPUTED_VALUE"""),"মোঃ আকুব্বার আলী")</f>
        <v>মোঃ আকুব্বার আলী</v>
      </c>
      <c r="D90" s="5">
        <f>IFERROR(__xludf.DUMMYFUNCTION("""COMPUTED_VALUE"""),5.70038355207E11)</f>
        <v>570038355207</v>
      </c>
      <c r="E90" s="5" t="str">
        <f>IFERROR(__xludf.DUMMYFUNCTION("""COMPUTED_VALUE"""),"হায়াত আলী")</f>
        <v>হায়াত আলী</v>
      </c>
      <c r="F90" s="5" t="str">
        <f>IFERROR(__xludf.DUMMYFUNCTION("""COMPUTED_VALUE"""),"মোছাঃ শাহরন")</f>
        <v>মোছাঃ শাহরন</v>
      </c>
      <c r="G90" s="5" t="str">
        <f>IFERROR(__xludf.DUMMYFUNCTION("""COMPUTED_VALUE"""),"০৩/১০/১৯৫৯")</f>
        <v>০৩/১০/১৯৫৯</v>
      </c>
      <c r="H90" s="5" t="str">
        <f>IFERROR(__xludf.DUMMYFUNCTION("""COMPUTED_VALUE"""),"কৃষক")</f>
        <v>কৃষক</v>
      </c>
      <c r="I90" s="5" t="str">
        <f>IFERROR(__xludf.DUMMYFUNCTION("""COMPUTED_VALUE"""),"""গাড়াডোব")</f>
        <v>"গাড়াডোব</v>
      </c>
      <c r="J90" s="5" t="str">
        <f>IFERROR(__xludf.DUMMYFUNCTION("""COMPUTED_VALUE""")," গাংনী")</f>
        <v> গাংনী</v>
      </c>
      <c r="K90" s="5" t="str">
        <f>IFERROR(__xludf.DUMMYFUNCTION("""COMPUTED_VALUE""")," মেহেরপুর""")</f>
        <v> মেহেরপুর"</v>
      </c>
    </row>
    <row r="91">
      <c r="A91" s="7" t="s">
        <v>7245</v>
      </c>
      <c r="B91" s="5">
        <f>IFERROR(__xludf.DUMMYFUNCTION("SPLIT(A91,"","")"),861.0)</f>
        <v>861</v>
      </c>
      <c r="C91" s="5" t="str">
        <f>IFERROR(__xludf.DUMMYFUNCTION("""COMPUTED_VALUE"""),"মোহাঃ ছামাদুল হক")</f>
        <v>মোহাঃ ছামাদুল হক</v>
      </c>
      <c r="D91" s="5">
        <f>IFERROR(__xludf.DUMMYFUNCTION("""COMPUTED_VALUE"""),5.70038355208E11)</f>
        <v>570038355208</v>
      </c>
      <c r="E91" s="5" t="str">
        <f>IFERROR(__xludf.DUMMYFUNCTION("""COMPUTED_VALUE"""),"শেখ মোহাঃ মুছা")</f>
        <v>শেখ মোহাঃ মুছা</v>
      </c>
      <c r="F91" s="5" t="str">
        <f>IFERROR(__xludf.DUMMYFUNCTION("""COMPUTED_VALUE"""),"মোছাঃ ছামেদা খাতুন")</f>
        <v>মোছাঃ ছামেদা খাতুন</v>
      </c>
      <c r="G91" s="5" t="str">
        <f>IFERROR(__xludf.DUMMYFUNCTION("""COMPUTED_VALUE"""),"০৮/০৮/১৯৬২")</f>
        <v>০৮/০৮/১৯৬২</v>
      </c>
      <c r="H91" s="5" t="str">
        <f>IFERROR(__xludf.DUMMYFUNCTION("""COMPUTED_VALUE"""),"ব্যবসা")</f>
        <v>ব্যবসা</v>
      </c>
      <c r="I91" s="5" t="str">
        <f>IFERROR(__xludf.DUMMYFUNCTION("""COMPUTED_VALUE"""),"""গাড়াডোব")</f>
        <v>"গাড়াডোব</v>
      </c>
      <c r="J91" s="5" t="str">
        <f>IFERROR(__xludf.DUMMYFUNCTION("""COMPUTED_VALUE""")," গাংনী")</f>
        <v> গাংনী</v>
      </c>
      <c r="K91" s="5" t="str">
        <f>IFERROR(__xludf.DUMMYFUNCTION("""COMPUTED_VALUE""")," মেহেরপুর""")</f>
        <v> মেহেরপুর"</v>
      </c>
    </row>
    <row r="92">
      <c r="A92" s="7" t="s">
        <v>7246</v>
      </c>
      <c r="B92" s="5">
        <f>IFERROR(__xludf.DUMMYFUNCTION("SPLIT(A92,"","")"),862.0)</f>
        <v>862</v>
      </c>
      <c r="C92" s="5" t="str">
        <f>IFERROR(__xludf.DUMMYFUNCTION("""COMPUTED_VALUE"""),"মোঃ সাইদুল হক")</f>
        <v>মোঃ সাইদুল হক</v>
      </c>
      <c r="D92" s="5">
        <f>IFERROR(__xludf.DUMMYFUNCTION("""COMPUTED_VALUE"""),5.70038355209E11)</f>
        <v>570038355209</v>
      </c>
      <c r="E92" s="5" t="str">
        <f>IFERROR(__xludf.DUMMYFUNCTION("""COMPUTED_VALUE"""),"শেখ মোঃ মুছা")</f>
        <v>শেখ মোঃ মুছা</v>
      </c>
      <c r="F92" s="5" t="str">
        <f>IFERROR(__xludf.DUMMYFUNCTION("""COMPUTED_VALUE"""),"মোছাঃ ছামেদা খাতুন")</f>
        <v>মোছাঃ ছামেদা খাতুন</v>
      </c>
      <c r="G92" s="5" t="str">
        <f>IFERROR(__xludf.DUMMYFUNCTION("""COMPUTED_VALUE"""),"১৩/০১/১৯৭৬")</f>
        <v>১৩/০১/১৯৭৬</v>
      </c>
      <c r="H92" s="5" t="str">
        <f>IFERROR(__xludf.DUMMYFUNCTION("""COMPUTED_VALUE"""),"কৃষক")</f>
        <v>কৃষক</v>
      </c>
      <c r="I92" s="5" t="str">
        <f>IFERROR(__xludf.DUMMYFUNCTION("""COMPUTED_VALUE"""),"""গাড়াডোব")</f>
        <v>"গাড়াডোব</v>
      </c>
      <c r="J92" s="5" t="str">
        <f>IFERROR(__xludf.DUMMYFUNCTION("""COMPUTED_VALUE""")," গাংনী")</f>
        <v> গাংনী</v>
      </c>
      <c r="K92" s="5" t="str">
        <f>IFERROR(__xludf.DUMMYFUNCTION("""COMPUTED_VALUE""")," মেহেরপুর""")</f>
        <v> মেহেরপুর"</v>
      </c>
    </row>
    <row r="93">
      <c r="A93" s="7" t="s">
        <v>7247</v>
      </c>
      <c r="B93" s="5">
        <f>IFERROR(__xludf.DUMMYFUNCTION("SPLIT(A93,"","")"),863.0)</f>
        <v>863</v>
      </c>
      <c r="C93" s="5" t="str">
        <f>IFERROR(__xludf.DUMMYFUNCTION("""COMPUTED_VALUE"""),"মোঃ হামিদুল হক")</f>
        <v>মোঃ হামিদুল হক</v>
      </c>
      <c r="D93" s="5">
        <f>IFERROR(__xludf.DUMMYFUNCTION("""COMPUTED_VALUE"""),5.7003835521E11)</f>
        <v>570038355210</v>
      </c>
      <c r="E93" s="5" t="str">
        <f>IFERROR(__xludf.DUMMYFUNCTION("""COMPUTED_VALUE"""),"শেখ মোহাঃ মুছা")</f>
        <v>শেখ মোহাঃ মুছা</v>
      </c>
      <c r="F93" s="5" t="str">
        <f>IFERROR(__xludf.DUMMYFUNCTION("""COMPUTED_VALUE"""),"মোছাঃ ছামেদা খাতুন")</f>
        <v>মোছাঃ ছামেদা খাতুন</v>
      </c>
      <c r="G93" s="5" t="str">
        <f>IFERROR(__xludf.DUMMYFUNCTION("""COMPUTED_VALUE"""),"১৫/০৯/১৯৭০")</f>
        <v>১৫/০৯/১৯৭০</v>
      </c>
      <c r="H93" s="5" t="str">
        <f>IFERROR(__xludf.DUMMYFUNCTION("""COMPUTED_VALUE"""),"কৃষক")</f>
        <v>কৃষক</v>
      </c>
      <c r="I93" s="5" t="str">
        <f>IFERROR(__xludf.DUMMYFUNCTION("""COMPUTED_VALUE"""),"""গাড়াডোব")</f>
        <v>"গাড়াডোব</v>
      </c>
      <c r="J93" s="5" t="str">
        <f>IFERROR(__xludf.DUMMYFUNCTION("""COMPUTED_VALUE""")," গাংনী")</f>
        <v> গাংনী</v>
      </c>
      <c r="K93" s="5" t="str">
        <f>IFERROR(__xludf.DUMMYFUNCTION("""COMPUTED_VALUE""")," মেহেরপুর""")</f>
        <v> মেহেরপুর"</v>
      </c>
    </row>
    <row r="94">
      <c r="A94" s="7" t="s">
        <v>7248</v>
      </c>
      <c r="B94" s="5">
        <f>IFERROR(__xludf.DUMMYFUNCTION("SPLIT(A94,"","")"),864.0)</f>
        <v>864</v>
      </c>
      <c r="C94" s="5" t="str">
        <f>IFERROR(__xludf.DUMMYFUNCTION("""COMPUTED_VALUE"""),"মোঃ রাশিদুল ইসলাম")</f>
        <v>মোঃ রাশিদুল ইসলাম</v>
      </c>
      <c r="D94" s="5">
        <f>IFERROR(__xludf.DUMMYFUNCTION("""COMPUTED_VALUE"""),5.70038355213E11)</f>
        <v>570038355213</v>
      </c>
      <c r="E94" s="5" t="str">
        <f>IFERROR(__xludf.DUMMYFUNCTION("""COMPUTED_VALUE"""),"মোঃ আবুল কাশেম")</f>
        <v>মোঃ আবুল কাশেম</v>
      </c>
      <c r="F94" s="5" t="str">
        <f>IFERROR(__xludf.DUMMYFUNCTION("""COMPUTED_VALUE"""),"মোছাঃ মলেজান")</f>
        <v>মোছাঃ মলেজান</v>
      </c>
      <c r="G94" s="5" t="str">
        <f>IFERROR(__xludf.DUMMYFUNCTION("""COMPUTED_VALUE"""),"০৬/০৯/১৯৮২")</f>
        <v>০৬/০৯/১৯৮২</v>
      </c>
      <c r="H94" s="5" t="str">
        <f>IFERROR(__xludf.DUMMYFUNCTION("""COMPUTED_VALUE"""),"ব্যবসা")</f>
        <v>ব্যবসা</v>
      </c>
      <c r="I94" s="5" t="str">
        <f>IFERROR(__xludf.DUMMYFUNCTION("""COMPUTED_VALUE"""),"""গাড়াডোব")</f>
        <v>"গাড়াডোব</v>
      </c>
      <c r="J94" s="5" t="str">
        <f>IFERROR(__xludf.DUMMYFUNCTION("""COMPUTED_VALUE""")," গাংনী")</f>
        <v> গাংনী</v>
      </c>
      <c r="K94" s="5" t="str">
        <f>IFERROR(__xludf.DUMMYFUNCTION("""COMPUTED_VALUE""")," মেহেরপুর""")</f>
        <v> মেহেরপুর"</v>
      </c>
    </row>
    <row r="95">
      <c r="A95" s="7" t="s">
        <v>7249</v>
      </c>
      <c r="B95" s="5">
        <f>IFERROR(__xludf.DUMMYFUNCTION("SPLIT(A95,"","")"),865.0)</f>
        <v>865</v>
      </c>
      <c r="C95" s="5" t="str">
        <f>IFERROR(__xludf.DUMMYFUNCTION("""COMPUTED_VALUE"""),"মুহাঃ আনোয়ার হোসেন খান")</f>
        <v>মুহাঃ আনোয়ার হোসেন খান</v>
      </c>
      <c r="D95" s="5">
        <f>IFERROR(__xludf.DUMMYFUNCTION("""COMPUTED_VALUE"""),5.70038355216E11)</f>
        <v>570038355216</v>
      </c>
      <c r="E95" s="5" t="str">
        <f>IFERROR(__xludf.DUMMYFUNCTION("""COMPUTED_VALUE"""),"মুহাঃ ইয়াদ আলী খান")</f>
        <v>মুহাঃ ইয়াদ আলী খান</v>
      </c>
      <c r="F95" s="5" t="str">
        <f>IFERROR(__xludf.DUMMYFUNCTION("""COMPUTED_VALUE"""),"মোছাঃ আমেনা খাতুন")</f>
        <v>মোছাঃ আমেনা খাতুন</v>
      </c>
      <c r="G95" s="5" t="str">
        <f>IFERROR(__xludf.DUMMYFUNCTION("""COMPUTED_VALUE"""),"২৮/০২/১৯৬০")</f>
        <v>২৮/০২/১৯৬০</v>
      </c>
      <c r="H95" s="5" t="str">
        <f>IFERROR(__xludf.DUMMYFUNCTION("""COMPUTED_VALUE"""),"সরকারী চাকুরী")</f>
        <v>সরকারী চাকুরী</v>
      </c>
      <c r="I95" s="5" t="str">
        <f>IFERROR(__xludf.DUMMYFUNCTION("""COMPUTED_VALUE"""),"""গাড়াডোব")</f>
        <v>"গাড়াডোব</v>
      </c>
      <c r="J95" s="5" t="str">
        <f>IFERROR(__xludf.DUMMYFUNCTION("""COMPUTED_VALUE""")," গাংনী")</f>
        <v> গাংনী</v>
      </c>
      <c r="K95" s="5" t="str">
        <f>IFERROR(__xludf.DUMMYFUNCTION("""COMPUTED_VALUE""")," মেহেরপুর""")</f>
        <v> মেহেরপুর"</v>
      </c>
    </row>
    <row r="96">
      <c r="A96" s="7" t="s">
        <v>7250</v>
      </c>
      <c r="B96" s="5">
        <f>IFERROR(__xludf.DUMMYFUNCTION("SPLIT(A96,"","")"),866.0)</f>
        <v>866</v>
      </c>
      <c r="C96" s="5" t="str">
        <f>IFERROR(__xludf.DUMMYFUNCTION("""COMPUTED_VALUE"""),"মোঃ মাজেদুল হক")</f>
        <v>মোঃ মাজেদুল হক</v>
      </c>
      <c r="D96" s="5">
        <f>IFERROR(__xludf.DUMMYFUNCTION("""COMPUTED_VALUE"""),5.70038355217E11)</f>
        <v>570038355217</v>
      </c>
      <c r="E96" s="5" t="str">
        <f>IFERROR(__xludf.DUMMYFUNCTION("""COMPUTED_VALUE"""),"মোঃ আব্দুস সালাম")</f>
        <v>মোঃ আব্দুস সালাম</v>
      </c>
      <c r="F96" s="5" t="str">
        <f>IFERROR(__xludf.DUMMYFUNCTION("""COMPUTED_VALUE"""),"মোছাঃ মজিরন নেছা")</f>
        <v>মোছাঃ মজিরন নেছা</v>
      </c>
      <c r="G96" s="5" t="str">
        <f>IFERROR(__xludf.DUMMYFUNCTION("""COMPUTED_VALUE"""),"২৫/১০/১৯৮৬")</f>
        <v>২৫/১০/১৯৮৬</v>
      </c>
      <c r="H96" s="5" t="str">
        <f>IFERROR(__xludf.DUMMYFUNCTION("""COMPUTED_VALUE"""),"কৃষক")</f>
        <v>কৃষক</v>
      </c>
      <c r="I96" s="5" t="str">
        <f>IFERROR(__xludf.DUMMYFUNCTION("""COMPUTED_VALUE"""),"""গাড়াডোব")</f>
        <v>"গাড়াডোব</v>
      </c>
      <c r="J96" s="5" t="str">
        <f>IFERROR(__xludf.DUMMYFUNCTION("""COMPUTED_VALUE""")," গাংনী")</f>
        <v> গাংনী</v>
      </c>
      <c r="K96" s="5" t="str">
        <f>IFERROR(__xludf.DUMMYFUNCTION("""COMPUTED_VALUE""")," মেহেরপুর""")</f>
        <v> মেহেরপুর"</v>
      </c>
    </row>
    <row r="97">
      <c r="A97" s="7" t="s">
        <v>7251</v>
      </c>
      <c r="B97" s="5">
        <f>IFERROR(__xludf.DUMMYFUNCTION("SPLIT(A97,"","")"),867.0)</f>
        <v>867</v>
      </c>
      <c r="C97" s="5" t="str">
        <f>IFERROR(__xludf.DUMMYFUNCTION("""COMPUTED_VALUE"""),"মোঃ সাইফুল ইসলাম")</f>
        <v>মোঃ সাইফুল ইসলাম</v>
      </c>
      <c r="D97" s="5">
        <f>IFERROR(__xludf.DUMMYFUNCTION("""COMPUTED_VALUE"""),5.70038355219E11)</f>
        <v>570038355219</v>
      </c>
      <c r="E97" s="5" t="str">
        <f>IFERROR(__xludf.DUMMYFUNCTION("""COMPUTED_VALUE"""),"মোঃ আবুল কালাম")</f>
        <v>মোঃ আবুল কালাম</v>
      </c>
      <c r="F97" s="5" t="str">
        <f>IFERROR(__xludf.DUMMYFUNCTION("""COMPUTED_VALUE"""),"মোছাঃ সাফিয়া খাতুন")</f>
        <v>মোছাঃ সাফিয়া খাতুন</v>
      </c>
      <c r="G97" s="5" t="str">
        <f>IFERROR(__xludf.DUMMYFUNCTION("""COMPUTED_VALUE"""),"১৫/০৫/১৯৮৭")</f>
        <v>১৫/০৫/১৯৮৭</v>
      </c>
      <c r="H97" s="5" t="str">
        <f>IFERROR(__xludf.DUMMYFUNCTION("""COMPUTED_VALUE"""),"ব্যবসা")</f>
        <v>ব্যবসা</v>
      </c>
      <c r="I97" s="5" t="str">
        <f>IFERROR(__xludf.DUMMYFUNCTION("""COMPUTED_VALUE"""),"""গাড়াডোব")</f>
        <v>"গাড়াডোব</v>
      </c>
      <c r="J97" s="5" t="str">
        <f>IFERROR(__xludf.DUMMYFUNCTION("""COMPUTED_VALUE""")," গাংনী")</f>
        <v> গাংনী</v>
      </c>
      <c r="K97" s="5" t="str">
        <f>IFERROR(__xludf.DUMMYFUNCTION("""COMPUTED_VALUE""")," মেহেরপুর""")</f>
        <v> মেহেরপুর"</v>
      </c>
    </row>
    <row r="98">
      <c r="A98" s="7" t="s">
        <v>7252</v>
      </c>
      <c r="B98" s="5">
        <f>IFERROR(__xludf.DUMMYFUNCTION("SPLIT(A98,"","")"),868.0)</f>
        <v>868</v>
      </c>
      <c r="C98" s="5" t="str">
        <f>IFERROR(__xludf.DUMMYFUNCTION("""COMPUTED_VALUE"""),"মোঃ জনাপ আলী")</f>
        <v>মোঃ জনাপ আলী</v>
      </c>
      <c r="D98" s="5">
        <f>IFERROR(__xludf.DUMMYFUNCTION("""COMPUTED_VALUE"""),5.7003835522E11)</f>
        <v>570038355220</v>
      </c>
      <c r="E98" s="5" t="str">
        <f>IFERROR(__xludf.DUMMYFUNCTION("""COMPUTED_VALUE"""),"মোঃ রোবকুল ইসলাম")</f>
        <v>মোঃ রোবকুল ইসলাম</v>
      </c>
      <c r="F98" s="5" t="str">
        <f>IFERROR(__xludf.DUMMYFUNCTION("""COMPUTED_VALUE"""),"মোছাঃ ছাহেরা খাতুন")</f>
        <v>মোছাঃ ছাহেরা খাতুন</v>
      </c>
      <c r="G98" s="5" t="str">
        <f>IFERROR(__xludf.DUMMYFUNCTION("""COMPUTED_VALUE"""),"১৬/০৬/১৯৮২")</f>
        <v>১৬/০৬/১৯৮২</v>
      </c>
      <c r="H98" s="5" t="str">
        <f>IFERROR(__xludf.DUMMYFUNCTION("""COMPUTED_VALUE"""),"ব্যবসা")</f>
        <v>ব্যবসা</v>
      </c>
      <c r="I98" s="5" t="str">
        <f>IFERROR(__xludf.DUMMYFUNCTION("""COMPUTED_VALUE"""),"""গাড়াডোব")</f>
        <v>"গাড়াডোব</v>
      </c>
      <c r="J98" s="5" t="str">
        <f>IFERROR(__xludf.DUMMYFUNCTION("""COMPUTED_VALUE""")," গাংনী")</f>
        <v> গাংনী</v>
      </c>
      <c r="K98" s="5" t="str">
        <f>IFERROR(__xludf.DUMMYFUNCTION("""COMPUTED_VALUE""")," মেহেরপুর""")</f>
        <v> মেহেরপুর"</v>
      </c>
    </row>
    <row r="99">
      <c r="A99" s="7" t="s">
        <v>7253</v>
      </c>
      <c r="B99" s="5">
        <f>IFERROR(__xludf.DUMMYFUNCTION("SPLIT(A99,"","")"),869.0)</f>
        <v>869</v>
      </c>
      <c r="C99" s="5" t="str">
        <f>IFERROR(__xludf.DUMMYFUNCTION("""COMPUTED_VALUE"""),"মোঃ ফারুক হাসান")</f>
        <v>মোঃ ফারুক হাসান</v>
      </c>
      <c r="D99" s="5">
        <f>IFERROR(__xludf.DUMMYFUNCTION("""COMPUTED_VALUE"""),5.70038355222E11)</f>
        <v>570038355222</v>
      </c>
      <c r="E99" s="5" t="str">
        <f>IFERROR(__xludf.DUMMYFUNCTION("""COMPUTED_VALUE"""),"মোঃ ইসমাইল হোসেন")</f>
        <v>মোঃ ইসমাইল হোসেন</v>
      </c>
      <c r="F99" s="5" t="str">
        <f>IFERROR(__xludf.DUMMYFUNCTION("""COMPUTED_VALUE"""),"মোছাঃ সামসুন্নাহার")</f>
        <v>মোছাঃ সামসুন্নাহার</v>
      </c>
      <c r="G99" s="5" t="str">
        <f>IFERROR(__xludf.DUMMYFUNCTION("""COMPUTED_VALUE"""),"২১/০২/১৯৮৭")</f>
        <v>২১/০২/১৯৮৭</v>
      </c>
      <c r="H99" s="5" t="str">
        <f>IFERROR(__xludf.DUMMYFUNCTION("""COMPUTED_VALUE"""),"ব্যবসা")</f>
        <v>ব্যবসা</v>
      </c>
      <c r="I99" s="5" t="str">
        <f>IFERROR(__xludf.DUMMYFUNCTION("""COMPUTED_VALUE"""),"""গাড়াডোব")</f>
        <v>"গাড়াডোব</v>
      </c>
      <c r="J99" s="5" t="str">
        <f>IFERROR(__xludf.DUMMYFUNCTION("""COMPUTED_VALUE""")," গাংনী")</f>
        <v> গাংনী</v>
      </c>
      <c r="K99" s="5" t="str">
        <f>IFERROR(__xludf.DUMMYFUNCTION("""COMPUTED_VALUE""")," মেহেরপুর""")</f>
        <v> মেহেরপুর"</v>
      </c>
    </row>
    <row r="100">
      <c r="A100" s="7" t="s">
        <v>7254</v>
      </c>
      <c r="B100" s="5">
        <f>IFERROR(__xludf.DUMMYFUNCTION("SPLIT(A100,"","")"),870.0)</f>
        <v>870</v>
      </c>
      <c r="C100" s="5" t="str">
        <f>IFERROR(__xludf.DUMMYFUNCTION("""COMPUTED_VALUE"""),"মোঃ বুলবুল আহমেদ")</f>
        <v>মোঃ বুলবুল আহমেদ</v>
      </c>
      <c r="D100" s="5">
        <f>IFERROR(__xludf.DUMMYFUNCTION("""COMPUTED_VALUE"""),5.70038355227E11)</f>
        <v>570038355227</v>
      </c>
      <c r="E100" s="5" t="str">
        <f>IFERROR(__xludf.DUMMYFUNCTION("""COMPUTED_VALUE"""),"মোঃ আমির হোসেন")</f>
        <v>মোঃ আমির হোসেন</v>
      </c>
      <c r="F100" s="5" t="str">
        <f>IFERROR(__xludf.DUMMYFUNCTION("""COMPUTED_VALUE"""),"মোছাঃ বিলকিচ")</f>
        <v>মোছাঃ বিলকিচ</v>
      </c>
      <c r="G100" s="5" t="str">
        <f>IFERROR(__xludf.DUMMYFUNCTION("""COMPUTED_VALUE"""),"১২/০৫/১৯৮৭")</f>
        <v>১২/০৫/১৯৮৭</v>
      </c>
      <c r="H100" s="5" t="str">
        <f>IFERROR(__xludf.DUMMYFUNCTION("""COMPUTED_VALUE"""),"বেসরকারী চাকুরী")</f>
        <v>বেসরকারী চাকুরী</v>
      </c>
      <c r="I100" s="5" t="str">
        <f>IFERROR(__xludf.DUMMYFUNCTION("""COMPUTED_VALUE"""),"""গাড়াডোব")</f>
        <v>"গাড়াডোব</v>
      </c>
      <c r="J100" s="5" t="str">
        <f>IFERROR(__xludf.DUMMYFUNCTION("""COMPUTED_VALUE""")," গাংনী")</f>
        <v> গাংনী</v>
      </c>
      <c r="K100" s="5" t="str">
        <f>IFERROR(__xludf.DUMMYFUNCTION("""COMPUTED_VALUE""")," মেহেরপুর""")</f>
        <v> মেহেরপুর"</v>
      </c>
    </row>
    <row r="101">
      <c r="A101" s="7" t="s">
        <v>7255</v>
      </c>
      <c r="B101" s="5">
        <f>IFERROR(__xludf.DUMMYFUNCTION("SPLIT(A101,"","")"),871.0)</f>
        <v>871</v>
      </c>
      <c r="C101" s="5" t="str">
        <f>IFERROR(__xludf.DUMMYFUNCTION("""COMPUTED_VALUE"""),"মোঃ আমিনুর ইসলাম")</f>
        <v>মোঃ আমিনুর ইসলাম</v>
      </c>
      <c r="D101" s="5">
        <f>IFERROR(__xludf.DUMMYFUNCTION("""COMPUTED_VALUE"""),5.70038355229E11)</f>
        <v>570038355229</v>
      </c>
      <c r="E101" s="5" t="str">
        <f>IFERROR(__xludf.DUMMYFUNCTION("""COMPUTED_VALUE"""),"মোঃ শমসের আলী")</f>
        <v>মোঃ শমসের আলী</v>
      </c>
      <c r="F101" s="5" t="str">
        <f>IFERROR(__xludf.DUMMYFUNCTION("""COMPUTED_VALUE"""),"মোছাঃ মোমেনা খাতুন")</f>
        <v>মোছাঃ মোমেনা খাতুন</v>
      </c>
      <c r="G101" s="5" t="str">
        <f>IFERROR(__xludf.DUMMYFUNCTION("""COMPUTED_VALUE"""),"১৫/০৬/১৯৮৩")</f>
        <v>১৫/০৬/১৯৮৩</v>
      </c>
      <c r="H101" s="5" t="str">
        <f>IFERROR(__xludf.DUMMYFUNCTION("""COMPUTED_VALUE"""),"ছাত্র/ছাত্রী")</f>
        <v>ছাত্র/ছাত্রী</v>
      </c>
      <c r="I101" s="5" t="str">
        <f>IFERROR(__xludf.DUMMYFUNCTION("""COMPUTED_VALUE"""),"""গাড়াডোব")</f>
        <v>"গাড়াডোব</v>
      </c>
      <c r="J101" s="5" t="str">
        <f>IFERROR(__xludf.DUMMYFUNCTION("""COMPUTED_VALUE""")," গাংনী")</f>
        <v> গাংনী</v>
      </c>
      <c r="K101" s="5" t="str">
        <f>IFERROR(__xludf.DUMMYFUNCTION("""COMPUTED_VALUE""")," মেহেরপুর""")</f>
        <v> মেহেরপুর"</v>
      </c>
    </row>
    <row r="102">
      <c r="A102" s="7" t="s">
        <v>7256</v>
      </c>
      <c r="B102" s="5">
        <f>IFERROR(__xludf.DUMMYFUNCTION("SPLIT(A102,"","")"),872.0)</f>
        <v>872</v>
      </c>
      <c r="C102" s="5" t="str">
        <f>IFERROR(__xludf.DUMMYFUNCTION("""COMPUTED_VALUE"""),"মোঃ মোতালেব হোসেন")</f>
        <v>মোঃ মোতালেব হোসেন</v>
      </c>
      <c r="D102" s="5">
        <f>IFERROR(__xludf.DUMMYFUNCTION("""COMPUTED_VALUE"""),5.7003835523E11)</f>
        <v>570038355230</v>
      </c>
      <c r="E102" s="5" t="str">
        <f>IFERROR(__xludf.DUMMYFUNCTION("""COMPUTED_VALUE"""),"মোঃ ওয়াজ আলী মোল্লা")</f>
        <v>মোঃ ওয়াজ আলী মোল্লা</v>
      </c>
      <c r="F102" s="5" t="str">
        <f>IFERROR(__xludf.DUMMYFUNCTION("""COMPUTED_VALUE"""),"মোছাঃ আহাতন নেছা")</f>
        <v>মোছাঃ আহাতন নেছা</v>
      </c>
      <c r="G102" s="5" t="str">
        <f>IFERROR(__xludf.DUMMYFUNCTION("""COMPUTED_VALUE"""),"২০/১০/১৯৭৫")</f>
        <v>২০/১০/১৯৭৫</v>
      </c>
      <c r="H102" s="5" t="str">
        <f>IFERROR(__xludf.DUMMYFUNCTION("""COMPUTED_VALUE"""),"কৃষক")</f>
        <v>কৃষক</v>
      </c>
      <c r="I102" s="5" t="str">
        <f>IFERROR(__xludf.DUMMYFUNCTION("""COMPUTED_VALUE"""),"""গাড়াডোব")</f>
        <v>"গাড়াডোব</v>
      </c>
      <c r="J102" s="5" t="str">
        <f>IFERROR(__xludf.DUMMYFUNCTION("""COMPUTED_VALUE""")," গাংনী")</f>
        <v> গাংনী</v>
      </c>
      <c r="K102" s="5" t="str">
        <f>IFERROR(__xludf.DUMMYFUNCTION("""COMPUTED_VALUE""")," মেহেরপুর""")</f>
        <v> মেহেরপুর"</v>
      </c>
    </row>
    <row r="103">
      <c r="A103" s="7" t="s">
        <v>7257</v>
      </c>
      <c r="B103" s="5">
        <f>IFERROR(__xludf.DUMMYFUNCTION("SPLIT(A103,"","")"),873.0)</f>
        <v>873</v>
      </c>
      <c r="C103" s="5" t="str">
        <f>IFERROR(__xludf.DUMMYFUNCTION("""COMPUTED_VALUE"""),"মোঃ আজিজুল হক")</f>
        <v>মোঃ আজিজুল হক</v>
      </c>
      <c r="D103" s="5">
        <f>IFERROR(__xludf.DUMMYFUNCTION("""COMPUTED_VALUE"""),5.70038355231E11)</f>
        <v>570038355231</v>
      </c>
      <c r="E103" s="5" t="str">
        <f>IFERROR(__xludf.DUMMYFUNCTION("""COMPUTED_VALUE"""),"মোঃ ওয়াজ আলী মোল্লা")</f>
        <v>মোঃ ওয়াজ আলী মোল্লা</v>
      </c>
      <c r="F103" s="5" t="str">
        <f>IFERROR(__xludf.DUMMYFUNCTION("""COMPUTED_VALUE"""),"মোছাঃ আহাতন নেছা")</f>
        <v>মোছাঃ আহাতন নেছা</v>
      </c>
      <c r="G103" s="5" t="str">
        <f>IFERROR(__xludf.DUMMYFUNCTION("""COMPUTED_VALUE"""),"০৭/০৫/১৯৬২")</f>
        <v>০৭/০৫/১৯৬২</v>
      </c>
      <c r="H103" s="5" t="str">
        <f>IFERROR(__xludf.DUMMYFUNCTION("""COMPUTED_VALUE"""),"কৃষক")</f>
        <v>কৃষক</v>
      </c>
      <c r="I103" s="5" t="str">
        <f>IFERROR(__xludf.DUMMYFUNCTION("""COMPUTED_VALUE"""),"""গাড়াডোব")</f>
        <v>"গাড়াডোব</v>
      </c>
      <c r="J103" s="5" t="str">
        <f>IFERROR(__xludf.DUMMYFUNCTION("""COMPUTED_VALUE""")," গাংনী")</f>
        <v> গাংনী</v>
      </c>
      <c r="K103" s="5" t="str">
        <f>IFERROR(__xludf.DUMMYFUNCTION("""COMPUTED_VALUE""")," মেহেরপুর""")</f>
        <v> মেহেরপুর"</v>
      </c>
    </row>
    <row r="104">
      <c r="A104" s="7" t="s">
        <v>7258</v>
      </c>
      <c r="B104" s="5">
        <f>IFERROR(__xludf.DUMMYFUNCTION("SPLIT(A104,"","")"),874.0)</f>
        <v>874</v>
      </c>
      <c r="C104" s="5" t="str">
        <f>IFERROR(__xludf.DUMMYFUNCTION("""COMPUTED_VALUE"""),"মোঃ কাশেম খাঁন")</f>
        <v>মোঃ কাশেম খাঁন</v>
      </c>
      <c r="D104" s="5">
        <f>IFERROR(__xludf.DUMMYFUNCTION("""COMPUTED_VALUE"""),5.70038355232E11)</f>
        <v>570038355232</v>
      </c>
      <c r="E104" s="5" t="str">
        <f>IFERROR(__xludf.DUMMYFUNCTION("""COMPUTED_VALUE"""),"মোঃ নাসির খাঁন")</f>
        <v>মোঃ নাসির খাঁন</v>
      </c>
      <c r="F104" s="5" t="str">
        <f>IFERROR(__xludf.DUMMYFUNCTION("""COMPUTED_VALUE"""),"মোছাঃ উম্মাতোন নেছা")</f>
        <v>মোছাঃ উম্মাতোন নেছা</v>
      </c>
      <c r="G104" s="5" t="str">
        <f>IFERROR(__xludf.DUMMYFUNCTION("""COMPUTED_VALUE"""),"০৮/০৬/১৯৭৮")</f>
        <v>০৮/০৬/১৯৭৮</v>
      </c>
      <c r="H104" s="5" t="str">
        <f>IFERROR(__xludf.DUMMYFUNCTION("""COMPUTED_VALUE"""),"কৃষক")</f>
        <v>কৃষক</v>
      </c>
      <c r="I104" s="5" t="str">
        <f>IFERROR(__xludf.DUMMYFUNCTION("""COMPUTED_VALUE"""),"""গাড়াডোব")</f>
        <v>"গাড়াডোব</v>
      </c>
      <c r="J104" s="5" t="str">
        <f>IFERROR(__xludf.DUMMYFUNCTION("""COMPUTED_VALUE""")," গাংনী")</f>
        <v> গাংনী</v>
      </c>
      <c r="K104" s="5" t="str">
        <f>IFERROR(__xludf.DUMMYFUNCTION("""COMPUTED_VALUE""")," মেহেরপুর""")</f>
        <v> মেহেরপুর"</v>
      </c>
    </row>
    <row r="105">
      <c r="A105" s="7" t="s">
        <v>7259</v>
      </c>
      <c r="B105" s="5">
        <f>IFERROR(__xludf.DUMMYFUNCTION("SPLIT(A105,"","")"),875.0)</f>
        <v>875</v>
      </c>
      <c r="C105" s="5" t="str">
        <f>IFERROR(__xludf.DUMMYFUNCTION("""COMPUTED_VALUE"""),"মোহাঃ বজলুল হুদা")</f>
        <v>মোহাঃ বজলুল হুদা</v>
      </c>
      <c r="D105" s="5">
        <f>IFERROR(__xludf.DUMMYFUNCTION("""COMPUTED_VALUE"""),5.70038355233E11)</f>
        <v>570038355233</v>
      </c>
      <c r="E105" s="5" t="str">
        <f>IFERROR(__xludf.DUMMYFUNCTION("""COMPUTED_VALUE"""),"আব্দুর রহিম")</f>
        <v>আব্দুর রহিম</v>
      </c>
      <c r="F105" s="5" t="str">
        <f>IFERROR(__xludf.DUMMYFUNCTION("""COMPUTED_VALUE"""),"বালাজান খাতুন")</f>
        <v>বালাজান খাতুন</v>
      </c>
      <c r="G105" s="5" t="str">
        <f>IFERROR(__xludf.DUMMYFUNCTION("""COMPUTED_VALUE"""),"১১/০৩/১৯৮২")</f>
        <v>১১/০৩/১৯৮২</v>
      </c>
      <c r="H105" s="5" t="str">
        <f>IFERROR(__xludf.DUMMYFUNCTION("""COMPUTED_VALUE"""),"কৃষক")</f>
        <v>কৃষক</v>
      </c>
      <c r="I105" s="5" t="str">
        <f>IFERROR(__xludf.DUMMYFUNCTION("""COMPUTED_VALUE"""),"""গাড়াডোব")</f>
        <v>"গাড়াডোব</v>
      </c>
      <c r="J105" s="5" t="str">
        <f>IFERROR(__xludf.DUMMYFUNCTION("""COMPUTED_VALUE""")," গাংনী")</f>
        <v> গাংনী</v>
      </c>
      <c r="K105" s="5" t="str">
        <f>IFERROR(__xludf.DUMMYFUNCTION("""COMPUTED_VALUE""")," মেহেরপুর""")</f>
        <v> মেহেরপুর"</v>
      </c>
    </row>
    <row r="106">
      <c r="A106" s="7" t="s">
        <v>7260</v>
      </c>
      <c r="B106" s="5">
        <f>IFERROR(__xludf.DUMMYFUNCTION("SPLIT(A106,"","")"),876.0)</f>
        <v>876</v>
      </c>
      <c r="C106" s="5" t="str">
        <f>IFERROR(__xludf.DUMMYFUNCTION("""COMPUTED_VALUE"""),"মোঃ শরিফুল ইসলাম")</f>
        <v>মোঃ শরিফুল ইসলাম</v>
      </c>
      <c r="D106" s="5">
        <f>IFERROR(__xludf.DUMMYFUNCTION("""COMPUTED_VALUE"""),5.70038355234E11)</f>
        <v>570038355234</v>
      </c>
      <c r="E106" s="5" t="str">
        <f>IFERROR(__xludf.DUMMYFUNCTION("""COMPUTED_VALUE"""),"মোঃ আব্দুল ওহাব")</f>
        <v>মোঃ আব্দুল ওহাব</v>
      </c>
      <c r="F106" s="5" t="str">
        <f>IFERROR(__xludf.DUMMYFUNCTION("""COMPUTED_VALUE"""),"মোছাঃ মুনজুরা খাতুন")</f>
        <v>মোছাঃ মুনজুরা খাতুন</v>
      </c>
      <c r="G106" s="5" t="str">
        <f>IFERROR(__xludf.DUMMYFUNCTION("""COMPUTED_VALUE"""),"০৪/০৭/১৯৮৯")</f>
        <v>০৪/০৭/১৯৮৯</v>
      </c>
      <c r="H106" s="5" t="str">
        <f>IFERROR(__xludf.DUMMYFUNCTION("""COMPUTED_VALUE"""),"ছাত্র/ছাত্রী")</f>
        <v>ছাত্র/ছাত্রী</v>
      </c>
      <c r="I106" s="5" t="str">
        <f>IFERROR(__xludf.DUMMYFUNCTION("""COMPUTED_VALUE"""),"""গাড়াডোব")</f>
        <v>"গাড়াডোব</v>
      </c>
      <c r="J106" s="5" t="str">
        <f>IFERROR(__xludf.DUMMYFUNCTION("""COMPUTED_VALUE""")," গাংনী")</f>
        <v> গাংনী</v>
      </c>
      <c r="K106" s="5" t="str">
        <f>IFERROR(__xludf.DUMMYFUNCTION("""COMPUTED_VALUE""")," মেহেরপুর""")</f>
        <v> মেহেরপুর"</v>
      </c>
    </row>
    <row r="107">
      <c r="A107" s="7" t="s">
        <v>7261</v>
      </c>
      <c r="B107" s="5">
        <f>IFERROR(__xludf.DUMMYFUNCTION("SPLIT(A107,"","")"),877.0)</f>
        <v>877</v>
      </c>
      <c r="C107" s="5" t="str">
        <f>IFERROR(__xludf.DUMMYFUNCTION("""COMPUTED_VALUE"""),"মোঃ মকছেদ আলি")</f>
        <v>মোঃ মকছেদ আলি</v>
      </c>
      <c r="D107" s="5">
        <f>IFERROR(__xludf.DUMMYFUNCTION("""COMPUTED_VALUE"""),5.70038355235E11)</f>
        <v>570038355235</v>
      </c>
      <c r="E107" s="5" t="str">
        <f>IFERROR(__xludf.DUMMYFUNCTION("""COMPUTED_VALUE"""),"মোঃ রমজান আলি")</f>
        <v>মোঃ রমজান আলি</v>
      </c>
      <c r="F107" s="5" t="str">
        <f>IFERROR(__xludf.DUMMYFUNCTION("""COMPUTED_VALUE"""),"মোছাঃ আজিরুল")</f>
        <v>মোছাঃ আজিরুল</v>
      </c>
      <c r="G107" s="5" t="str">
        <f>IFERROR(__xludf.DUMMYFUNCTION("""COMPUTED_VALUE"""),"০৯/০৬/১৯৬০")</f>
        <v>০৯/০৬/১৯৬০</v>
      </c>
      <c r="H107" s="5" t="str">
        <f>IFERROR(__xludf.DUMMYFUNCTION("""COMPUTED_VALUE"""),"দিনমজুর")</f>
        <v>দিনমজুর</v>
      </c>
      <c r="I107" s="5" t="str">
        <f>IFERROR(__xludf.DUMMYFUNCTION("""COMPUTED_VALUE"""),"""গাড়াডোব")</f>
        <v>"গাড়াডোব</v>
      </c>
      <c r="J107" s="5" t="str">
        <f>IFERROR(__xludf.DUMMYFUNCTION("""COMPUTED_VALUE""")," গাংনী")</f>
        <v> গাংনী</v>
      </c>
      <c r="K107" s="5" t="str">
        <f>IFERROR(__xludf.DUMMYFUNCTION("""COMPUTED_VALUE""")," মেহেরপুর""")</f>
        <v> মেহেরপুর"</v>
      </c>
    </row>
    <row r="108">
      <c r="A108" s="7" t="s">
        <v>7262</v>
      </c>
      <c r="B108" s="5">
        <f>IFERROR(__xludf.DUMMYFUNCTION("SPLIT(A108,"","")"),878.0)</f>
        <v>878</v>
      </c>
      <c r="C108" s="5" t="str">
        <f>IFERROR(__xludf.DUMMYFUNCTION("""COMPUTED_VALUE"""),"মোঃ জাকেরুল ইসলাম")</f>
        <v>মোঃ জাকেরুল ইসলাম</v>
      </c>
      <c r="D108" s="5">
        <f>IFERROR(__xludf.DUMMYFUNCTION("""COMPUTED_VALUE"""),5.70038355237E11)</f>
        <v>570038355237</v>
      </c>
      <c r="E108" s="5" t="str">
        <f>IFERROR(__xludf.DUMMYFUNCTION("""COMPUTED_VALUE"""),"মোঃ ফজল মালিথা")</f>
        <v>মোঃ ফজল মালিথা</v>
      </c>
      <c r="F108" s="5" t="str">
        <f>IFERROR(__xludf.DUMMYFUNCTION("""COMPUTED_VALUE"""),"মোছাঃ ফজিলা খাতুন")</f>
        <v>মোছাঃ ফজিলা খাতুন</v>
      </c>
      <c r="G108" s="5" t="str">
        <f>IFERROR(__xludf.DUMMYFUNCTION("""COMPUTED_VALUE"""),"০৮/০৬/১৯৮৫")</f>
        <v>০৮/০৬/১৯৮৫</v>
      </c>
      <c r="H108" s="5" t="str">
        <f>IFERROR(__xludf.DUMMYFUNCTION("""COMPUTED_VALUE"""),"কৃষক")</f>
        <v>কৃষক</v>
      </c>
      <c r="I108" s="5" t="str">
        <f>IFERROR(__xludf.DUMMYFUNCTION("""COMPUTED_VALUE"""),"""গাড়াডোব")</f>
        <v>"গাড়াডোব</v>
      </c>
      <c r="J108" s="5" t="str">
        <f>IFERROR(__xludf.DUMMYFUNCTION("""COMPUTED_VALUE""")," গাংনী")</f>
        <v> গাংনী</v>
      </c>
      <c r="K108" s="5" t="str">
        <f>IFERROR(__xludf.DUMMYFUNCTION("""COMPUTED_VALUE""")," মেহেরপুর""")</f>
        <v> মেহেরপুর"</v>
      </c>
    </row>
    <row r="109">
      <c r="A109" s="7" t="s">
        <v>7263</v>
      </c>
      <c r="B109" s="5">
        <f>IFERROR(__xludf.DUMMYFUNCTION("SPLIT(A109,"","")"),879.0)</f>
        <v>879</v>
      </c>
      <c r="C109" s="5" t="str">
        <f>IFERROR(__xludf.DUMMYFUNCTION("""COMPUTED_VALUE"""),"মোঃ ইব্রাহীম")</f>
        <v>মোঃ ইব্রাহীম</v>
      </c>
      <c r="D109" s="5">
        <f>IFERROR(__xludf.DUMMYFUNCTION("""COMPUTED_VALUE"""),5.70038355238E11)</f>
        <v>570038355238</v>
      </c>
      <c r="E109" s="5" t="str">
        <f>IFERROR(__xludf.DUMMYFUNCTION("""COMPUTED_VALUE"""),"মোঃ রুহুল আমিন")</f>
        <v>মোঃ রুহুল আমিন</v>
      </c>
      <c r="F109" s="5" t="str">
        <f>IFERROR(__xludf.DUMMYFUNCTION("""COMPUTED_VALUE"""),"মোছাঃ তোজবিরা খাতুন")</f>
        <v>মোছাঃ তোজবিরা খাতুন</v>
      </c>
      <c r="G109" s="5" t="str">
        <f>IFERROR(__xludf.DUMMYFUNCTION("""COMPUTED_VALUE"""),"১৩/১০/১৯৮৮")</f>
        <v>১৩/১০/১৯৮৮</v>
      </c>
      <c r="H109" s="5" t="str">
        <f>IFERROR(__xludf.DUMMYFUNCTION("""COMPUTED_VALUE"""),"কৃষক")</f>
        <v>কৃষক</v>
      </c>
      <c r="I109" s="5" t="str">
        <f>IFERROR(__xludf.DUMMYFUNCTION("""COMPUTED_VALUE"""),"""গাড়াডোব")</f>
        <v>"গাড়াডোব</v>
      </c>
      <c r="J109" s="5" t="str">
        <f>IFERROR(__xludf.DUMMYFUNCTION("""COMPUTED_VALUE""")," গাংনী")</f>
        <v> গাংনী</v>
      </c>
      <c r="K109" s="5" t="str">
        <f>IFERROR(__xludf.DUMMYFUNCTION("""COMPUTED_VALUE""")," মেহেরপুর""")</f>
        <v> মেহেরপুর"</v>
      </c>
    </row>
    <row r="110">
      <c r="A110" s="7" t="s">
        <v>7264</v>
      </c>
      <c r="B110" s="5">
        <f>IFERROR(__xludf.DUMMYFUNCTION("SPLIT(A110,"","")"),880.0)</f>
        <v>880</v>
      </c>
      <c r="C110" s="5" t="str">
        <f>IFERROR(__xludf.DUMMYFUNCTION("""COMPUTED_VALUE"""),"মোঃ শাহিন আলী")</f>
        <v>মোঃ শাহিন আলী</v>
      </c>
      <c r="D110" s="5">
        <f>IFERROR(__xludf.DUMMYFUNCTION("""COMPUTED_VALUE"""),5.7003835524E11)</f>
        <v>570038355240</v>
      </c>
      <c r="E110" s="5" t="str">
        <f>IFERROR(__xludf.DUMMYFUNCTION("""COMPUTED_VALUE"""),"মোঃ নেজমত আলী")</f>
        <v>মোঃ নেজমত আলী</v>
      </c>
      <c r="F110" s="5" t="str">
        <f>IFERROR(__xludf.DUMMYFUNCTION("""COMPUTED_VALUE"""),"মোছাঃ জাহানারা")</f>
        <v>মোছাঃ জাহানারা</v>
      </c>
      <c r="G110" s="5" t="str">
        <f>IFERROR(__xludf.DUMMYFUNCTION("""COMPUTED_VALUE"""),"২৫/০৫/১৯৮৮")</f>
        <v>২৫/০৫/১৯৮৮</v>
      </c>
      <c r="H110" s="5" t="str">
        <f>IFERROR(__xludf.DUMMYFUNCTION("""COMPUTED_VALUE"""),"ব্যবসা")</f>
        <v>ব্যবসা</v>
      </c>
      <c r="I110" s="5" t="str">
        <f>IFERROR(__xludf.DUMMYFUNCTION("""COMPUTED_VALUE"""),"""গাড়াডোব")</f>
        <v>"গাড়াডোব</v>
      </c>
      <c r="J110" s="5" t="str">
        <f>IFERROR(__xludf.DUMMYFUNCTION("""COMPUTED_VALUE""")," গাংনী")</f>
        <v> গাংনী</v>
      </c>
      <c r="K110" s="5" t="str">
        <f>IFERROR(__xludf.DUMMYFUNCTION("""COMPUTED_VALUE""")," মেহেরপুর""")</f>
        <v> মেহেরপুর"</v>
      </c>
    </row>
    <row r="111">
      <c r="A111" s="7" t="s">
        <v>7265</v>
      </c>
      <c r="B111" s="5">
        <f>IFERROR(__xludf.DUMMYFUNCTION("SPLIT(A111,"","")"),881.0)</f>
        <v>881</v>
      </c>
      <c r="C111" s="5" t="str">
        <f>IFERROR(__xludf.DUMMYFUNCTION("""COMPUTED_VALUE"""),"মোহাত্ব আব্দুল হান্নান")</f>
        <v>মোহাত্ব আব্দুল হান্নান</v>
      </c>
      <c r="D111" s="5">
        <f>IFERROR(__xludf.DUMMYFUNCTION("""COMPUTED_VALUE"""),5.70038355241E11)</f>
        <v>570038355241</v>
      </c>
      <c r="E111" s="5" t="str">
        <f>IFERROR(__xludf.DUMMYFUNCTION("""COMPUTED_VALUE"""),"মোঃ কলিম উদ্দীন")</f>
        <v>মোঃ কলিম উদ্দীন</v>
      </c>
      <c r="F111" s="5" t="str">
        <f>IFERROR(__xludf.DUMMYFUNCTION("""COMPUTED_VALUE"""),"মোছাঃ আছিয়া খাতুন")</f>
        <v>মোছাঃ আছিয়া খাতুন</v>
      </c>
      <c r="G111" s="5" t="str">
        <f>IFERROR(__xludf.DUMMYFUNCTION("""COMPUTED_VALUE"""),"০১/০১/১৯৮৮")</f>
        <v>০১/০১/১৯৮৮</v>
      </c>
      <c r="H111" s="5" t="str">
        <f>IFERROR(__xludf.DUMMYFUNCTION("""COMPUTED_VALUE"""),"সরকারী চাকুরী")</f>
        <v>সরকারী চাকুরী</v>
      </c>
      <c r="I111" s="5" t="str">
        <f>IFERROR(__xludf.DUMMYFUNCTION("""COMPUTED_VALUE"""),"""গাড়াডোব")</f>
        <v>"গাড়াডোব</v>
      </c>
      <c r="J111" s="5" t="str">
        <f>IFERROR(__xludf.DUMMYFUNCTION("""COMPUTED_VALUE""")," গাংনী")</f>
        <v> গাংনী</v>
      </c>
      <c r="K111" s="5" t="str">
        <f>IFERROR(__xludf.DUMMYFUNCTION("""COMPUTED_VALUE""")," মেহেরপুর""")</f>
        <v> মেহেরপুর"</v>
      </c>
    </row>
    <row r="112">
      <c r="A112" s="7" t="s">
        <v>7266</v>
      </c>
      <c r="B112" s="5">
        <f>IFERROR(__xludf.DUMMYFUNCTION("SPLIT(A112,"","")"),882.0)</f>
        <v>882</v>
      </c>
      <c r="C112" s="5" t="str">
        <f>IFERROR(__xludf.DUMMYFUNCTION("""COMPUTED_VALUE"""),"মোঃ মিরাজুল ইসলাম")</f>
        <v>মোঃ মিরাজুল ইসলাম</v>
      </c>
      <c r="D112" s="5">
        <f>IFERROR(__xludf.DUMMYFUNCTION("""COMPUTED_VALUE"""),5.70038355242E11)</f>
        <v>570038355242</v>
      </c>
      <c r="E112" s="5" t="str">
        <f>IFERROR(__xludf.DUMMYFUNCTION("""COMPUTED_VALUE"""),"মোঃ সমর আলী")</f>
        <v>মোঃ সমর আলী</v>
      </c>
      <c r="F112" s="5" t="str">
        <f>IFERROR(__xludf.DUMMYFUNCTION("""COMPUTED_VALUE"""),"মোছাঃ জাহানারা খাতুন")</f>
        <v>মোছাঃ জাহানারা খাতুন</v>
      </c>
      <c r="G112" s="5" t="str">
        <f>IFERROR(__xludf.DUMMYFUNCTION("""COMPUTED_VALUE"""),"১৩/০৬/১৯৮৭")</f>
        <v>১৩/০৬/১৯৮৭</v>
      </c>
      <c r="H112" s="5" t="str">
        <f>IFERROR(__xludf.DUMMYFUNCTION("""COMPUTED_VALUE"""),"দিনমজুর")</f>
        <v>দিনমজুর</v>
      </c>
      <c r="I112" s="5" t="str">
        <f>IFERROR(__xludf.DUMMYFUNCTION("""COMPUTED_VALUE"""),"""গাড়াডোব")</f>
        <v>"গাড়াডোব</v>
      </c>
      <c r="J112" s="5" t="str">
        <f>IFERROR(__xludf.DUMMYFUNCTION("""COMPUTED_VALUE""")," গাংনী")</f>
        <v> গাংনী</v>
      </c>
      <c r="K112" s="5" t="str">
        <f>IFERROR(__xludf.DUMMYFUNCTION("""COMPUTED_VALUE""")," মেহেরপুর""")</f>
        <v> মেহেরপুর"</v>
      </c>
    </row>
    <row r="113">
      <c r="A113" s="7" t="s">
        <v>7267</v>
      </c>
      <c r="B113" s="5">
        <f>IFERROR(__xludf.DUMMYFUNCTION("SPLIT(A113,"","")"),883.0)</f>
        <v>883</v>
      </c>
      <c r="C113" s="5" t="str">
        <f>IFERROR(__xludf.DUMMYFUNCTION("""COMPUTED_VALUE"""),"মোঃ ছাইনাল হোসেন")</f>
        <v>মোঃ ছাইনাল হোসেন</v>
      </c>
      <c r="D113" s="5">
        <f>IFERROR(__xludf.DUMMYFUNCTION("""COMPUTED_VALUE"""),5.70038355252E11)</f>
        <v>570038355252</v>
      </c>
      <c r="E113" s="5" t="str">
        <f>IFERROR(__xludf.DUMMYFUNCTION("""COMPUTED_VALUE"""),"ভিকু শেখ")</f>
        <v>ভিকু শেখ</v>
      </c>
      <c r="F113" s="5" t="str">
        <f>IFERROR(__xludf.DUMMYFUNCTION("""COMPUTED_VALUE"""),"মাতা: নেকজান")</f>
        <v>মাতা: নেকজান</v>
      </c>
      <c r="G113" s="5" t="str">
        <f>IFERROR(__xludf.DUMMYFUNCTION("""COMPUTED_VALUE"""),"১৫/০৪/১৯৬৭")</f>
        <v>১৫/০৪/১৯৬৭</v>
      </c>
      <c r="H113" s="5" t="str">
        <f>IFERROR(__xludf.DUMMYFUNCTION("""COMPUTED_VALUE"""),"শ্রমিক")</f>
        <v>শ্রমিক</v>
      </c>
      <c r="I113" s="5" t="str">
        <f>IFERROR(__xludf.DUMMYFUNCTION("""COMPUTED_VALUE"""),"""গাড়াডোব")</f>
        <v>"গাড়াডোব</v>
      </c>
      <c r="J113" s="5" t="str">
        <f>IFERROR(__xludf.DUMMYFUNCTION("""COMPUTED_VALUE""")," গাংনী")</f>
        <v> গাংনী</v>
      </c>
      <c r="K113" s="5" t="str">
        <f>IFERROR(__xludf.DUMMYFUNCTION("""COMPUTED_VALUE""")," মেহেরপুর""")</f>
        <v> মেহেরপুর"</v>
      </c>
    </row>
    <row r="114">
      <c r="A114" s="7" t="s">
        <v>7268</v>
      </c>
      <c r="B114" s="5">
        <f>IFERROR(__xludf.DUMMYFUNCTION("SPLIT(A114,"","")"),884.0)</f>
        <v>884</v>
      </c>
      <c r="C114" s="5" t="str">
        <f>IFERROR(__xludf.DUMMYFUNCTION("""COMPUTED_VALUE"""),"মোঃ মানারুল ইসলাম")</f>
        <v>মোঃ মানারুল ইসলাম</v>
      </c>
      <c r="D114" s="5">
        <f>IFERROR(__xludf.DUMMYFUNCTION("""COMPUTED_VALUE"""),5.70038355254E11)</f>
        <v>570038355254</v>
      </c>
      <c r="E114" s="5" t="str">
        <f>IFERROR(__xludf.DUMMYFUNCTION("""COMPUTED_VALUE"""),"মোঃ ছাদের আলী")</f>
        <v>মোঃ ছাদের আলী</v>
      </c>
      <c r="F114" s="5" t="str">
        <f>IFERROR(__xludf.DUMMYFUNCTION("""COMPUTED_VALUE"""),"মোছাঃ লাল বানু")</f>
        <v>মোছাঃ লাল বানু</v>
      </c>
      <c r="G114" s="5" t="str">
        <f>IFERROR(__xludf.DUMMYFUNCTION("""COMPUTED_VALUE"""),"১৭/০৪/১৯৮১")</f>
        <v>১৭/০৪/১৯৮১</v>
      </c>
      <c r="H114" s="5" t="str">
        <f>IFERROR(__xludf.DUMMYFUNCTION("""COMPUTED_VALUE"""),"দিনমজুর")</f>
        <v>দিনমজুর</v>
      </c>
      <c r="I114" s="5" t="str">
        <f>IFERROR(__xludf.DUMMYFUNCTION("""COMPUTED_VALUE"""),"""গাড়াডোব")</f>
        <v>"গাড়াডোব</v>
      </c>
      <c r="J114" s="5" t="str">
        <f>IFERROR(__xludf.DUMMYFUNCTION("""COMPUTED_VALUE""")," গাংনী")</f>
        <v> গাংনী</v>
      </c>
      <c r="K114" s="5" t="str">
        <f>IFERROR(__xludf.DUMMYFUNCTION("""COMPUTED_VALUE""")," মেহেরপুর""")</f>
        <v> মেহেরপুর"</v>
      </c>
    </row>
    <row r="115">
      <c r="A115" s="7" t="s">
        <v>7269</v>
      </c>
      <c r="B115" s="5">
        <f>IFERROR(__xludf.DUMMYFUNCTION("SPLIT(A115,"","")"),885.0)</f>
        <v>885</v>
      </c>
      <c r="C115" s="5" t="str">
        <f>IFERROR(__xludf.DUMMYFUNCTION("""COMPUTED_VALUE"""),"মোঃ মিজানুর রহমান")</f>
        <v>মোঃ মিজানুর রহমান</v>
      </c>
      <c r="D115" s="5">
        <f>IFERROR(__xludf.DUMMYFUNCTION("""COMPUTED_VALUE"""),5.70038355255E11)</f>
        <v>570038355255</v>
      </c>
      <c r="E115" s="5" t="str">
        <f>IFERROR(__xludf.DUMMYFUNCTION("""COMPUTED_VALUE"""),"মোঃ ছাদের আলী")</f>
        <v>মোঃ ছাদের আলী</v>
      </c>
      <c r="F115" s="5" t="str">
        <f>IFERROR(__xludf.DUMMYFUNCTION("""COMPUTED_VALUE"""),"মোছাঃ লাল বানু")</f>
        <v>মোছাঃ লাল বানু</v>
      </c>
      <c r="G115" s="5" t="str">
        <f>IFERROR(__xludf.DUMMYFUNCTION("""COMPUTED_VALUE"""),"১০/০৮/১৯৮৬")</f>
        <v>১০/০৮/১৯৮৬</v>
      </c>
      <c r="H115" s="5" t="str">
        <f>IFERROR(__xludf.DUMMYFUNCTION("""COMPUTED_VALUE"""),"শ্রমিক")</f>
        <v>শ্রমিক</v>
      </c>
      <c r="I115" s="5" t="str">
        <f>IFERROR(__xludf.DUMMYFUNCTION("""COMPUTED_VALUE"""),"""গাড়াডোব")</f>
        <v>"গাড়াডোব</v>
      </c>
      <c r="J115" s="5" t="str">
        <f>IFERROR(__xludf.DUMMYFUNCTION("""COMPUTED_VALUE""")," গাংনী")</f>
        <v> গাংনী</v>
      </c>
      <c r="K115" s="5" t="str">
        <f>IFERROR(__xludf.DUMMYFUNCTION("""COMPUTED_VALUE""")," মেহেরপুর""")</f>
        <v> মেহেরপুর"</v>
      </c>
    </row>
    <row r="116">
      <c r="A116" s="7" t="s">
        <v>7270</v>
      </c>
      <c r="B116" s="5">
        <f>IFERROR(__xludf.DUMMYFUNCTION("SPLIT(A116,"","")"),886.0)</f>
        <v>886</v>
      </c>
      <c r="C116" s="5" t="str">
        <f>IFERROR(__xludf.DUMMYFUNCTION("""COMPUTED_VALUE"""),"মোঃ মুসফার আলী")</f>
        <v>মোঃ মুসফার আলী</v>
      </c>
      <c r="D116" s="5">
        <f>IFERROR(__xludf.DUMMYFUNCTION("""COMPUTED_VALUE"""),5.70038355256E11)</f>
        <v>570038355256</v>
      </c>
      <c r="E116" s="5" t="str">
        <f>IFERROR(__xludf.DUMMYFUNCTION("""COMPUTED_VALUE"""),"মোঃ মসলেম শেখ")</f>
        <v>মোঃ মসলেম শেখ</v>
      </c>
      <c r="F116" s="5" t="str">
        <f>IFERROR(__xludf.DUMMYFUNCTION("""COMPUTED_VALUE"""),"মোছাঃ মাজেদা বেগম")</f>
        <v>মোছাঃ মাজেদা বেগম</v>
      </c>
      <c r="G116" s="5" t="str">
        <f>IFERROR(__xludf.DUMMYFUNCTION("""COMPUTED_VALUE"""),"০৯/০৮/১৯৭২")</f>
        <v>০৯/০৮/১৯৭২</v>
      </c>
      <c r="H116" s="5" t="str">
        <f>IFERROR(__xludf.DUMMYFUNCTION("""COMPUTED_VALUE"""),"শ্রমিক")</f>
        <v>শ্রমিক</v>
      </c>
      <c r="I116" s="5" t="str">
        <f>IFERROR(__xludf.DUMMYFUNCTION("""COMPUTED_VALUE"""),"""গাড়াডোব")</f>
        <v>"গাড়াডোব</v>
      </c>
      <c r="J116" s="5" t="str">
        <f>IFERROR(__xludf.DUMMYFUNCTION("""COMPUTED_VALUE""")," গাংনী")</f>
        <v> গাংনী</v>
      </c>
      <c r="K116" s="5" t="str">
        <f>IFERROR(__xludf.DUMMYFUNCTION("""COMPUTED_VALUE""")," মেহেরপুর""")</f>
        <v> মেহেরপুর"</v>
      </c>
    </row>
    <row r="117">
      <c r="A117" s="7" t="s">
        <v>7271</v>
      </c>
      <c r="B117" s="5">
        <f>IFERROR(__xludf.DUMMYFUNCTION("SPLIT(A117,"","")"),887.0)</f>
        <v>887</v>
      </c>
      <c r="C117" s="5" t="str">
        <f>IFERROR(__xludf.DUMMYFUNCTION("""COMPUTED_VALUE"""),"মোঃ আনারুল ইসলাম")</f>
        <v>মোঃ আনারুল ইসলাম</v>
      </c>
      <c r="D117" s="5">
        <f>IFERROR(__xludf.DUMMYFUNCTION("""COMPUTED_VALUE"""),5.70038355257E11)</f>
        <v>570038355257</v>
      </c>
      <c r="E117" s="5" t="str">
        <f>IFERROR(__xludf.DUMMYFUNCTION("""COMPUTED_VALUE"""),"আব্দুল জব্বার")</f>
        <v>আব্দুল জব্বার</v>
      </c>
      <c r="F117" s="5" t="str">
        <f>IFERROR(__xludf.DUMMYFUNCTION("""COMPUTED_VALUE"""),"মোছাঃ খাদেজান")</f>
        <v>মোছাঃ খাদেজান</v>
      </c>
      <c r="G117" s="5" t="str">
        <f>IFERROR(__xludf.DUMMYFUNCTION("""COMPUTED_VALUE"""),"১১/০৫/১৯৬৯")</f>
        <v>১১/০৫/১৯৬৯</v>
      </c>
      <c r="H117" s="5" t="str">
        <f>IFERROR(__xludf.DUMMYFUNCTION("""COMPUTED_VALUE"""),"কৃষক")</f>
        <v>কৃষক</v>
      </c>
      <c r="I117" s="5" t="str">
        <f>IFERROR(__xludf.DUMMYFUNCTION("""COMPUTED_VALUE"""),"""গাড়াডোব")</f>
        <v>"গাড়াডোব</v>
      </c>
      <c r="J117" s="5" t="str">
        <f>IFERROR(__xludf.DUMMYFUNCTION("""COMPUTED_VALUE""")," গাংনী")</f>
        <v> গাংনী</v>
      </c>
      <c r="K117" s="5" t="str">
        <f>IFERROR(__xludf.DUMMYFUNCTION("""COMPUTED_VALUE""")," মেহেরপুর""")</f>
        <v> মেহেরপুর"</v>
      </c>
    </row>
    <row r="118">
      <c r="A118" s="7" t="s">
        <v>7272</v>
      </c>
      <c r="B118" s="5">
        <f>IFERROR(__xludf.DUMMYFUNCTION("SPLIT(A118,"","")"),888.0)</f>
        <v>888</v>
      </c>
      <c r="C118" s="5" t="str">
        <f>IFERROR(__xludf.DUMMYFUNCTION("""COMPUTED_VALUE"""),"মোঃ হেদায়েত আলী")</f>
        <v>মোঃ হেদায়েত আলী</v>
      </c>
      <c r="D118" s="5">
        <f>IFERROR(__xludf.DUMMYFUNCTION("""COMPUTED_VALUE"""),5.70038355259E11)</f>
        <v>570038355259</v>
      </c>
      <c r="E118" s="5" t="str">
        <f>IFERROR(__xludf.DUMMYFUNCTION("""COMPUTED_VALUE"""),"শামসুদ্দীন")</f>
        <v>শামসুদ্দীন</v>
      </c>
      <c r="F118" s="5" t="str">
        <f>IFERROR(__xludf.DUMMYFUNCTION("""COMPUTED_VALUE"""),"খুকি জান")</f>
        <v>খুকি জান</v>
      </c>
      <c r="G118" s="5" t="str">
        <f>IFERROR(__xludf.DUMMYFUNCTION("""COMPUTED_VALUE"""),"১৫/০৫/১৯৬০")</f>
        <v>১৫/০৫/১৯৬০</v>
      </c>
      <c r="H118" s="5" t="str">
        <f>IFERROR(__xludf.DUMMYFUNCTION("""COMPUTED_VALUE"""),"শ্রমিক")</f>
        <v>শ্রমিক</v>
      </c>
      <c r="I118" s="5" t="str">
        <f>IFERROR(__xludf.DUMMYFUNCTION("""COMPUTED_VALUE"""),"""গাড়াডোব")</f>
        <v>"গাড়াডোব</v>
      </c>
      <c r="J118" s="5" t="str">
        <f>IFERROR(__xludf.DUMMYFUNCTION("""COMPUTED_VALUE""")," গাংনী")</f>
        <v> গাংনী</v>
      </c>
      <c r="K118" s="5" t="str">
        <f>IFERROR(__xludf.DUMMYFUNCTION("""COMPUTED_VALUE""")," মেহেরপুর""")</f>
        <v> মেহেরপুর"</v>
      </c>
    </row>
    <row r="119">
      <c r="A119" s="7" t="s">
        <v>7273</v>
      </c>
      <c r="B119" s="5">
        <f>IFERROR(__xludf.DUMMYFUNCTION("SPLIT(A119,"","")"),889.0)</f>
        <v>889</v>
      </c>
      <c r="C119" s="5" t="str">
        <f>IFERROR(__xludf.DUMMYFUNCTION("""COMPUTED_VALUE"""),"মোহাঃ মনিরুল ইসলাম")</f>
        <v>মোহাঃ মনিরুল ইসলাম</v>
      </c>
      <c r="D119" s="5">
        <f>IFERROR(__xludf.DUMMYFUNCTION("""COMPUTED_VALUE"""),5.70038355261E11)</f>
        <v>570038355261</v>
      </c>
      <c r="E119" s="5" t="str">
        <f>IFERROR(__xludf.DUMMYFUNCTION("""COMPUTED_VALUE"""),"আব্দুল জব্বার")</f>
        <v>আব্দুল জব্বার</v>
      </c>
      <c r="F119" s="5" t="str">
        <f>IFERROR(__xludf.DUMMYFUNCTION("""COMPUTED_VALUE"""),"মোছাঃ খাদে জান")</f>
        <v>মোছাঃ খাদে জান</v>
      </c>
      <c r="G119" s="5" t="str">
        <f>IFERROR(__xludf.DUMMYFUNCTION("""COMPUTED_VALUE"""),"১৩/১০/১৯৬৫")</f>
        <v>১৩/১০/১৯৬৫</v>
      </c>
      <c r="H119" s="5" t="str">
        <f>IFERROR(__xludf.DUMMYFUNCTION("""COMPUTED_VALUE"""),"কৃষক")</f>
        <v>কৃষক</v>
      </c>
      <c r="I119" s="5" t="str">
        <f>IFERROR(__xludf.DUMMYFUNCTION("""COMPUTED_VALUE"""),"""গাড়াডোব")</f>
        <v>"গাড়াডোব</v>
      </c>
      <c r="J119" s="5" t="str">
        <f>IFERROR(__xludf.DUMMYFUNCTION("""COMPUTED_VALUE""")," গাংনী")</f>
        <v> গাংনী</v>
      </c>
      <c r="K119" s="5" t="str">
        <f>IFERROR(__xludf.DUMMYFUNCTION("""COMPUTED_VALUE""")," মেহেরপুর""")</f>
        <v> মেহেরপুর"</v>
      </c>
    </row>
    <row r="120">
      <c r="A120" s="7" t="s">
        <v>7274</v>
      </c>
      <c r="B120" s="5">
        <f>IFERROR(__xludf.DUMMYFUNCTION("SPLIT(A120,"","")"),890.0)</f>
        <v>890</v>
      </c>
      <c r="C120" s="5" t="str">
        <f>IFERROR(__xludf.DUMMYFUNCTION("""COMPUTED_VALUE"""),"মোঃ শামসুল ইসলাম")</f>
        <v>মোঃ শামসুল ইসলাম</v>
      </c>
      <c r="D120" s="5">
        <f>IFERROR(__xludf.DUMMYFUNCTION("""COMPUTED_VALUE"""),5.70038355263E11)</f>
        <v>570038355263</v>
      </c>
      <c r="E120" s="5" t="str">
        <f>IFERROR(__xludf.DUMMYFUNCTION("""COMPUTED_VALUE"""),"মোঃ আবুল হোসেন")</f>
        <v>মোঃ আবুল হোসেন</v>
      </c>
      <c r="F120" s="5" t="str">
        <f>IFERROR(__xludf.DUMMYFUNCTION("""COMPUTED_VALUE"""),"মোছাঃ ছকিনা খাতুন")</f>
        <v>মোছাঃ ছকিনা খাতুন</v>
      </c>
      <c r="G120" s="5" t="str">
        <f>IFERROR(__xludf.DUMMYFUNCTION("""COMPUTED_VALUE"""),"১৮/০৪/১৯৫৮")</f>
        <v>১৮/০৪/১৯৫৮</v>
      </c>
      <c r="H120" s="5" t="str">
        <f>IFERROR(__xludf.DUMMYFUNCTION("""COMPUTED_VALUE"""),"শ্রমিক")</f>
        <v>শ্রমিক</v>
      </c>
      <c r="I120" s="5" t="str">
        <f>IFERROR(__xludf.DUMMYFUNCTION("""COMPUTED_VALUE"""),"""গাড়াডোব")</f>
        <v>"গাড়াডোব</v>
      </c>
      <c r="J120" s="5" t="str">
        <f>IFERROR(__xludf.DUMMYFUNCTION("""COMPUTED_VALUE""")," গাংনী")</f>
        <v> গাংনী</v>
      </c>
      <c r="K120" s="5" t="str">
        <f>IFERROR(__xludf.DUMMYFUNCTION("""COMPUTED_VALUE""")," মেহেরপুর""")</f>
        <v> মেহেরপুর"</v>
      </c>
    </row>
    <row r="121">
      <c r="A121" s="7" t="s">
        <v>7275</v>
      </c>
      <c r="B121" s="5">
        <f>IFERROR(__xludf.DUMMYFUNCTION("SPLIT(A121,"","")"),891.0)</f>
        <v>891</v>
      </c>
      <c r="C121" s="5" t="str">
        <f>IFERROR(__xludf.DUMMYFUNCTION("""COMPUTED_VALUE"""),"মোঃ আয়ুব নবী")</f>
        <v>মোঃ আয়ুব নবী</v>
      </c>
      <c r="D121" s="5">
        <f>IFERROR(__xludf.DUMMYFUNCTION("""COMPUTED_VALUE"""),5.70038355266E11)</f>
        <v>570038355266</v>
      </c>
      <c r="E121" s="5" t="str">
        <f>IFERROR(__xludf.DUMMYFUNCTION("""COMPUTED_VALUE"""),"দীন মোহাম্মদ শেখ")</f>
        <v>দীন মোহাম্মদ শেখ</v>
      </c>
      <c r="F121" s="5" t="str">
        <f>IFERROR(__xludf.DUMMYFUNCTION("""COMPUTED_VALUE"""),"মাতা: কয়েদা খাতুন")</f>
        <v>মাতা: কয়েদা খাতুন</v>
      </c>
      <c r="G121" s="5" t="str">
        <f>IFERROR(__xludf.DUMMYFUNCTION("""COMPUTED_VALUE"""),"১৩/০৯/১৯৫৫")</f>
        <v>১৩/০৯/১৯৫৫</v>
      </c>
      <c r="H121" s="5" t="str">
        <f>IFERROR(__xludf.DUMMYFUNCTION("""COMPUTED_VALUE"""),"কৃষক")</f>
        <v>কৃষক</v>
      </c>
      <c r="I121" s="5" t="str">
        <f>IFERROR(__xludf.DUMMYFUNCTION("""COMPUTED_VALUE"""),"""গাড়াডোব")</f>
        <v>"গাড়াডোব</v>
      </c>
      <c r="J121" s="5" t="str">
        <f>IFERROR(__xludf.DUMMYFUNCTION("""COMPUTED_VALUE""")," গাংনী")</f>
        <v> গাংনী</v>
      </c>
      <c r="K121" s="5" t="str">
        <f>IFERROR(__xludf.DUMMYFUNCTION("""COMPUTED_VALUE""")," মেহেরপুর""")</f>
        <v> মেহেরপুর"</v>
      </c>
    </row>
    <row r="122">
      <c r="A122" s="7" t="s">
        <v>7276</v>
      </c>
      <c r="B122" s="5">
        <f>IFERROR(__xludf.DUMMYFUNCTION("SPLIT(A122,"","")"),892.0)</f>
        <v>892</v>
      </c>
      <c r="C122" s="5" t="str">
        <f>IFERROR(__xludf.DUMMYFUNCTION("""COMPUTED_VALUE"""),"মোঃ শাহাবুদ্দিন")</f>
        <v>মোঃ শাহাবুদ্দিন</v>
      </c>
      <c r="D122" s="5">
        <f>IFERROR(__xludf.DUMMYFUNCTION("""COMPUTED_VALUE"""),5.70038355267E11)</f>
        <v>570038355267</v>
      </c>
      <c r="E122" s="5" t="str">
        <f>IFERROR(__xludf.DUMMYFUNCTION("""COMPUTED_VALUE"""),"মোঃ আয়ুব নবী")</f>
        <v>মোঃ আয়ুব নবী</v>
      </c>
      <c r="F122" s="5" t="str">
        <f>IFERROR(__xludf.DUMMYFUNCTION("""COMPUTED_VALUE"""),"মোছাঃ সাবিরন নেছা")</f>
        <v>মোছাঃ সাবিরন নেছা</v>
      </c>
      <c r="G122" s="5" t="str">
        <f>IFERROR(__xludf.DUMMYFUNCTION("""COMPUTED_VALUE"""),"১৪/০৮/১৯৮২")</f>
        <v>১৪/০৮/১৯৮২</v>
      </c>
      <c r="H122" s="5" t="str">
        <f>IFERROR(__xludf.DUMMYFUNCTION("""COMPUTED_VALUE"""),"কৃষক")</f>
        <v>কৃষক</v>
      </c>
      <c r="I122" s="5" t="str">
        <f>IFERROR(__xludf.DUMMYFUNCTION("""COMPUTED_VALUE"""),"""গাড়াডোব")</f>
        <v>"গাড়াডোব</v>
      </c>
      <c r="J122" s="5" t="str">
        <f>IFERROR(__xludf.DUMMYFUNCTION("""COMPUTED_VALUE""")," গাংনী")</f>
        <v> গাংনী</v>
      </c>
      <c r="K122" s="5" t="str">
        <f>IFERROR(__xludf.DUMMYFUNCTION("""COMPUTED_VALUE""")," মেহেরপুর""")</f>
        <v> মেহেরপুর"</v>
      </c>
    </row>
    <row r="123">
      <c r="A123" s="7" t="s">
        <v>7277</v>
      </c>
      <c r="B123" s="5">
        <f>IFERROR(__xludf.DUMMYFUNCTION("SPLIT(A123,"","")"),893.0)</f>
        <v>893</v>
      </c>
      <c r="C123" s="5" t="str">
        <f>IFERROR(__xludf.DUMMYFUNCTION("""COMPUTED_VALUE"""),"মোঃ হামিজদ্দিন")</f>
        <v>মোঃ হামিজদ্দিন</v>
      </c>
      <c r="D123" s="5">
        <f>IFERROR(__xludf.DUMMYFUNCTION("""COMPUTED_VALUE"""),5.7003835527E11)</f>
        <v>570038355270</v>
      </c>
      <c r="E123" s="5" t="str">
        <f>IFERROR(__xludf.DUMMYFUNCTION("""COMPUTED_VALUE"""),"মোঃ আয়ুব নবী")</f>
        <v>মোঃ আয়ুব নবী</v>
      </c>
      <c r="F123" s="5" t="str">
        <f>IFERROR(__xludf.DUMMYFUNCTION("""COMPUTED_VALUE"""),"মোছাঃ সাবিরন নেছা")</f>
        <v>মোছাঃ সাবিরন নেছা</v>
      </c>
      <c r="G123" s="5" t="str">
        <f>IFERROR(__xludf.DUMMYFUNCTION("""COMPUTED_VALUE"""),"১৬/০৮/১৯৮৮")</f>
        <v>১৬/০৮/১৯৮৮</v>
      </c>
      <c r="H123" s="5" t="str">
        <f>IFERROR(__xludf.DUMMYFUNCTION("""COMPUTED_VALUE"""),"কৃষক")</f>
        <v>কৃষক</v>
      </c>
      <c r="I123" s="5" t="str">
        <f>IFERROR(__xludf.DUMMYFUNCTION("""COMPUTED_VALUE"""),"""গাড়াডোব")</f>
        <v>"গাড়াডোব</v>
      </c>
      <c r="J123" s="5" t="str">
        <f>IFERROR(__xludf.DUMMYFUNCTION("""COMPUTED_VALUE""")," গাংনী")</f>
        <v> গাংনী</v>
      </c>
      <c r="K123" s="5" t="str">
        <f>IFERROR(__xludf.DUMMYFUNCTION("""COMPUTED_VALUE""")," মেহেরপুর""")</f>
        <v> মেহেরপুর"</v>
      </c>
    </row>
    <row r="124">
      <c r="A124" s="7" t="s">
        <v>7278</v>
      </c>
      <c r="B124" s="5">
        <f>IFERROR(__xludf.DUMMYFUNCTION("SPLIT(A124,"","")"),894.0)</f>
        <v>894</v>
      </c>
      <c r="C124" s="5" t="str">
        <f>IFERROR(__xludf.DUMMYFUNCTION("""COMPUTED_VALUE"""),"মোঃ শফিকুল ইসলাম")</f>
        <v>মোঃ শফিকুল ইসলাম</v>
      </c>
      <c r="D124" s="5">
        <f>IFERROR(__xludf.DUMMYFUNCTION("""COMPUTED_VALUE"""),5.70038355272E11)</f>
        <v>570038355272</v>
      </c>
      <c r="E124" s="5" t="str">
        <f>IFERROR(__xludf.DUMMYFUNCTION("""COMPUTED_VALUE"""),"আব্দুল করিম")</f>
        <v>আব্দুল করিম</v>
      </c>
      <c r="F124" s="5" t="str">
        <f>IFERROR(__xludf.DUMMYFUNCTION("""COMPUTED_VALUE"""),"মাতা: পরিসকার বেগম")</f>
        <v>মাতা: পরিসকার বেগম</v>
      </c>
      <c r="G124" s="5" t="str">
        <f>IFERROR(__xludf.DUMMYFUNCTION("""COMPUTED_VALUE"""),"১৪/০৫/১৯৭১")</f>
        <v>১৪/০৫/১৯৭১</v>
      </c>
      <c r="H124" s="5" t="str">
        <f>IFERROR(__xludf.DUMMYFUNCTION("""COMPUTED_VALUE"""),"দিনমজুর")</f>
        <v>দিনমজুর</v>
      </c>
      <c r="I124" s="5" t="str">
        <f>IFERROR(__xludf.DUMMYFUNCTION("""COMPUTED_VALUE"""),"""গাড়াডোব")</f>
        <v>"গাড়াডোব</v>
      </c>
      <c r="J124" s="5" t="str">
        <f>IFERROR(__xludf.DUMMYFUNCTION("""COMPUTED_VALUE""")," গাংনী")</f>
        <v> গাংনী</v>
      </c>
      <c r="K124" s="5" t="str">
        <f>IFERROR(__xludf.DUMMYFUNCTION("""COMPUTED_VALUE""")," মেহেরপুর""")</f>
        <v> মেহেরপুর"</v>
      </c>
    </row>
    <row r="125">
      <c r="A125" s="7" t="s">
        <v>7279</v>
      </c>
      <c r="B125" s="5">
        <f>IFERROR(__xludf.DUMMYFUNCTION("SPLIT(A125,"","")"),895.0)</f>
        <v>895</v>
      </c>
      <c r="C125" s="5" t="str">
        <f>IFERROR(__xludf.DUMMYFUNCTION("""COMPUTED_VALUE"""),"মোঃ শহিদুল ইসলাম")</f>
        <v>মোঃ শহিদুল ইসলাম</v>
      </c>
      <c r="D125" s="5">
        <f>IFERROR(__xludf.DUMMYFUNCTION("""COMPUTED_VALUE"""),5.70038355274E11)</f>
        <v>570038355274</v>
      </c>
      <c r="E125" s="5" t="str">
        <f>IFERROR(__xludf.DUMMYFUNCTION("""COMPUTED_VALUE"""),"আব্দুল করিম")</f>
        <v>আব্দুল করিম</v>
      </c>
      <c r="F125" s="5" t="str">
        <f>IFERROR(__xludf.DUMMYFUNCTION("""COMPUTED_VALUE"""),"মাতা: পরিসকার বেগম")</f>
        <v>মাতা: পরিসকার বেগম</v>
      </c>
      <c r="G125" s="5" t="str">
        <f>IFERROR(__xludf.DUMMYFUNCTION("""COMPUTED_VALUE"""),"১৮/০৫/১৯৬২")</f>
        <v>১৮/০৫/১৯৬২</v>
      </c>
      <c r="H125" s="5" t="str">
        <f>IFERROR(__xludf.DUMMYFUNCTION("""COMPUTED_VALUE"""),"শ্রমিক")</f>
        <v>শ্রমিক</v>
      </c>
      <c r="I125" s="5" t="str">
        <f>IFERROR(__xludf.DUMMYFUNCTION("""COMPUTED_VALUE"""),"""গাড়াডোব")</f>
        <v>"গাড়াডোব</v>
      </c>
      <c r="J125" s="5" t="str">
        <f>IFERROR(__xludf.DUMMYFUNCTION("""COMPUTED_VALUE""")," গাংনী")</f>
        <v> গাংনী</v>
      </c>
      <c r="K125" s="5" t="str">
        <f>IFERROR(__xludf.DUMMYFUNCTION("""COMPUTED_VALUE""")," মেহেরপুর""")</f>
        <v> মেহেরপুর"</v>
      </c>
    </row>
    <row r="126">
      <c r="A126" s="7" t="s">
        <v>7280</v>
      </c>
      <c r="B126" s="5">
        <f>IFERROR(__xludf.DUMMYFUNCTION("SPLIT(A126,"","")"),896.0)</f>
        <v>896</v>
      </c>
      <c r="C126" s="5" t="str">
        <f>IFERROR(__xludf.DUMMYFUNCTION("""COMPUTED_VALUE"""),"মোঃ সাহাবুদ্দীন")</f>
        <v>মোঃ সাহাবুদ্দীন</v>
      </c>
      <c r="D126" s="5">
        <f>IFERROR(__xludf.DUMMYFUNCTION("""COMPUTED_VALUE"""),5.70038355284E11)</f>
        <v>570038355284</v>
      </c>
      <c r="E126" s="5" t="str">
        <f>IFERROR(__xludf.DUMMYFUNCTION("""COMPUTED_VALUE"""),"মোঃ কাউছার আলী")</f>
        <v>মোঃ কাউছার আলী</v>
      </c>
      <c r="F126" s="5" t="str">
        <f>IFERROR(__xludf.DUMMYFUNCTION("""COMPUTED_VALUE"""),"মোছাঃ আরজিয়া খাতুন")</f>
        <v>মোছাঃ আরজিয়া খাতুন</v>
      </c>
      <c r="G126" s="5" t="str">
        <f>IFERROR(__xludf.DUMMYFUNCTION("""COMPUTED_VALUE"""),"১৮/১০/১৯৮৭")</f>
        <v>১৮/১০/১৯৮৭</v>
      </c>
      <c r="H126" s="5" t="str">
        <f>IFERROR(__xludf.DUMMYFUNCTION("""COMPUTED_VALUE"""),"শ্রমিক")</f>
        <v>শ্রমিক</v>
      </c>
      <c r="I126" s="5" t="str">
        <f>IFERROR(__xludf.DUMMYFUNCTION("""COMPUTED_VALUE"""),"""গাড়াডোব")</f>
        <v>"গাড়াডোব</v>
      </c>
      <c r="J126" s="5" t="str">
        <f>IFERROR(__xludf.DUMMYFUNCTION("""COMPUTED_VALUE""")," গাংনী")</f>
        <v> গাংনী</v>
      </c>
      <c r="K126" s="5" t="str">
        <f>IFERROR(__xludf.DUMMYFUNCTION("""COMPUTED_VALUE""")," মেহেরপুর""")</f>
        <v> মেহেরপুর"</v>
      </c>
    </row>
    <row r="127">
      <c r="A127" s="7" t="s">
        <v>7281</v>
      </c>
      <c r="B127" s="5">
        <f>IFERROR(__xludf.DUMMYFUNCTION("SPLIT(A127,"","")"),897.0)</f>
        <v>897</v>
      </c>
      <c r="C127" s="5" t="str">
        <f>IFERROR(__xludf.DUMMYFUNCTION("""COMPUTED_VALUE"""),"মোঃ মহিরুল ইসলাম")</f>
        <v>মোঃ মহিরুল ইসলাম</v>
      </c>
      <c r="D127" s="5">
        <f>IFERROR(__xludf.DUMMYFUNCTION("""COMPUTED_VALUE"""),5.70038355286E11)</f>
        <v>570038355286</v>
      </c>
      <c r="E127" s="5" t="str">
        <f>IFERROR(__xludf.DUMMYFUNCTION("""COMPUTED_VALUE"""),"আলম শেখ")</f>
        <v>আলম শেখ</v>
      </c>
      <c r="F127" s="5" t="str">
        <f>IFERROR(__xludf.DUMMYFUNCTION("""COMPUTED_VALUE"""),"মাতা: জমিরন নেছা")</f>
        <v>মাতা: জমিরন নেছা</v>
      </c>
      <c r="G127" s="5" t="str">
        <f>IFERROR(__xludf.DUMMYFUNCTION("""COMPUTED_VALUE"""),"২৫/০৪/১৯৭১")</f>
        <v>২৫/০৪/১৯৭১</v>
      </c>
      <c r="H127" s="5" t="str">
        <f>IFERROR(__xludf.DUMMYFUNCTION("""COMPUTED_VALUE"""),"দিনমজুর")</f>
        <v>দিনমজুর</v>
      </c>
      <c r="I127" s="5" t="str">
        <f>IFERROR(__xludf.DUMMYFUNCTION("""COMPUTED_VALUE"""),"""গাড়াডোব")</f>
        <v>"গাড়াডোব</v>
      </c>
      <c r="J127" s="5" t="str">
        <f>IFERROR(__xludf.DUMMYFUNCTION("""COMPUTED_VALUE""")," গাংনী")</f>
        <v> গাংনী</v>
      </c>
      <c r="K127" s="5" t="str">
        <f>IFERROR(__xludf.DUMMYFUNCTION("""COMPUTED_VALUE""")," মেহেরপুর""")</f>
        <v> মেহেরপুর"</v>
      </c>
    </row>
    <row r="128">
      <c r="A128" s="7" t="s">
        <v>7282</v>
      </c>
      <c r="B128" s="5">
        <f>IFERROR(__xludf.DUMMYFUNCTION("SPLIT(A128,"","")"),898.0)</f>
        <v>898</v>
      </c>
      <c r="C128" s="5" t="str">
        <f>IFERROR(__xludf.DUMMYFUNCTION("""COMPUTED_VALUE"""),"মোঃ গোলাম হোসেন")</f>
        <v>মোঃ গোলাম হোসেন</v>
      </c>
      <c r="D128" s="5">
        <f>IFERROR(__xludf.DUMMYFUNCTION("""COMPUTED_VALUE"""),5.7003835529E11)</f>
        <v>570038355290</v>
      </c>
      <c r="E128" s="5" t="str">
        <f>IFERROR(__xludf.DUMMYFUNCTION("""COMPUTED_VALUE"""),"কাঙ্গাল শেখ")</f>
        <v>কাঙ্গাল শেখ</v>
      </c>
      <c r="F128" s="5" t="str">
        <f>IFERROR(__xludf.DUMMYFUNCTION("""COMPUTED_VALUE"""),"মোছাঃ ছুপুরা খাতুন")</f>
        <v>মোছাঃ ছুপুরা খাতুন</v>
      </c>
      <c r="G128" s="5" t="str">
        <f>IFERROR(__xludf.DUMMYFUNCTION("""COMPUTED_VALUE"""),"১০/১০/১৯৬২")</f>
        <v>১০/১০/১৯৬২</v>
      </c>
      <c r="H128" s="5" t="str">
        <f>IFERROR(__xludf.DUMMYFUNCTION("""COMPUTED_VALUE"""),"দিনমজুর")</f>
        <v>দিনমজুর</v>
      </c>
      <c r="I128" s="5" t="str">
        <f>IFERROR(__xludf.DUMMYFUNCTION("""COMPUTED_VALUE"""),"""গাড়াডোব")</f>
        <v>"গাড়াডোব</v>
      </c>
      <c r="J128" s="5" t="str">
        <f>IFERROR(__xludf.DUMMYFUNCTION("""COMPUTED_VALUE""")," গাংনী")</f>
        <v> গাংনী</v>
      </c>
      <c r="K128" s="5" t="str">
        <f>IFERROR(__xludf.DUMMYFUNCTION("""COMPUTED_VALUE""")," মেহেরপুর""")</f>
        <v> মেহেরপুর"</v>
      </c>
    </row>
    <row r="129">
      <c r="A129" s="7" t="s">
        <v>7283</v>
      </c>
      <c r="B129" s="5">
        <f>IFERROR(__xludf.DUMMYFUNCTION("SPLIT(A129,"","")"),899.0)</f>
        <v>899</v>
      </c>
      <c r="C129" s="5" t="str">
        <f>IFERROR(__xludf.DUMMYFUNCTION("""COMPUTED_VALUE"""),"মোঃ আব্বাস")</f>
        <v>মোঃ আব্বাস</v>
      </c>
      <c r="D129" s="5">
        <f>IFERROR(__xludf.DUMMYFUNCTION("""COMPUTED_VALUE"""),5.70038355292E11)</f>
        <v>570038355292</v>
      </c>
      <c r="E129" s="5" t="str">
        <f>IFERROR(__xludf.DUMMYFUNCTION("""COMPUTED_VALUE"""),"মোঃ রিয়াজতুল্লাহ")</f>
        <v>মোঃ রিয়াজতুল্লাহ</v>
      </c>
      <c r="F129" s="5" t="str">
        <f>IFERROR(__xludf.DUMMYFUNCTION("""COMPUTED_VALUE"""),"মোছাঃ আনোয়ারা খাতুন")</f>
        <v>মোছাঃ আনোয়ারা খাতুন</v>
      </c>
      <c r="G129" s="5" t="str">
        <f>IFERROR(__xludf.DUMMYFUNCTION("""COMPUTED_VALUE"""),"১৮/১০/১৯৮৫")</f>
        <v>১৮/১০/১৯৮৫</v>
      </c>
      <c r="H129" s="5" t="str">
        <f>IFERROR(__xludf.DUMMYFUNCTION("""COMPUTED_VALUE"""),"দিনমজুর")</f>
        <v>দিনমজুর</v>
      </c>
      <c r="I129" s="5" t="str">
        <f>IFERROR(__xludf.DUMMYFUNCTION("""COMPUTED_VALUE"""),"""গাড়াডোব")</f>
        <v>"গাড়াডোব</v>
      </c>
      <c r="J129" s="5" t="str">
        <f>IFERROR(__xludf.DUMMYFUNCTION("""COMPUTED_VALUE""")," গাংনী")</f>
        <v> গাংনী</v>
      </c>
      <c r="K129" s="5" t="str">
        <f>IFERROR(__xludf.DUMMYFUNCTION("""COMPUTED_VALUE""")," মেহেরপুর""")</f>
        <v> মেহেরপুর"</v>
      </c>
    </row>
    <row r="130">
      <c r="A130" s="7" t="s">
        <v>7284</v>
      </c>
      <c r="B130" s="5">
        <f>IFERROR(__xludf.DUMMYFUNCTION("SPLIT(A130,"","")"),900.0)</f>
        <v>900</v>
      </c>
      <c r="C130" s="5" t="str">
        <f>IFERROR(__xludf.DUMMYFUNCTION("""COMPUTED_VALUE"""),"মোঃ ছমিরুল ইসলাম")</f>
        <v>মোঃ ছমিরুল ইসলাম</v>
      </c>
      <c r="D130" s="5">
        <f>IFERROR(__xludf.DUMMYFUNCTION("""COMPUTED_VALUE"""),5.70038355298E11)</f>
        <v>570038355298</v>
      </c>
      <c r="E130" s="5" t="str">
        <f>IFERROR(__xludf.DUMMYFUNCTION("""COMPUTED_VALUE"""),"মজিবর রহমান")</f>
        <v>মজিবর রহমান</v>
      </c>
      <c r="F130" s="5" t="str">
        <f>IFERROR(__xludf.DUMMYFUNCTION("""COMPUTED_VALUE"""),"মোছাঃ জমিনা খাতুন")</f>
        <v>মোছাঃ জমিনা খাতুন</v>
      </c>
      <c r="G130" s="5" t="str">
        <f>IFERROR(__xludf.DUMMYFUNCTION("""COMPUTED_VALUE"""),"১৭/০৬/১৯৮৬")</f>
        <v>১৭/০৬/১৯৮৬</v>
      </c>
      <c r="H130" s="5" t="str">
        <f>IFERROR(__xludf.DUMMYFUNCTION("""COMPUTED_VALUE"""),"ব্যবসা")</f>
        <v>ব্যবসা</v>
      </c>
      <c r="I130" s="5" t="str">
        <f>IFERROR(__xludf.DUMMYFUNCTION("""COMPUTED_VALUE"""),"""গাড়াডোব")</f>
        <v>"গাড়াডোব</v>
      </c>
      <c r="J130" s="5" t="str">
        <f>IFERROR(__xludf.DUMMYFUNCTION("""COMPUTED_VALUE""")," গাংনী")</f>
        <v> গাংনী</v>
      </c>
      <c r="K130" s="5" t="str">
        <f>IFERROR(__xludf.DUMMYFUNCTION("""COMPUTED_VALUE""")," মেহেরপুর""")</f>
        <v> মেহেরপুর"</v>
      </c>
    </row>
    <row r="131">
      <c r="A131" s="7" t="s">
        <v>7285</v>
      </c>
      <c r="B131" s="5">
        <f>IFERROR(__xludf.DUMMYFUNCTION("SPLIT(A131,"","")"),901.0)</f>
        <v>901</v>
      </c>
      <c r="C131" s="5" t="str">
        <f>IFERROR(__xludf.DUMMYFUNCTION("""COMPUTED_VALUE"""),"মোঃ নকিমিদ্দিন")</f>
        <v>মোঃ নকিমিদ্দিন</v>
      </c>
      <c r="D131" s="5">
        <f>IFERROR(__xludf.DUMMYFUNCTION("""COMPUTED_VALUE"""),5.700383553E11)</f>
        <v>570038355300</v>
      </c>
      <c r="E131" s="5" t="str">
        <f>IFERROR(__xludf.DUMMYFUNCTION("""COMPUTED_VALUE"""),"আমীরুদ্দীন")</f>
        <v>আমীরুদ্দীন</v>
      </c>
      <c r="F131" s="5" t="str">
        <f>IFERROR(__xludf.DUMMYFUNCTION("""COMPUTED_VALUE"""),"মোছাঃ ছকিনা বেগম")</f>
        <v>মোছাঃ ছকিনা বেগম</v>
      </c>
      <c r="G131" s="5" t="str">
        <f>IFERROR(__xludf.DUMMYFUNCTION("""COMPUTED_VALUE"""),"১৩/০৭/১৯৬২")</f>
        <v>১৩/০৭/১৯৬২</v>
      </c>
      <c r="H131" s="5" t="str">
        <f>IFERROR(__xludf.DUMMYFUNCTION("""COMPUTED_VALUE"""),"শ্রমিক")</f>
        <v>শ্রমিক</v>
      </c>
      <c r="I131" s="5" t="str">
        <f>IFERROR(__xludf.DUMMYFUNCTION("""COMPUTED_VALUE"""),"""গাড়াডোব")</f>
        <v>"গাড়াডোব</v>
      </c>
      <c r="J131" s="5" t="str">
        <f>IFERROR(__xludf.DUMMYFUNCTION("""COMPUTED_VALUE""")," গাংনী")</f>
        <v> গাংনী</v>
      </c>
      <c r="K131" s="5" t="str">
        <f>IFERROR(__xludf.DUMMYFUNCTION("""COMPUTED_VALUE""")," মেহেরপুর""")</f>
        <v> মেহেরপুর"</v>
      </c>
    </row>
    <row r="132">
      <c r="A132" s="7" t="s">
        <v>7286</v>
      </c>
      <c r="B132" s="5">
        <f>IFERROR(__xludf.DUMMYFUNCTION("SPLIT(A132,"","")"),902.0)</f>
        <v>902</v>
      </c>
      <c r="C132" s="5" t="str">
        <f>IFERROR(__xludf.DUMMYFUNCTION("""COMPUTED_VALUE"""),"মোঃ মিলন হক")</f>
        <v>মোঃ মিলন হক</v>
      </c>
      <c r="D132" s="5">
        <f>IFERROR(__xludf.DUMMYFUNCTION("""COMPUTED_VALUE"""),5.70038355304E11)</f>
        <v>570038355304</v>
      </c>
      <c r="E132" s="5" t="str">
        <f>IFERROR(__xludf.DUMMYFUNCTION("""COMPUTED_VALUE"""),"মোঃ নকিমিদ্দিন")</f>
        <v>মোঃ নকিমিদ্দিন</v>
      </c>
      <c r="F132" s="5" t="str">
        <f>IFERROR(__xludf.DUMMYFUNCTION("""COMPUTED_VALUE"""),"মোছাঃ ফুলজান বেগম")</f>
        <v>মোছাঃ ফুলজান বেগম</v>
      </c>
      <c r="G132" s="5" t="str">
        <f>IFERROR(__xludf.DUMMYFUNCTION("""COMPUTED_VALUE"""),"২১/১০/১৯৮৫")</f>
        <v>২১/১০/১৯৮৫</v>
      </c>
      <c r="H132" s="5" t="str">
        <f>IFERROR(__xludf.DUMMYFUNCTION("""COMPUTED_VALUE"""),"শ্রমিক")</f>
        <v>শ্রমিক</v>
      </c>
      <c r="I132" s="5" t="str">
        <f>IFERROR(__xludf.DUMMYFUNCTION("""COMPUTED_VALUE"""),"""গাড়াডোব")</f>
        <v>"গাড়াডোব</v>
      </c>
      <c r="J132" s="5" t="str">
        <f>IFERROR(__xludf.DUMMYFUNCTION("""COMPUTED_VALUE""")," গাংনী")</f>
        <v> গাংনী</v>
      </c>
      <c r="K132" s="5" t="str">
        <f>IFERROR(__xludf.DUMMYFUNCTION("""COMPUTED_VALUE""")," মেহেরপুর""")</f>
        <v> মেহেরপুর"</v>
      </c>
    </row>
    <row r="133">
      <c r="A133" s="7" t="s">
        <v>7287</v>
      </c>
      <c r="B133" s="5">
        <f>IFERROR(__xludf.DUMMYFUNCTION("SPLIT(A133,"","")"),903.0)</f>
        <v>903</v>
      </c>
      <c r="C133" s="5" t="str">
        <f>IFERROR(__xludf.DUMMYFUNCTION("""COMPUTED_VALUE"""),"মোঃ বাছাদ আলী")</f>
        <v>মোঃ বাছাদ আলী</v>
      </c>
      <c r="D133" s="5">
        <f>IFERROR(__xludf.DUMMYFUNCTION("""COMPUTED_VALUE"""),5.70038355306E11)</f>
        <v>570038355306</v>
      </c>
      <c r="E133" s="5" t="str">
        <f>IFERROR(__xludf.DUMMYFUNCTION("""COMPUTED_VALUE"""),"মোঃ ইক্তার আলী")</f>
        <v>মোঃ ইক্তার আলী</v>
      </c>
      <c r="F133" s="5" t="str">
        <f>IFERROR(__xludf.DUMMYFUNCTION("""COMPUTED_VALUE"""),"মোছাঃ রমেছা খাতুন")</f>
        <v>মোছাঃ রমেছা খাতুন</v>
      </c>
      <c r="G133" s="5" t="str">
        <f>IFERROR(__xludf.DUMMYFUNCTION("""COMPUTED_VALUE"""),"১৭/০৬/১৯৭৯")</f>
        <v>১৭/০৬/১৯৭৯</v>
      </c>
      <c r="H133" s="5" t="str">
        <f>IFERROR(__xludf.DUMMYFUNCTION("""COMPUTED_VALUE"""),"শ্রমিক")</f>
        <v>শ্রমিক</v>
      </c>
      <c r="I133" s="5" t="str">
        <f>IFERROR(__xludf.DUMMYFUNCTION("""COMPUTED_VALUE"""),"""গাড়াডোব")</f>
        <v>"গাড়াডোব</v>
      </c>
      <c r="J133" s="5" t="str">
        <f>IFERROR(__xludf.DUMMYFUNCTION("""COMPUTED_VALUE""")," গাংনী")</f>
        <v> গাংনী</v>
      </c>
      <c r="K133" s="5" t="str">
        <f>IFERROR(__xludf.DUMMYFUNCTION("""COMPUTED_VALUE""")," মেহেরপুর""")</f>
        <v> মেহেরপুর"</v>
      </c>
    </row>
    <row r="134">
      <c r="A134" s="7" t="s">
        <v>7288</v>
      </c>
      <c r="B134" s="5">
        <f>IFERROR(__xludf.DUMMYFUNCTION("SPLIT(A134,"","")"),904.0)</f>
        <v>904</v>
      </c>
      <c r="C134" s="5" t="str">
        <f>IFERROR(__xludf.DUMMYFUNCTION("""COMPUTED_VALUE"""),"মোঃ জমিরুল ইসলাম")</f>
        <v>মোঃ জমিরুল ইসলাম</v>
      </c>
      <c r="D134" s="5">
        <f>IFERROR(__xludf.DUMMYFUNCTION("""COMPUTED_VALUE"""),5.70038355308E11)</f>
        <v>570038355308</v>
      </c>
      <c r="E134" s="5" t="str">
        <f>IFERROR(__xludf.DUMMYFUNCTION("""COMPUTED_VALUE"""),"মজিবর রহমান")</f>
        <v>মজিবর রহমান</v>
      </c>
      <c r="F134" s="5" t="str">
        <f>IFERROR(__xludf.DUMMYFUNCTION("""COMPUTED_VALUE"""),"মোছাঃ জমিনা খাতুন")</f>
        <v>মোছাঃ জমিনা খাতুন</v>
      </c>
      <c r="G134" s="5" t="str">
        <f>IFERROR(__xludf.DUMMYFUNCTION("""COMPUTED_VALUE"""),"১৪/০৪/১৯৮২")</f>
        <v>১৪/০৪/১৯৮২</v>
      </c>
      <c r="H134" s="5" t="str">
        <f>IFERROR(__xludf.DUMMYFUNCTION("""COMPUTED_VALUE"""),"দিনমজুর")</f>
        <v>দিনমজুর</v>
      </c>
      <c r="I134" s="5" t="str">
        <f>IFERROR(__xludf.DUMMYFUNCTION("""COMPUTED_VALUE"""),"""গাড়াডোব")</f>
        <v>"গাড়াডোব</v>
      </c>
      <c r="J134" s="5" t="str">
        <f>IFERROR(__xludf.DUMMYFUNCTION("""COMPUTED_VALUE""")," গাংনী")</f>
        <v> গাংনী</v>
      </c>
      <c r="K134" s="5" t="str">
        <f>IFERROR(__xludf.DUMMYFUNCTION("""COMPUTED_VALUE""")," মেহেরপুর""")</f>
        <v> মেহেরপুর"</v>
      </c>
    </row>
    <row r="135">
      <c r="A135" s="7" t="s">
        <v>7289</v>
      </c>
      <c r="B135" s="5">
        <f>IFERROR(__xludf.DUMMYFUNCTION("SPLIT(A135,"","")"),905.0)</f>
        <v>905</v>
      </c>
      <c r="C135" s="5" t="str">
        <f>IFERROR(__xludf.DUMMYFUNCTION("""COMPUTED_VALUE"""),"মোঃ কাউছার আলী")</f>
        <v>মোঃ কাউছার আলী</v>
      </c>
      <c r="D135" s="5">
        <f>IFERROR(__xludf.DUMMYFUNCTION("""COMPUTED_VALUE"""),5.7003835531E11)</f>
        <v>570038355310</v>
      </c>
      <c r="E135" s="5" t="str">
        <f>IFERROR(__xludf.DUMMYFUNCTION("""COMPUTED_VALUE"""),"ভিকু শেখ")</f>
        <v>ভিকু শেখ</v>
      </c>
      <c r="F135" s="5" t="str">
        <f>IFERROR(__xludf.DUMMYFUNCTION("""COMPUTED_VALUE"""),"মাতা: নেকজান")</f>
        <v>মাতা: নেকজান</v>
      </c>
      <c r="G135" s="5" t="str">
        <f>IFERROR(__xludf.DUMMYFUNCTION("""COMPUTED_VALUE"""),"১৮/১০/১৯৬৭")</f>
        <v>১৮/১০/১৯৬৭</v>
      </c>
      <c r="H135" s="5" t="str">
        <f>IFERROR(__xludf.DUMMYFUNCTION("""COMPUTED_VALUE"""),"শ্রমিক")</f>
        <v>শ্রমিক</v>
      </c>
      <c r="I135" s="5" t="str">
        <f>IFERROR(__xludf.DUMMYFUNCTION("""COMPUTED_VALUE"""),"""গাড়াডোব")</f>
        <v>"গাড়াডোব</v>
      </c>
      <c r="J135" s="5" t="str">
        <f>IFERROR(__xludf.DUMMYFUNCTION("""COMPUTED_VALUE""")," গাংনী")</f>
        <v> গাংনী</v>
      </c>
      <c r="K135" s="5" t="str">
        <f>IFERROR(__xludf.DUMMYFUNCTION("""COMPUTED_VALUE""")," মেহেরপুর""")</f>
        <v> মেহেরপুর"</v>
      </c>
    </row>
    <row r="136">
      <c r="A136" s="7" t="s">
        <v>7290</v>
      </c>
      <c r="B136" s="5">
        <f>IFERROR(__xludf.DUMMYFUNCTION("SPLIT(A136,"","")"),906.0)</f>
        <v>906</v>
      </c>
      <c r="C136" s="5" t="str">
        <f>IFERROR(__xludf.DUMMYFUNCTION("""COMPUTED_VALUE"""),"মোঃ তাহেরুদ্দীন")</f>
        <v>মোঃ তাহেরুদ্দীন</v>
      </c>
      <c r="D136" s="5">
        <f>IFERROR(__xludf.DUMMYFUNCTION("""COMPUTED_VALUE"""),5.70038355311E11)</f>
        <v>570038355311</v>
      </c>
      <c r="E136" s="5" t="str">
        <f>IFERROR(__xludf.DUMMYFUNCTION("""COMPUTED_VALUE"""),"ভিকু শেখ")</f>
        <v>ভিকু শেখ</v>
      </c>
      <c r="F136" s="5" t="str">
        <f>IFERROR(__xludf.DUMMYFUNCTION("""COMPUTED_VALUE"""),"মাতা: নেকজান")</f>
        <v>মাতা: নেকজান</v>
      </c>
      <c r="G136" s="5" t="str">
        <f>IFERROR(__xludf.DUMMYFUNCTION("""COMPUTED_VALUE"""),"১৩/১০/১৯৪২")</f>
        <v>১৩/১০/১৯৪২</v>
      </c>
      <c r="H136" s="5" t="str">
        <f>IFERROR(__xludf.DUMMYFUNCTION("""COMPUTED_VALUE"""),"দিনমজুর")</f>
        <v>দিনমজুর</v>
      </c>
      <c r="I136" s="5" t="str">
        <f>IFERROR(__xludf.DUMMYFUNCTION("""COMPUTED_VALUE"""),"""গাড়াডোব")</f>
        <v>"গাড়াডোব</v>
      </c>
      <c r="J136" s="5" t="str">
        <f>IFERROR(__xludf.DUMMYFUNCTION("""COMPUTED_VALUE""")," গাংনী")</f>
        <v> গাংনী</v>
      </c>
      <c r="K136" s="5" t="str">
        <f>IFERROR(__xludf.DUMMYFUNCTION("""COMPUTED_VALUE""")," মেহেরপুর""")</f>
        <v> মেহেরপুর"</v>
      </c>
    </row>
    <row r="137">
      <c r="A137" s="7" t="s">
        <v>7291</v>
      </c>
      <c r="B137" s="5">
        <f>IFERROR(__xludf.DUMMYFUNCTION("SPLIT(A137,"","")"),907.0)</f>
        <v>907</v>
      </c>
      <c r="C137" s="5" t="str">
        <f>IFERROR(__xludf.DUMMYFUNCTION("""COMPUTED_VALUE"""),"মোঃ শাহরুল ইসলাম")</f>
        <v>মোঃ শাহরুল ইসলাম</v>
      </c>
      <c r="D137" s="5">
        <f>IFERROR(__xludf.DUMMYFUNCTION("""COMPUTED_VALUE"""),5.70038355312E11)</f>
        <v>570038355312</v>
      </c>
      <c r="E137" s="5" t="str">
        <f>IFERROR(__xludf.DUMMYFUNCTION("""COMPUTED_VALUE"""),"মোঃ সিরাজুল ইসলাম")</f>
        <v>মোঃ সিরাজুল ইসলাম</v>
      </c>
      <c r="F137" s="5" t="str">
        <f>IFERROR(__xludf.DUMMYFUNCTION("""COMPUTED_VALUE"""),"মোছাঃ সাহেরান বেগম")</f>
        <v>মোছাঃ সাহেরান বেগম</v>
      </c>
      <c r="G137" s="5" t="str">
        <f>IFERROR(__xludf.DUMMYFUNCTION("""COMPUTED_VALUE"""),"২১/০৮/১৯৭৭")</f>
        <v>২১/০৮/১৯৭৭</v>
      </c>
      <c r="H137" s="5" t="str">
        <f>IFERROR(__xludf.DUMMYFUNCTION("""COMPUTED_VALUE"""),"বেকার")</f>
        <v>বেকার</v>
      </c>
      <c r="I137" s="5" t="str">
        <f>IFERROR(__xludf.DUMMYFUNCTION("""COMPUTED_VALUE"""),"""গাড়াডোব")</f>
        <v>"গাড়াডোব</v>
      </c>
      <c r="J137" s="5" t="str">
        <f>IFERROR(__xludf.DUMMYFUNCTION("""COMPUTED_VALUE""")," গাংনী")</f>
        <v> গাংনী</v>
      </c>
      <c r="K137" s="5" t="str">
        <f>IFERROR(__xludf.DUMMYFUNCTION("""COMPUTED_VALUE""")," মেহেরপুর""")</f>
        <v> মেহেরপুর"</v>
      </c>
    </row>
    <row r="138">
      <c r="A138" s="7" t="s">
        <v>7292</v>
      </c>
      <c r="B138" s="5">
        <f>IFERROR(__xludf.DUMMYFUNCTION("SPLIT(A138,"","")"),908.0)</f>
        <v>908</v>
      </c>
      <c r="C138" s="5" t="str">
        <f>IFERROR(__xludf.DUMMYFUNCTION("""COMPUTED_VALUE"""),"মোঃ শরিফ উদ্দিন")</f>
        <v>মোঃ শরিফ উদ্দিন</v>
      </c>
      <c r="D138" s="5">
        <f>IFERROR(__xludf.DUMMYFUNCTION("""COMPUTED_VALUE"""),5.70038355313E11)</f>
        <v>570038355313</v>
      </c>
      <c r="E138" s="5" t="str">
        <f>IFERROR(__xludf.DUMMYFUNCTION("""COMPUTED_VALUE"""),"মোঃ জমিরুদ্দিন")</f>
        <v>মোঃ জমিরুদ্দিন</v>
      </c>
      <c r="F138" s="5" t="str">
        <f>IFERROR(__xludf.DUMMYFUNCTION("""COMPUTED_VALUE"""),"মোছাঃ ছাইরেজান বেগম")</f>
        <v>মোছাঃ ছাইরেজান বেগম</v>
      </c>
      <c r="G138" s="5" t="str">
        <f>IFERROR(__xludf.DUMMYFUNCTION("""COMPUTED_VALUE"""),"১১/০৯/১৯৬৬")</f>
        <v>১১/০৯/১৯৬৬</v>
      </c>
      <c r="H138" s="5" t="str">
        <f>IFERROR(__xludf.DUMMYFUNCTION("""COMPUTED_VALUE"""),"কৃষক")</f>
        <v>কৃষক</v>
      </c>
      <c r="I138" s="5" t="str">
        <f>IFERROR(__xludf.DUMMYFUNCTION("""COMPUTED_VALUE"""),"""গাড়াডোব")</f>
        <v>"গাড়াডোব</v>
      </c>
      <c r="J138" s="5" t="str">
        <f>IFERROR(__xludf.DUMMYFUNCTION("""COMPUTED_VALUE""")," গাংনী")</f>
        <v> গাংনী</v>
      </c>
      <c r="K138" s="5" t="str">
        <f>IFERROR(__xludf.DUMMYFUNCTION("""COMPUTED_VALUE""")," মেহেরপুর""")</f>
        <v> মেহেরপুর"</v>
      </c>
    </row>
    <row r="139">
      <c r="A139" s="7" t="s">
        <v>7293</v>
      </c>
      <c r="B139" s="5">
        <f>IFERROR(__xludf.DUMMYFUNCTION("SPLIT(A139,"","")"),909.0)</f>
        <v>909</v>
      </c>
      <c r="C139" s="5" t="str">
        <f>IFERROR(__xludf.DUMMYFUNCTION("""COMPUTED_VALUE"""),"মোঃ সাজিদুল ইসলাম")</f>
        <v>মোঃ সাজিদুল ইসলাম</v>
      </c>
      <c r="D139" s="5">
        <f>IFERROR(__xludf.DUMMYFUNCTION("""COMPUTED_VALUE"""),5.70038355314E11)</f>
        <v>570038355314</v>
      </c>
      <c r="E139" s="5" t="str">
        <f>IFERROR(__xludf.DUMMYFUNCTION("""COMPUTED_VALUE"""),"মোঃ আব্দুর রাজ্জাক")</f>
        <v>মোঃ আব্দুর রাজ্জাক</v>
      </c>
      <c r="F139" s="5" t="str">
        <f>IFERROR(__xludf.DUMMYFUNCTION("""COMPUTED_VALUE"""),"মোছাঃ সুফিয়া খাতুন")</f>
        <v>মোছাঃ সুফিয়া খাতুন</v>
      </c>
      <c r="G139" s="5" t="str">
        <f>IFERROR(__xludf.DUMMYFUNCTION("""COMPUTED_VALUE"""),"১৩/০৮/১৯৮৫")</f>
        <v>১৩/০৮/১৯৮৫</v>
      </c>
      <c r="H139" s="5" t="str">
        <f>IFERROR(__xludf.DUMMYFUNCTION("""COMPUTED_VALUE"""),"কৃষক")</f>
        <v>কৃষক</v>
      </c>
      <c r="I139" s="5" t="str">
        <f>IFERROR(__xludf.DUMMYFUNCTION("""COMPUTED_VALUE"""),"""গাড়াডোব")</f>
        <v>"গাড়াডোব</v>
      </c>
      <c r="J139" s="5" t="str">
        <f>IFERROR(__xludf.DUMMYFUNCTION("""COMPUTED_VALUE""")," গাংনী")</f>
        <v> গাংনী</v>
      </c>
      <c r="K139" s="5" t="str">
        <f>IFERROR(__xludf.DUMMYFUNCTION("""COMPUTED_VALUE""")," মেহেরপুর""")</f>
        <v> মেহেরপুর"</v>
      </c>
    </row>
    <row r="140">
      <c r="A140" s="7" t="s">
        <v>7294</v>
      </c>
      <c r="B140" s="5">
        <f>IFERROR(__xludf.DUMMYFUNCTION("SPLIT(A140,"","")"),910.0)</f>
        <v>910</v>
      </c>
      <c r="C140" s="5" t="str">
        <f>IFERROR(__xludf.DUMMYFUNCTION("""COMPUTED_VALUE"""),"মোঃ আব্দুস সামাদ")</f>
        <v>মোঃ আব্দুস সামাদ</v>
      </c>
      <c r="D140" s="5">
        <f>IFERROR(__xludf.DUMMYFUNCTION("""COMPUTED_VALUE"""),5.70038355315E11)</f>
        <v>570038355315</v>
      </c>
      <c r="E140" s="5" t="str">
        <f>IFERROR(__xludf.DUMMYFUNCTION("""COMPUTED_VALUE"""),"ভিকু শেখ")</f>
        <v>ভিকু শেখ</v>
      </c>
      <c r="F140" s="5" t="str">
        <f>IFERROR(__xludf.DUMMYFUNCTION("""COMPUTED_VALUE"""),"মাতা: নেকজান")</f>
        <v>মাতা: নেকজান</v>
      </c>
      <c r="G140" s="5" t="str">
        <f>IFERROR(__xludf.DUMMYFUNCTION("""COMPUTED_VALUE"""),"১৮/০৬/১৯৫৯")</f>
        <v>১৮/০৬/১৯৫৯</v>
      </c>
      <c r="H140" s="5" t="str">
        <f>IFERROR(__xludf.DUMMYFUNCTION("""COMPUTED_VALUE"""),"দিনমজুর")</f>
        <v>দিনমজুর</v>
      </c>
      <c r="I140" s="5" t="str">
        <f>IFERROR(__xludf.DUMMYFUNCTION("""COMPUTED_VALUE"""),"""গাড়াডোব")</f>
        <v>"গাড়াডোব</v>
      </c>
      <c r="J140" s="5" t="str">
        <f>IFERROR(__xludf.DUMMYFUNCTION("""COMPUTED_VALUE""")," গাংনী")</f>
        <v> গাংনী</v>
      </c>
      <c r="K140" s="5" t="str">
        <f>IFERROR(__xludf.DUMMYFUNCTION("""COMPUTED_VALUE""")," মেহেরপুর""")</f>
        <v> মেহেরপুর"</v>
      </c>
    </row>
    <row r="141">
      <c r="A141" s="7" t="s">
        <v>7295</v>
      </c>
      <c r="B141" s="5">
        <f>IFERROR(__xludf.DUMMYFUNCTION("SPLIT(A141,"","")"),911.0)</f>
        <v>911</v>
      </c>
      <c r="C141" s="5" t="str">
        <f>IFERROR(__xludf.DUMMYFUNCTION("""COMPUTED_VALUE"""),"মোঃ আমিরুল ইসলাম")</f>
        <v>মোঃ আমিরুল ইসলাম</v>
      </c>
      <c r="D141" s="5">
        <f>IFERROR(__xludf.DUMMYFUNCTION("""COMPUTED_VALUE"""),5.70038355316E11)</f>
        <v>570038355316</v>
      </c>
      <c r="E141" s="5" t="str">
        <f>IFERROR(__xludf.DUMMYFUNCTION("""COMPUTED_VALUE"""),"রাখাল শেখ")</f>
        <v>রাখাল শেখ</v>
      </c>
      <c r="F141" s="5" t="str">
        <f>IFERROR(__xludf.DUMMYFUNCTION("""COMPUTED_VALUE"""),"মাতা: হাওয়া খাতুন")</f>
        <v>মাতা: হাওয়া খাতুন</v>
      </c>
      <c r="G141" s="5" t="str">
        <f>IFERROR(__xludf.DUMMYFUNCTION("""COMPUTED_VALUE"""),"১৫/০৮/১৯৬২")</f>
        <v>১৫/০৮/১৯৬২</v>
      </c>
      <c r="H141" s="5" t="str">
        <f>IFERROR(__xludf.DUMMYFUNCTION("""COMPUTED_VALUE"""),"দিনমজুর")</f>
        <v>দিনমজুর</v>
      </c>
      <c r="I141" s="5" t="str">
        <f>IFERROR(__xludf.DUMMYFUNCTION("""COMPUTED_VALUE"""),"""গাড়াডোব")</f>
        <v>"গাড়াডোব</v>
      </c>
      <c r="J141" s="5" t="str">
        <f>IFERROR(__xludf.DUMMYFUNCTION("""COMPUTED_VALUE""")," গাংনী")</f>
        <v> গাংনী</v>
      </c>
      <c r="K141" s="5" t="str">
        <f>IFERROR(__xludf.DUMMYFUNCTION("""COMPUTED_VALUE""")," মেহেরপুর""")</f>
        <v> মেহেরপুর"</v>
      </c>
    </row>
    <row r="142">
      <c r="A142" s="7" t="s">
        <v>7296</v>
      </c>
      <c r="B142" s="5">
        <f>IFERROR(__xludf.DUMMYFUNCTION("SPLIT(A142,"","")"),912.0)</f>
        <v>912</v>
      </c>
      <c r="C142" s="5" t="str">
        <f>IFERROR(__xludf.DUMMYFUNCTION("""COMPUTED_VALUE"""),"মোঃ ইসরাইল হোসেন")</f>
        <v>মোঃ ইসরাইল হোসেন</v>
      </c>
      <c r="D142" s="5">
        <f>IFERROR(__xludf.DUMMYFUNCTION("""COMPUTED_VALUE"""),5.70038355317E11)</f>
        <v>570038355317</v>
      </c>
      <c r="E142" s="5" t="str">
        <f>IFERROR(__xludf.DUMMYFUNCTION("""COMPUTED_VALUE"""),"মুল্লক শেখ")</f>
        <v>মুল্লক শেখ</v>
      </c>
      <c r="F142" s="5" t="str">
        <f>IFERROR(__xludf.DUMMYFUNCTION("""COMPUTED_VALUE"""),"মাতা: জহুরা বেগম")</f>
        <v>মাতা: জহুরা বেগম</v>
      </c>
      <c r="G142" s="5" t="str">
        <f>IFERROR(__xludf.DUMMYFUNCTION("""COMPUTED_VALUE"""),"১৩/১০/১৯৭২")</f>
        <v>১৩/১০/১৯৭২</v>
      </c>
      <c r="H142" s="5" t="str">
        <f>IFERROR(__xludf.DUMMYFUNCTION("""COMPUTED_VALUE"""),"ব্যবসা")</f>
        <v>ব্যবসা</v>
      </c>
      <c r="I142" s="5" t="str">
        <f>IFERROR(__xludf.DUMMYFUNCTION("""COMPUTED_VALUE"""),"""গাড়াডোব")</f>
        <v>"গাড়াডোব</v>
      </c>
      <c r="J142" s="5" t="str">
        <f>IFERROR(__xludf.DUMMYFUNCTION("""COMPUTED_VALUE""")," গাংনী")</f>
        <v> গাংনী</v>
      </c>
      <c r="K142" s="5" t="str">
        <f>IFERROR(__xludf.DUMMYFUNCTION("""COMPUTED_VALUE""")," মেহেরপুর""")</f>
        <v> মেহেরপুর"</v>
      </c>
    </row>
    <row r="143">
      <c r="A143" s="7" t="s">
        <v>7297</v>
      </c>
      <c r="B143" s="5">
        <f>IFERROR(__xludf.DUMMYFUNCTION("SPLIT(A143,"","")"),913.0)</f>
        <v>913</v>
      </c>
      <c r="C143" s="5" t="str">
        <f>IFERROR(__xludf.DUMMYFUNCTION("""COMPUTED_VALUE"""),"মোঃ সেন্টু হোসেন")</f>
        <v>মোঃ সেন্টু হোসেন</v>
      </c>
      <c r="D143" s="5">
        <f>IFERROR(__xludf.DUMMYFUNCTION("""COMPUTED_VALUE"""),5.70038355318E11)</f>
        <v>570038355318</v>
      </c>
      <c r="E143" s="5" t="str">
        <f>IFERROR(__xludf.DUMMYFUNCTION("""COMPUTED_VALUE"""),"মোঃ রেজাইল ইসলাম")</f>
        <v>মোঃ রেজাইল ইসলাম</v>
      </c>
      <c r="F143" s="5" t="str">
        <f>IFERROR(__xludf.DUMMYFUNCTION("""COMPUTED_VALUE"""),"মোছাঃ নকিজান")</f>
        <v>মোছাঃ নকিজান</v>
      </c>
      <c r="G143" s="5" t="str">
        <f>IFERROR(__xludf.DUMMYFUNCTION("""COMPUTED_VALUE"""),"১৩/০৮/১৯৮৩")</f>
        <v>১৩/০৮/১৯৮৩</v>
      </c>
      <c r="H143" s="5" t="str">
        <f>IFERROR(__xludf.DUMMYFUNCTION("""COMPUTED_VALUE"""),"দিনমজুর")</f>
        <v>দিনমজুর</v>
      </c>
      <c r="I143" s="5" t="str">
        <f>IFERROR(__xludf.DUMMYFUNCTION("""COMPUTED_VALUE"""),"""গাড়াডোব")</f>
        <v>"গাড়াডোব</v>
      </c>
      <c r="J143" s="5" t="str">
        <f>IFERROR(__xludf.DUMMYFUNCTION("""COMPUTED_VALUE""")," গাংনী")</f>
        <v> গাংনী</v>
      </c>
      <c r="K143" s="5" t="str">
        <f>IFERROR(__xludf.DUMMYFUNCTION("""COMPUTED_VALUE""")," মেহেরপুর""")</f>
        <v> মেহেরপুর"</v>
      </c>
    </row>
    <row r="144">
      <c r="A144" s="7" t="s">
        <v>7298</v>
      </c>
      <c r="B144" s="5">
        <f>IFERROR(__xludf.DUMMYFUNCTION("SPLIT(A144,"","")"),914.0)</f>
        <v>914</v>
      </c>
      <c r="C144" s="5" t="str">
        <f>IFERROR(__xludf.DUMMYFUNCTION("""COMPUTED_VALUE"""),"মোঃ বানারুল ইসলাম")</f>
        <v>মোঃ বানারুল ইসলাম</v>
      </c>
      <c r="D144" s="5">
        <f>IFERROR(__xludf.DUMMYFUNCTION("""COMPUTED_VALUE"""),5.70038355319E11)</f>
        <v>570038355319</v>
      </c>
      <c r="E144" s="5" t="str">
        <f>IFERROR(__xludf.DUMMYFUNCTION("""COMPUTED_VALUE"""),"মোঃ ছাইনাল হোসেন")</f>
        <v>মোঃ ছাইনাল হোসেন</v>
      </c>
      <c r="F144" s="5" t="str">
        <f>IFERROR(__xludf.DUMMYFUNCTION("""COMPUTED_VALUE"""),"মোছাঃ বানুয়ারা খাতুন")</f>
        <v>মোছাঃ বানুয়ারা খাতুন</v>
      </c>
      <c r="G144" s="5" t="str">
        <f>IFERROR(__xludf.DUMMYFUNCTION("""COMPUTED_VALUE"""),"১৩/০৯/১৯৮৭")</f>
        <v>১৩/০৯/১৯৮৭</v>
      </c>
      <c r="H144" s="5" t="str">
        <f>IFERROR(__xludf.DUMMYFUNCTION("""COMPUTED_VALUE"""),"দিনমজুর")</f>
        <v>দিনমজুর</v>
      </c>
      <c r="I144" s="5" t="str">
        <f>IFERROR(__xludf.DUMMYFUNCTION("""COMPUTED_VALUE"""),"""গাড়াডোব")</f>
        <v>"গাড়াডোব</v>
      </c>
      <c r="J144" s="5" t="str">
        <f>IFERROR(__xludf.DUMMYFUNCTION("""COMPUTED_VALUE""")," গাংনী")</f>
        <v> গাংনী</v>
      </c>
      <c r="K144" s="5" t="str">
        <f>IFERROR(__xludf.DUMMYFUNCTION("""COMPUTED_VALUE""")," মেহেরপুর""")</f>
        <v> মেহেরপুর"</v>
      </c>
    </row>
    <row r="145">
      <c r="A145" s="7" t="s">
        <v>7299</v>
      </c>
      <c r="B145" s="5">
        <f>IFERROR(__xludf.DUMMYFUNCTION("SPLIT(A145,"","")"),915.0)</f>
        <v>915</v>
      </c>
      <c r="C145" s="5" t="str">
        <f>IFERROR(__xludf.DUMMYFUNCTION("""COMPUTED_VALUE"""),"মোঃ শাহাবুদ্দিন")</f>
        <v>মোঃ শাহাবুদ্দিন</v>
      </c>
      <c r="D145" s="5">
        <f>IFERROR(__xludf.DUMMYFUNCTION("""COMPUTED_VALUE"""),5.7003835532E11)</f>
        <v>570038355320</v>
      </c>
      <c r="E145" s="5" t="str">
        <f>IFERROR(__xludf.DUMMYFUNCTION("""COMPUTED_VALUE"""),"মোঃ নজরুল ইসলাম")</f>
        <v>মোঃ নজরুল ইসলাম</v>
      </c>
      <c r="F145" s="5" t="str">
        <f>IFERROR(__xludf.DUMMYFUNCTION("""COMPUTED_VALUE"""),"মাতা: ছানোয়ারা খাতুন")</f>
        <v>মাতা: ছানোয়ারা খাতুন</v>
      </c>
      <c r="G145" s="5" t="str">
        <f>IFERROR(__xludf.DUMMYFUNCTION("""COMPUTED_VALUE"""),"১৫/০৭/১৯৮৮")</f>
        <v>১৫/০৭/১৯৮৮</v>
      </c>
      <c r="H145" s="5" t="str">
        <f>IFERROR(__xludf.DUMMYFUNCTION("""COMPUTED_VALUE"""),"শ্রমিক")</f>
        <v>শ্রমিক</v>
      </c>
      <c r="I145" s="5" t="str">
        <f>IFERROR(__xludf.DUMMYFUNCTION("""COMPUTED_VALUE"""),"""গাড়াডোব")</f>
        <v>"গাড়াডোব</v>
      </c>
      <c r="J145" s="5" t="str">
        <f>IFERROR(__xludf.DUMMYFUNCTION("""COMPUTED_VALUE""")," গাংনী")</f>
        <v> গাংনী</v>
      </c>
      <c r="K145" s="5" t="str">
        <f>IFERROR(__xludf.DUMMYFUNCTION("""COMPUTED_VALUE""")," মেহেরপুর""")</f>
        <v> মেহেরপুর"</v>
      </c>
    </row>
    <row r="146">
      <c r="A146" s="7" t="s">
        <v>7300</v>
      </c>
      <c r="B146" s="5">
        <f>IFERROR(__xludf.DUMMYFUNCTION("SPLIT(A146,"","")"),916.0)</f>
        <v>916</v>
      </c>
      <c r="C146" s="5" t="str">
        <f>IFERROR(__xludf.DUMMYFUNCTION("""COMPUTED_VALUE"""),"মোঃ মিলন")</f>
        <v>মোঃ মিলন</v>
      </c>
      <c r="D146" s="5">
        <f>IFERROR(__xludf.DUMMYFUNCTION("""COMPUTED_VALUE"""),5.70038355321E11)</f>
        <v>570038355321</v>
      </c>
      <c r="E146" s="5" t="str">
        <f>IFERROR(__xludf.DUMMYFUNCTION("""COMPUTED_VALUE"""),"মোঃ আব্দুল লতিফ")</f>
        <v>মোঃ আব্দুল লতিফ</v>
      </c>
      <c r="F146" s="5" t="str">
        <f>IFERROR(__xludf.DUMMYFUNCTION("""COMPUTED_VALUE"""),"মোছাঃ হালেজান")</f>
        <v>মোছাঃ হালেজান</v>
      </c>
      <c r="G146" s="5" t="str">
        <f>IFERROR(__xludf.DUMMYFUNCTION("""COMPUTED_VALUE"""),"১৬/০৭/১৯৮৩")</f>
        <v>১৬/০৭/১৯৮৩</v>
      </c>
      <c r="H146" s="5" t="str">
        <f>IFERROR(__xludf.DUMMYFUNCTION("""COMPUTED_VALUE"""),"দিনমজুর")</f>
        <v>দিনমজুর</v>
      </c>
      <c r="I146" s="5" t="str">
        <f>IFERROR(__xludf.DUMMYFUNCTION("""COMPUTED_VALUE"""),"""গাড়াডোব")</f>
        <v>"গাড়াডোব</v>
      </c>
      <c r="J146" s="5" t="str">
        <f>IFERROR(__xludf.DUMMYFUNCTION("""COMPUTED_VALUE""")," গাংনী")</f>
        <v> গাংনী</v>
      </c>
      <c r="K146" s="5" t="str">
        <f>IFERROR(__xludf.DUMMYFUNCTION("""COMPUTED_VALUE""")," মেহেরপুর""")</f>
        <v> মেহেরপুর"</v>
      </c>
    </row>
    <row r="147">
      <c r="A147" s="7" t="s">
        <v>7301</v>
      </c>
      <c r="B147" s="5">
        <f>IFERROR(__xludf.DUMMYFUNCTION("SPLIT(A147,"","")"),917.0)</f>
        <v>917</v>
      </c>
      <c r="C147" s="5" t="str">
        <f>IFERROR(__xludf.DUMMYFUNCTION("""COMPUTED_VALUE"""),"মোঃ জাহাঙ্গীর আলম")</f>
        <v>মোঃ জাহাঙ্গীর আলম</v>
      </c>
      <c r="D147" s="5">
        <f>IFERROR(__xludf.DUMMYFUNCTION("""COMPUTED_VALUE"""),5.70038355322E11)</f>
        <v>570038355322</v>
      </c>
      <c r="E147" s="5" t="str">
        <f>IFERROR(__xludf.DUMMYFUNCTION("""COMPUTED_VALUE"""),"মোঃ সেকেন্দার আলী")</f>
        <v>মোঃ সেকেন্দার আলী</v>
      </c>
      <c r="F147" s="5" t="str">
        <f>IFERROR(__xludf.DUMMYFUNCTION("""COMPUTED_VALUE"""),"মোছাঃ জাহানারা খাতুন")</f>
        <v>মোছাঃ জাহানারা খাতুন</v>
      </c>
      <c r="G147" s="5" t="str">
        <f>IFERROR(__xludf.DUMMYFUNCTION("""COMPUTED_VALUE"""),"১৪/১০/১৯৭৭")</f>
        <v>১৪/১০/১৯৭৭</v>
      </c>
      <c r="H147" s="5" t="str">
        <f>IFERROR(__xludf.DUMMYFUNCTION("""COMPUTED_VALUE"""),"বেসরকারী চাকুরী")</f>
        <v>বেসরকারী চাকুরী</v>
      </c>
      <c r="I147" s="5" t="str">
        <f>IFERROR(__xludf.DUMMYFUNCTION("""COMPUTED_VALUE"""),"""গাড়াডোব")</f>
        <v>"গাড়াডোব</v>
      </c>
      <c r="J147" s="5" t="str">
        <f>IFERROR(__xludf.DUMMYFUNCTION("""COMPUTED_VALUE""")," গাংনী")</f>
        <v> গাংনী</v>
      </c>
      <c r="K147" s="5" t="str">
        <f>IFERROR(__xludf.DUMMYFUNCTION("""COMPUTED_VALUE""")," মেহেরপুর""")</f>
        <v> মেহেরপুর"</v>
      </c>
    </row>
    <row r="148">
      <c r="A148" s="7" t="s">
        <v>7302</v>
      </c>
      <c r="B148" s="5">
        <f>IFERROR(__xludf.DUMMYFUNCTION("SPLIT(A148,"","")"),918.0)</f>
        <v>918</v>
      </c>
      <c r="C148" s="5" t="str">
        <f>IFERROR(__xludf.DUMMYFUNCTION("""COMPUTED_VALUE"""),"মোঃ হুমায়ুন কবীর")</f>
        <v>মোঃ হুমায়ুন কবীর</v>
      </c>
      <c r="D148" s="5">
        <f>IFERROR(__xludf.DUMMYFUNCTION("""COMPUTED_VALUE"""),5.70038355324E11)</f>
        <v>570038355324</v>
      </c>
      <c r="E148" s="5" t="str">
        <f>IFERROR(__xludf.DUMMYFUNCTION("""COMPUTED_VALUE"""),"মোঃ সেকেন্দার আলী")</f>
        <v>মোঃ সেকেন্দার আলী</v>
      </c>
      <c r="F148" s="5" t="str">
        <f>IFERROR(__xludf.DUMMYFUNCTION("""COMPUTED_VALUE"""),"মোছাঃ জান্নাতন নেছা")</f>
        <v>মোছাঃ জান্নাতন নেছা</v>
      </c>
      <c r="G148" s="5" t="str">
        <f>IFERROR(__xludf.DUMMYFUNCTION("""COMPUTED_VALUE"""),"০২/১২/১৯৮৭")</f>
        <v>০২/১২/১৯৮৭</v>
      </c>
      <c r="H148" s="5" t="str">
        <f>IFERROR(__xludf.DUMMYFUNCTION("""COMPUTED_VALUE"""),"ব্যবসা")</f>
        <v>ব্যবসা</v>
      </c>
      <c r="I148" s="5" t="str">
        <f>IFERROR(__xludf.DUMMYFUNCTION("""COMPUTED_VALUE"""),"""গাড়াডোব")</f>
        <v>"গাড়াডোব</v>
      </c>
      <c r="J148" s="5" t="str">
        <f>IFERROR(__xludf.DUMMYFUNCTION("""COMPUTED_VALUE""")," গাংনী")</f>
        <v> গাংনী</v>
      </c>
      <c r="K148" s="5" t="str">
        <f>IFERROR(__xludf.DUMMYFUNCTION("""COMPUTED_VALUE""")," মেহেরপুর""")</f>
        <v> মেহেরপুর"</v>
      </c>
    </row>
    <row r="149">
      <c r="A149" s="7" t="s">
        <v>7303</v>
      </c>
      <c r="B149" s="5">
        <f>IFERROR(__xludf.DUMMYFUNCTION("SPLIT(A149,"","")"),919.0)</f>
        <v>919</v>
      </c>
      <c r="C149" s="5" t="str">
        <f>IFERROR(__xludf.DUMMYFUNCTION("""COMPUTED_VALUE"""),"মোঃ মজির উদ্দীন")</f>
        <v>মোঃ মজির উদ্দীন</v>
      </c>
      <c r="D149" s="5">
        <f>IFERROR(__xludf.DUMMYFUNCTION("""COMPUTED_VALUE"""),5.70038355327E11)</f>
        <v>570038355327</v>
      </c>
      <c r="E149" s="5" t="str">
        <f>IFERROR(__xludf.DUMMYFUNCTION("""COMPUTED_VALUE"""),"রইছউদ্দীন")</f>
        <v>রইছউদ্দীন</v>
      </c>
      <c r="F149" s="5" t="str">
        <f>IFERROR(__xludf.DUMMYFUNCTION("""COMPUTED_VALUE"""),"মোছাঃ নাছিমা খাতুন")</f>
        <v>মোছাঃ নাছিমা খাতুন</v>
      </c>
      <c r="G149" s="5" t="str">
        <f>IFERROR(__xludf.DUMMYFUNCTION("""COMPUTED_VALUE"""),"১৬/০৭/১৯৬০")</f>
        <v>১৬/০৭/১৯৬০</v>
      </c>
      <c r="H149" s="5" t="str">
        <f>IFERROR(__xludf.DUMMYFUNCTION("""COMPUTED_VALUE"""),"ব্যবসা")</f>
        <v>ব্যবসা</v>
      </c>
      <c r="I149" s="5" t="str">
        <f>IFERROR(__xludf.DUMMYFUNCTION("""COMPUTED_VALUE"""),"""গাড়াডোব")</f>
        <v>"গাড়াডোব</v>
      </c>
      <c r="J149" s="5" t="str">
        <f>IFERROR(__xludf.DUMMYFUNCTION("""COMPUTED_VALUE""")," গাংনী")</f>
        <v> গাংনী</v>
      </c>
      <c r="K149" s="5" t="str">
        <f>IFERROR(__xludf.DUMMYFUNCTION("""COMPUTED_VALUE""")," মেহেরপুর""")</f>
        <v> মেহেরপুর"</v>
      </c>
    </row>
    <row r="150">
      <c r="A150" s="7" t="s">
        <v>7304</v>
      </c>
      <c r="B150" s="5">
        <f>IFERROR(__xludf.DUMMYFUNCTION("SPLIT(A150,"","")"),920.0)</f>
        <v>920</v>
      </c>
      <c r="C150" s="5" t="str">
        <f>IFERROR(__xludf.DUMMYFUNCTION("""COMPUTED_VALUE"""),"মোঃ মুনছুর আলী")</f>
        <v>মোঃ মুনছুর আলী</v>
      </c>
      <c r="D150" s="5">
        <f>IFERROR(__xludf.DUMMYFUNCTION("""COMPUTED_VALUE"""),5.70038355329E11)</f>
        <v>570038355329</v>
      </c>
      <c r="E150" s="5" t="str">
        <f>IFERROR(__xludf.DUMMYFUNCTION("""COMPUTED_VALUE"""),"সুলতান আলী")</f>
        <v>সুলতান আলী</v>
      </c>
      <c r="F150" s="5" t="str">
        <f>IFERROR(__xludf.DUMMYFUNCTION("""COMPUTED_VALUE"""),"মোছাঃ খাইরন নেছা")</f>
        <v>মোছাঃ খাইরন নেছা</v>
      </c>
      <c r="G150" s="5" t="str">
        <f>IFERROR(__xludf.DUMMYFUNCTION("""COMPUTED_VALUE"""),"১০/০৫/১৯৭৫")</f>
        <v>১০/০৫/১৯৭৫</v>
      </c>
      <c r="H150" s="5" t="str">
        <f>IFERROR(__xludf.DUMMYFUNCTION("""COMPUTED_VALUE"""),"শ্রমিক")</f>
        <v>শ্রমিক</v>
      </c>
      <c r="I150" s="5" t="str">
        <f>IFERROR(__xludf.DUMMYFUNCTION("""COMPUTED_VALUE"""),"""গাড়াডোব")</f>
        <v>"গাড়াডোব</v>
      </c>
      <c r="J150" s="5" t="str">
        <f>IFERROR(__xludf.DUMMYFUNCTION("""COMPUTED_VALUE""")," গাংনী")</f>
        <v> গাংনী</v>
      </c>
      <c r="K150" s="5" t="str">
        <f>IFERROR(__xludf.DUMMYFUNCTION("""COMPUTED_VALUE""")," মেহেরপুর""")</f>
        <v> মেহেরপুর"</v>
      </c>
    </row>
    <row r="151">
      <c r="A151" s="7" t="s">
        <v>7305</v>
      </c>
      <c r="B151" s="5">
        <f>IFERROR(__xludf.DUMMYFUNCTION("SPLIT(A151,"","")"),921.0)</f>
        <v>921</v>
      </c>
      <c r="C151" s="5" t="str">
        <f>IFERROR(__xludf.DUMMYFUNCTION("""COMPUTED_VALUE"""),"মোঃ মিজানুর রহমান")</f>
        <v>মোঃ মিজানুর রহমান</v>
      </c>
      <c r="D151" s="5">
        <f>IFERROR(__xludf.DUMMYFUNCTION("""COMPUTED_VALUE"""),5.70038355335E11)</f>
        <v>570038355335</v>
      </c>
      <c r="E151" s="5" t="str">
        <f>IFERROR(__xludf.DUMMYFUNCTION("""COMPUTED_VALUE"""),"মোঃ জামাত আলী")</f>
        <v>মোঃ জামাত আলী</v>
      </c>
      <c r="F151" s="5" t="str">
        <f>IFERROR(__xludf.DUMMYFUNCTION("""COMPUTED_VALUE"""),"মোছাঃ রিকাতন নেছা")</f>
        <v>মোছাঃ রিকাতন নেছা</v>
      </c>
      <c r="G151" s="5" t="str">
        <f>IFERROR(__xludf.DUMMYFUNCTION("""COMPUTED_VALUE"""),"১৬/০৬/১৯৮০")</f>
        <v>১৬/০৬/১৯৮০</v>
      </c>
      <c r="H151" s="5" t="str">
        <f>IFERROR(__xludf.DUMMYFUNCTION("""COMPUTED_VALUE"""),"ব্যবসা")</f>
        <v>ব্যবসা</v>
      </c>
      <c r="I151" s="5" t="str">
        <f>IFERROR(__xludf.DUMMYFUNCTION("""COMPUTED_VALUE"""),"""গাড়াডোব")</f>
        <v>"গাড়াডোব</v>
      </c>
      <c r="J151" s="5" t="str">
        <f>IFERROR(__xludf.DUMMYFUNCTION("""COMPUTED_VALUE""")," গাংনী")</f>
        <v> গাংনী</v>
      </c>
      <c r="K151" s="5" t="str">
        <f>IFERROR(__xludf.DUMMYFUNCTION("""COMPUTED_VALUE""")," মেহেরপুর""")</f>
        <v> মেহেরপুর"</v>
      </c>
    </row>
    <row r="152">
      <c r="A152" s="7" t="s">
        <v>7306</v>
      </c>
      <c r="B152" s="5">
        <f>IFERROR(__xludf.DUMMYFUNCTION("SPLIT(A152,"","")"),922.0)</f>
        <v>922</v>
      </c>
      <c r="C152" s="5" t="str">
        <f>IFERROR(__xludf.DUMMYFUNCTION("""COMPUTED_VALUE"""),"মোঃ ইয়ারুল ইসলাম")</f>
        <v>মোঃ ইয়ারুল ইসলাম</v>
      </c>
      <c r="D152" s="5">
        <f>IFERROR(__xludf.DUMMYFUNCTION("""COMPUTED_VALUE"""),5.70038355342E11)</f>
        <v>570038355342</v>
      </c>
      <c r="E152" s="5" t="str">
        <f>IFERROR(__xludf.DUMMYFUNCTION("""COMPUTED_VALUE"""),"মোঃ খোদা বকস")</f>
        <v>মোঃ খোদা বকস</v>
      </c>
      <c r="F152" s="5" t="str">
        <f>IFERROR(__xludf.DUMMYFUNCTION("""COMPUTED_VALUE"""),"মোছাঃ ছকিনা বেগম")</f>
        <v>মোছাঃ ছকিনা বেগম</v>
      </c>
      <c r="G152" s="5" t="str">
        <f>IFERROR(__xludf.DUMMYFUNCTION("""COMPUTED_VALUE"""),"১৫/০৫/১৯৬৭")</f>
        <v>১৫/০৫/১৯৬৭</v>
      </c>
      <c r="H152" s="5" t="str">
        <f>IFERROR(__xludf.DUMMYFUNCTION("""COMPUTED_VALUE"""),"কৃষক")</f>
        <v>কৃষক</v>
      </c>
      <c r="I152" s="5" t="str">
        <f>IFERROR(__xludf.DUMMYFUNCTION("""COMPUTED_VALUE"""),"""গাড়াডোব")</f>
        <v>"গাড়াডোব</v>
      </c>
      <c r="J152" s="5" t="str">
        <f>IFERROR(__xludf.DUMMYFUNCTION("""COMPUTED_VALUE""")," গাংনী")</f>
        <v> গাংনী</v>
      </c>
      <c r="K152" s="5" t="str">
        <f>IFERROR(__xludf.DUMMYFUNCTION("""COMPUTED_VALUE""")," মেহেরপুর""")</f>
        <v> মেহেরপুর"</v>
      </c>
    </row>
    <row r="153">
      <c r="A153" s="7" t="s">
        <v>7307</v>
      </c>
      <c r="B153" s="5">
        <f>IFERROR(__xludf.DUMMYFUNCTION("SPLIT(A153,"","")"),923.0)</f>
        <v>923</v>
      </c>
      <c r="C153" s="5" t="str">
        <f>IFERROR(__xludf.DUMMYFUNCTION("""COMPUTED_VALUE"""),"মোঃ রিপন আলী")</f>
        <v>মোঃ রিপন আলী</v>
      </c>
      <c r="D153" s="5">
        <f>IFERROR(__xludf.DUMMYFUNCTION("""COMPUTED_VALUE"""),5.70038355346E11)</f>
        <v>570038355346</v>
      </c>
      <c r="E153" s="5" t="str">
        <f>IFERROR(__xludf.DUMMYFUNCTION("""COMPUTED_VALUE"""),"মোঃ আককাচ আলী")</f>
        <v>মোঃ আককাচ আলী</v>
      </c>
      <c r="F153" s="5" t="str">
        <f>IFERROR(__xludf.DUMMYFUNCTION("""COMPUTED_VALUE"""),"মোছাঃ জোলেখা খাতুন")</f>
        <v>মোছাঃ জোলেখা খাতুন</v>
      </c>
      <c r="G153" s="5" t="str">
        <f>IFERROR(__xludf.DUMMYFUNCTION("""COMPUTED_VALUE"""),"১৫/০৬/১৯৮৬")</f>
        <v>১৫/০৬/১৯৮৬</v>
      </c>
      <c r="H153" s="5" t="str">
        <f>IFERROR(__xludf.DUMMYFUNCTION("""COMPUTED_VALUE"""),"বেসরকারী চাকুরী")</f>
        <v>বেসরকারী চাকুরী</v>
      </c>
      <c r="I153" s="5" t="str">
        <f>IFERROR(__xludf.DUMMYFUNCTION("""COMPUTED_VALUE"""),"""গাড়াডোব")</f>
        <v>"গাড়াডোব</v>
      </c>
      <c r="J153" s="5" t="str">
        <f>IFERROR(__xludf.DUMMYFUNCTION("""COMPUTED_VALUE""")," গাংনী")</f>
        <v> গাংনী</v>
      </c>
      <c r="K153" s="5" t="str">
        <f>IFERROR(__xludf.DUMMYFUNCTION("""COMPUTED_VALUE""")," মেহেরপুর""")</f>
        <v> মেহেরপুর"</v>
      </c>
    </row>
    <row r="154">
      <c r="A154" s="7" t="s">
        <v>7308</v>
      </c>
      <c r="B154" s="5">
        <f>IFERROR(__xludf.DUMMYFUNCTION("SPLIT(A154,"","")"),924.0)</f>
        <v>924</v>
      </c>
      <c r="C154" s="5" t="str">
        <f>IFERROR(__xludf.DUMMYFUNCTION("""COMPUTED_VALUE"""),"মোঃ মুনছুর আলী")</f>
        <v>মোঃ মুনছুর আলী</v>
      </c>
      <c r="D154" s="5">
        <f>IFERROR(__xludf.DUMMYFUNCTION("""COMPUTED_VALUE"""),5.70038355356E11)</f>
        <v>570038355356</v>
      </c>
      <c r="E154" s="5" t="str">
        <f>IFERROR(__xludf.DUMMYFUNCTION("""COMPUTED_VALUE"""),"আমোদ আলী")</f>
        <v>আমোদ আলী</v>
      </c>
      <c r="F154" s="5" t="str">
        <f>IFERROR(__xludf.DUMMYFUNCTION("""COMPUTED_VALUE"""),"মাতা: দৌলব বেওয়া")</f>
        <v>মাতা: দৌলব বেওয়া</v>
      </c>
      <c r="G154" s="5" t="str">
        <f>IFERROR(__xludf.DUMMYFUNCTION("""COMPUTED_VALUE"""),"১১/০৮/১৯৬৭")</f>
        <v>১১/০৮/১৯৬৭</v>
      </c>
      <c r="H154" s="5" t="str">
        <f>IFERROR(__xludf.DUMMYFUNCTION("""COMPUTED_VALUE"""),"দিনমজুর")</f>
        <v>দিনমজুর</v>
      </c>
      <c r="I154" s="5" t="str">
        <f>IFERROR(__xludf.DUMMYFUNCTION("""COMPUTED_VALUE"""),"""গাড়াডোব")</f>
        <v>"গাড়াডোব</v>
      </c>
      <c r="J154" s="5" t="str">
        <f>IFERROR(__xludf.DUMMYFUNCTION("""COMPUTED_VALUE""")," গাংনী")</f>
        <v> গাংনী</v>
      </c>
      <c r="K154" s="5" t="str">
        <f>IFERROR(__xludf.DUMMYFUNCTION("""COMPUTED_VALUE""")," মেহেরপুর""")</f>
        <v> মেহেরপুর"</v>
      </c>
    </row>
    <row r="155">
      <c r="A155" s="7" t="s">
        <v>7309</v>
      </c>
      <c r="B155" s="5">
        <f>IFERROR(__xludf.DUMMYFUNCTION("SPLIT(A155,"","")"),925.0)</f>
        <v>925</v>
      </c>
      <c r="C155" s="5" t="str">
        <f>IFERROR(__xludf.DUMMYFUNCTION("""COMPUTED_VALUE"""),"মোঃ আব্দুস সামাদ")</f>
        <v>মোঃ আব্দুস সামাদ</v>
      </c>
      <c r="D155" s="5">
        <f>IFERROR(__xludf.DUMMYFUNCTION("""COMPUTED_VALUE"""),5.70038355358E11)</f>
        <v>570038355358</v>
      </c>
      <c r="E155" s="5" t="str">
        <f>IFERROR(__xludf.DUMMYFUNCTION("""COMPUTED_VALUE"""),"আমোদ আলী")</f>
        <v>আমোদ আলী</v>
      </c>
      <c r="F155" s="5" t="str">
        <f>IFERROR(__xludf.DUMMYFUNCTION("""COMPUTED_VALUE"""),"মাতা: জৌলব বেওয়া নেছা")</f>
        <v>মাতা: জৌলব বেওয়া নেছা</v>
      </c>
      <c r="G155" s="5" t="str">
        <f>IFERROR(__xludf.DUMMYFUNCTION("""COMPUTED_VALUE"""),"১৭/০৭/১৯৫৭")</f>
        <v>১৭/০৭/১৯৫৭</v>
      </c>
      <c r="H155" s="5" t="str">
        <f>IFERROR(__xludf.DUMMYFUNCTION("""COMPUTED_VALUE"""),"দিনমজুর")</f>
        <v>দিনমজুর</v>
      </c>
      <c r="I155" s="5" t="str">
        <f>IFERROR(__xludf.DUMMYFUNCTION("""COMPUTED_VALUE"""),"""গাড়াডোব")</f>
        <v>"গাড়াডোব</v>
      </c>
      <c r="J155" s="5" t="str">
        <f>IFERROR(__xludf.DUMMYFUNCTION("""COMPUTED_VALUE""")," গাংনী")</f>
        <v> গাংনী</v>
      </c>
      <c r="K155" s="5" t="str">
        <f>IFERROR(__xludf.DUMMYFUNCTION("""COMPUTED_VALUE""")," মেহেরপুর""")</f>
        <v> মেহেরপুর"</v>
      </c>
    </row>
    <row r="156">
      <c r="A156" s="7" t="s">
        <v>7310</v>
      </c>
      <c r="B156" s="5">
        <f>IFERROR(__xludf.DUMMYFUNCTION("SPLIT(A156,"","")"),926.0)</f>
        <v>926</v>
      </c>
      <c r="C156" s="5" t="str">
        <f>IFERROR(__xludf.DUMMYFUNCTION("""COMPUTED_VALUE"""),"মোঃ হামিদুল ইসলাম")</f>
        <v>মোঃ হামিদুল ইসলাম</v>
      </c>
      <c r="D156" s="5">
        <f>IFERROR(__xludf.DUMMYFUNCTION("""COMPUTED_VALUE"""),5.70038355362E11)</f>
        <v>570038355362</v>
      </c>
      <c r="E156" s="5" t="str">
        <f>IFERROR(__xludf.DUMMYFUNCTION("""COMPUTED_VALUE"""),"ফজু আলী")</f>
        <v>ফজু আলী</v>
      </c>
      <c r="F156" s="5" t="str">
        <f>IFERROR(__xludf.DUMMYFUNCTION("""COMPUTED_VALUE"""),"মোছাঃ সোনাভানু")</f>
        <v>মোছাঃ সোনাভানু</v>
      </c>
      <c r="G156" s="5" t="str">
        <f>IFERROR(__xludf.DUMMYFUNCTION("""COMPUTED_VALUE"""),"১৬/০৯/১৯৮২")</f>
        <v>১৬/০৯/১৯৮২</v>
      </c>
      <c r="H156" s="5" t="str">
        <f>IFERROR(__xludf.DUMMYFUNCTION("""COMPUTED_VALUE"""),"কৃষক")</f>
        <v>কৃষক</v>
      </c>
      <c r="I156" s="5" t="str">
        <f>IFERROR(__xludf.DUMMYFUNCTION("""COMPUTED_VALUE"""),"""গাড়াডোব")</f>
        <v>"গাড়াডোব</v>
      </c>
      <c r="J156" s="5" t="str">
        <f>IFERROR(__xludf.DUMMYFUNCTION("""COMPUTED_VALUE""")," গাংনী")</f>
        <v> গাংনী</v>
      </c>
      <c r="K156" s="5" t="str">
        <f>IFERROR(__xludf.DUMMYFUNCTION("""COMPUTED_VALUE""")," মেহেরপুর""")</f>
        <v> মেহেরপুর"</v>
      </c>
    </row>
    <row r="157">
      <c r="A157" s="7" t="s">
        <v>7311</v>
      </c>
      <c r="B157" s="5">
        <f>IFERROR(__xludf.DUMMYFUNCTION("SPLIT(A157,"","")"),927.0)</f>
        <v>927</v>
      </c>
      <c r="C157" s="5" t="str">
        <f>IFERROR(__xludf.DUMMYFUNCTION("""COMPUTED_VALUE"""),"মোঃ আব্দুস ছালাম")</f>
        <v>মোঃ আব্দুস ছালাম</v>
      </c>
      <c r="D157" s="5">
        <f>IFERROR(__xludf.DUMMYFUNCTION("""COMPUTED_VALUE"""),5.70038355364E11)</f>
        <v>570038355364</v>
      </c>
      <c r="E157" s="5" t="str">
        <f>IFERROR(__xludf.DUMMYFUNCTION("""COMPUTED_VALUE"""),"আব্দুর ওহাব")</f>
        <v>আব্দুর ওহাব</v>
      </c>
      <c r="F157" s="5" t="str">
        <f>IFERROR(__xludf.DUMMYFUNCTION("""COMPUTED_VALUE"""),"মাতা: বেগুজান নেছা")</f>
        <v>মাতা: বেগুজান নেছা</v>
      </c>
      <c r="G157" s="5" t="str">
        <f>IFERROR(__xludf.DUMMYFUNCTION("""COMPUTED_VALUE"""),"১১/০৮/১৯৫৭")</f>
        <v>১১/০৮/১৯৫৭</v>
      </c>
      <c r="H157" s="5" t="str">
        <f>IFERROR(__xludf.DUMMYFUNCTION("""COMPUTED_VALUE"""),"শ্রমিক")</f>
        <v>শ্রমিক</v>
      </c>
      <c r="I157" s="5" t="str">
        <f>IFERROR(__xludf.DUMMYFUNCTION("""COMPUTED_VALUE"""),"""গাড়াডোব")</f>
        <v>"গাড়াডোব</v>
      </c>
      <c r="J157" s="5" t="str">
        <f>IFERROR(__xludf.DUMMYFUNCTION("""COMPUTED_VALUE""")," গাংনী")</f>
        <v> গাংনী</v>
      </c>
      <c r="K157" s="5" t="str">
        <f>IFERROR(__xludf.DUMMYFUNCTION("""COMPUTED_VALUE""")," মেহেরপুর""")</f>
        <v> মেহেরপুর"</v>
      </c>
    </row>
    <row r="158">
      <c r="A158" s="7" t="s">
        <v>7312</v>
      </c>
      <c r="B158" s="5">
        <f>IFERROR(__xludf.DUMMYFUNCTION("SPLIT(A158,"","")"),928.0)</f>
        <v>928</v>
      </c>
      <c r="C158" s="5" t="str">
        <f>IFERROR(__xludf.DUMMYFUNCTION("""COMPUTED_VALUE"""),"মোঃ কামাল আহমেদ")</f>
        <v>মোঃ কামাল আহমেদ</v>
      </c>
      <c r="D158" s="5">
        <f>IFERROR(__xludf.DUMMYFUNCTION("""COMPUTED_VALUE"""),5.70038355369E11)</f>
        <v>570038355369</v>
      </c>
      <c r="E158" s="5" t="str">
        <f>IFERROR(__xludf.DUMMYFUNCTION("""COMPUTED_VALUE"""),"মোঃ চমৎকার আলী")</f>
        <v>মোঃ চমৎকার আলী</v>
      </c>
      <c r="F158" s="5" t="str">
        <f>IFERROR(__xludf.DUMMYFUNCTION("""COMPUTED_VALUE"""),"মোছাঃ হামিদা খাতুন")</f>
        <v>মোছাঃ হামিদা খাতুন</v>
      </c>
      <c r="G158" s="5" t="str">
        <f>IFERROR(__xludf.DUMMYFUNCTION("""COMPUTED_VALUE"""),"১০/১০/১৯৮৫")</f>
        <v>১০/১০/১৯৮৫</v>
      </c>
      <c r="H158" s="5" t="str">
        <f>IFERROR(__xludf.DUMMYFUNCTION("""COMPUTED_VALUE"""),"বেসরকারী চাকুরী")</f>
        <v>বেসরকারী চাকুরী</v>
      </c>
      <c r="I158" s="5" t="str">
        <f>IFERROR(__xludf.DUMMYFUNCTION("""COMPUTED_VALUE"""),"""গাড়াডোব")</f>
        <v>"গাড়াডোব</v>
      </c>
      <c r="J158" s="5" t="str">
        <f>IFERROR(__xludf.DUMMYFUNCTION("""COMPUTED_VALUE""")," গাংনী")</f>
        <v> গাংনী</v>
      </c>
      <c r="K158" s="5" t="str">
        <f>IFERROR(__xludf.DUMMYFUNCTION("""COMPUTED_VALUE""")," মেহেরপুর""")</f>
        <v> মেহেরপুর"</v>
      </c>
    </row>
    <row r="159">
      <c r="A159" s="7" t="s">
        <v>7313</v>
      </c>
      <c r="B159" s="5">
        <f>IFERROR(__xludf.DUMMYFUNCTION("SPLIT(A159,"","")"),929.0)</f>
        <v>929</v>
      </c>
      <c r="C159" s="5" t="str">
        <f>IFERROR(__xludf.DUMMYFUNCTION("""COMPUTED_VALUE"""),"মোঃ দেলোয়ার হোসেন")</f>
        <v>মোঃ দেলোয়ার হোসেন</v>
      </c>
      <c r="D159" s="5">
        <f>IFERROR(__xludf.DUMMYFUNCTION("""COMPUTED_VALUE"""),5.7003835537E11)</f>
        <v>570038355370</v>
      </c>
      <c r="E159" s="5" t="str">
        <f>IFERROR(__xludf.DUMMYFUNCTION("""COMPUTED_VALUE"""),"কাঙ্গালী শেখ")</f>
        <v>কাঙ্গালী শেখ</v>
      </c>
      <c r="F159" s="5" t="str">
        <f>IFERROR(__xludf.DUMMYFUNCTION("""COMPUTED_VALUE"""),"মাতা: ছপুরা বেগম")</f>
        <v>মাতা: ছপুরা বেগম</v>
      </c>
      <c r="G159" s="5" t="str">
        <f>IFERROR(__xludf.DUMMYFUNCTION("""COMPUTED_VALUE"""),"১৩/১০/১৯৬২")</f>
        <v>১৩/১০/১৯৬২</v>
      </c>
      <c r="H159" s="5" t="str">
        <f>IFERROR(__xludf.DUMMYFUNCTION("""COMPUTED_VALUE"""),"দিনমজুর")</f>
        <v>দিনমজুর</v>
      </c>
      <c r="I159" s="5" t="str">
        <f>IFERROR(__xludf.DUMMYFUNCTION("""COMPUTED_VALUE"""),"""গাড়াডোব")</f>
        <v>"গাড়াডোব</v>
      </c>
      <c r="J159" s="5" t="str">
        <f>IFERROR(__xludf.DUMMYFUNCTION("""COMPUTED_VALUE""")," গাংনী")</f>
        <v> গাংনী</v>
      </c>
      <c r="K159" s="5" t="str">
        <f>IFERROR(__xludf.DUMMYFUNCTION("""COMPUTED_VALUE""")," মেহেরপুর""")</f>
        <v> মেহেরপুর"</v>
      </c>
    </row>
    <row r="160">
      <c r="A160" s="7" t="s">
        <v>7314</v>
      </c>
      <c r="B160" s="5">
        <f>IFERROR(__xludf.DUMMYFUNCTION("SPLIT(A160,"","")"),930.0)</f>
        <v>930</v>
      </c>
      <c r="C160" s="5" t="str">
        <f>IFERROR(__xludf.DUMMYFUNCTION("""COMPUTED_VALUE"""),"মোঃ আতিয়ার রহমান")</f>
        <v>মোঃ আতিয়ার রহমান</v>
      </c>
      <c r="D160" s="5">
        <f>IFERROR(__xludf.DUMMYFUNCTION("""COMPUTED_VALUE"""),5.70038355371E11)</f>
        <v>570038355371</v>
      </c>
      <c r="E160" s="5" t="str">
        <f>IFERROR(__xludf.DUMMYFUNCTION("""COMPUTED_VALUE"""),"মোঃ আছেরুদ্দীন")</f>
        <v>মোঃ আছেরুদ্দীন</v>
      </c>
      <c r="F160" s="5" t="str">
        <f>IFERROR(__xludf.DUMMYFUNCTION("""COMPUTED_VALUE"""),"মোছাঃ ছফেলা বেগম")</f>
        <v>মোছাঃ ছফেলা বেগম</v>
      </c>
      <c r="G160" s="5" t="str">
        <f>IFERROR(__xludf.DUMMYFUNCTION("""COMPUTED_VALUE"""),"১৫/০৮/১৯৬৭")</f>
        <v>১৫/০৮/১৯৬৭</v>
      </c>
      <c r="H160" s="5" t="str">
        <f>IFERROR(__xludf.DUMMYFUNCTION("""COMPUTED_VALUE"""),"কৃষক")</f>
        <v>কৃষক</v>
      </c>
      <c r="I160" s="5" t="str">
        <f>IFERROR(__xludf.DUMMYFUNCTION("""COMPUTED_VALUE"""),"""গাড়াডোব")</f>
        <v>"গাড়াডোব</v>
      </c>
      <c r="J160" s="5" t="str">
        <f>IFERROR(__xludf.DUMMYFUNCTION("""COMPUTED_VALUE""")," গাংনী")</f>
        <v> গাংনী</v>
      </c>
      <c r="K160" s="5" t="str">
        <f>IFERROR(__xludf.DUMMYFUNCTION("""COMPUTED_VALUE""")," মেহেরপুর""")</f>
        <v> মেহেরপুর"</v>
      </c>
    </row>
    <row r="161">
      <c r="A161" s="7" t="s">
        <v>7315</v>
      </c>
      <c r="B161" s="5">
        <f>IFERROR(__xludf.DUMMYFUNCTION("SPLIT(A161,"","")"),931.0)</f>
        <v>931</v>
      </c>
      <c r="C161" s="5" t="str">
        <f>IFERROR(__xludf.DUMMYFUNCTION("""COMPUTED_VALUE"""),"মোঃ আবু জাহিদ হিরো")</f>
        <v>মোঃ আবু জাহিদ হিরো</v>
      </c>
      <c r="D161" s="5">
        <f>IFERROR(__xludf.DUMMYFUNCTION("""COMPUTED_VALUE"""),5.70038355372E11)</f>
        <v>570038355372</v>
      </c>
      <c r="E161" s="5" t="str">
        <f>IFERROR(__xludf.DUMMYFUNCTION("""COMPUTED_VALUE"""),"মফিজ উদ্দীন আহমেদ")</f>
        <v>মফিজ উদ্দীন আহমেদ</v>
      </c>
      <c r="F161" s="5" t="str">
        <f>IFERROR(__xludf.DUMMYFUNCTION("""COMPUTED_VALUE"""),"মাতা: জায়েদা খাতুন")</f>
        <v>মাতা: জায়েদা খাতুন</v>
      </c>
      <c r="G161" s="5" t="str">
        <f>IFERROR(__xludf.DUMMYFUNCTION("""COMPUTED_VALUE"""),"১৩/০৭/১৯৬৭")</f>
        <v>১৩/০৭/১৯৬৭</v>
      </c>
      <c r="H161" s="5" t="str">
        <f>IFERROR(__xludf.DUMMYFUNCTION("""COMPUTED_VALUE"""),"ব্যবসা")</f>
        <v>ব্যবসা</v>
      </c>
      <c r="I161" s="5" t="str">
        <f>IFERROR(__xludf.DUMMYFUNCTION("""COMPUTED_VALUE"""),"""গাড়াডোব")</f>
        <v>"গাড়াডোব</v>
      </c>
      <c r="J161" s="5" t="str">
        <f>IFERROR(__xludf.DUMMYFUNCTION("""COMPUTED_VALUE""")," গাংনী")</f>
        <v> গাংনী</v>
      </c>
      <c r="K161" s="5" t="str">
        <f>IFERROR(__xludf.DUMMYFUNCTION("""COMPUTED_VALUE""")," মেহেরপুর""")</f>
        <v> মেহেরপুর"</v>
      </c>
    </row>
    <row r="162">
      <c r="A162" s="7" t="s">
        <v>7316</v>
      </c>
      <c r="B162" s="5">
        <f>IFERROR(__xludf.DUMMYFUNCTION("SPLIT(A162,"","")"),932.0)</f>
        <v>932</v>
      </c>
      <c r="C162" s="5" t="str">
        <f>IFERROR(__xludf.DUMMYFUNCTION("""COMPUTED_VALUE"""),"মোঃ আবু তালেব")</f>
        <v>মোঃ আবু তালেব</v>
      </c>
      <c r="D162" s="5">
        <f>IFERROR(__xludf.DUMMYFUNCTION("""COMPUTED_VALUE"""),5.70038355373E11)</f>
        <v>570038355373</v>
      </c>
      <c r="E162" s="5" t="str">
        <f>IFERROR(__xludf.DUMMYFUNCTION("""COMPUTED_VALUE"""),"মোঃ মতলেব হোসেন")</f>
        <v>মোঃ মতলেব হোসেন</v>
      </c>
      <c r="F162" s="5" t="str">
        <f>IFERROR(__xludf.DUMMYFUNCTION("""COMPUTED_VALUE"""),"মোছাঃ সোহাগী বেগম")</f>
        <v>মোছাঃ সোহাগী বেগম</v>
      </c>
      <c r="G162" s="5" t="str">
        <f>IFERROR(__xludf.DUMMYFUNCTION("""COMPUTED_VALUE"""),"১৭/০৮/১৯৮৬")</f>
        <v>১৭/০৮/১৯৮৬</v>
      </c>
      <c r="H162" s="5" t="str">
        <f>IFERROR(__xludf.DUMMYFUNCTION("""COMPUTED_VALUE"""),"দিনমজুর")</f>
        <v>দিনমজুর</v>
      </c>
      <c r="I162" s="5" t="str">
        <f>IFERROR(__xludf.DUMMYFUNCTION("""COMPUTED_VALUE"""),"""গাড়াডোব")</f>
        <v>"গাড়াডোব</v>
      </c>
      <c r="J162" s="5" t="str">
        <f>IFERROR(__xludf.DUMMYFUNCTION("""COMPUTED_VALUE""")," গাংনী")</f>
        <v> গাংনী</v>
      </c>
      <c r="K162" s="5" t="str">
        <f>IFERROR(__xludf.DUMMYFUNCTION("""COMPUTED_VALUE""")," মেহেরপুর""")</f>
        <v> মেহেরপুর"</v>
      </c>
    </row>
    <row r="163">
      <c r="A163" s="7" t="s">
        <v>7317</v>
      </c>
      <c r="B163" s="5">
        <f>IFERROR(__xludf.DUMMYFUNCTION("SPLIT(A163,"","")"),933.0)</f>
        <v>933</v>
      </c>
      <c r="C163" s="5" t="str">
        <f>IFERROR(__xludf.DUMMYFUNCTION("""COMPUTED_VALUE"""),"মোঃ মনিরুল ইসলাম")</f>
        <v>মোঃ মনিরুল ইসলাম</v>
      </c>
      <c r="D163" s="5">
        <f>IFERROR(__xludf.DUMMYFUNCTION("""COMPUTED_VALUE"""),5.70038355374E11)</f>
        <v>570038355374</v>
      </c>
      <c r="E163" s="5" t="str">
        <f>IFERROR(__xludf.DUMMYFUNCTION("""COMPUTED_VALUE"""),"কাঙ্গাল শেখ")</f>
        <v>কাঙ্গাল শেখ</v>
      </c>
      <c r="F163" s="5" t="str">
        <f>IFERROR(__xludf.DUMMYFUNCTION("""COMPUTED_VALUE"""),"মাতা: ছপুরা বেগম")</f>
        <v>মাতা: ছপুরা বেগম</v>
      </c>
      <c r="G163" s="5" t="str">
        <f>IFERROR(__xludf.DUMMYFUNCTION("""COMPUTED_VALUE"""),"১৪/১০/১৯৬৭")</f>
        <v>১৪/১০/১৯৬৭</v>
      </c>
      <c r="H163" s="5" t="str">
        <f>IFERROR(__xludf.DUMMYFUNCTION("""COMPUTED_VALUE"""),"দিনমজুর")</f>
        <v>দিনমজুর</v>
      </c>
      <c r="I163" s="5" t="str">
        <f>IFERROR(__xludf.DUMMYFUNCTION("""COMPUTED_VALUE"""),"""গাড়াডোব")</f>
        <v>"গাড়াডোব</v>
      </c>
      <c r="J163" s="5" t="str">
        <f>IFERROR(__xludf.DUMMYFUNCTION("""COMPUTED_VALUE""")," গাংনী")</f>
        <v> গাংনী</v>
      </c>
      <c r="K163" s="5" t="str">
        <f>IFERROR(__xludf.DUMMYFUNCTION("""COMPUTED_VALUE""")," মেহেরপুর""")</f>
        <v> মেহেরপুর"</v>
      </c>
    </row>
    <row r="164">
      <c r="A164" s="7" t="s">
        <v>7318</v>
      </c>
      <c r="B164" s="5">
        <f>IFERROR(__xludf.DUMMYFUNCTION("SPLIT(A164,"","")"),934.0)</f>
        <v>934</v>
      </c>
      <c r="C164" s="5" t="str">
        <f>IFERROR(__xludf.DUMMYFUNCTION("""COMPUTED_VALUE"""),"মোঃ মতলেব আলী")</f>
        <v>মোঃ মতলেব আলী</v>
      </c>
      <c r="D164" s="5">
        <f>IFERROR(__xludf.DUMMYFUNCTION("""COMPUTED_VALUE"""),5.70038355375E11)</f>
        <v>570038355375</v>
      </c>
      <c r="E164" s="5" t="str">
        <f>IFERROR(__xludf.DUMMYFUNCTION("""COMPUTED_VALUE"""),"ফজরুদ্দিন")</f>
        <v>ফজরুদ্দিন</v>
      </c>
      <c r="F164" s="5" t="str">
        <f>IFERROR(__xludf.DUMMYFUNCTION("""COMPUTED_VALUE"""),"মোছাঃ মুকেলছা বানু")</f>
        <v>মোছাঃ মুকেলছা বানু</v>
      </c>
      <c r="G164" s="5" t="str">
        <f>IFERROR(__xludf.DUMMYFUNCTION("""COMPUTED_VALUE"""),"১৪/০৭/১৯৫৭")</f>
        <v>১৪/০৭/১৯৫৭</v>
      </c>
      <c r="H164" s="5" t="str">
        <f>IFERROR(__xludf.DUMMYFUNCTION("""COMPUTED_VALUE"""),"কৃষক")</f>
        <v>কৃষক</v>
      </c>
      <c r="I164" s="5" t="str">
        <f>IFERROR(__xludf.DUMMYFUNCTION("""COMPUTED_VALUE"""),"""গাড়াডোব")</f>
        <v>"গাড়াডোব</v>
      </c>
      <c r="J164" s="5" t="str">
        <f>IFERROR(__xludf.DUMMYFUNCTION("""COMPUTED_VALUE""")," গাংনী")</f>
        <v> গাংনী</v>
      </c>
      <c r="K164" s="5" t="str">
        <f>IFERROR(__xludf.DUMMYFUNCTION("""COMPUTED_VALUE""")," মেহেরপুর""")</f>
        <v> মেহেরপুর"</v>
      </c>
    </row>
    <row r="165">
      <c r="A165" s="7" t="s">
        <v>7319</v>
      </c>
      <c r="B165" s="5">
        <f>IFERROR(__xludf.DUMMYFUNCTION("SPLIT(A165,"","")"),935.0)</f>
        <v>935</v>
      </c>
      <c r="C165" s="5" t="str">
        <f>IFERROR(__xludf.DUMMYFUNCTION("""COMPUTED_VALUE"""),"মোঃ মুলাম হোসেন")</f>
        <v>মোঃ মুলাম হোসেন</v>
      </c>
      <c r="D165" s="5">
        <f>IFERROR(__xludf.DUMMYFUNCTION("""COMPUTED_VALUE"""),5.70038355381E11)</f>
        <v>570038355381</v>
      </c>
      <c r="E165" s="5" t="str">
        <f>IFERROR(__xludf.DUMMYFUNCTION("""COMPUTED_VALUE"""),"আব্দুল করিম")</f>
        <v>আব্দুল করিম</v>
      </c>
      <c r="F165" s="5" t="str">
        <f>IFERROR(__xludf.DUMMYFUNCTION("""COMPUTED_VALUE"""),"মোছাঃ অমেলা বেগম")</f>
        <v>মোছাঃ অমেলা বেগম</v>
      </c>
      <c r="G165" s="5" t="str">
        <f>IFERROR(__xludf.DUMMYFUNCTION("""COMPUTED_VALUE"""),"১০/০৯/১৯৭৭")</f>
        <v>১০/০৯/১৯৭৭</v>
      </c>
      <c r="H165" s="5" t="str">
        <f>IFERROR(__xludf.DUMMYFUNCTION("""COMPUTED_VALUE"""),"দিনমজুর")</f>
        <v>দিনমজুর</v>
      </c>
      <c r="I165" s="5" t="str">
        <f>IFERROR(__xludf.DUMMYFUNCTION("""COMPUTED_VALUE"""),"""গাড়াডোব")</f>
        <v>"গাড়াডোব</v>
      </c>
      <c r="J165" s="5" t="str">
        <f>IFERROR(__xludf.DUMMYFUNCTION("""COMPUTED_VALUE""")," গাংনী")</f>
        <v> গাংনী</v>
      </c>
      <c r="K165" s="5" t="str">
        <f>IFERROR(__xludf.DUMMYFUNCTION("""COMPUTED_VALUE""")," মেহেরপুর""")</f>
        <v> মেহেরপুর"</v>
      </c>
    </row>
    <row r="166">
      <c r="A166" s="7" t="s">
        <v>7320</v>
      </c>
      <c r="B166" s="5">
        <f>IFERROR(__xludf.DUMMYFUNCTION("SPLIT(A166,"","")"),936.0)</f>
        <v>936</v>
      </c>
      <c r="C166" s="5" t="str">
        <f>IFERROR(__xludf.DUMMYFUNCTION("""COMPUTED_VALUE"""),"মোঃ নেকবার হোসেন")</f>
        <v>মোঃ নেকবার হোসেন</v>
      </c>
      <c r="D166" s="5">
        <f>IFERROR(__xludf.DUMMYFUNCTION("""COMPUTED_VALUE"""),5.70038355382E11)</f>
        <v>570038355382</v>
      </c>
      <c r="E166" s="5" t="str">
        <f>IFERROR(__xludf.DUMMYFUNCTION("""COMPUTED_VALUE"""),"আব্দুল করিম")</f>
        <v>আব্দুল করিম</v>
      </c>
      <c r="F166" s="5" t="str">
        <f>IFERROR(__xludf.DUMMYFUNCTION("""COMPUTED_VALUE"""),"মোছাঃ অমেলা বেগম")</f>
        <v>মোছাঃ অমেলা বেগম</v>
      </c>
      <c r="G166" s="5" t="str">
        <f>IFERROR(__xludf.DUMMYFUNCTION("""COMPUTED_VALUE"""),"১১/০৮/১৯৬৯")</f>
        <v>১১/০৮/১৯৬৯</v>
      </c>
      <c r="H166" s="5" t="str">
        <f>IFERROR(__xludf.DUMMYFUNCTION("""COMPUTED_VALUE"""),"দিনমজুর")</f>
        <v>দিনমজুর</v>
      </c>
      <c r="I166" s="5" t="str">
        <f>IFERROR(__xludf.DUMMYFUNCTION("""COMPUTED_VALUE"""),"""গাড়াডোব")</f>
        <v>"গাড়াডোব</v>
      </c>
      <c r="J166" s="5" t="str">
        <f>IFERROR(__xludf.DUMMYFUNCTION("""COMPUTED_VALUE""")," গাংনী")</f>
        <v> গাংনী</v>
      </c>
      <c r="K166" s="5" t="str">
        <f>IFERROR(__xludf.DUMMYFUNCTION("""COMPUTED_VALUE""")," মেহেরপুর""")</f>
        <v> মেহেরপুর"</v>
      </c>
    </row>
    <row r="167">
      <c r="A167" s="7" t="s">
        <v>7321</v>
      </c>
      <c r="B167" s="5">
        <f>IFERROR(__xludf.DUMMYFUNCTION("SPLIT(A167,"","")"),937.0)</f>
        <v>937</v>
      </c>
      <c r="C167" s="5" t="str">
        <f>IFERROR(__xludf.DUMMYFUNCTION("""COMPUTED_VALUE"""),"মোঃ আককাচ আলী")</f>
        <v>মোঃ আককাচ আলী</v>
      </c>
      <c r="D167" s="5">
        <f>IFERROR(__xludf.DUMMYFUNCTION("""COMPUTED_VALUE"""),5.70038355384E11)</f>
        <v>570038355384</v>
      </c>
      <c r="E167" s="5" t="str">
        <f>IFERROR(__xludf.DUMMYFUNCTION("""COMPUTED_VALUE"""),"ছিপারুদ্দিন শেখ")</f>
        <v>ছিপারুদ্দিন শেখ</v>
      </c>
      <c r="F167" s="5" t="str">
        <f>IFERROR(__xludf.DUMMYFUNCTION("""COMPUTED_VALUE"""),"মাতা: রাফিজান")</f>
        <v>মাতা: রাফিজান</v>
      </c>
      <c r="G167" s="5" t="str">
        <f>IFERROR(__xludf.DUMMYFUNCTION("""COMPUTED_VALUE"""),"১৭/০৯/১৯৫২")</f>
        <v>১৭/০৯/১৯৫২</v>
      </c>
      <c r="H167" s="5" t="str">
        <f>IFERROR(__xludf.DUMMYFUNCTION("""COMPUTED_VALUE"""),"দিনমজুর")</f>
        <v>দিনমজুর</v>
      </c>
      <c r="I167" s="5" t="str">
        <f>IFERROR(__xludf.DUMMYFUNCTION("""COMPUTED_VALUE"""),"""গাড়াডোব")</f>
        <v>"গাড়াডোব</v>
      </c>
      <c r="J167" s="5" t="str">
        <f>IFERROR(__xludf.DUMMYFUNCTION("""COMPUTED_VALUE""")," গাংনী")</f>
        <v> গাংনী</v>
      </c>
      <c r="K167" s="5" t="str">
        <f>IFERROR(__xludf.DUMMYFUNCTION("""COMPUTED_VALUE""")," মেহেরপুর""")</f>
        <v> মেহেরপুর"</v>
      </c>
    </row>
    <row r="168">
      <c r="A168" s="7" t="s">
        <v>7322</v>
      </c>
      <c r="B168" s="5">
        <f>IFERROR(__xludf.DUMMYFUNCTION("SPLIT(A168,"","")"),938.0)</f>
        <v>938</v>
      </c>
      <c r="C168" s="5" t="str">
        <f>IFERROR(__xludf.DUMMYFUNCTION("""COMPUTED_VALUE"""),"মোঃ রবিউল ইসলাম")</f>
        <v>মোঃ রবিউল ইসলাম</v>
      </c>
      <c r="D168" s="5">
        <f>IFERROR(__xludf.DUMMYFUNCTION("""COMPUTED_VALUE"""),5.70038355385E11)</f>
        <v>570038355385</v>
      </c>
      <c r="E168" s="5" t="str">
        <f>IFERROR(__xludf.DUMMYFUNCTION("""COMPUTED_VALUE"""),"কামাল হোসেন")</f>
        <v>কামাল হোসেন</v>
      </c>
      <c r="F168" s="5" t="str">
        <f>IFERROR(__xludf.DUMMYFUNCTION("""COMPUTED_VALUE"""),"মাতা: খাতেজান")</f>
        <v>মাতা: খাতেজান</v>
      </c>
      <c r="G168" s="5" t="str">
        <f>IFERROR(__xludf.DUMMYFUNCTION("""COMPUTED_VALUE"""),"১৪/০৮/১৯৬৭")</f>
        <v>১৪/০৮/১৯৬৭</v>
      </c>
      <c r="H168" s="5" t="str">
        <f>IFERROR(__xludf.DUMMYFUNCTION("""COMPUTED_VALUE"""),"ব্যবসা")</f>
        <v>ব্যবসা</v>
      </c>
      <c r="I168" s="5" t="str">
        <f>IFERROR(__xludf.DUMMYFUNCTION("""COMPUTED_VALUE"""),"""গাড়াডোব")</f>
        <v>"গাড়াডোব</v>
      </c>
      <c r="J168" s="5" t="str">
        <f>IFERROR(__xludf.DUMMYFUNCTION("""COMPUTED_VALUE""")," গাংনী")</f>
        <v> গাংনী</v>
      </c>
      <c r="K168" s="5" t="str">
        <f>IFERROR(__xludf.DUMMYFUNCTION("""COMPUTED_VALUE""")," মেহেরপুর""")</f>
        <v> মেহেরপুর"</v>
      </c>
    </row>
    <row r="169">
      <c r="A169" s="7" t="s">
        <v>7323</v>
      </c>
      <c r="B169" s="5">
        <f>IFERROR(__xludf.DUMMYFUNCTION("SPLIT(A169,"","")"),939.0)</f>
        <v>939</v>
      </c>
      <c r="C169" s="5" t="str">
        <f>IFERROR(__xludf.DUMMYFUNCTION("""COMPUTED_VALUE"""),"মোঃ আব্দুস সালাম")</f>
        <v>মোঃ আব্দুস সালাম</v>
      </c>
      <c r="D169" s="5">
        <f>IFERROR(__xludf.DUMMYFUNCTION("""COMPUTED_VALUE"""),5.70038355387E11)</f>
        <v>570038355387</v>
      </c>
      <c r="E169" s="5" t="str">
        <f>IFERROR(__xludf.DUMMYFUNCTION("""COMPUTED_VALUE"""),"আবুল কালাম আজাদ")</f>
        <v>আবুল কালাম আজাদ</v>
      </c>
      <c r="F169" s="5" t="str">
        <f>IFERROR(__xludf.DUMMYFUNCTION("""COMPUTED_VALUE"""),"মোছাঃ তাসলিমা খাতুন")</f>
        <v>মোছাঃ তাসলিমা খাতুন</v>
      </c>
      <c r="G169" s="5" t="str">
        <f>IFERROR(__xludf.DUMMYFUNCTION("""COMPUTED_VALUE"""),"১৪/০৯/১৯৮৮")</f>
        <v>১৪/০৯/১৯৮৮</v>
      </c>
      <c r="H169" s="5" t="str">
        <f>IFERROR(__xludf.DUMMYFUNCTION("""COMPUTED_VALUE"""),"দিনমজুর")</f>
        <v>দিনমজুর</v>
      </c>
      <c r="I169" s="5" t="str">
        <f>IFERROR(__xludf.DUMMYFUNCTION("""COMPUTED_VALUE"""),"""গাড়াডোব")</f>
        <v>"গাড়াডোব</v>
      </c>
      <c r="J169" s="5" t="str">
        <f>IFERROR(__xludf.DUMMYFUNCTION("""COMPUTED_VALUE""")," গাংনী")</f>
        <v> গাংনী</v>
      </c>
      <c r="K169" s="5" t="str">
        <f>IFERROR(__xludf.DUMMYFUNCTION("""COMPUTED_VALUE""")," মেহেরপুর""")</f>
        <v> মেহেরপুর"</v>
      </c>
    </row>
    <row r="170">
      <c r="A170" s="7" t="s">
        <v>7324</v>
      </c>
      <c r="B170" s="5">
        <f>IFERROR(__xludf.DUMMYFUNCTION("SPLIT(A170,"","")"),940.0)</f>
        <v>940</v>
      </c>
      <c r="C170" s="5" t="str">
        <f>IFERROR(__xludf.DUMMYFUNCTION("""COMPUTED_VALUE"""),"মোঃ সোহেল রানা")</f>
        <v>মোঃ সোহেল রানা</v>
      </c>
      <c r="D170" s="5">
        <f>IFERROR(__xludf.DUMMYFUNCTION("""COMPUTED_VALUE"""),5.70038355388E11)</f>
        <v>570038355388</v>
      </c>
      <c r="E170" s="5" t="str">
        <f>IFERROR(__xludf.DUMMYFUNCTION("""COMPUTED_VALUE"""),"মোঃ কাউছার আলী")</f>
        <v>মোঃ কাউছার আলী</v>
      </c>
      <c r="F170" s="5" t="str">
        <f>IFERROR(__xludf.DUMMYFUNCTION("""COMPUTED_VALUE"""),"মোছাঃ আরজিয়া খাতুন")</f>
        <v>মোছাঃ আরজিয়া খাতুন</v>
      </c>
      <c r="G170" s="5" t="str">
        <f>IFERROR(__xludf.DUMMYFUNCTION("""COMPUTED_VALUE"""),"১১/০৬/১৯৮৭")</f>
        <v>১১/০৬/১৯৮৭</v>
      </c>
      <c r="H170" s="5" t="str">
        <f>IFERROR(__xludf.DUMMYFUNCTION("""COMPUTED_VALUE"""),"দিনমজুর")</f>
        <v>দিনমজুর</v>
      </c>
      <c r="I170" s="5" t="str">
        <f>IFERROR(__xludf.DUMMYFUNCTION("""COMPUTED_VALUE"""),"""গাড়াডোব")</f>
        <v>"গাড়াডোব</v>
      </c>
      <c r="J170" s="5" t="str">
        <f>IFERROR(__xludf.DUMMYFUNCTION("""COMPUTED_VALUE""")," গাংনী")</f>
        <v> গাংনী</v>
      </c>
      <c r="K170" s="5" t="str">
        <f>IFERROR(__xludf.DUMMYFUNCTION("""COMPUTED_VALUE""")," মেহেরপুর""")</f>
        <v> মেহেরপুর"</v>
      </c>
    </row>
    <row r="171">
      <c r="A171" s="7" t="s">
        <v>7325</v>
      </c>
      <c r="B171" s="5">
        <f>IFERROR(__xludf.DUMMYFUNCTION("SPLIT(A171,"","")"),941.0)</f>
        <v>941</v>
      </c>
      <c r="C171" s="5" t="str">
        <f>IFERROR(__xludf.DUMMYFUNCTION("""COMPUTED_VALUE"""),"মোঃ আবুল বাশার")</f>
        <v>মোঃ আবুল বাশার</v>
      </c>
      <c r="D171" s="5">
        <f>IFERROR(__xludf.DUMMYFUNCTION("""COMPUTED_VALUE"""),5.70038355389E11)</f>
        <v>570038355389</v>
      </c>
      <c r="E171" s="5" t="str">
        <f>IFERROR(__xludf.DUMMYFUNCTION("""COMPUTED_VALUE"""),"মোঃ আবুল কাশেম")</f>
        <v>মোঃ আবুল কাশেম</v>
      </c>
      <c r="F171" s="5" t="str">
        <f>IFERROR(__xludf.DUMMYFUNCTION("""COMPUTED_VALUE"""),"মোছাঃ ফাতেমা খাতুন")</f>
        <v>মোছাঃ ফাতেমা খাতুন</v>
      </c>
      <c r="G171" s="5" t="str">
        <f>IFERROR(__xludf.DUMMYFUNCTION("""COMPUTED_VALUE"""),"১০/০৫/১৯৮৫")</f>
        <v>১০/০৫/১৯৮৫</v>
      </c>
      <c r="H171" s="5" t="str">
        <f>IFERROR(__xludf.DUMMYFUNCTION("""COMPUTED_VALUE"""),"ব্যবসা")</f>
        <v>ব্যবসা</v>
      </c>
      <c r="I171" s="5" t="str">
        <f>IFERROR(__xludf.DUMMYFUNCTION("""COMPUTED_VALUE"""),"""গাড়াডোব")</f>
        <v>"গাড়াডোব</v>
      </c>
      <c r="J171" s="5" t="str">
        <f>IFERROR(__xludf.DUMMYFUNCTION("""COMPUTED_VALUE""")," গাংনী")</f>
        <v> গাংনী</v>
      </c>
      <c r="K171" s="5" t="str">
        <f>IFERROR(__xludf.DUMMYFUNCTION("""COMPUTED_VALUE""")," মেহেরপুর""")</f>
        <v> মেহেরপুর"</v>
      </c>
    </row>
    <row r="172">
      <c r="A172" s="7" t="s">
        <v>7326</v>
      </c>
      <c r="B172" s="5">
        <f>IFERROR(__xludf.DUMMYFUNCTION("SPLIT(A172,"","")"),942.0)</f>
        <v>942</v>
      </c>
      <c r="C172" s="5" t="str">
        <f>IFERROR(__xludf.DUMMYFUNCTION("""COMPUTED_VALUE"""),"মোঃ ফারুক হোসেন")</f>
        <v>মোঃ ফারুক হোসেন</v>
      </c>
      <c r="D172" s="5">
        <f>IFERROR(__xludf.DUMMYFUNCTION("""COMPUTED_VALUE"""),5.7003835539E11)</f>
        <v>570038355390</v>
      </c>
      <c r="E172" s="5" t="str">
        <f>IFERROR(__xludf.DUMMYFUNCTION("""COMPUTED_VALUE"""),"মোঃ আবুল কাশেম")</f>
        <v>মোঃ আবুল কাশেম</v>
      </c>
      <c r="F172" s="5" t="str">
        <f>IFERROR(__xludf.DUMMYFUNCTION("""COMPUTED_VALUE"""),"মোছাঃ ফাতেমা খাতুন")</f>
        <v>মোছাঃ ফাতেমা খাতুন</v>
      </c>
      <c r="G172" s="5" t="str">
        <f>IFERROR(__xludf.DUMMYFUNCTION("""COMPUTED_VALUE"""),"১৮/০৮/১৯৮৮")</f>
        <v>১৮/০৮/১৯৮৮</v>
      </c>
      <c r="H172" s="5" t="str">
        <f>IFERROR(__xludf.DUMMYFUNCTION("""COMPUTED_VALUE"""),"ব্যবসা")</f>
        <v>ব্যবসা</v>
      </c>
      <c r="I172" s="5" t="str">
        <f>IFERROR(__xludf.DUMMYFUNCTION("""COMPUTED_VALUE"""),"""গাড়াডোব")</f>
        <v>"গাড়াডোব</v>
      </c>
      <c r="J172" s="5" t="str">
        <f>IFERROR(__xludf.DUMMYFUNCTION("""COMPUTED_VALUE""")," গাংনী")</f>
        <v> গাংনী</v>
      </c>
      <c r="K172" s="5" t="str">
        <f>IFERROR(__xludf.DUMMYFUNCTION("""COMPUTED_VALUE""")," মেহেরপুর""")</f>
        <v> মেহেরপুর"</v>
      </c>
    </row>
    <row r="173">
      <c r="A173" s="7" t="s">
        <v>7327</v>
      </c>
      <c r="B173" s="5">
        <f>IFERROR(__xludf.DUMMYFUNCTION("SPLIT(A173,"","")"),943.0)</f>
        <v>943</v>
      </c>
      <c r="C173" s="5" t="str">
        <f>IFERROR(__xludf.DUMMYFUNCTION("""COMPUTED_VALUE"""),"মোঃ আবুল কাশেম")</f>
        <v>মোঃ আবুল কাশেম</v>
      </c>
      <c r="D173" s="5">
        <f>IFERROR(__xludf.DUMMYFUNCTION("""COMPUTED_VALUE"""),5.70038355391E11)</f>
        <v>570038355391</v>
      </c>
      <c r="E173" s="5" t="str">
        <f>IFERROR(__xludf.DUMMYFUNCTION("""COMPUTED_VALUE"""),"আজাহার আলী")</f>
        <v>আজাহার আলী</v>
      </c>
      <c r="F173" s="5" t="str">
        <f>IFERROR(__xludf.DUMMYFUNCTION("""COMPUTED_VALUE"""),"মাতা: ফাতেমা বেগম")</f>
        <v>মাতা: ফাতেমা বেগম</v>
      </c>
      <c r="G173" s="5" t="str">
        <f>IFERROR(__xludf.DUMMYFUNCTION("""COMPUTED_VALUE"""),"২১/০৮/১৯৬২")</f>
        <v>২১/০৮/১৯৬২</v>
      </c>
      <c r="H173" s="5" t="str">
        <f>IFERROR(__xludf.DUMMYFUNCTION("""COMPUTED_VALUE"""),"কৃষক")</f>
        <v>কৃষক</v>
      </c>
      <c r="I173" s="5" t="str">
        <f>IFERROR(__xludf.DUMMYFUNCTION("""COMPUTED_VALUE"""),"""গাড়াডোব")</f>
        <v>"গাড়াডোব</v>
      </c>
      <c r="J173" s="5" t="str">
        <f>IFERROR(__xludf.DUMMYFUNCTION("""COMPUTED_VALUE""")," গাংনী")</f>
        <v> গাংনী</v>
      </c>
      <c r="K173" s="5" t="str">
        <f>IFERROR(__xludf.DUMMYFUNCTION("""COMPUTED_VALUE""")," মেহেরপুর""")</f>
        <v> মেহেরপুর"</v>
      </c>
    </row>
    <row r="174">
      <c r="A174" s="7" t="s">
        <v>7328</v>
      </c>
      <c r="B174" s="5">
        <f>IFERROR(__xludf.DUMMYFUNCTION("SPLIT(A174,"","")"),944.0)</f>
        <v>944</v>
      </c>
      <c r="C174" s="5" t="str">
        <f>IFERROR(__xludf.DUMMYFUNCTION("""COMPUTED_VALUE"""),"মোঃ তোজাম্মেল হক")</f>
        <v>মোঃ তোজাম্মেল হক</v>
      </c>
      <c r="D174" s="5">
        <f>IFERROR(__xludf.DUMMYFUNCTION("""COMPUTED_VALUE"""),5.70038355392E11)</f>
        <v>570038355392</v>
      </c>
      <c r="E174" s="5" t="str">
        <f>IFERROR(__xludf.DUMMYFUNCTION("""COMPUTED_VALUE"""),"মোঃ জামাত আলী")</f>
        <v>মোঃ জামাত আলী</v>
      </c>
      <c r="F174" s="5" t="str">
        <f>IFERROR(__xludf.DUMMYFUNCTION("""COMPUTED_VALUE"""),"মোছাঃ রিকাতন নেছা")</f>
        <v>মোছাঃ রিকাতন নেছা</v>
      </c>
      <c r="G174" s="5" t="str">
        <f>IFERROR(__xludf.DUMMYFUNCTION("""COMPUTED_VALUE"""),"২১/০৪/১৯৭৯")</f>
        <v>২১/০৪/১৯৭৯</v>
      </c>
      <c r="H174" s="5" t="str">
        <f>IFERROR(__xludf.DUMMYFUNCTION("""COMPUTED_VALUE"""),"শ্রমিক")</f>
        <v>শ্রমিক</v>
      </c>
      <c r="I174" s="5" t="str">
        <f>IFERROR(__xludf.DUMMYFUNCTION("""COMPUTED_VALUE"""),"""গাড়াডোব")</f>
        <v>"গাড়াডোব</v>
      </c>
      <c r="J174" s="5" t="str">
        <f>IFERROR(__xludf.DUMMYFUNCTION("""COMPUTED_VALUE""")," গাংনী")</f>
        <v> গাংনী</v>
      </c>
      <c r="K174" s="5" t="str">
        <f>IFERROR(__xludf.DUMMYFUNCTION("""COMPUTED_VALUE""")," মেহেরপুর""")</f>
        <v> মেহেরপুর"</v>
      </c>
    </row>
    <row r="175">
      <c r="A175" s="7" t="s">
        <v>7329</v>
      </c>
      <c r="B175" s="5">
        <f>IFERROR(__xludf.DUMMYFUNCTION("SPLIT(A175,"","")"),945.0)</f>
        <v>945</v>
      </c>
      <c r="C175" s="5" t="str">
        <f>IFERROR(__xludf.DUMMYFUNCTION("""COMPUTED_VALUE"""),"মোঃ জাকারুল ইসলাম")</f>
        <v>মোঃ জাকারুল ইসলাম</v>
      </c>
      <c r="D175" s="5">
        <f>IFERROR(__xludf.DUMMYFUNCTION("""COMPUTED_VALUE"""),5.70038355393E11)</f>
        <v>570038355393</v>
      </c>
      <c r="E175" s="5" t="str">
        <f>IFERROR(__xludf.DUMMYFUNCTION("""COMPUTED_VALUE"""),"মোঃ আছের উদ্দীন")</f>
        <v>মোঃ আছের উদ্দীন</v>
      </c>
      <c r="F175" s="5" t="str">
        <f>IFERROR(__xludf.DUMMYFUNCTION("""COMPUTED_VALUE"""),"মোছাঃ ছফেলা খাতুন")</f>
        <v>মোছাঃ ছফেলা খাতুন</v>
      </c>
      <c r="G175" s="5" t="str">
        <f>IFERROR(__xludf.DUMMYFUNCTION("""COMPUTED_VALUE"""),"০১/০৫/১৯৮৬")</f>
        <v>০১/০৫/১৯৮৬</v>
      </c>
      <c r="H175" s="5" t="str">
        <f>IFERROR(__xludf.DUMMYFUNCTION("""COMPUTED_VALUE"""),"কৃষক")</f>
        <v>কৃষক</v>
      </c>
      <c r="I175" s="5" t="str">
        <f>IFERROR(__xludf.DUMMYFUNCTION("""COMPUTED_VALUE"""),"""গাড়াডোব")</f>
        <v>"গাড়াডোব</v>
      </c>
      <c r="J175" s="5" t="str">
        <f>IFERROR(__xludf.DUMMYFUNCTION("""COMPUTED_VALUE""")," গাংনী")</f>
        <v> গাংনী</v>
      </c>
      <c r="K175" s="5" t="str">
        <f>IFERROR(__xludf.DUMMYFUNCTION("""COMPUTED_VALUE""")," মেহেরপুর""")</f>
        <v> মেহেরপুর"</v>
      </c>
    </row>
    <row r="176">
      <c r="A176" s="7" t="s">
        <v>7330</v>
      </c>
      <c r="B176" s="5">
        <f>IFERROR(__xludf.DUMMYFUNCTION("SPLIT(A176,"","")"),946.0)</f>
        <v>946</v>
      </c>
      <c r="C176" s="5" t="str">
        <f>IFERROR(__xludf.DUMMYFUNCTION("""COMPUTED_VALUE"""),"মোঃ আফজাল হোসেন")</f>
        <v>মোঃ আফজাল হোসেন</v>
      </c>
      <c r="D176" s="5">
        <f>IFERROR(__xludf.DUMMYFUNCTION("""COMPUTED_VALUE"""),5.70038355395E11)</f>
        <v>570038355395</v>
      </c>
      <c r="E176" s="5" t="str">
        <f>IFERROR(__xludf.DUMMYFUNCTION("""COMPUTED_VALUE"""),"হায়াত আলী জোয়ার্দার")</f>
        <v>হায়াত আলী জোয়ার্দার</v>
      </c>
      <c r="F176" s="5" t="str">
        <f>IFERROR(__xludf.DUMMYFUNCTION("""COMPUTED_VALUE"""),"মোছাঃ জেলেহার")</f>
        <v>মোছাঃ জেলেহার</v>
      </c>
      <c r="G176" s="5" t="str">
        <f>IFERROR(__xludf.DUMMYFUNCTION("""COMPUTED_VALUE"""),"১৬/০৫/১৯৭৮")</f>
        <v>১৬/০৫/১৯৭৮</v>
      </c>
      <c r="H176" s="5" t="str">
        <f>IFERROR(__xludf.DUMMYFUNCTION("""COMPUTED_VALUE"""),"শ্রমিক")</f>
        <v>শ্রমিক</v>
      </c>
      <c r="I176" s="5" t="str">
        <f>IFERROR(__xludf.DUMMYFUNCTION("""COMPUTED_VALUE"""),"""গাড়াডোব")</f>
        <v>"গাড়াডোব</v>
      </c>
      <c r="J176" s="5" t="str">
        <f>IFERROR(__xludf.DUMMYFUNCTION("""COMPUTED_VALUE""")," গাংনী")</f>
        <v> গাংনী</v>
      </c>
      <c r="K176" s="5" t="str">
        <f>IFERROR(__xludf.DUMMYFUNCTION("""COMPUTED_VALUE""")," মেহেরপুর""")</f>
        <v> মেহেরপুর"</v>
      </c>
    </row>
    <row r="177">
      <c r="A177" s="7" t="s">
        <v>7331</v>
      </c>
      <c r="B177" s="5">
        <f>IFERROR(__xludf.DUMMYFUNCTION("SPLIT(A177,"","")"),947.0)</f>
        <v>947</v>
      </c>
      <c r="C177" s="5" t="str">
        <f>IFERROR(__xludf.DUMMYFUNCTION("""COMPUTED_VALUE"""),"মোঃ সেকেন্দার আলী")</f>
        <v>মোঃ সেকেন্দার আলী</v>
      </c>
      <c r="D177" s="5">
        <f>IFERROR(__xludf.DUMMYFUNCTION("""COMPUTED_VALUE"""),5.70038355397E11)</f>
        <v>570038355397</v>
      </c>
      <c r="E177" s="5" t="str">
        <f>IFERROR(__xludf.DUMMYFUNCTION("""COMPUTED_VALUE"""),"আলীজান মালিথা")</f>
        <v>আলীজান মালিথা</v>
      </c>
      <c r="F177" s="5" t="str">
        <f>IFERROR(__xludf.DUMMYFUNCTION("""COMPUTED_VALUE"""),"মাতা: রমেলা খাতুন")</f>
        <v>মাতা: রমেলা খাতুন</v>
      </c>
      <c r="G177" s="5" t="str">
        <f>IFERROR(__xludf.DUMMYFUNCTION("""COMPUTED_VALUE"""),"০২/০২/১৯৪৮")</f>
        <v>০২/০২/১৯৪৮</v>
      </c>
      <c r="H177" s="5" t="str">
        <f>IFERROR(__xludf.DUMMYFUNCTION("""COMPUTED_VALUE"""),"অবসরপ্রাপ্ত বেসরকারী চাকুরী")</f>
        <v>অবসরপ্রাপ্ত বেসরকারী চাকুরী</v>
      </c>
      <c r="I177" s="5" t="str">
        <f>IFERROR(__xludf.DUMMYFUNCTION("""COMPUTED_VALUE"""),"""গাড়াডোব")</f>
        <v>"গাড়াডোব</v>
      </c>
      <c r="J177" s="5" t="str">
        <f>IFERROR(__xludf.DUMMYFUNCTION("""COMPUTED_VALUE""")," গাংনী")</f>
        <v> গাংনী</v>
      </c>
      <c r="K177" s="5" t="str">
        <f>IFERROR(__xludf.DUMMYFUNCTION("""COMPUTED_VALUE""")," মেহেরপুর""")</f>
        <v> মেহেরপুর"</v>
      </c>
    </row>
    <row r="178">
      <c r="A178" s="7" t="s">
        <v>7332</v>
      </c>
      <c r="B178" s="5">
        <f>IFERROR(__xludf.DUMMYFUNCTION("SPLIT(A178,"","")"),948.0)</f>
        <v>948</v>
      </c>
      <c r="C178" s="5" t="str">
        <f>IFERROR(__xludf.DUMMYFUNCTION("""COMPUTED_VALUE"""),"মোঃ নজরুল ইসলাম")</f>
        <v>মোঃ নজরুল ইসলাম</v>
      </c>
      <c r="D178" s="5">
        <f>IFERROR(__xludf.DUMMYFUNCTION("""COMPUTED_VALUE"""),5.70038355399E11)</f>
        <v>570038355399</v>
      </c>
      <c r="E178" s="5" t="str">
        <f>IFERROR(__xludf.DUMMYFUNCTION("""COMPUTED_VALUE"""),"মোঃ শামসুল ইসলাম")</f>
        <v>মোঃ শামসুল ইসলাম</v>
      </c>
      <c r="F178" s="5" t="str">
        <f>IFERROR(__xludf.DUMMYFUNCTION("""COMPUTED_VALUE"""),"মাতা: তাজ বানু")</f>
        <v>মাতা: তাজ বানু</v>
      </c>
      <c r="G178" s="5" t="str">
        <f>IFERROR(__xludf.DUMMYFUNCTION("""COMPUTED_VALUE"""),"১৭/০৯/১৯৭৭")</f>
        <v>১৭/০৯/১৯৭৭</v>
      </c>
      <c r="H178" s="5" t="str">
        <f>IFERROR(__xludf.DUMMYFUNCTION("""COMPUTED_VALUE"""),"ব্যবসা")</f>
        <v>ব্যবসা</v>
      </c>
      <c r="I178" s="5" t="str">
        <f>IFERROR(__xludf.DUMMYFUNCTION("""COMPUTED_VALUE"""),"""গাড়াডোব")</f>
        <v>"গাড়াডোব</v>
      </c>
      <c r="J178" s="5" t="str">
        <f>IFERROR(__xludf.DUMMYFUNCTION("""COMPUTED_VALUE""")," গাংনী")</f>
        <v> গাংনী</v>
      </c>
      <c r="K178" s="5" t="str">
        <f>IFERROR(__xludf.DUMMYFUNCTION("""COMPUTED_VALUE""")," মেহেরপুর""")</f>
        <v> মেহেরপুর"</v>
      </c>
    </row>
    <row r="179">
      <c r="A179" s="7" t="s">
        <v>7333</v>
      </c>
      <c r="B179" s="5">
        <f>IFERROR(__xludf.DUMMYFUNCTION("SPLIT(A179,"","")"),949.0)</f>
        <v>949</v>
      </c>
      <c r="C179" s="5" t="str">
        <f>IFERROR(__xludf.DUMMYFUNCTION("""COMPUTED_VALUE"""),"মোঃ কামাল হোসেন")</f>
        <v>মোঃ কামাল হোসেন</v>
      </c>
      <c r="D179" s="5">
        <f>IFERROR(__xludf.DUMMYFUNCTION("""COMPUTED_VALUE"""),5.700383554E11)</f>
        <v>570038355400</v>
      </c>
      <c r="E179" s="5" t="str">
        <f>IFERROR(__xludf.DUMMYFUNCTION("""COMPUTED_VALUE"""),"মোঃ সিদ্দিকুর রহমান")</f>
        <v>মোঃ সিদ্দিকুর রহমান</v>
      </c>
      <c r="F179" s="5" t="str">
        <f>IFERROR(__xludf.DUMMYFUNCTION("""COMPUTED_VALUE"""),"মোছাঃ হাফিজা খাতুন")</f>
        <v>মোছাঃ হাফিজা খাতুন</v>
      </c>
      <c r="G179" s="5" t="str">
        <f>IFERROR(__xludf.DUMMYFUNCTION("""COMPUTED_VALUE"""),"২০/০৫/১৯৭৮")</f>
        <v>২০/০৫/১৯৭৮</v>
      </c>
      <c r="H179" s="5" t="str">
        <f>IFERROR(__xludf.DUMMYFUNCTION("""COMPUTED_VALUE"""),"ব্যবসা")</f>
        <v>ব্যবসা</v>
      </c>
      <c r="I179" s="5" t="str">
        <f>IFERROR(__xludf.DUMMYFUNCTION("""COMPUTED_VALUE"""),"""গাড়াডোব")</f>
        <v>"গাড়াডোব</v>
      </c>
      <c r="J179" s="5" t="str">
        <f>IFERROR(__xludf.DUMMYFUNCTION("""COMPUTED_VALUE""")," গাংনী")</f>
        <v> গাংনী</v>
      </c>
      <c r="K179" s="5" t="str">
        <f>IFERROR(__xludf.DUMMYFUNCTION("""COMPUTED_VALUE""")," মেহেরপুর""")</f>
        <v> মেহেরপুর"</v>
      </c>
    </row>
    <row r="180">
      <c r="A180" s="7" t="s">
        <v>7334</v>
      </c>
      <c r="B180" s="5">
        <f>IFERROR(__xludf.DUMMYFUNCTION("SPLIT(A180,"","")"),950.0)</f>
        <v>950</v>
      </c>
      <c r="C180" s="5" t="str">
        <f>IFERROR(__xludf.DUMMYFUNCTION("""COMPUTED_VALUE"""),"মোঃ আবুল হোসেন")</f>
        <v>মোঃ আবুল হোসেন</v>
      </c>
      <c r="D180" s="5">
        <f>IFERROR(__xludf.DUMMYFUNCTION("""COMPUTED_VALUE"""),5.70038355402E11)</f>
        <v>570038355402</v>
      </c>
      <c r="E180" s="5" t="str">
        <f>IFERROR(__xludf.DUMMYFUNCTION("""COMPUTED_VALUE"""),"মোঃ আব্দুল মোতালেব")</f>
        <v>মোঃ আব্দুল মোতালেব</v>
      </c>
      <c r="F180" s="5" t="str">
        <f>IFERROR(__xludf.DUMMYFUNCTION("""COMPUTED_VALUE"""),"মোছাঃ ফাতেমা বেগম")</f>
        <v>মোছাঃ ফাতেমা বেগম</v>
      </c>
      <c r="G180" s="5" t="str">
        <f>IFERROR(__xludf.DUMMYFUNCTION("""COMPUTED_VALUE"""),"০১/০৩/১৯৬৮")</f>
        <v>০১/০৩/১৯৬৮</v>
      </c>
      <c r="H180" s="5" t="str">
        <f>IFERROR(__xludf.DUMMYFUNCTION("""COMPUTED_VALUE"""),"ব্যবসা")</f>
        <v>ব্যবসা</v>
      </c>
      <c r="I180" s="5" t="str">
        <f>IFERROR(__xludf.DUMMYFUNCTION("""COMPUTED_VALUE"""),"""গাড়াডোব")</f>
        <v>"গাড়াডোব</v>
      </c>
      <c r="J180" s="5" t="str">
        <f>IFERROR(__xludf.DUMMYFUNCTION("""COMPUTED_VALUE""")," গাংনী")</f>
        <v> গাংনী</v>
      </c>
      <c r="K180" s="5" t="str">
        <f>IFERROR(__xludf.DUMMYFUNCTION("""COMPUTED_VALUE""")," মেহেরপুর""")</f>
        <v> মেহেরপুর"</v>
      </c>
    </row>
    <row r="181">
      <c r="A181" s="7" t="s">
        <v>7335</v>
      </c>
      <c r="B181" s="5">
        <f>IFERROR(__xludf.DUMMYFUNCTION("SPLIT(A181,"","")"),951.0)</f>
        <v>951</v>
      </c>
      <c r="C181" s="5" t="str">
        <f>IFERROR(__xludf.DUMMYFUNCTION("""COMPUTED_VALUE"""),"মোঃ আবু হানিফ")</f>
        <v>মোঃ আবু হানিফ</v>
      </c>
      <c r="D181" s="5">
        <f>IFERROR(__xludf.DUMMYFUNCTION("""COMPUTED_VALUE"""),5.70038355404E11)</f>
        <v>570038355404</v>
      </c>
      <c r="E181" s="5" t="str">
        <f>IFERROR(__xludf.DUMMYFUNCTION("""COMPUTED_VALUE"""),"মোঃ আব্দুল মোতালেব")</f>
        <v>মোঃ আব্দুল মোতালেব</v>
      </c>
      <c r="F181" s="5" t="str">
        <f>IFERROR(__xludf.DUMMYFUNCTION("""COMPUTED_VALUE"""),"মোছাঃ ফাতেমা বেগম")</f>
        <v>মোছাঃ ফাতেমা বেগম</v>
      </c>
      <c r="G181" s="5" t="str">
        <f>IFERROR(__xludf.DUMMYFUNCTION("""COMPUTED_VALUE"""),"০১/০৭/১৯৭৯")</f>
        <v>০১/০৭/১৯৭৯</v>
      </c>
      <c r="H181" s="5" t="str">
        <f>IFERROR(__xludf.DUMMYFUNCTION("""COMPUTED_VALUE"""),"ব্যবসা")</f>
        <v>ব্যবসা</v>
      </c>
      <c r="I181" s="5" t="str">
        <f>IFERROR(__xludf.DUMMYFUNCTION("""COMPUTED_VALUE"""),"""গাড়াডোব")</f>
        <v>"গাড়াডোব</v>
      </c>
      <c r="J181" s="5" t="str">
        <f>IFERROR(__xludf.DUMMYFUNCTION("""COMPUTED_VALUE""")," গাংনী")</f>
        <v> গাংনী</v>
      </c>
      <c r="K181" s="5" t="str">
        <f>IFERROR(__xludf.DUMMYFUNCTION("""COMPUTED_VALUE""")," মেহেরপুর""")</f>
        <v> মেহেরপুর"</v>
      </c>
    </row>
    <row r="182">
      <c r="A182" s="7" t="s">
        <v>7336</v>
      </c>
      <c r="B182" s="5">
        <f>IFERROR(__xludf.DUMMYFUNCTION("SPLIT(A182,"","")"),952.0)</f>
        <v>952</v>
      </c>
      <c r="C182" s="5" t="str">
        <f>IFERROR(__xludf.DUMMYFUNCTION("""COMPUTED_VALUE"""),"মোঃ হামিদুল ইসলাম")</f>
        <v>মোঃ হামিদুল ইসলাম</v>
      </c>
      <c r="D182" s="5">
        <f>IFERROR(__xludf.DUMMYFUNCTION("""COMPUTED_VALUE"""),5.70038355405E11)</f>
        <v>570038355405</v>
      </c>
      <c r="E182" s="5" t="str">
        <f>IFERROR(__xludf.DUMMYFUNCTION("""COMPUTED_VALUE"""),"নিয়ামত আলী")</f>
        <v>নিয়ামত আলী</v>
      </c>
      <c r="F182" s="5" t="str">
        <f>IFERROR(__xludf.DUMMYFUNCTION("""COMPUTED_VALUE"""),"মোছাঃ ভাদিরন নেছা")</f>
        <v>মোছাঃ ভাদিরন নেছা</v>
      </c>
      <c r="G182" s="5" t="str">
        <f>IFERROR(__xludf.DUMMYFUNCTION("""COMPUTED_VALUE"""),"১৮/০৮/১৯৭৯")</f>
        <v>১৮/০৮/১৯৭৯</v>
      </c>
      <c r="H182" s="5" t="str">
        <f>IFERROR(__xludf.DUMMYFUNCTION("""COMPUTED_VALUE"""),"ব্যবসা")</f>
        <v>ব্যবসা</v>
      </c>
      <c r="I182" s="5" t="str">
        <f>IFERROR(__xludf.DUMMYFUNCTION("""COMPUTED_VALUE"""),"""গাড়াডোব")</f>
        <v>"গাড়াডোব</v>
      </c>
      <c r="J182" s="5" t="str">
        <f>IFERROR(__xludf.DUMMYFUNCTION("""COMPUTED_VALUE""")," গাংনী")</f>
        <v> গাংনী</v>
      </c>
      <c r="K182" s="5" t="str">
        <f>IFERROR(__xludf.DUMMYFUNCTION("""COMPUTED_VALUE""")," মেহেরপুর""")</f>
        <v> মেহেরপুর"</v>
      </c>
    </row>
    <row r="183">
      <c r="A183" s="7" t="s">
        <v>7337</v>
      </c>
      <c r="B183" s="5">
        <f>IFERROR(__xludf.DUMMYFUNCTION("SPLIT(A183,"","")"),953.0)</f>
        <v>953</v>
      </c>
      <c r="C183" s="5" t="str">
        <f>IFERROR(__xludf.DUMMYFUNCTION("""COMPUTED_VALUE"""),"মোঃ বশির আহমেদ")</f>
        <v>মোঃ বশির আহমেদ</v>
      </c>
      <c r="D183" s="5">
        <f>IFERROR(__xludf.DUMMYFUNCTION("""COMPUTED_VALUE"""),5.70038355406E11)</f>
        <v>570038355406</v>
      </c>
      <c r="E183" s="5" t="str">
        <f>IFERROR(__xludf.DUMMYFUNCTION("""COMPUTED_VALUE"""),"মোঃ সিদ্দিকুর রহমান")</f>
        <v>মোঃ সিদ্দিকুর রহমান</v>
      </c>
      <c r="F183" s="5" t="str">
        <f>IFERROR(__xludf.DUMMYFUNCTION("""COMPUTED_VALUE"""),"মোছাঃ হাফিজা খাতুন")</f>
        <v>মোছাঃ হাফিজা খাতুন</v>
      </c>
      <c r="G183" s="5" t="str">
        <f>IFERROR(__xludf.DUMMYFUNCTION("""COMPUTED_VALUE"""),"০১/০২/১৯৮১")</f>
        <v>০১/০২/১৯৮১</v>
      </c>
      <c r="H183" s="5" t="str">
        <f>IFERROR(__xludf.DUMMYFUNCTION("""COMPUTED_VALUE"""),"ব্যবসা")</f>
        <v>ব্যবসা</v>
      </c>
      <c r="I183" s="5" t="str">
        <f>IFERROR(__xludf.DUMMYFUNCTION("""COMPUTED_VALUE"""),"""গাড়াডোব")</f>
        <v>"গাড়াডোব</v>
      </c>
      <c r="J183" s="5" t="str">
        <f>IFERROR(__xludf.DUMMYFUNCTION("""COMPUTED_VALUE""")," গাংনী")</f>
        <v> গাংনী</v>
      </c>
      <c r="K183" s="5" t="str">
        <f>IFERROR(__xludf.DUMMYFUNCTION("""COMPUTED_VALUE""")," মেহেরপুর""")</f>
        <v> মেহেরপুর"</v>
      </c>
    </row>
    <row r="184">
      <c r="A184" s="7" t="s">
        <v>7338</v>
      </c>
      <c r="B184" s="5">
        <f>IFERROR(__xludf.DUMMYFUNCTION("SPLIT(A184,"","")"),954.0)</f>
        <v>954</v>
      </c>
      <c r="C184" s="5" t="str">
        <f>IFERROR(__xludf.DUMMYFUNCTION("""COMPUTED_VALUE"""),"মোঃ অলিউল্লাহ")</f>
        <v>মোঃ অলিউল্লাহ</v>
      </c>
      <c r="D184" s="5">
        <f>IFERROR(__xludf.DUMMYFUNCTION("""COMPUTED_VALUE"""),5.70038355407E11)</f>
        <v>570038355407</v>
      </c>
      <c r="E184" s="5" t="str">
        <f>IFERROR(__xludf.DUMMYFUNCTION("""COMPUTED_VALUE"""),"মোঃ সিদ্দিকুর রহমান")</f>
        <v>মোঃ সিদ্দিকুর রহমান</v>
      </c>
      <c r="F184" s="5" t="str">
        <f>IFERROR(__xludf.DUMMYFUNCTION("""COMPUTED_VALUE"""),"মোছাঃ হাফিজা খাতুন")</f>
        <v>মোছাঃ হাফিজা খাতুন</v>
      </c>
      <c r="G184" s="5" t="str">
        <f>IFERROR(__xludf.DUMMYFUNCTION("""COMPUTED_VALUE"""),"২১/০৮/১৯৬৯")</f>
        <v>২১/০৮/১৯৬৯</v>
      </c>
      <c r="H184" s="5" t="str">
        <f>IFERROR(__xludf.DUMMYFUNCTION("""COMPUTED_VALUE"""),"ব্যবসা")</f>
        <v>ব্যবসা</v>
      </c>
      <c r="I184" s="5" t="str">
        <f>IFERROR(__xludf.DUMMYFUNCTION("""COMPUTED_VALUE"""),"""গাড়াডোব")</f>
        <v>"গাড়াডোব</v>
      </c>
      <c r="J184" s="5" t="str">
        <f>IFERROR(__xludf.DUMMYFUNCTION("""COMPUTED_VALUE""")," গাংনী")</f>
        <v> গাংনী</v>
      </c>
      <c r="K184" s="5" t="str">
        <f>IFERROR(__xludf.DUMMYFUNCTION("""COMPUTED_VALUE""")," মেহেরপুর""")</f>
        <v> মেহেরপুর"</v>
      </c>
    </row>
    <row r="185">
      <c r="A185" s="7" t="s">
        <v>7339</v>
      </c>
      <c r="B185" s="5">
        <f>IFERROR(__xludf.DUMMYFUNCTION("SPLIT(A185,"","")"),959.0)</f>
        <v>959</v>
      </c>
      <c r="C185" s="5" t="str">
        <f>IFERROR(__xludf.DUMMYFUNCTION("""COMPUTED_VALUE"""),"মোঃ শাহাতাব আলী")</f>
        <v>মোঃ শাহাতাব আলী</v>
      </c>
      <c r="D185" s="5">
        <f>IFERROR(__xludf.DUMMYFUNCTION("""COMPUTED_VALUE"""),5.70038355408E11)</f>
        <v>570038355408</v>
      </c>
      <c r="E185" s="5" t="str">
        <f>IFERROR(__xludf.DUMMYFUNCTION("""COMPUTED_VALUE"""),"মোঃ হেমাত আলী")</f>
        <v>মোঃ হেমাত আলী</v>
      </c>
      <c r="F185" s="5" t="str">
        <f>IFERROR(__xludf.DUMMYFUNCTION("""COMPUTED_VALUE"""),"মোছাঃ মনোয়ারা খাতুন")</f>
        <v>মোছাঃ মনোয়ারা খাতুন</v>
      </c>
      <c r="G185" s="5" t="str">
        <f>IFERROR(__xludf.DUMMYFUNCTION("""COMPUTED_VALUE"""),"১৩/০৭/১৯৮৮")</f>
        <v>১৩/০৭/১৯৮৮</v>
      </c>
      <c r="H185" s="5" t="str">
        <f>IFERROR(__xludf.DUMMYFUNCTION("""COMPUTED_VALUE"""),"শ্রমিক")</f>
        <v>শ্রমিক</v>
      </c>
      <c r="I185" s="5" t="str">
        <f>IFERROR(__xludf.DUMMYFUNCTION("""COMPUTED_VALUE"""),"""গাড়াডোব")</f>
        <v>"গাড়াডোব</v>
      </c>
      <c r="J185" s="5" t="str">
        <f>IFERROR(__xludf.DUMMYFUNCTION("""COMPUTED_VALUE""")," গাংনী")</f>
        <v> গাংনী</v>
      </c>
      <c r="K185" s="5" t="str">
        <f>IFERROR(__xludf.DUMMYFUNCTION("""COMPUTED_VALUE""")," মেহেরপুর""")</f>
        <v> মেহেরপুর"</v>
      </c>
    </row>
    <row r="186">
      <c r="A186" s="7" t="s">
        <v>7340</v>
      </c>
      <c r="B186" s="5">
        <f>IFERROR(__xludf.DUMMYFUNCTION("SPLIT(A186,"","")"),956.0)</f>
        <v>956</v>
      </c>
      <c r="C186" s="5" t="str">
        <f>IFERROR(__xludf.DUMMYFUNCTION("""COMPUTED_VALUE"""),"মোঃ আকরাম আলী")</f>
        <v>মোঃ আকরাম আলী</v>
      </c>
      <c r="D186" s="5">
        <f>IFERROR(__xludf.DUMMYFUNCTION("""COMPUTED_VALUE"""),5.70038355409E11)</f>
        <v>570038355409</v>
      </c>
      <c r="E186" s="5" t="str">
        <f>IFERROR(__xludf.DUMMYFUNCTION("""COMPUTED_VALUE"""),"মোঃ আছের উদ্দীন")</f>
        <v>মোঃ আছের উদ্দীন</v>
      </c>
      <c r="F186" s="5" t="str">
        <f>IFERROR(__xludf.DUMMYFUNCTION("""COMPUTED_VALUE"""),"মোছাঃ ছফেলা বেগম")</f>
        <v>মোছাঃ ছফেলা বেগম</v>
      </c>
      <c r="G186" s="5" t="str">
        <f>IFERROR(__xludf.DUMMYFUNCTION("""COMPUTED_VALUE"""),"১০/১০/১৯৭০")</f>
        <v>১০/১০/১৯৭০</v>
      </c>
      <c r="H186" s="5" t="str">
        <f>IFERROR(__xludf.DUMMYFUNCTION("""COMPUTED_VALUE"""),"শ্রমিক")</f>
        <v>শ্রমিক</v>
      </c>
      <c r="I186" s="5" t="str">
        <f>IFERROR(__xludf.DUMMYFUNCTION("""COMPUTED_VALUE"""),"""গাড়াডোব")</f>
        <v>"গাড়াডোব</v>
      </c>
      <c r="J186" s="5" t="str">
        <f>IFERROR(__xludf.DUMMYFUNCTION("""COMPUTED_VALUE""")," গাংনী")</f>
        <v> গাংনী</v>
      </c>
      <c r="K186" s="5" t="str">
        <f>IFERROR(__xludf.DUMMYFUNCTION("""COMPUTED_VALUE""")," মেহেরপুর""")</f>
        <v> মেহেরপুর"</v>
      </c>
    </row>
    <row r="187">
      <c r="A187" s="7" t="s">
        <v>7341</v>
      </c>
      <c r="B187" s="5">
        <f>IFERROR(__xludf.DUMMYFUNCTION("SPLIT(A187,"","")"),957.0)</f>
        <v>957</v>
      </c>
      <c r="C187" s="5" t="str">
        <f>IFERROR(__xludf.DUMMYFUNCTION("""COMPUTED_VALUE"""),"মোঃ রুহুল আমিন")</f>
        <v>মোঃ রুহুল আমিন</v>
      </c>
      <c r="D187" s="5">
        <f>IFERROR(__xludf.DUMMYFUNCTION("""COMPUTED_VALUE"""),5.70038355415E11)</f>
        <v>570038355415</v>
      </c>
      <c r="E187" s="5" t="str">
        <f>IFERROR(__xludf.DUMMYFUNCTION("""COMPUTED_VALUE"""),"মোঃ শামসুল ইসলাম")</f>
        <v>মোঃ শামসুল ইসলাম</v>
      </c>
      <c r="F187" s="5" t="str">
        <f>IFERROR(__xludf.DUMMYFUNCTION("""COMPUTED_VALUE"""),"মাতা: তাজবানু")</f>
        <v>মাতা: তাজবানু</v>
      </c>
      <c r="G187" s="5" t="str">
        <f>IFERROR(__xludf.DUMMYFUNCTION("""COMPUTED_VALUE"""),"১৩/০৭/১৯৬১")</f>
        <v>১৩/০৭/১৯৬১</v>
      </c>
      <c r="H187" s="5" t="str">
        <f>IFERROR(__xludf.DUMMYFUNCTION("""COMPUTED_VALUE"""),"কৃষক")</f>
        <v>কৃষক</v>
      </c>
      <c r="I187" s="5" t="str">
        <f>IFERROR(__xludf.DUMMYFUNCTION("""COMPUTED_VALUE"""),"""গাড়াডোব")</f>
        <v>"গাড়াডোব</v>
      </c>
      <c r="J187" s="5" t="str">
        <f>IFERROR(__xludf.DUMMYFUNCTION("""COMPUTED_VALUE""")," গাংনী")</f>
        <v> গাংনী</v>
      </c>
      <c r="K187" s="5" t="str">
        <f>IFERROR(__xludf.DUMMYFUNCTION("""COMPUTED_VALUE""")," মেহেরপুর""")</f>
        <v> মেহেরপুর"</v>
      </c>
    </row>
    <row r="188">
      <c r="A188" s="7" t="s">
        <v>7342</v>
      </c>
      <c r="B188" s="5">
        <f>IFERROR(__xludf.DUMMYFUNCTION("SPLIT(A188,"","")"),958.0)</f>
        <v>958</v>
      </c>
      <c r="C188" s="5" t="str">
        <f>IFERROR(__xludf.DUMMYFUNCTION("""COMPUTED_VALUE"""),"মোঃ শফিউল্লাহ")</f>
        <v>মোঃ শফিউল্লাহ</v>
      </c>
      <c r="D188" s="5">
        <f>IFERROR(__xludf.DUMMYFUNCTION("""COMPUTED_VALUE"""),5.70038355419E11)</f>
        <v>570038355419</v>
      </c>
      <c r="E188" s="5" t="str">
        <f>IFERROR(__xludf.DUMMYFUNCTION("""COMPUTED_VALUE"""),"আহমত আলী")</f>
        <v>আহমত আলী</v>
      </c>
      <c r="F188" s="5" t="str">
        <f>IFERROR(__xludf.DUMMYFUNCTION("""COMPUTED_VALUE"""),"মাতা: জয়ফুরা খাতুন")</f>
        <v>মাতা: জয়ফুরা খাতুন</v>
      </c>
      <c r="G188" s="5" t="str">
        <f>IFERROR(__xludf.DUMMYFUNCTION("""COMPUTED_VALUE"""),"১৩/০৮/১৯৫২")</f>
        <v>১৩/০৮/১৯৫২</v>
      </c>
      <c r="H188" s="5" t="str">
        <f>IFERROR(__xludf.DUMMYFUNCTION("""COMPUTED_VALUE"""),"দিনমজুর")</f>
        <v>দিনমজুর</v>
      </c>
      <c r="I188" s="5" t="str">
        <f>IFERROR(__xludf.DUMMYFUNCTION("""COMPUTED_VALUE"""),"""গাড়াডোব")</f>
        <v>"গাড়াডোব</v>
      </c>
      <c r="J188" s="5" t="str">
        <f>IFERROR(__xludf.DUMMYFUNCTION("""COMPUTED_VALUE""")," গাংনী")</f>
        <v> গাংনী</v>
      </c>
      <c r="K188" s="5" t="str">
        <f>IFERROR(__xludf.DUMMYFUNCTION("""COMPUTED_VALUE""")," মেহেরপুর""")</f>
        <v> মেহেরপুর"</v>
      </c>
    </row>
    <row r="189">
      <c r="A189" s="7" t="s">
        <v>7343</v>
      </c>
      <c r="B189" s="5">
        <f>IFERROR(__xludf.DUMMYFUNCTION("SPLIT(A189,"","")"),959.0)</f>
        <v>959</v>
      </c>
      <c r="C189" s="5" t="str">
        <f>IFERROR(__xludf.DUMMYFUNCTION("""COMPUTED_VALUE"""),"মোঃ আব্দুর রাজ্জাক")</f>
        <v>মোঃ আব্দুর রাজ্জাক</v>
      </c>
      <c r="D189" s="5">
        <f>IFERROR(__xludf.DUMMYFUNCTION("""COMPUTED_VALUE"""),5.70038355427E11)</f>
        <v>570038355427</v>
      </c>
      <c r="E189" s="5" t="str">
        <f>IFERROR(__xludf.DUMMYFUNCTION("""COMPUTED_VALUE"""),"মোঃ তাইজুল ইসলাম")</f>
        <v>মোঃ তাইজুল ইসলাম</v>
      </c>
      <c r="F189" s="5" t="str">
        <f>IFERROR(__xludf.DUMMYFUNCTION("""COMPUTED_VALUE"""),"মাতা: খুসু বেগম")</f>
        <v>মাতা: খুসু বেগম</v>
      </c>
      <c r="G189" s="5" t="str">
        <f>IFERROR(__xludf.DUMMYFUNCTION("""COMPUTED_VALUE"""),"১৬/০৮/১৯৮২")</f>
        <v>১৬/০৮/১৯৮২</v>
      </c>
      <c r="H189" s="5" t="str">
        <f>IFERROR(__xludf.DUMMYFUNCTION("""COMPUTED_VALUE"""),"ব্যবসা")</f>
        <v>ব্যবসা</v>
      </c>
      <c r="I189" s="5" t="str">
        <f>IFERROR(__xludf.DUMMYFUNCTION("""COMPUTED_VALUE"""),"""গাড়াডোব")</f>
        <v>"গাড়াডোব</v>
      </c>
      <c r="J189" s="5" t="str">
        <f>IFERROR(__xludf.DUMMYFUNCTION("""COMPUTED_VALUE""")," গাংনী")</f>
        <v> গাংনী</v>
      </c>
      <c r="K189" s="5" t="str">
        <f>IFERROR(__xludf.DUMMYFUNCTION("""COMPUTED_VALUE""")," মেহেরপুর""")</f>
        <v> মেহেরপুর"</v>
      </c>
    </row>
    <row r="190">
      <c r="A190" s="7" t="s">
        <v>7344</v>
      </c>
      <c r="B190" s="5">
        <f>IFERROR(__xludf.DUMMYFUNCTION("SPLIT(A190,"","")"),960.0)</f>
        <v>960</v>
      </c>
      <c r="C190" s="5" t="str">
        <f>IFERROR(__xludf.DUMMYFUNCTION("""COMPUTED_VALUE"""),"মোঃ আবু ইউসুফ")</f>
        <v>মোঃ আবু ইউসুফ</v>
      </c>
      <c r="D190" s="5">
        <f>IFERROR(__xludf.DUMMYFUNCTION("""COMPUTED_VALUE"""),5.7003835543E10)</f>
        <v>57003835543</v>
      </c>
      <c r="E190" s="5" t="str">
        <f>IFERROR(__xludf.DUMMYFUNCTION("""COMPUTED_VALUE"""),"হাফিজ উদ্দীন")</f>
        <v>হাফিজ উদ্দীন</v>
      </c>
      <c r="F190" s="5" t="str">
        <f>IFERROR(__xludf.DUMMYFUNCTION("""COMPUTED_VALUE"""),"মোছাঃ জরফুন নেছা")</f>
        <v>মোছাঃ জরফুন নেছা</v>
      </c>
      <c r="G190" s="5" t="str">
        <f>IFERROR(__xludf.DUMMYFUNCTION("""COMPUTED_VALUE"""),"১০/০৮/১৯৬৭")</f>
        <v>১০/০৮/১৯৬৭</v>
      </c>
      <c r="H190" s="5" t="str">
        <f>IFERROR(__xludf.DUMMYFUNCTION("""COMPUTED_VALUE"""),"কৃষক")</f>
        <v>কৃষক</v>
      </c>
      <c r="I190" s="5" t="str">
        <f>IFERROR(__xludf.DUMMYFUNCTION("""COMPUTED_VALUE"""),"""গাড়াডোব")</f>
        <v>"গাড়াডোব</v>
      </c>
      <c r="J190" s="5" t="str">
        <f>IFERROR(__xludf.DUMMYFUNCTION("""COMPUTED_VALUE""")," গাংনী")</f>
        <v> গাংনী</v>
      </c>
      <c r="K190" s="5" t="str">
        <f>IFERROR(__xludf.DUMMYFUNCTION("""COMPUTED_VALUE""")," মেহেরপুর""")</f>
        <v> মেহেরপুর"</v>
      </c>
    </row>
    <row r="191">
      <c r="A191" s="7" t="s">
        <v>7345</v>
      </c>
      <c r="B191" s="5">
        <f>IFERROR(__xludf.DUMMYFUNCTION("SPLIT(A191,"","")"),961.0)</f>
        <v>961</v>
      </c>
      <c r="C191" s="5" t="str">
        <f>IFERROR(__xludf.DUMMYFUNCTION("""COMPUTED_VALUE"""),"মোঃ ছবদেল হোসেন")</f>
        <v>মোঃ ছবদেল হোসেন</v>
      </c>
      <c r="D191" s="5">
        <f>IFERROR(__xludf.DUMMYFUNCTION("""COMPUTED_VALUE"""),5.70038355442E11)</f>
        <v>570038355442</v>
      </c>
      <c r="E191" s="5" t="str">
        <f>IFERROR(__xludf.DUMMYFUNCTION("""COMPUTED_VALUE"""),"মোঃ ফজের আলী")</f>
        <v>মোঃ ফজের আলী</v>
      </c>
      <c r="F191" s="5" t="str">
        <f>IFERROR(__xludf.DUMMYFUNCTION("""COMPUTED_VALUE"""),"মোছাঃ সাহার বানু")</f>
        <v>মোছাঃ সাহার বানু</v>
      </c>
      <c r="G191" s="5" t="str">
        <f>IFERROR(__xludf.DUMMYFUNCTION("""COMPUTED_VALUE"""),"২০/০৯/১৯৮৫")</f>
        <v>২০/০৯/১৯৮৫</v>
      </c>
      <c r="H191" s="5" t="str">
        <f>IFERROR(__xludf.DUMMYFUNCTION("""COMPUTED_VALUE"""),"দিনমজুর")</f>
        <v>দিনমজুর</v>
      </c>
      <c r="I191" s="5" t="str">
        <f>IFERROR(__xludf.DUMMYFUNCTION("""COMPUTED_VALUE"""),"""গাড়াডোব")</f>
        <v>"গাড়াডোব</v>
      </c>
      <c r="J191" s="5" t="str">
        <f>IFERROR(__xludf.DUMMYFUNCTION("""COMPUTED_VALUE""")," গাংনী")</f>
        <v> গাংনী</v>
      </c>
      <c r="K191" s="5" t="str">
        <f>IFERROR(__xludf.DUMMYFUNCTION("""COMPUTED_VALUE""")," মেহেরপুর""")</f>
        <v> মেহেরপুর"</v>
      </c>
    </row>
    <row r="192">
      <c r="A192" s="7" t="s">
        <v>7346</v>
      </c>
      <c r="B192" s="5">
        <f>IFERROR(__xludf.DUMMYFUNCTION("SPLIT(A192,"","")"),962.0)</f>
        <v>962</v>
      </c>
      <c r="C192" s="5" t="str">
        <f>IFERROR(__xludf.DUMMYFUNCTION("""COMPUTED_VALUE"""),"মোঃ বিশারত আলী")</f>
        <v>মোঃ বিশারত আলী</v>
      </c>
      <c r="D192" s="5">
        <f>IFERROR(__xludf.DUMMYFUNCTION("""COMPUTED_VALUE"""),5.70038355444E11)</f>
        <v>570038355444</v>
      </c>
      <c r="E192" s="5" t="str">
        <f>IFERROR(__xludf.DUMMYFUNCTION("""COMPUTED_VALUE"""),"মোঃ দেলোয়ার হোসেন")</f>
        <v>মোঃ দেলোয়ার হোসেন</v>
      </c>
      <c r="F192" s="5" t="str">
        <f>IFERROR(__xludf.DUMMYFUNCTION("""COMPUTED_VALUE"""),"মোছাঃ আনোয়ারা খাতুন")</f>
        <v>মোছাঃ আনোয়ারা খাতুন</v>
      </c>
      <c r="G192" s="5" t="str">
        <f>IFERROR(__xludf.DUMMYFUNCTION("""COMPUTED_VALUE"""),"১৩/০৮/১৯৮৬")</f>
        <v>১৩/০৮/১৯৮৬</v>
      </c>
      <c r="H192" s="5" t="str">
        <f>IFERROR(__xludf.DUMMYFUNCTION("""COMPUTED_VALUE"""),"শ্রমিক")</f>
        <v>শ্রমিক</v>
      </c>
      <c r="I192" s="5" t="str">
        <f>IFERROR(__xludf.DUMMYFUNCTION("""COMPUTED_VALUE"""),"""গাড়াডোব")</f>
        <v>"গাড়াডোব</v>
      </c>
      <c r="J192" s="5" t="str">
        <f>IFERROR(__xludf.DUMMYFUNCTION("""COMPUTED_VALUE""")," গাংনী")</f>
        <v> গাংনী</v>
      </c>
      <c r="K192" s="5" t="str">
        <f>IFERROR(__xludf.DUMMYFUNCTION("""COMPUTED_VALUE""")," মেহেরপুর""")</f>
        <v> মেহেরপুর"</v>
      </c>
    </row>
    <row r="193">
      <c r="A193" s="7" t="s">
        <v>7347</v>
      </c>
      <c r="B193" s="5">
        <f>IFERROR(__xludf.DUMMYFUNCTION("SPLIT(A193,"","")"),963.0)</f>
        <v>963</v>
      </c>
      <c r="C193" s="5" t="str">
        <f>IFERROR(__xludf.DUMMYFUNCTION("""COMPUTED_VALUE"""),"মোঃ মতিয়ার রহমান")</f>
        <v>মোঃ মতিয়ার রহমান</v>
      </c>
      <c r="D193" s="5">
        <f>IFERROR(__xludf.DUMMYFUNCTION("""COMPUTED_VALUE"""),5.70038355446E11)</f>
        <v>570038355446</v>
      </c>
      <c r="E193" s="5" t="str">
        <f>IFERROR(__xludf.DUMMYFUNCTION("""COMPUTED_VALUE"""),"জানালী শেখ")</f>
        <v>জানালী শেখ</v>
      </c>
      <c r="F193" s="5" t="str">
        <f>IFERROR(__xludf.DUMMYFUNCTION("""COMPUTED_VALUE"""),"মাতা: চিনা বিবি")</f>
        <v>মাতা: চিনা বিবি</v>
      </c>
      <c r="G193" s="5" t="str">
        <f>IFERROR(__xludf.DUMMYFUNCTION("""COMPUTED_VALUE"""),"১০/০৮/১৯৬৭")</f>
        <v>১০/০৮/১৯৬৭</v>
      </c>
      <c r="H193" s="5" t="str">
        <f>IFERROR(__xludf.DUMMYFUNCTION("""COMPUTED_VALUE"""),"শ্রমিক")</f>
        <v>শ্রমিক</v>
      </c>
      <c r="I193" s="5" t="str">
        <f>IFERROR(__xludf.DUMMYFUNCTION("""COMPUTED_VALUE"""),"""গাড়াডোব")</f>
        <v>"গাড়াডোব</v>
      </c>
      <c r="J193" s="5" t="str">
        <f>IFERROR(__xludf.DUMMYFUNCTION("""COMPUTED_VALUE""")," গাংনী")</f>
        <v> গাংনী</v>
      </c>
      <c r="K193" s="5" t="str">
        <f>IFERROR(__xludf.DUMMYFUNCTION("""COMPUTED_VALUE""")," মেহেরপুর""")</f>
        <v> মেহেরপুর"</v>
      </c>
    </row>
    <row r="194">
      <c r="A194" s="7" t="s">
        <v>7348</v>
      </c>
      <c r="B194" s="5">
        <f>IFERROR(__xludf.DUMMYFUNCTION("SPLIT(A194,"","")"),964.0)</f>
        <v>964</v>
      </c>
      <c r="C194" s="5" t="str">
        <f>IFERROR(__xludf.DUMMYFUNCTION("""COMPUTED_VALUE"""),"মোঃ মহাবুল হক")</f>
        <v>মোঃ মহাবুল হক</v>
      </c>
      <c r="D194" s="5">
        <f>IFERROR(__xludf.DUMMYFUNCTION("""COMPUTED_VALUE"""),5.70038355448E11)</f>
        <v>570038355448</v>
      </c>
      <c r="E194" s="5" t="str">
        <f>IFERROR(__xludf.DUMMYFUNCTION("""COMPUTED_VALUE"""),"ইয়ার আলী")</f>
        <v>ইয়ার আলী</v>
      </c>
      <c r="F194" s="5" t="str">
        <f>IFERROR(__xludf.DUMMYFUNCTION("""COMPUTED_VALUE"""),"মাতা: সবুর")</f>
        <v>মাতা: সবুর</v>
      </c>
      <c r="G194" s="5" t="str">
        <f>IFERROR(__xludf.DUMMYFUNCTION("""COMPUTED_VALUE"""),"১১/০৯/১৯৬২")</f>
        <v>১১/০৯/১৯৬২</v>
      </c>
      <c r="H194" s="5" t="str">
        <f>IFERROR(__xludf.DUMMYFUNCTION("""COMPUTED_VALUE"""),"ব্যবসা")</f>
        <v>ব্যবসা</v>
      </c>
      <c r="I194" s="5" t="str">
        <f>IFERROR(__xludf.DUMMYFUNCTION("""COMPUTED_VALUE"""),"""গাড়াডোব")</f>
        <v>"গাড়াডোব</v>
      </c>
      <c r="J194" s="5" t="str">
        <f>IFERROR(__xludf.DUMMYFUNCTION("""COMPUTED_VALUE""")," গাংনী")</f>
        <v> গাংনী</v>
      </c>
      <c r="K194" s="5" t="str">
        <f>IFERROR(__xludf.DUMMYFUNCTION("""COMPUTED_VALUE""")," মেহেরপুর""")</f>
        <v> মেহেরপুর"</v>
      </c>
    </row>
    <row r="195">
      <c r="A195" s="7" t="s">
        <v>7349</v>
      </c>
      <c r="B195" s="5">
        <f>IFERROR(__xludf.DUMMYFUNCTION("SPLIT(A195,"","")"),965.0)</f>
        <v>965</v>
      </c>
      <c r="C195" s="5" t="str">
        <f>IFERROR(__xludf.DUMMYFUNCTION("""COMPUTED_VALUE"""),"মোঃ আব্দুল হান্নান")</f>
        <v>মোঃ আব্দুল হান্নান</v>
      </c>
      <c r="D195" s="5">
        <f>IFERROR(__xludf.DUMMYFUNCTION("""COMPUTED_VALUE"""),5.70038355449E11)</f>
        <v>570038355449</v>
      </c>
      <c r="E195" s="5" t="str">
        <f>IFERROR(__xludf.DUMMYFUNCTION("""COMPUTED_VALUE"""),"ফজল")</f>
        <v>ফজল</v>
      </c>
      <c r="F195" s="5" t="str">
        <f>IFERROR(__xludf.DUMMYFUNCTION("""COMPUTED_VALUE"""),"মাতা: মহিলা বেগম")</f>
        <v>মাতা: মহিলা বেগম</v>
      </c>
      <c r="G195" s="5" t="str">
        <f>IFERROR(__xludf.DUMMYFUNCTION("""COMPUTED_VALUE"""),"২০/০৮/১৯৭১")</f>
        <v>২০/০৮/১৯৭১</v>
      </c>
      <c r="H195" s="5" t="str">
        <f>IFERROR(__xludf.DUMMYFUNCTION("""COMPUTED_VALUE"""),"শ্রমিক")</f>
        <v>শ্রমিক</v>
      </c>
      <c r="I195" s="5" t="str">
        <f>IFERROR(__xludf.DUMMYFUNCTION("""COMPUTED_VALUE"""),"""গাড়াডোব")</f>
        <v>"গাড়াডোব</v>
      </c>
      <c r="J195" s="5" t="str">
        <f>IFERROR(__xludf.DUMMYFUNCTION("""COMPUTED_VALUE""")," গাংনী")</f>
        <v> গাংনী</v>
      </c>
      <c r="K195" s="5" t="str">
        <f>IFERROR(__xludf.DUMMYFUNCTION("""COMPUTED_VALUE""")," মেহেরপুর""")</f>
        <v> মেহেরপুর"</v>
      </c>
    </row>
    <row r="196">
      <c r="A196" s="7" t="s">
        <v>7350</v>
      </c>
      <c r="B196" s="5">
        <f>IFERROR(__xludf.DUMMYFUNCTION("SPLIT(A196,"","")"),966.0)</f>
        <v>966</v>
      </c>
      <c r="C196" s="5" t="str">
        <f>IFERROR(__xludf.DUMMYFUNCTION("""COMPUTED_VALUE"""),"মোঃ ইউছুব আলী")</f>
        <v>মোঃ ইউছুব আলী</v>
      </c>
      <c r="D196" s="5">
        <f>IFERROR(__xludf.DUMMYFUNCTION("""COMPUTED_VALUE"""),5.7003835545E11)</f>
        <v>570038355450</v>
      </c>
      <c r="E196" s="5" t="str">
        <f>IFERROR(__xludf.DUMMYFUNCTION("""COMPUTED_VALUE"""),"ফজল শেখ")</f>
        <v>ফজল শেখ</v>
      </c>
      <c r="F196" s="5" t="str">
        <f>IFERROR(__xludf.DUMMYFUNCTION("""COMPUTED_VALUE"""),"মাতা: মহিলা খাতুন")</f>
        <v>মাতা: মহিলা খাতুন</v>
      </c>
      <c r="G196" s="5" t="str">
        <f>IFERROR(__xludf.DUMMYFUNCTION("""COMPUTED_VALUE"""),"১৯/০৭/১৯৭২")</f>
        <v>১৯/০৭/১৯৭২</v>
      </c>
      <c r="H196" s="5" t="str">
        <f>IFERROR(__xludf.DUMMYFUNCTION("""COMPUTED_VALUE"""),"শ্রমিক")</f>
        <v>শ্রমিক</v>
      </c>
      <c r="I196" s="5" t="str">
        <f>IFERROR(__xludf.DUMMYFUNCTION("""COMPUTED_VALUE"""),"""গাড়াডোব")</f>
        <v>"গাড়াডোব</v>
      </c>
      <c r="J196" s="5" t="str">
        <f>IFERROR(__xludf.DUMMYFUNCTION("""COMPUTED_VALUE""")," গাংনী")</f>
        <v> গাংনী</v>
      </c>
      <c r="K196" s="5" t="str">
        <f>IFERROR(__xludf.DUMMYFUNCTION("""COMPUTED_VALUE""")," মেহেরপুর""")</f>
        <v> মেহেরপুর"</v>
      </c>
    </row>
    <row r="197">
      <c r="A197" s="7" t="s">
        <v>7351</v>
      </c>
      <c r="B197" s="5">
        <f>IFERROR(__xludf.DUMMYFUNCTION("SPLIT(A197,"","")"),967.0)</f>
        <v>967</v>
      </c>
      <c r="C197" s="5" t="str">
        <f>IFERROR(__xludf.DUMMYFUNCTION("""COMPUTED_VALUE"""),"মোঃ আমজাদ আলী")</f>
        <v>মোঃ আমজাদ আলী</v>
      </c>
      <c r="D197" s="5">
        <f>IFERROR(__xludf.DUMMYFUNCTION("""COMPUTED_VALUE"""),5.70038355452E11)</f>
        <v>570038355452</v>
      </c>
      <c r="E197" s="5" t="str">
        <f>IFERROR(__xludf.DUMMYFUNCTION("""COMPUTED_VALUE"""),"পাতান")</f>
        <v>পাতান</v>
      </c>
      <c r="F197" s="5" t="str">
        <f>IFERROR(__xludf.DUMMYFUNCTION("""COMPUTED_VALUE"""),"মোছাঃ হাচিনা বানু")</f>
        <v>মোছাঃ হাচিনা বানু</v>
      </c>
      <c r="G197" s="5" t="str">
        <f>IFERROR(__xludf.DUMMYFUNCTION("""COMPUTED_VALUE"""),"১১/০৯/১৯৮১")</f>
        <v>১১/০৯/১৯৮১</v>
      </c>
      <c r="H197" s="5" t="str">
        <f>IFERROR(__xludf.DUMMYFUNCTION("""COMPUTED_VALUE"""),"শ্রমিক")</f>
        <v>শ্রমিক</v>
      </c>
      <c r="I197" s="5" t="str">
        <f>IFERROR(__xludf.DUMMYFUNCTION("""COMPUTED_VALUE"""),"""গাড়াডোব")</f>
        <v>"গাড়াডোব</v>
      </c>
      <c r="J197" s="5" t="str">
        <f>IFERROR(__xludf.DUMMYFUNCTION("""COMPUTED_VALUE""")," গাংনী")</f>
        <v> গাংনী</v>
      </c>
      <c r="K197" s="5" t="str">
        <f>IFERROR(__xludf.DUMMYFUNCTION("""COMPUTED_VALUE""")," মেহেরপুর""")</f>
        <v> মেহেরপুর"</v>
      </c>
    </row>
    <row r="198">
      <c r="A198" s="7" t="s">
        <v>7352</v>
      </c>
      <c r="B198" s="5">
        <f>IFERROR(__xludf.DUMMYFUNCTION("SPLIT(A198,"","")"),968.0)</f>
        <v>968</v>
      </c>
      <c r="C198" s="5" t="str">
        <f>IFERROR(__xludf.DUMMYFUNCTION("""COMPUTED_VALUE"""),"মোঃ আব্দুর রহমান")</f>
        <v>মোঃ আব্দুর রহমান</v>
      </c>
      <c r="D198" s="5">
        <f>IFERROR(__xludf.DUMMYFUNCTION("""COMPUTED_VALUE"""),5.70038355453E11)</f>
        <v>570038355453</v>
      </c>
      <c r="E198" s="5" t="str">
        <f>IFERROR(__xludf.DUMMYFUNCTION("""COMPUTED_VALUE"""),"মোঃ আব্দুর রাজ্জাক")</f>
        <v>মোঃ আব্দুর রাজ্জাক</v>
      </c>
      <c r="F198" s="5" t="str">
        <f>IFERROR(__xludf.DUMMYFUNCTION("""COMPUTED_VALUE"""),"মোছাঃ সুফিয়া বেগম")</f>
        <v>মোছাঃ সুফিয়া বেগম</v>
      </c>
      <c r="G198" s="5" t="str">
        <f>IFERROR(__xludf.DUMMYFUNCTION("""COMPUTED_VALUE"""),"২০/০৭/১৯৭৭")</f>
        <v>২০/০৭/১৯৭৭</v>
      </c>
      <c r="H198" s="5" t="str">
        <f>IFERROR(__xludf.DUMMYFUNCTION("""COMPUTED_VALUE"""),"শ্রমিক")</f>
        <v>শ্রমিক</v>
      </c>
      <c r="I198" s="5" t="str">
        <f>IFERROR(__xludf.DUMMYFUNCTION("""COMPUTED_VALUE"""),"""গাড়াডোব")</f>
        <v>"গাড়াডোব</v>
      </c>
      <c r="J198" s="5" t="str">
        <f>IFERROR(__xludf.DUMMYFUNCTION("""COMPUTED_VALUE""")," গাংনী")</f>
        <v> গাংনী</v>
      </c>
      <c r="K198" s="5" t="str">
        <f>IFERROR(__xludf.DUMMYFUNCTION("""COMPUTED_VALUE""")," মেহেরপুর""")</f>
        <v> মেহেরপুর"</v>
      </c>
    </row>
    <row r="199">
      <c r="A199" s="7" t="s">
        <v>7353</v>
      </c>
      <c r="B199" s="5">
        <f>IFERROR(__xludf.DUMMYFUNCTION("SPLIT(A199,"","")"),969.0)</f>
        <v>969</v>
      </c>
      <c r="C199" s="5" t="str">
        <f>IFERROR(__xludf.DUMMYFUNCTION("""COMPUTED_VALUE"""),"মোঃ শামসুল ইসলাম")</f>
        <v>মোঃ শামসুল ইসলাম</v>
      </c>
      <c r="D199" s="5">
        <f>IFERROR(__xludf.DUMMYFUNCTION("""COMPUTED_VALUE"""),5.70038355454E11)</f>
        <v>570038355454</v>
      </c>
      <c r="E199" s="5" t="str">
        <f>IFERROR(__xludf.DUMMYFUNCTION("""COMPUTED_VALUE"""),"মোঃ আব্দুর ছাত্তার")</f>
        <v>মোঃ আব্দুর ছাত্তার</v>
      </c>
      <c r="F199" s="5" t="str">
        <f>IFERROR(__xludf.DUMMYFUNCTION("""COMPUTED_VALUE"""),"মোছাঃ ছপুরা বেগম")</f>
        <v>মোছাঃ ছপুরা বেগম</v>
      </c>
      <c r="G199" s="5" t="str">
        <f>IFERROR(__xludf.DUMMYFUNCTION("""COMPUTED_VALUE"""),"২০/০৭/১৯৭৫")</f>
        <v>২০/০৭/১৯৭৫</v>
      </c>
      <c r="H199" s="5" t="str">
        <f>IFERROR(__xludf.DUMMYFUNCTION("""COMPUTED_VALUE"""),"শ্রমিক")</f>
        <v>শ্রমিক</v>
      </c>
      <c r="I199" s="5" t="str">
        <f>IFERROR(__xludf.DUMMYFUNCTION("""COMPUTED_VALUE"""),"""গাড়াডোব")</f>
        <v>"গাড়াডোব</v>
      </c>
      <c r="J199" s="5" t="str">
        <f>IFERROR(__xludf.DUMMYFUNCTION("""COMPUTED_VALUE""")," গাংনী")</f>
        <v> গাংনী</v>
      </c>
      <c r="K199" s="5" t="str">
        <f>IFERROR(__xludf.DUMMYFUNCTION("""COMPUTED_VALUE""")," মেহেরপুর""")</f>
        <v> মেহেরপুর"</v>
      </c>
    </row>
    <row r="200">
      <c r="B200" s="5" t="str">
        <f>IFERROR(__xludf.DUMMYFUNCTION("SPLIT(A200,"","")"),"#VALUE!")</f>
        <v>#VALUE!</v>
      </c>
    </row>
    <row r="201">
      <c r="A201" s="7" t="s">
        <v>7155</v>
      </c>
      <c r="B201" s="5" t="str">
        <f>IFERROR(__xludf.DUMMYFUNCTION("SPLIT(A201,"","")"),"ক্রমিক নং")</f>
        <v>ক্রমিক নং</v>
      </c>
      <c r="C201" s="5" t="str">
        <f>IFERROR(__xludf.DUMMYFUNCTION("""COMPUTED_VALUE"""),"নাম")</f>
        <v>নাম</v>
      </c>
      <c r="D201" s="5" t="str">
        <f>IFERROR(__xludf.DUMMYFUNCTION("""COMPUTED_VALUE"""),"ভোটার নং")</f>
        <v>ভোটার নং</v>
      </c>
      <c r="E201" s="5" t="str">
        <f>IFERROR(__xludf.DUMMYFUNCTION("""COMPUTED_VALUE"""),"পিতা")</f>
        <v>পিতা</v>
      </c>
      <c r="F201" s="5" t="str">
        <f>IFERROR(__xludf.DUMMYFUNCTION("""COMPUTED_VALUE"""),"মাতা")</f>
        <v>মাতা</v>
      </c>
      <c r="G201" s="5" t="str">
        <f>IFERROR(__xludf.DUMMYFUNCTION("""COMPUTED_VALUE"""),"জন্ম তারিখ")</f>
        <v>জন্ম তারিখ</v>
      </c>
      <c r="H201" s="5" t="str">
        <f>IFERROR(__xludf.DUMMYFUNCTION("""COMPUTED_VALUE"""),"পেশা")</f>
        <v>পেশা</v>
      </c>
      <c r="I201" s="5" t="str">
        <f>IFERROR(__xludf.DUMMYFUNCTION("""COMPUTED_VALUE"""),"ঠিকানা")</f>
        <v>ঠিকানা</v>
      </c>
    </row>
    <row r="202">
      <c r="A202" s="7" t="s">
        <v>7354</v>
      </c>
      <c r="B202" s="5">
        <f>IFERROR(__xludf.DUMMYFUNCTION("SPLIT(A202,"","")"),1474.0)</f>
        <v>1474</v>
      </c>
      <c r="C202" s="5" t="str">
        <f>IFERROR(__xludf.DUMMYFUNCTION("""COMPUTED_VALUE"""),"নাম: আশরাফ আলী")</f>
        <v>নাম: আশরাফ আলী</v>
      </c>
      <c r="D202" s="5" t="str">
        <f>IFERROR(__xludf.DUMMYFUNCTION("""COMPUTED_VALUE"""),"ভোটার নং: ৫৭০০৩৮৩৫৬৮২৮")</f>
        <v>ভোটার নং: ৫৭০০৩৮৩৫৬৮২৮</v>
      </c>
      <c r="E202" s="5" t="str">
        <f>IFERROR(__xludf.DUMMYFUNCTION("""COMPUTED_VALUE"""),"পিতা: মো: গোলাম পাঞ্জাতন শেখ")</f>
        <v>পিতা: মো: গোলাম পাঞ্জাতন শেখ</v>
      </c>
      <c r="F202" s="5" t="str">
        <f>IFERROR(__xludf.DUMMYFUNCTION("""COMPUTED_VALUE"""),"মাতা: আবেদা খাতুন")</f>
        <v>মাতা: আবেদা খাতুন</v>
      </c>
      <c r="G202" s="5" t="str">
        <f>IFERROR(__xludf.DUMMYFUNCTION("""COMPUTED_VALUE"""),"জন্ম তারিখ: ২৫/০৫/১৯৬৩")</f>
        <v>জন্ম তারিখ: ২৫/০৫/১৯৬৩</v>
      </c>
      <c r="H202" s="5" t="str">
        <f>IFERROR(__xludf.DUMMYFUNCTION("""COMPUTED_VALUE"""),"পেশা: মিস্ত্রী")</f>
        <v>পেশা: মিস্ত্রী</v>
      </c>
      <c r="I202" s="5" t="str">
        <f>IFERROR(__xludf.DUMMYFUNCTION("""COMPUTED_VALUE"""),"ঠিকানা: গাড়াবোব")</f>
        <v>ঠিকানা: গাড়াবোব</v>
      </c>
      <c r="J202" s="5" t="str">
        <f>IFERROR(__xludf.DUMMYFUNCTION("""COMPUTED_VALUE""")," গাংনী")</f>
        <v> গাংনী</v>
      </c>
      <c r="K202" s="5" t="str">
        <f>IFERROR(__xludf.DUMMYFUNCTION("""COMPUTED_VALUE""")," মেহেরপুর")</f>
        <v> মেহেরপুর</v>
      </c>
    </row>
    <row r="203">
      <c r="A203" s="7" t="s">
        <v>7355</v>
      </c>
      <c r="B203" s="5">
        <f>IFERROR(__xludf.DUMMYFUNCTION("SPLIT(A203,"","")"),1475.0)</f>
        <v>1475</v>
      </c>
      <c r="C203" s="5" t="str">
        <f>IFERROR(__xludf.DUMMYFUNCTION("""COMPUTED_VALUE"""),"নাম: মো: আব্দুস সাত্তার")</f>
        <v>নাম: মো: আব্দুস সাত্তার</v>
      </c>
      <c r="D203" s="5" t="str">
        <f>IFERROR(__xludf.DUMMYFUNCTION("""COMPUTED_VALUE"""),"ভোটার নং: ৫৭০০৩৮৩৫৬৬২৯")</f>
        <v>ভোটার নং: ৫৭০০৩৮৩৫৬৬২৯</v>
      </c>
      <c r="E203" s="5" t="str">
        <f>IFERROR(__xludf.DUMMYFUNCTION("""COMPUTED_VALUE"""),"পিতা: মো: এলমান শেখ")</f>
        <v>পিতা: মো: এলমান শেখ</v>
      </c>
      <c r="F203" s="5" t="str">
        <f>IFERROR(__xludf.DUMMYFUNCTION("""COMPUTED_VALUE"""),"মাতা: জমেলা খাতুন")</f>
        <v>মাতা: জমেলা খাতুন</v>
      </c>
      <c r="G203" s="5" t="str">
        <f>IFERROR(__xludf.DUMMYFUNCTION("""COMPUTED_VALUE"""),"জন্ম তারিখ: ১২/০৮/১৯৫৭")</f>
        <v>জন্ম তারিখ: ১২/০৮/১৯৫৭</v>
      </c>
      <c r="H203" s="5" t="str">
        <f>IFERROR(__xludf.DUMMYFUNCTION("""COMPUTED_VALUE"""),"পেশা: ব্যবসা")</f>
        <v>পেশা: ব্যবসা</v>
      </c>
      <c r="I203" s="5" t="str">
        <f>IFERROR(__xludf.DUMMYFUNCTION("""COMPUTED_VALUE"""),"ঠিকানা: গাড়াবোব")</f>
        <v>ঠিকানা: গাড়াবোব</v>
      </c>
      <c r="J203" s="5" t="str">
        <f>IFERROR(__xludf.DUMMYFUNCTION("""COMPUTED_VALUE""")," গাংনী")</f>
        <v> গাংনী</v>
      </c>
      <c r="K203" s="5" t="str">
        <f>IFERROR(__xludf.DUMMYFUNCTION("""COMPUTED_VALUE""")," মেহেরপুর")</f>
        <v> মেহেরপুর</v>
      </c>
    </row>
    <row r="204">
      <c r="A204" s="7" t="s">
        <v>7356</v>
      </c>
      <c r="B204" s="5">
        <f>IFERROR(__xludf.DUMMYFUNCTION("SPLIT(A204,"","")"),1476.0)</f>
        <v>1476</v>
      </c>
      <c r="C204" s="5" t="str">
        <f>IFERROR(__xludf.DUMMYFUNCTION("""COMPUTED_VALUE"""),"নাম: এস এম আব্দুল কুদ্দুস")</f>
        <v>নাম: এস এম আব্দুল কুদ্দুস</v>
      </c>
      <c r="D204" s="5" t="str">
        <f>IFERROR(__xludf.DUMMYFUNCTION("""COMPUTED_VALUE"""),"ভোটার নং: ৫৭০০৩৮৩৫৬৬৩২")</f>
        <v>ভোটার নং: ৫৭০০৩৮৩৫৬৬৩২</v>
      </c>
      <c r="E204" s="5" t="str">
        <f>IFERROR(__xludf.DUMMYFUNCTION("""COMPUTED_VALUE"""),"পিতা: এস এম আনোয়ার হোসেন")</f>
        <v>পিতা: এস এম আনোয়ার হোসেন</v>
      </c>
      <c r="F204" s="5" t="str">
        <f>IFERROR(__xludf.DUMMYFUNCTION("""COMPUTED_VALUE"""),"মাতা: জমেলা খাতুন")</f>
        <v>মাতা: জমেলা খাতুন</v>
      </c>
      <c r="G204" s="5" t="str">
        <f>IFERROR(__xludf.DUMMYFUNCTION("""COMPUTED_VALUE"""),"জন্ম তারিখ: ২৪/০৬/১৯৭৪")</f>
        <v>জন্ম তারিখ: ২৪/০৬/১৯৭৪</v>
      </c>
      <c r="H204" s="5" t="str">
        <f>IFERROR(__xludf.DUMMYFUNCTION("""COMPUTED_VALUE"""),"পেশা: বেসরকারী চাকুরী")</f>
        <v>পেশা: বেসরকারী চাকুরী</v>
      </c>
      <c r="I204" s="5" t="str">
        <f>IFERROR(__xludf.DUMMYFUNCTION("""COMPUTED_VALUE"""),"ঠিকানা: গাড়াবোব")</f>
        <v>ঠিকানা: গাড়াবোব</v>
      </c>
      <c r="J204" s="5" t="str">
        <f>IFERROR(__xludf.DUMMYFUNCTION("""COMPUTED_VALUE""")," গাংনী")</f>
        <v> গাংনী</v>
      </c>
      <c r="K204" s="5" t="str">
        <f>IFERROR(__xludf.DUMMYFUNCTION("""COMPUTED_VALUE""")," মেহেরপুর")</f>
        <v> মেহেরপুর</v>
      </c>
    </row>
    <row r="205">
      <c r="A205" s="7" t="s">
        <v>7357</v>
      </c>
      <c r="B205" s="5">
        <f>IFERROR(__xludf.DUMMYFUNCTION("SPLIT(A205,"","")"),1477.0)</f>
        <v>1477</v>
      </c>
      <c r="C205" s="5" t="str">
        <f>IFERROR(__xludf.DUMMYFUNCTION("""COMPUTED_VALUE"""),"নাম: মোহা: হামিজ উদ্দীন")</f>
        <v>নাম: মোহা: হামিজ উদ্দীন</v>
      </c>
      <c r="D205" s="5" t="str">
        <f>IFERROR(__xludf.DUMMYFUNCTION("""COMPUTED_VALUE"""),"ভোটার নং: ৫৭০০৩৮৩৫৬৬৩৬")</f>
        <v>ভোটার নং: ৫৭০০৩৮৩৫৬৬৩৬</v>
      </c>
      <c r="E205" s="5" t="str">
        <f>IFERROR(__xludf.DUMMYFUNCTION("""COMPUTED_VALUE"""),"পিতা: আতের আলী শেখ")</f>
        <v>পিতা: আতের আলী শেখ</v>
      </c>
      <c r="F205" s="5" t="str">
        <f>IFERROR(__xludf.DUMMYFUNCTION("""COMPUTED_VALUE"""),"মাতা: পরিছন")</f>
        <v>মাতা: পরিছন</v>
      </c>
      <c r="G205" s="5" t="str">
        <f>IFERROR(__xludf.DUMMYFUNCTION("""COMPUTED_VALUE"""),"জন্ম তারিখ: ০১/০১/১৯৬৮")</f>
        <v>জন্ম তারিখ: ০১/০১/১৯৬৮</v>
      </c>
      <c r="H205" s="5" t="str">
        <f>IFERROR(__xludf.DUMMYFUNCTION("""COMPUTED_VALUE"""),"পেশা: শিক্ষক")</f>
        <v>পেশা: শিক্ষক</v>
      </c>
      <c r="I205" s="5" t="str">
        <f>IFERROR(__xludf.DUMMYFUNCTION("""COMPUTED_VALUE"""),"ঠিকানা: গাড়াবোব")</f>
        <v>ঠিকানা: গাড়াবোব</v>
      </c>
      <c r="J205" s="5" t="str">
        <f>IFERROR(__xludf.DUMMYFUNCTION("""COMPUTED_VALUE""")," গাংনী")</f>
        <v> গাংনী</v>
      </c>
      <c r="K205" s="5" t="str">
        <f>IFERROR(__xludf.DUMMYFUNCTION("""COMPUTED_VALUE""")," মেহেরপুর")</f>
        <v> মেহেরপুর</v>
      </c>
    </row>
    <row r="206">
      <c r="A206" s="7" t="s">
        <v>7358</v>
      </c>
      <c r="B206" s="5">
        <f>IFERROR(__xludf.DUMMYFUNCTION("SPLIT(A206,"","")"),1478.0)</f>
        <v>1478</v>
      </c>
      <c r="C206" s="5" t="str">
        <f>IFERROR(__xludf.DUMMYFUNCTION("""COMPUTED_VALUE"""),"নাম: মো: আব্দুর রাজ্জাক")</f>
        <v>নাম: মো: আব্দুর রাজ্জাক</v>
      </c>
      <c r="D206" s="5" t="str">
        <f>IFERROR(__xludf.DUMMYFUNCTION("""COMPUTED_VALUE"""),"ভোটার নং: ৫৭০০৩৮৩৫৬৬৪০")</f>
        <v>ভোটার নং: ৫৭০০৩৮৩৫৬৬৪০</v>
      </c>
      <c r="E206" s="5" t="str">
        <f>IFERROR(__xludf.DUMMYFUNCTION("""COMPUTED_VALUE"""),"পিতা: মো: আনোয়ার হোসেন")</f>
        <v>পিতা: মো: আনোয়ার হোসেন</v>
      </c>
      <c r="F206" s="5" t="str">
        <f>IFERROR(__xludf.DUMMYFUNCTION("""COMPUTED_VALUE"""),"মাতা: জমেলা খাতুন")</f>
        <v>মাতা: জমেলা খাতুন</v>
      </c>
      <c r="G206" s="5" t="str">
        <f>IFERROR(__xludf.DUMMYFUNCTION("""COMPUTED_VALUE"""),"জন্ম তারিখ: ০২/০৪/১৯৬৭")</f>
        <v>জন্ম তারিখ: ০২/০৪/১৯৬৭</v>
      </c>
      <c r="H206" s="5" t="str">
        <f>IFERROR(__xludf.DUMMYFUNCTION("""COMPUTED_VALUE"""),"পেশা: কৃষক")</f>
        <v>পেশা: কৃষক</v>
      </c>
      <c r="I206" s="5" t="str">
        <f>IFERROR(__xludf.DUMMYFUNCTION("""COMPUTED_VALUE"""),"ঠিকানা: গাড়াবোব")</f>
        <v>ঠিকানা: গাড়াবোব</v>
      </c>
      <c r="J206" s="5" t="str">
        <f>IFERROR(__xludf.DUMMYFUNCTION("""COMPUTED_VALUE""")," গাংনী")</f>
        <v> গাংনী</v>
      </c>
      <c r="K206" s="5" t="str">
        <f>IFERROR(__xludf.DUMMYFUNCTION("""COMPUTED_VALUE""")," মেহেরপুর")</f>
        <v> মেহেরপুর</v>
      </c>
    </row>
    <row r="207">
      <c r="A207" s="7" t="s">
        <v>7359</v>
      </c>
      <c r="B207" s="5">
        <f>IFERROR(__xludf.DUMMYFUNCTION("SPLIT(A207,"","")"),1479.0)</f>
        <v>1479</v>
      </c>
      <c r="C207" s="5" t="str">
        <f>IFERROR(__xludf.DUMMYFUNCTION("""COMPUTED_VALUE"""),"নাম: মো: গোলাম রসুল")</f>
        <v>নাম: মো: গোলাম রসুল</v>
      </c>
      <c r="D207" s="5" t="str">
        <f>IFERROR(__xludf.DUMMYFUNCTION("""COMPUTED_VALUE"""),"ভোটার নং: ৫৭০০৩৮৩৫৬৬৪১")</f>
        <v>ভোটার নং: ৫৭০০৩৮৩৫৬৬৪১</v>
      </c>
      <c r="E207" s="5" t="str">
        <f>IFERROR(__xludf.DUMMYFUNCTION("""COMPUTED_VALUE"""),"পিতা: কিয়ামদ্দিন")</f>
        <v>পিতা: কিয়ামদ্দিন</v>
      </c>
      <c r="F207" s="5" t="str">
        <f>IFERROR(__xludf.DUMMYFUNCTION("""COMPUTED_VALUE"""),"মাতা: নেকজান")</f>
        <v>মাতা: নেকজান</v>
      </c>
      <c r="G207" s="5" t="str">
        <f>IFERROR(__xludf.DUMMYFUNCTION("""COMPUTED_VALUE"""),"জন্ম তারিখ: ১৪/০৭/১৯৬০")</f>
        <v>জন্ম তারিখ: ১৪/০৭/১৯৬০</v>
      </c>
      <c r="H207" s="5" t="str">
        <f>IFERROR(__xludf.DUMMYFUNCTION("""COMPUTED_VALUE"""),"পেশা: কৃষক")</f>
        <v>পেশা: কৃষক</v>
      </c>
      <c r="I207" s="5" t="str">
        <f>IFERROR(__xludf.DUMMYFUNCTION("""COMPUTED_VALUE"""),"ঠিকানা: গাড়াবোব")</f>
        <v>ঠিকানা: গাড়াবোব</v>
      </c>
      <c r="J207" s="5" t="str">
        <f>IFERROR(__xludf.DUMMYFUNCTION("""COMPUTED_VALUE""")," গাংনী")</f>
        <v> গাংনী</v>
      </c>
      <c r="K207" s="5" t="str">
        <f>IFERROR(__xludf.DUMMYFUNCTION("""COMPUTED_VALUE""")," মেহেরপুর")</f>
        <v> মেহেরপুর</v>
      </c>
    </row>
    <row r="208">
      <c r="A208" s="7" t="s">
        <v>7360</v>
      </c>
      <c r="B208" s="5">
        <f>IFERROR(__xludf.DUMMYFUNCTION("SPLIT(A208,"","")"),1480.0)</f>
        <v>1480</v>
      </c>
      <c r="C208" s="5" t="str">
        <f>IFERROR(__xludf.DUMMYFUNCTION("""COMPUTED_VALUE"""),"নাম: মো: ইউনুছ আলী")</f>
        <v>নাম: মো: ইউনুছ আলী</v>
      </c>
      <c r="D208" s="5" t="str">
        <f>IFERROR(__xludf.DUMMYFUNCTION("""COMPUTED_VALUE"""),"ভোটার নং: ৫৭০০৩৮৩৫৬৬৪২")</f>
        <v>ভোটার নং: ৫৭০০৩৮৩৫৬৬৪২</v>
      </c>
      <c r="E208" s="5" t="str">
        <f>IFERROR(__xludf.DUMMYFUNCTION("""COMPUTED_VALUE"""),"পিতা: কিয়ামদ্দিন")</f>
        <v>পিতা: কিয়ামদ্দিন</v>
      </c>
      <c r="F208" s="5" t="str">
        <f>IFERROR(__xludf.DUMMYFUNCTION("""COMPUTED_VALUE"""),"মাতা: নেকজান")</f>
        <v>মাতা: নেকজান</v>
      </c>
      <c r="G208" s="5" t="str">
        <f>IFERROR(__xludf.DUMMYFUNCTION("""COMPUTED_VALUE"""),"জন্ম তারিখ: ১৮/০৯/১৯৬৬")</f>
        <v>জন্ম তারিখ: ১৮/০৯/১৯৬৬</v>
      </c>
      <c r="H208" s="5" t="str">
        <f>IFERROR(__xludf.DUMMYFUNCTION("""COMPUTED_VALUE"""),"পেশা: দিনমজুর")</f>
        <v>পেশা: দিনমজুর</v>
      </c>
      <c r="I208" s="5" t="str">
        <f>IFERROR(__xludf.DUMMYFUNCTION("""COMPUTED_VALUE"""),"ঠিকানা: গাড়াবোব")</f>
        <v>ঠিকানা: গাড়াবোব</v>
      </c>
      <c r="J208" s="5" t="str">
        <f>IFERROR(__xludf.DUMMYFUNCTION("""COMPUTED_VALUE""")," গাংনী")</f>
        <v> গাংনী</v>
      </c>
      <c r="K208" s="5" t="str">
        <f>IFERROR(__xludf.DUMMYFUNCTION("""COMPUTED_VALUE""")," মেহেরপুর")</f>
        <v> মেহেরপুর</v>
      </c>
    </row>
    <row r="209">
      <c r="A209" s="7" t="s">
        <v>7361</v>
      </c>
      <c r="B209" s="5">
        <f>IFERROR(__xludf.DUMMYFUNCTION("SPLIT(A209,"","")"),1481.0)</f>
        <v>1481</v>
      </c>
      <c r="C209" s="5" t="str">
        <f>IFERROR(__xludf.DUMMYFUNCTION("""COMPUTED_VALUE"""),"নাম: মো: আরিফুল ইসলাম")</f>
        <v>নাম: মো: আরিফুল ইসলাম</v>
      </c>
      <c r="D209" s="5" t="str">
        <f>IFERROR(__xludf.DUMMYFUNCTION("""COMPUTED_VALUE"""),"ভোটার নং: ৫৭০০৩৮৩৫৬৬৪৪")</f>
        <v>ভোটার নং: ৫৭০০৩৮৩৫৬৬৪৪</v>
      </c>
      <c r="E209" s="5" t="str">
        <f>IFERROR(__xludf.DUMMYFUNCTION("""COMPUTED_VALUE"""),"পিতা: মো: ইউনুছ আলী")</f>
        <v>পিতা: মো: ইউনুছ আলী</v>
      </c>
      <c r="F209" s="5" t="str">
        <f>IFERROR(__xludf.DUMMYFUNCTION("""COMPUTED_VALUE"""),"মাতা: মোছা: আনোয়ারা খাতুন")</f>
        <v>মাতা: মোছা: আনোয়ারা খাতুন</v>
      </c>
      <c r="G209" s="5" t="str">
        <f>IFERROR(__xludf.DUMMYFUNCTION("""COMPUTED_VALUE"""),"জন্ম তারিখ: ১২/০৮/১৯৮৭")</f>
        <v>জন্ম তারিখ: ১২/০৮/১৯৮৭</v>
      </c>
      <c r="H209" s="5" t="str">
        <f>IFERROR(__xludf.DUMMYFUNCTION("""COMPUTED_VALUE"""),"পেশা: দিনমজুর")</f>
        <v>পেশা: দিনমজুর</v>
      </c>
      <c r="I209" s="5" t="str">
        <f>IFERROR(__xludf.DUMMYFUNCTION("""COMPUTED_VALUE"""),"ঠিকানা: গাড়াবোব")</f>
        <v>ঠিকানা: গাড়াবোব</v>
      </c>
      <c r="J209" s="5" t="str">
        <f>IFERROR(__xludf.DUMMYFUNCTION("""COMPUTED_VALUE""")," গাংনী")</f>
        <v> গাংনী</v>
      </c>
      <c r="K209" s="5" t="str">
        <f>IFERROR(__xludf.DUMMYFUNCTION("""COMPUTED_VALUE""")," মেহেরপুর")</f>
        <v> মেহেরপুর</v>
      </c>
    </row>
    <row r="210">
      <c r="A210" s="7" t="s">
        <v>7362</v>
      </c>
      <c r="B210" s="5">
        <f>IFERROR(__xludf.DUMMYFUNCTION("SPLIT(A210,"","")"),1482.0)</f>
        <v>1482</v>
      </c>
      <c r="C210" s="5" t="str">
        <f>IFERROR(__xludf.DUMMYFUNCTION("""COMPUTED_VALUE"""),"নাম: মো: আনেচ আলী")</f>
        <v>নাম: মো: আনেচ আলী</v>
      </c>
      <c r="D210" s="5" t="str">
        <f>IFERROR(__xludf.DUMMYFUNCTION("""COMPUTED_VALUE"""),"ভোটার নং: ৫৭০০৩৮৩৫৬৬৪৫")</f>
        <v>ভোটার নং: ৫৭০০৩৮৩৫৬৬৪৫</v>
      </c>
      <c r="E210" s="5" t="str">
        <f>IFERROR(__xludf.DUMMYFUNCTION("""COMPUTED_VALUE"""),"পিতা: কিয়ামদ্দিন")</f>
        <v>পিতা: কিয়ামদ্দিন</v>
      </c>
      <c r="F210" s="5" t="str">
        <f>IFERROR(__xludf.DUMMYFUNCTION("""COMPUTED_VALUE"""),"মাতা: নেকজান")</f>
        <v>মাতা: নেকজান</v>
      </c>
      <c r="G210" s="5" t="str">
        <f>IFERROR(__xludf.DUMMYFUNCTION("""COMPUTED_VALUE"""),"জন্ম তারিখ: ২১/১০/১৯৭০")</f>
        <v>জন্ম তারিখ: ২১/১০/১৯৭০</v>
      </c>
      <c r="H210" s="5" t="str">
        <f>IFERROR(__xludf.DUMMYFUNCTION("""COMPUTED_VALUE"""),"পেশা: দিনমজুর")</f>
        <v>পেশা: দিনমজুর</v>
      </c>
      <c r="I210" s="5" t="str">
        <f>IFERROR(__xludf.DUMMYFUNCTION("""COMPUTED_VALUE"""),"ঠিকানা: গাড়াবোব")</f>
        <v>ঠিকানা: গাড়াবোব</v>
      </c>
      <c r="J210" s="5" t="str">
        <f>IFERROR(__xludf.DUMMYFUNCTION("""COMPUTED_VALUE""")," গাংনী")</f>
        <v> গাংনী</v>
      </c>
      <c r="K210" s="5" t="str">
        <f>IFERROR(__xludf.DUMMYFUNCTION("""COMPUTED_VALUE""")," মেহেরপুর")</f>
        <v> মেহেরপুর</v>
      </c>
    </row>
    <row r="211">
      <c r="A211" s="7" t="s">
        <v>7363</v>
      </c>
      <c r="B211" s="5">
        <f>IFERROR(__xludf.DUMMYFUNCTION("SPLIT(A211,"","")"),1483.0)</f>
        <v>1483</v>
      </c>
      <c r="C211" s="5" t="str">
        <f>IFERROR(__xludf.DUMMYFUNCTION("""COMPUTED_VALUE"""),"নাম: মো: নিয়াত আলী")</f>
        <v>নাম: মো: নিয়াত আলী</v>
      </c>
      <c r="D211" s="5" t="str">
        <f>IFERROR(__xludf.DUMMYFUNCTION("""COMPUTED_VALUE"""),"ভোটার নং: ৫৭০০৩৮৩৫৬৬৪৭")</f>
        <v>ভোটার নং: ৫৭০০৩৮৩৫৬৬৪৭</v>
      </c>
      <c r="E211" s="5" t="str">
        <f>IFERROR(__xludf.DUMMYFUNCTION("""COMPUTED_VALUE"""),"পিতা: কিয়ামদ্দিন")</f>
        <v>পিতা: কিয়ামদ্দিন</v>
      </c>
      <c r="F211" s="5" t="str">
        <f>IFERROR(__xludf.DUMMYFUNCTION("""COMPUTED_VALUE"""),"মাতা: নেকজান")</f>
        <v>মাতা: নেকজান</v>
      </c>
      <c r="G211" s="5" t="str">
        <f>IFERROR(__xludf.DUMMYFUNCTION("""COMPUTED_VALUE"""),"জন্ম তারিখ: ১৭/০৯/১৯৬২")</f>
        <v>জন্ম তারিখ: ১৭/০৯/১৯৬২</v>
      </c>
      <c r="H211" s="5" t="str">
        <f>IFERROR(__xludf.DUMMYFUNCTION("""COMPUTED_VALUE"""),"পেশা: ব্যবসা")</f>
        <v>পেশা: ব্যবসা</v>
      </c>
      <c r="I211" s="5" t="str">
        <f>IFERROR(__xludf.DUMMYFUNCTION("""COMPUTED_VALUE"""),"ঠিকানা: গাড়াবোব")</f>
        <v>ঠিকানা: গাড়াবোব</v>
      </c>
      <c r="J211" s="5" t="str">
        <f>IFERROR(__xludf.DUMMYFUNCTION("""COMPUTED_VALUE""")," গাংনী")</f>
        <v> গাংনী</v>
      </c>
      <c r="K211" s="5" t="str">
        <f>IFERROR(__xludf.DUMMYFUNCTION("""COMPUTED_VALUE""")," মেহেরপুর")</f>
        <v> মেহেরপুর</v>
      </c>
    </row>
    <row r="212">
      <c r="A212" s="7" t="s">
        <v>7364</v>
      </c>
      <c r="B212" s="5">
        <f>IFERROR(__xludf.DUMMYFUNCTION("SPLIT(A212,"","")"),1484.0)</f>
        <v>1484</v>
      </c>
      <c r="C212" s="5" t="str">
        <f>IFERROR(__xludf.DUMMYFUNCTION("""COMPUTED_VALUE"""),"নাম: মো: আব্দুল মালেক")</f>
        <v>নাম: মো: আব্দুল মালেক</v>
      </c>
      <c r="D212" s="5" t="str">
        <f>IFERROR(__xludf.DUMMYFUNCTION("""COMPUTED_VALUE"""),"ভোটার নং: ৫৭০০৩৮৩৫৬৬৫৬")</f>
        <v>ভোটার নং: ৫৭০০৩৮৩৫৬৬৫৬</v>
      </c>
      <c r="E212" s="5" t="str">
        <f>IFERROR(__xludf.DUMMYFUNCTION("""COMPUTED_VALUE"""),"পিতা: মো: বরকত আলী")</f>
        <v>পিতা: মো: বরকত আলী</v>
      </c>
      <c r="F212" s="5" t="str">
        <f>IFERROR(__xludf.DUMMYFUNCTION("""COMPUTED_VALUE"""),"মাতা: মোছা: নাছিমা খাতুন")</f>
        <v>মাতা: মোছা: নাছিমা খাতুন</v>
      </c>
      <c r="G212" s="5" t="str">
        <f>IFERROR(__xludf.DUMMYFUNCTION("""COMPUTED_VALUE"""),"জন্ম তারিখ: ০৯/০৮/১৯৮২")</f>
        <v>জন্ম তারিখ: ০৯/০৮/১৯৮২</v>
      </c>
      <c r="H212" s="5" t="str">
        <f>IFERROR(__xludf.DUMMYFUNCTION("""COMPUTED_VALUE"""),"পেশা: কৃষক")</f>
        <v>পেশা: কৃষক</v>
      </c>
      <c r="I212" s="5" t="str">
        <f>IFERROR(__xludf.DUMMYFUNCTION("""COMPUTED_VALUE"""),"ঠিকানা: গাড়াবোব")</f>
        <v>ঠিকানা: গাড়াবোব</v>
      </c>
      <c r="J212" s="5" t="str">
        <f>IFERROR(__xludf.DUMMYFUNCTION("""COMPUTED_VALUE""")," গাংনী")</f>
        <v> গাংনী</v>
      </c>
      <c r="K212" s="5" t="str">
        <f>IFERROR(__xludf.DUMMYFUNCTION("""COMPUTED_VALUE""")," মেহেরপুর")</f>
        <v> মেহেরপুর</v>
      </c>
    </row>
    <row r="213">
      <c r="A213" s="7" t="s">
        <v>7365</v>
      </c>
      <c r="B213" s="5">
        <f>IFERROR(__xludf.DUMMYFUNCTION("SPLIT(A213,"","")"),1485.0)</f>
        <v>1485</v>
      </c>
      <c r="C213" s="5" t="str">
        <f>IFERROR(__xludf.DUMMYFUNCTION("""COMPUTED_VALUE"""),"নাম: মো: বরকত আলী")</f>
        <v>নাম: মো: বরকত আলী</v>
      </c>
      <c r="D213" s="5" t="str">
        <f>IFERROR(__xludf.DUMMYFUNCTION("""COMPUTED_VALUE"""),"ভোটার নং: ৫৭০০৩৮৩৫৬৬৫৮")</f>
        <v>ভোটার নং: ৫৭০০৩৮৩৫৬৬৫৮</v>
      </c>
      <c r="E213" s="5" t="str">
        <f>IFERROR(__xludf.DUMMYFUNCTION("""COMPUTED_VALUE"""),"পিতা: মো: বাবর আলী শেখ")</f>
        <v>পিতা: মো: বাবর আলী শেখ</v>
      </c>
      <c r="F213" s="5" t="str">
        <f>IFERROR(__xludf.DUMMYFUNCTION("""COMPUTED_VALUE"""),"মাতা: মোছা: শরিফা খাতুন")</f>
        <v>মাতা: মোছা: শরিফা খাতুন</v>
      </c>
      <c r="G213" s="5" t="str">
        <f>IFERROR(__xludf.DUMMYFUNCTION("""COMPUTED_VALUE"""),"জন্ম তারিখ: ০৭/০৯/১৯৫৭")</f>
        <v>জন্ম তারিখ: ০৭/০৯/১৯৫৭</v>
      </c>
      <c r="H213" s="5" t="str">
        <f>IFERROR(__xludf.DUMMYFUNCTION("""COMPUTED_VALUE"""),"পেশা: কৃষক")</f>
        <v>পেশা: কৃষক</v>
      </c>
      <c r="I213" s="5" t="str">
        <f>IFERROR(__xludf.DUMMYFUNCTION("""COMPUTED_VALUE"""),"ঠিকানা: গাড়াবোব")</f>
        <v>ঠিকানা: গাড়াবোব</v>
      </c>
      <c r="J213" s="5" t="str">
        <f>IFERROR(__xludf.DUMMYFUNCTION("""COMPUTED_VALUE""")," গাংনী")</f>
        <v> গাংনী</v>
      </c>
      <c r="K213" s="5" t="str">
        <f>IFERROR(__xludf.DUMMYFUNCTION("""COMPUTED_VALUE""")," মেহেরপুর")</f>
        <v> মেহেরপুর</v>
      </c>
    </row>
    <row r="214">
      <c r="A214" s="7" t="s">
        <v>7366</v>
      </c>
      <c r="B214" s="5">
        <f>IFERROR(__xludf.DUMMYFUNCTION("SPLIT(A214,"","")"),1486.0)</f>
        <v>1486</v>
      </c>
      <c r="C214" s="5" t="str">
        <f>IFERROR(__xludf.DUMMYFUNCTION("""COMPUTED_VALUE"""),"নাম: মো: ইউছুফ আলী মালিথা")</f>
        <v>নাম: মো: ইউছুফ আলী মালিথা</v>
      </c>
      <c r="D214" s="5" t="str">
        <f>IFERROR(__xludf.DUMMYFUNCTION("""COMPUTED_VALUE"""),"ভোটার নং: ৫৭০০৩৮৩৫৬৬৬০")</f>
        <v>ভোটার নং: ৫৭০০৩৮৩৫৬৬৬০</v>
      </c>
      <c r="E214" s="5" t="str">
        <f>IFERROR(__xludf.DUMMYFUNCTION("""COMPUTED_VALUE"""),"পিতা: ফকির মালিথা")</f>
        <v>পিতা: ফকির মালিথা</v>
      </c>
      <c r="F214" s="5" t="str">
        <f>IFERROR(__xludf.DUMMYFUNCTION("""COMPUTED_VALUE"""),"মাতা: নেকজান খাতুন")</f>
        <v>মাতা: নেকজান খাতুন</v>
      </c>
      <c r="G214" s="5" t="str">
        <f>IFERROR(__xludf.DUMMYFUNCTION("""COMPUTED_VALUE"""),"জন্ম তারিখ: ১৬/০৯/১৯৫৭")</f>
        <v>জন্ম তারিখ: ১৬/০৯/১৯৫৭</v>
      </c>
      <c r="H214" s="5" t="str">
        <f>IFERROR(__xludf.DUMMYFUNCTION("""COMPUTED_VALUE"""),"পেশা: কৃষক")</f>
        <v>পেশা: কৃষক</v>
      </c>
      <c r="I214" s="5" t="str">
        <f>IFERROR(__xludf.DUMMYFUNCTION("""COMPUTED_VALUE"""),"ঠিকানা: গাড়াবোব")</f>
        <v>ঠিকানা: গাড়াবোব</v>
      </c>
      <c r="J214" s="5" t="str">
        <f>IFERROR(__xludf.DUMMYFUNCTION("""COMPUTED_VALUE""")," গাংনী")</f>
        <v> গাংনী</v>
      </c>
      <c r="K214" s="5" t="str">
        <f>IFERROR(__xludf.DUMMYFUNCTION("""COMPUTED_VALUE""")," মেহেরপুর")</f>
        <v> মেহেরপুর</v>
      </c>
    </row>
    <row r="215">
      <c r="A215" s="7" t="s">
        <v>7367</v>
      </c>
      <c r="B215" s="5">
        <f>IFERROR(__xludf.DUMMYFUNCTION("SPLIT(A215,"","")"),1487.0)</f>
        <v>1487</v>
      </c>
      <c r="C215" s="5" t="str">
        <f>IFERROR(__xludf.DUMMYFUNCTION("""COMPUTED_VALUE"""),"নাম: মো: আজিম উদ্দীন")</f>
        <v>নাম: মো: আজিম উদ্দীন</v>
      </c>
      <c r="D215" s="5" t="str">
        <f>IFERROR(__xludf.DUMMYFUNCTION("""COMPUTED_VALUE"""),"ভোটার নং: ৫৭০০৩৮৩৫৬৬৬৩")</f>
        <v>ভোটার নং: ৫৭০০৩৮৩৫৬৬৬৩</v>
      </c>
      <c r="E215" s="5" t="str">
        <f>IFERROR(__xludf.DUMMYFUNCTION("""COMPUTED_VALUE"""),"পিতা: মো: ছামছুদ্দিন শেখ")</f>
        <v>পিতা: মো: ছামছুদ্দিন শেখ</v>
      </c>
      <c r="F215" s="5" t="str">
        <f>IFERROR(__xludf.DUMMYFUNCTION("""COMPUTED_VALUE"""),"মাতা: মোছা: খোদেজা")</f>
        <v>মাতা: মোছা: খোদেজা</v>
      </c>
      <c r="G215" s="5" t="str">
        <f>IFERROR(__xludf.DUMMYFUNCTION("""COMPUTED_VALUE"""),"জন্ম তারিখ: ১২/০২/১৯৭৬")</f>
        <v>জন্ম তারিখ: ১২/০২/১৯৭৬</v>
      </c>
      <c r="H215" s="5" t="str">
        <f>IFERROR(__xludf.DUMMYFUNCTION("""COMPUTED_VALUE"""),"পেশা: কৃষক")</f>
        <v>পেশা: কৃষক</v>
      </c>
      <c r="I215" s="5" t="str">
        <f>IFERROR(__xludf.DUMMYFUNCTION("""COMPUTED_VALUE"""),"ঠিকানা: গাড়াবোব")</f>
        <v>ঠিকানা: গাড়াবোব</v>
      </c>
      <c r="J215" s="5" t="str">
        <f>IFERROR(__xludf.DUMMYFUNCTION("""COMPUTED_VALUE""")," গাংনী")</f>
        <v> গাংনী</v>
      </c>
      <c r="K215" s="5" t="str">
        <f>IFERROR(__xludf.DUMMYFUNCTION("""COMPUTED_VALUE""")," মেহেরপুর")</f>
        <v> মেহেরপুর</v>
      </c>
    </row>
    <row r="216">
      <c r="A216" s="7" t="s">
        <v>7368</v>
      </c>
      <c r="B216" s="5">
        <f>IFERROR(__xludf.DUMMYFUNCTION("SPLIT(A216,"","")"),1488.0)</f>
        <v>1488</v>
      </c>
      <c r="C216" s="5" t="str">
        <f>IFERROR(__xludf.DUMMYFUNCTION("""COMPUTED_VALUE"""),"নাম: মো: শফিকুল ইসলাম")</f>
        <v>নাম: মো: শফিকুল ইসলাম</v>
      </c>
      <c r="D216" s="5" t="str">
        <f>IFERROR(__xludf.DUMMYFUNCTION("""COMPUTED_VALUE"""),"ভোটার নং: ৫৭০০৩৮৩৫৬৬৬৫")</f>
        <v>ভোটার নং: ৫৭০০৩৮৩৫৬৬৬৫</v>
      </c>
      <c r="E216" s="5" t="str">
        <f>IFERROR(__xludf.DUMMYFUNCTION("""COMPUTED_VALUE"""),"পিতা: মো: ছামছুদ্দিন শেখ")</f>
        <v>পিতা: মো: ছামছুদ্দিন শেখ</v>
      </c>
      <c r="F216" s="5" t="str">
        <f>IFERROR(__xludf.DUMMYFUNCTION("""COMPUTED_VALUE"""),"মাতা: মোছা: খোদেজা")</f>
        <v>মাতা: মোছা: খোদেজা</v>
      </c>
      <c r="G216" s="5" t="str">
        <f>IFERROR(__xludf.DUMMYFUNCTION("""COMPUTED_VALUE"""),"জন্ম তারিখ: ১৬/০৫/১৯৮৫")</f>
        <v>জন্ম তারিখ: ১৬/০৫/১৯৮৫</v>
      </c>
      <c r="H216" s="5" t="str">
        <f>IFERROR(__xludf.DUMMYFUNCTION("""COMPUTED_VALUE"""),"পেশা: শ্রমিক")</f>
        <v>পেশা: শ্রমিক</v>
      </c>
      <c r="I216" s="5" t="str">
        <f>IFERROR(__xludf.DUMMYFUNCTION("""COMPUTED_VALUE"""),"ঠিকানা: গাড়াবোব")</f>
        <v>ঠিকানা: গাড়াবোব</v>
      </c>
      <c r="J216" s="5" t="str">
        <f>IFERROR(__xludf.DUMMYFUNCTION("""COMPUTED_VALUE""")," গাংনী")</f>
        <v> গাংনী</v>
      </c>
      <c r="K216" s="5" t="str">
        <f>IFERROR(__xludf.DUMMYFUNCTION("""COMPUTED_VALUE""")," মেহেরপুর")</f>
        <v> মেহেরপুর</v>
      </c>
    </row>
    <row r="217">
      <c r="A217" s="7" t="s">
        <v>7369</v>
      </c>
      <c r="B217" s="5">
        <f>IFERROR(__xludf.DUMMYFUNCTION("SPLIT(A217,"","")"),1489.0)</f>
        <v>1489</v>
      </c>
      <c r="C217" s="5" t="str">
        <f>IFERROR(__xludf.DUMMYFUNCTION("""COMPUTED_VALUE"""),"নাম: মো: রুস্তম আলী")</f>
        <v>নাম: মো: রুস্তম আলী</v>
      </c>
      <c r="D217" s="5" t="str">
        <f>IFERROR(__xludf.DUMMYFUNCTION("""COMPUTED_VALUE"""),"ভোটার নং: ৫৭০০৩৮৩৫৬৬৬৬")</f>
        <v>ভোটার নং: ৫৭০০৩৮৩৫৬৬৬৬</v>
      </c>
      <c r="E217" s="5" t="str">
        <f>IFERROR(__xludf.DUMMYFUNCTION("""COMPUTED_VALUE"""),"পিতা: মো: ছামহুদ্দিন শেখ")</f>
        <v>পিতা: মো: ছামহুদ্দিন শেখ</v>
      </c>
      <c r="F217" s="5" t="str">
        <f>IFERROR(__xludf.DUMMYFUNCTION("""COMPUTED_VALUE"""),"মাতা: মোছা: খোদেজা খাতুন")</f>
        <v>মাতা: মোছা: খোদেজা খাতুন</v>
      </c>
      <c r="G217" s="5" t="str">
        <f>IFERROR(__xludf.DUMMYFUNCTION("""COMPUTED_VALUE"""),"জন্ম তারিখ: ২১/০৩/১৯৬৫")</f>
        <v>জন্ম তারিখ: ২১/০৩/১৯৬৫</v>
      </c>
      <c r="H217" s="5" t="str">
        <f>IFERROR(__xludf.DUMMYFUNCTION("""COMPUTED_VALUE"""),"পেশা: কৃষক")</f>
        <v>পেশা: কৃষক</v>
      </c>
      <c r="I217" s="5" t="str">
        <f>IFERROR(__xludf.DUMMYFUNCTION("""COMPUTED_VALUE"""),"ঠিকানা: গাড়াবোব")</f>
        <v>ঠিকানা: গাড়াবোব</v>
      </c>
      <c r="J217" s="5" t="str">
        <f>IFERROR(__xludf.DUMMYFUNCTION("""COMPUTED_VALUE""")," গাংনী")</f>
        <v> গাংনী</v>
      </c>
      <c r="K217" s="5" t="str">
        <f>IFERROR(__xludf.DUMMYFUNCTION("""COMPUTED_VALUE""")," মেহেরপুর")</f>
        <v> মেহেরপুর</v>
      </c>
    </row>
    <row r="218">
      <c r="A218" s="7" t="s">
        <v>7370</v>
      </c>
      <c r="B218" s="5">
        <f>IFERROR(__xludf.DUMMYFUNCTION("SPLIT(A218,"","")"),1490.0)</f>
        <v>1490</v>
      </c>
      <c r="C218" s="5" t="str">
        <f>IFERROR(__xludf.DUMMYFUNCTION("""COMPUTED_VALUE"""),"নাম: মো: ছানোয়ার হোসেন")</f>
        <v>নাম: মো: ছানোয়ার হোসেন</v>
      </c>
      <c r="D218" s="5" t="str">
        <f>IFERROR(__xludf.DUMMYFUNCTION("""COMPUTED_VALUE"""),"ভোটার নং: ৫৭০০৩৮৩৫৬৬৬৯")</f>
        <v>ভোটার নং: ৫৭০০৩৮৩৫৬৬৬৯</v>
      </c>
      <c r="E218" s="5" t="str">
        <f>IFERROR(__xludf.DUMMYFUNCTION("""COMPUTED_VALUE"""),"পিতা: মো: ইউছুফ মালিথা")</f>
        <v>পিতা: মো: ইউছুফ মালিথা</v>
      </c>
      <c r="F218" s="5" t="str">
        <f>IFERROR(__xludf.DUMMYFUNCTION("""COMPUTED_VALUE"""),"মাতা: হানিফা খাতুন")</f>
        <v>মাতা: হানিফা খাতুন</v>
      </c>
      <c r="G218" s="5" t="str">
        <f>IFERROR(__xludf.DUMMYFUNCTION("""COMPUTED_VALUE"""),"জন্ম তারিখ: ০৬/০৪/১৯৭৯")</f>
        <v>জন্ম তারিখ: ০৬/০৪/১৯৭৯</v>
      </c>
      <c r="H218" s="5" t="str">
        <f>IFERROR(__xludf.DUMMYFUNCTION("""COMPUTED_VALUE"""),"পেশা: কৃষক")</f>
        <v>পেশা: কৃষক</v>
      </c>
      <c r="I218" s="5" t="str">
        <f>IFERROR(__xludf.DUMMYFUNCTION("""COMPUTED_VALUE"""),"ঠিকানা: গাড়াবোব")</f>
        <v>ঠিকানা: গাড়াবোব</v>
      </c>
      <c r="J218" s="5" t="str">
        <f>IFERROR(__xludf.DUMMYFUNCTION("""COMPUTED_VALUE""")," গাংনী")</f>
        <v> গাংনী</v>
      </c>
      <c r="K218" s="5" t="str">
        <f>IFERROR(__xludf.DUMMYFUNCTION("""COMPUTED_VALUE""")," মেহেরপুর")</f>
        <v> মেহেরপুর</v>
      </c>
    </row>
    <row r="219">
      <c r="A219" s="7" t="s">
        <v>7371</v>
      </c>
      <c r="B219" s="5">
        <f>IFERROR(__xludf.DUMMYFUNCTION("SPLIT(A219,"","")"),1491.0)</f>
        <v>1491</v>
      </c>
      <c r="C219" s="5" t="str">
        <f>IFERROR(__xludf.DUMMYFUNCTION("""COMPUTED_VALUE"""),"নাম: মোহা: তানভীর আহমেদ")</f>
        <v>নাম: মোহা: তানভীর আহমেদ</v>
      </c>
      <c r="D219" s="5" t="str">
        <f>IFERROR(__xludf.DUMMYFUNCTION("""COMPUTED_VALUE"""),"ভোটার নং: ৫৭০০৩৮৩৫৬৬৭০")</f>
        <v>ভোটার নং: ৫৭০০৩৮৩৫৬৬৭০</v>
      </c>
      <c r="E219" s="5" t="str">
        <f>IFERROR(__xludf.DUMMYFUNCTION("""COMPUTED_VALUE"""),"পিতা: মো: আবু বক্কর")</f>
        <v>পিতা: মো: আবু বক্কর</v>
      </c>
      <c r="F219" s="5" t="str">
        <f>IFERROR(__xludf.DUMMYFUNCTION("""COMPUTED_VALUE"""),"মাতা: মোছা: রেহেনা পারভিন")</f>
        <v>মাতা: মোছা: রেহেনা পারভিন</v>
      </c>
      <c r="G219" s="5" t="str">
        <f>IFERROR(__xludf.DUMMYFUNCTION("""COMPUTED_VALUE"""),"জন্ম তারিখ: ১০/১২/১৯৮৬")</f>
        <v>জন্ম তারিখ: ১০/১২/১৯৮৬</v>
      </c>
      <c r="H219" s="5" t="str">
        <f>IFERROR(__xludf.DUMMYFUNCTION("""COMPUTED_VALUE"""),"পেশা: ছাত্র/ছাত্রী")</f>
        <v>পেশা: ছাত্র/ছাত্রী</v>
      </c>
      <c r="I219" s="5" t="str">
        <f>IFERROR(__xludf.DUMMYFUNCTION("""COMPUTED_VALUE"""),"ঠিকানা: গাড়াবোব")</f>
        <v>ঠিকানা: গাড়াবোব</v>
      </c>
      <c r="J219" s="5" t="str">
        <f>IFERROR(__xludf.DUMMYFUNCTION("""COMPUTED_VALUE""")," গাংনী")</f>
        <v> গাংনী</v>
      </c>
      <c r="K219" s="5" t="str">
        <f>IFERROR(__xludf.DUMMYFUNCTION("""COMPUTED_VALUE""")," মেহেরপুর")</f>
        <v> মেহেরপুর</v>
      </c>
    </row>
    <row r="220">
      <c r="A220" s="7" t="s">
        <v>7372</v>
      </c>
      <c r="B220" s="5">
        <f>IFERROR(__xludf.DUMMYFUNCTION("SPLIT(A220,"","")"),1492.0)</f>
        <v>1492</v>
      </c>
      <c r="C220" s="5" t="str">
        <f>IFERROR(__xludf.DUMMYFUNCTION("""COMPUTED_VALUE"""),"নাম: মো: রফিকুল ইসলাম")</f>
        <v>নাম: মো: রফিকুল ইসলাম</v>
      </c>
      <c r="D220" s="5" t="str">
        <f>IFERROR(__xludf.DUMMYFUNCTION("""COMPUTED_VALUE"""),"ভোটার নং: ৫৭০০৩৮৩৫৬৬৭২")</f>
        <v>ভোটার নং: ৫৭০০৩৮৩৫৬৬৭২</v>
      </c>
      <c r="E220" s="5" t="str">
        <f>IFERROR(__xludf.DUMMYFUNCTION("""COMPUTED_VALUE"""),"পিতা: মো: মসলেম শেখ")</f>
        <v>পিতা: মো: মসলেম শেখ</v>
      </c>
      <c r="F220" s="5" t="str">
        <f>IFERROR(__xludf.DUMMYFUNCTION("""COMPUTED_VALUE"""),"মাতা: মোছা: রোকেয়া খাতুন")</f>
        <v>মাতা: মোছা: রোকেয়া খাতুন</v>
      </c>
      <c r="G220" s="5" t="str">
        <f>IFERROR(__xludf.DUMMYFUNCTION("""COMPUTED_VALUE"""),"জন্ম তারিখ: ১৬/০৮/১৯৬৯")</f>
        <v>জন্ম তারিখ: ১৬/০৮/১৯৬৯</v>
      </c>
      <c r="H220" s="5" t="str">
        <f>IFERROR(__xludf.DUMMYFUNCTION("""COMPUTED_VALUE"""),"পেশা: দিনমজুর")</f>
        <v>পেশা: দিনমজুর</v>
      </c>
      <c r="I220" s="5" t="str">
        <f>IFERROR(__xludf.DUMMYFUNCTION("""COMPUTED_VALUE"""),"ঠিকানা: গাড়াবোব")</f>
        <v>ঠিকানা: গাড়াবোব</v>
      </c>
      <c r="J220" s="5" t="str">
        <f>IFERROR(__xludf.DUMMYFUNCTION("""COMPUTED_VALUE""")," গাংনী")</f>
        <v> গাংনী</v>
      </c>
      <c r="K220" s="5" t="str">
        <f>IFERROR(__xludf.DUMMYFUNCTION("""COMPUTED_VALUE""")," মেহেরপুর")</f>
        <v> মেহেরপুর</v>
      </c>
    </row>
    <row r="221">
      <c r="A221" s="7" t="s">
        <v>7373</v>
      </c>
      <c r="B221" s="5">
        <f>IFERROR(__xludf.DUMMYFUNCTION("SPLIT(A221,"","")"),1493.0)</f>
        <v>1493</v>
      </c>
      <c r="C221" s="5" t="str">
        <f>IFERROR(__xludf.DUMMYFUNCTION("""COMPUTED_VALUE"""),"নাম: মো: বানাত আলী")</f>
        <v>নাম: মো: বানাত আলী</v>
      </c>
      <c r="D221" s="5" t="str">
        <f>IFERROR(__xludf.DUMMYFUNCTION("""COMPUTED_VALUE"""),"ভোটার নং: ৫৭০০৩৮৩৫৬৬৭৩")</f>
        <v>ভোটার নং: ৫৭০০৩৮৩৫৬৬৭৩</v>
      </c>
      <c r="E221" s="5" t="str">
        <f>IFERROR(__xludf.DUMMYFUNCTION("""COMPUTED_VALUE"""),"পিতা: মো: মসলেম শেখ")</f>
        <v>পিতা: মো: মসলেম শেখ</v>
      </c>
      <c r="F221" s="5" t="str">
        <f>IFERROR(__xludf.DUMMYFUNCTION("""COMPUTED_VALUE"""),"মাতা: মোছা: রোকেয়া খাতুন")</f>
        <v>মাতা: মোছা: রোকেয়া খাতুন</v>
      </c>
      <c r="G221" s="5" t="str">
        <f>IFERROR(__xludf.DUMMYFUNCTION("""COMPUTED_VALUE"""),"জন্ম তারিখ: ০৭/১২/১৯৮২")</f>
        <v>জন্ম তারিখ: ০৭/১২/১৯৮২</v>
      </c>
      <c r="H221" s="5" t="str">
        <f>IFERROR(__xludf.DUMMYFUNCTION("""COMPUTED_VALUE"""),"পেশা: দিনমজুর")</f>
        <v>পেশা: দিনমজুর</v>
      </c>
      <c r="I221" s="5" t="str">
        <f>IFERROR(__xludf.DUMMYFUNCTION("""COMPUTED_VALUE"""),"ঠিকানা: গাড়াবোব")</f>
        <v>ঠিকানা: গাড়াবোব</v>
      </c>
      <c r="J221" s="5" t="str">
        <f>IFERROR(__xludf.DUMMYFUNCTION("""COMPUTED_VALUE""")," গাংনী")</f>
        <v> গাংনী</v>
      </c>
      <c r="K221" s="5" t="str">
        <f>IFERROR(__xludf.DUMMYFUNCTION("""COMPUTED_VALUE""")," মেহেরপুর")</f>
        <v> মেহেরপুর</v>
      </c>
    </row>
    <row r="222">
      <c r="A222" s="7" t="s">
        <v>7374</v>
      </c>
      <c r="B222" s="5">
        <f>IFERROR(__xludf.DUMMYFUNCTION("SPLIT(A222,"","")"),1494.0)</f>
        <v>1494</v>
      </c>
      <c r="C222" s="5" t="str">
        <f>IFERROR(__xludf.DUMMYFUNCTION("""COMPUTED_VALUE"""),"নাম: মো: জামিরুল ইসলাম")</f>
        <v>নাম: মো: জামিরুল ইসলাম</v>
      </c>
      <c r="D222" s="5" t="str">
        <f>IFERROR(__xludf.DUMMYFUNCTION("""COMPUTED_VALUE"""),"ভোটার নং: ৫৭০০৩৮৩৫৬৬৭৫")</f>
        <v>ভোটার নং: ৫৭০০৩৮৩৫৬৬৭৫</v>
      </c>
      <c r="E222" s="5" t="str">
        <f>IFERROR(__xludf.DUMMYFUNCTION("""COMPUTED_VALUE"""),"পিতা: মো: মোরজেত আলী")</f>
        <v>পিতা: মো: মোরজেত আলী</v>
      </c>
      <c r="F222" s="5" t="str">
        <f>IFERROR(__xludf.DUMMYFUNCTION("""COMPUTED_VALUE"""),"মাতা: মোছা: ছামিরন নেছা")</f>
        <v>মাতা: মোছা: ছামিরন নেছা</v>
      </c>
      <c r="G222" s="5" t="str">
        <f>IFERROR(__xludf.DUMMYFUNCTION("""COMPUTED_VALUE"""),"জন্ম তারিখ: ২৫/১০/১৯৬৭")</f>
        <v>জন্ম তারিখ: ২৫/১০/১৯৬৭</v>
      </c>
      <c r="H222" s="5" t="str">
        <f>IFERROR(__xludf.DUMMYFUNCTION("""COMPUTED_VALUE"""),"পেশা: ব্যবসা")</f>
        <v>পেশা: ব্যবসা</v>
      </c>
      <c r="I222" s="5" t="str">
        <f>IFERROR(__xludf.DUMMYFUNCTION("""COMPUTED_VALUE"""),"ঠিকানা: গাড়াবোব")</f>
        <v>ঠিকানা: গাড়াবোব</v>
      </c>
      <c r="J222" s="5" t="str">
        <f>IFERROR(__xludf.DUMMYFUNCTION("""COMPUTED_VALUE""")," গাংনী")</f>
        <v> গাংনী</v>
      </c>
      <c r="K222" s="5" t="str">
        <f>IFERROR(__xludf.DUMMYFUNCTION("""COMPUTED_VALUE""")," মেহেরপুর")</f>
        <v> মেহেরপুর</v>
      </c>
    </row>
    <row r="223">
      <c r="A223" s="7" t="s">
        <v>7375</v>
      </c>
      <c r="B223" s="5">
        <f>IFERROR(__xludf.DUMMYFUNCTION("SPLIT(A223,"","")"),1495.0)</f>
        <v>1495</v>
      </c>
      <c r="C223" s="5" t="str">
        <f>IFERROR(__xludf.DUMMYFUNCTION("""COMPUTED_VALUE"""),"নাম: মো: রফিকুল ইসলাম")</f>
        <v>নাম: মো: রফিকুল ইসলাম</v>
      </c>
      <c r="D223" s="5" t="str">
        <f>IFERROR(__xludf.DUMMYFUNCTION("""COMPUTED_VALUE"""),"ভোটার নং: ৫৭০০৩৮৩৫৬৬৭৬")</f>
        <v>ভোটার নং: ৫৭০০৩৮৩৫৬৬৭৬</v>
      </c>
      <c r="E223" s="5" t="str">
        <f>IFERROR(__xludf.DUMMYFUNCTION("""COMPUTED_VALUE"""),"পিতা: মো: সামসুদ্দিন শেখ")</f>
        <v>পিতা: মো: সামসুদ্দিন শেখ</v>
      </c>
      <c r="F223" s="5" t="str">
        <f>IFERROR(__xludf.DUMMYFUNCTION("""COMPUTED_VALUE"""),"মাতা: মোছা: খোদেজা বেগম")</f>
        <v>মাতা: মোছা: খোদেজা বেগম</v>
      </c>
      <c r="G223" s="5" t="str">
        <f>IFERROR(__xludf.DUMMYFUNCTION("""COMPUTED_VALUE"""),"জন্ম তারিখ: ২৭/০৮/১৯৮২")</f>
        <v>জন্ম তারিখ: ২৭/০৮/১৯৮২</v>
      </c>
      <c r="H223" s="5" t="str">
        <f>IFERROR(__xludf.DUMMYFUNCTION("""COMPUTED_VALUE"""),"পেশা: কৃষক")</f>
        <v>পেশা: কৃষক</v>
      </c>
      <c r="I223" s="5" t="str">
        <f>IFERROR(__xludf.DUMMYFUNCTION("""COMPUTED_VALUE"""),"ঠিকানা: গাড়াবোব")</f>
        <v>ঠিকানা: গাড়াবোব</v>
      </c>
      <c r="J223" s="5" t="str">
        <f>IFERROR(__xludf.DUMMYFUNCTION("""COMPUTED_VALUE""")," গাংনী")</f>
        <v> গাংনী</v>
      </c>
      <c r="K223" s="5" t="str">
        <f>IFERROR(__xludf.DUMMYFUNCTION("""COMPUTED_VALUE""")," মেহেরপুর")</f>
        <v> মেহেরপুর</v>
      </c>
    </row>
    <row r="224">
      <c r="A224" s="7" t="s">
        <v>7376</v>
      </c>
      <c r="B224" s="5">
        <f>IFERROR(__xludf.DUMMYFUNCTION("SPLIT(A224,"","")"),1496.0)</f>
        <v>1496</v>
      </c>
      <c r="C224" s="5" t="str">
        <f>IFERROR(__xludf.DUMMYFUNCTION("""COMPUTED_VALUE"""),"নাম: মো: মনিরুল ইসলাম")</f>
        <v>নাম: মো: মনিরুল ইসলাম</v>
      </c>
      <c r="D224" s="5" t="str">
        <f>IFERROR(__xludf.DUMMYFUNCTION("""COMPUTED_VALUE"""),"ভোটার নং: ৫৭০০৩৮৩৫৬৬৭৭")</f>
        <v>ভোটার নং: ৫৭০০৩৮৩৫৬৬৭৭</v>
      </c>
      <c r="E224" s="5" t="str">
        <f>IFERROR(__xludf.DUMMYFUNCTION("""COMPUTED_VALUE"""),"পিতা: মো: আনোয়ার হোসেন")</f>
        <v>পিতা: মো: আনোয়ার হোসেন</v>
      </c>
      <c r="F224" s="5" t="str">
        <f>IFERROR(__xludf.DUMMYFUNCTION("""COMPUTED_VALUE"""),"মাতা: জামেনা খাতুন")</f>
        <v>মাতা: জামেনা খাতুন</v>
      </c>
      <c r="G224" s="5" t="str">
        <f>IFERROR(__xludf.DUMMYFUNCTION("""COMPUTED_VALUE"""),"জন্ম তারিখ: ০৮/১০/১৯৮২")</f>
        <v>জন্ম তারিখ: ০৮/১০/১৯৮২</v>
      </c>
      <c r="H224" s="5" t="str">
        <f>IFERROR(__xludf.DUMMYFUNCTION("""COMPUTED_VALUE"""),"পেশা: কৃষক")</f>
        <v>পেশা: কৃষক</v>
      </c>
      <c r="I224" s="5" t="str">
        <f>IFERROR(__xludf.DUMMYFUNCTION("""COMPUTED_VALUE"""),"ঠিকানা: গাড়াবোব")</f>
        <v>ঠিকানা: গাড়াবোব</v>
      </c>
      <c r="J224" s="5" t="str">
        <f>IFERROR(__xludf.DUMMYFUNCTION("""COMPUTED_VALUE""")," গাংনী")</f>
        <v> গাংনী</v>
      </c>
      <c r="K224" s="5" t="str">
        <f>IFERROR(__xludf.DUMMYFUNCTION("""COMPUTED_VALUE""")," মেহেরপুর")</f>
        <v> মেহেরপুর</v>
      </c>
    </row>
    <row r="225">
      <c r="A225" s="7" t="s">
        <v>7377</v>
      </c>
      <c r="B225" s="5">
        <f>IFERROR(__xludf.DUMMYFUNCTION("SPLIT(A225,"","")"),1497.0)</f>
        <v>1497</v>
      </c>
      <c r="C225" s="5" t="str">
        <f>IFERROR(__xludf.DUMMYFUNCTION("""COMPUTED_VALUE"""),"নাম: মো: বাবর আলী শেখ")</f>
        <v>নাম: মো: বাবর আলী শেখ</v>
      </c>
      <c r="D225" s="5" t="str">
        <f>IFERROR(__xludf.DUMMYFUNCTION("""COMPUTED_VALUE"""),"ভোটার নং: ৫৭০০৩৮৩৫৬৬৭৮")</f>
        <v>ভোটার নং: ৫৭০০৩৮৩৫৬৬৭৮</v>
      </c>
      <c r="E225" s="5" t="str">
        <f>IFERROR(__xludf.DUMMYFUNCTION("""COMPUTED_VALUE"""),"পিতা: জহিরুদ্দিন শেখ")</f>
        <v>পিতা: জহিরুদ্দিন শেখ</v>
      </c>
      <c r="F225" s="5" t="str">
        <f>IFERROR(__xludf.DUMMYFUNCTION("""COMPUTED_VALUE"""),"মাতা: জবেদা খাতুন")</f>
        <v>মাতা: জবেদা খাতুন</v>
      </c>
      <c r="G225" s="5" t="str">
        <f>IFERROR(__xludf.DUMMYFUNCTION("""COMPUTED_VALUE"""),"জন্ম তারিখ: ১৪/১২/১৯৫০")</f>
        <v>জন্ম তারিখ: ১৪/১২/১৯৫০</v>
      </c>
      <c r="H225" s="5" t="str">
        <f>IFERROR(__xludf.DUMMYFUNCTION("""COMPUTED_VALUE"""),"পেশা: ব্যবসা")</f>
        <v>পেশা: ব্যবসা</v>
      </c>
      <c r="I225" s="5" t="str">
        <f>IFERROR(__xludf.DUMMYFUNCTION("""COMPUTED_VALUE"""),"ঠিকানা: গাড়াবোব")</f>
        <v>ঠিকানা: গাড়াবোব</v>
      </c>
      <c r="J225" s="5" t="str">
        <f>IFERROR(__xludf.DUMMYFUNCTION("""COMPUTED_VALUE""")," গাংনী")</f>
        <v> গাংনী</v>
      </c>
      <c r="K225" s="5" t="str">
        <f>IFERROR(__xludf.DUMMYFUNCTION("""COMPUTED_VALUE""")," মেহেরপুর")</f>
        <v> মেহেরপুর</v>
      </c>
    </row>
    <row r="226">
      <c r="A226" s="7" t="s">
        <v>7378</v>
      </c>
      <c r="B226" s="5">
        <f>IFERROR(__xludf.DUMMYFUNCTION("SPLIT(A226,"","")"),1498.0)</f>
        <v>1498</v>
      </c>
      <c r="C226" s="5" t="str">
        <f>IFERROR(__xludf.DUMMYFUNCTION("""COMPUTED_VALUE"""),"নাম: মো: আজগর আলী")</f>
        <v>নাম: মো: আজগর আলী</v>
      </c>
      <c r="D226" s="5" t="str">
        <f>IFERROR(__xludf.DUMMYFUNCTION("""COMPUTED_VALUE"""),"ভোটার নং: ৫৭০০৩৮৩৫৬৬৭৯")</f>
        <v>ভোটার নং: ৫৭০০৩৮৩৫৬৬৭৯</v>
      </c>
      <c r="E226" s="5" t="str">
        <f>IFERROR(__xludf.DUMMYFUNCTION("""COMPUTED_VALUE"""),"পিতা: মো: বাবর আলী শেখ")</f>
        <v>পিতা: মো: বাবর আলী শেখ</v>
      </c>
      <c r="F226" s="5" t="str">
        <f>IFERROR(__xludf.DUMMYFUNCTION("""COMPUTED_VALUE"""),"মাতা: মোছা: মর্জিনা খাতুন")</f>
        <v>মাতা: মোছা: মর্জিনা খাতুন</v>
      </c>
      <c r="G226" s="5" t="str">
        <f>IFERROR(__xludf.DUMMYFUNCTION("""COMPUTED_VALUE"""),"জন্ম তারিখ: ২১/১০/১৯৮১")</f>
        <v>জন্ম তারিখ: ২১/১০/১৯৮১</v>
      </c>
      <c r="H226" s="5" t="str">
        <f>IFERROR(__xludf.DUMMYFUNCTION("""COMPUTED_VALUE"""),"পেশা: কৃষক")</f>
        <v>পেশা: কৃষক</v>
      </c>
      <c r="I226" s="5" t="str">
        <f>IFERROR(__xludf.DUMMYFUNCTION("""COMPUTED_VALUE"""),"ঠিকানা: গাড়াবোব")</f>
        <v>ঠিকানা: গাড়াবোব</v>
      </c>
      <c r="J226" s="5" t="str">
        <f>IFERROR(__xludf.DUMMYFUNCTION("""COMPUTED_VALUE""")," গাংনী")</f>
        <v> গাংনী</v>
      </c>
      <c r="K226" s="5" t="str">
        <f>IFERROR(__xludf.DUMMYFUNCTION("""COMPUTED_VALUE""")," মেহেরপুর")</f>
        <v> মেহেরপুর</v>
      </c>
    </row>
    <row r="227">
      <c r="A227" s="7" t="s">
        <v>7379</v>
      </c>
      <c r="B227" s="5">
        <f>IFERROR(__xludf.DUMMYFUNCTION("SPLIT(A227,"","")"),1499.0)</f>
        <v>1499</v>
      </c>
      <c r="C227" s="5" t="str">
        <f>IFERROR(__xludf.DUMMYFUNCTION("""COMPUTED_VALUE"""),"নাম: মো: ইদ্রিস আলী")</f>
        <v>নাম: মো: ইদ্রিস আলী</v>
      </c>
      <c r="D227" s="5" t="str">
        <f>IFERROR(__xludf.DUMMYFUNCTION("""COMPUTED_VALUE"""),"ভোটার নং: ৫৭০০৩৮৩৫৬৬৮০")</f>
        <v>ভোটার নং: ৫৭০০৩৮৩৫৬৬৮০</v>
      </c>
      <c r="E227" s="5" t="str">
        <f>IFERROR(__xludf.DUMMYFUNCTION("""COMPUTED_VALUE"""),"পিতা: মো: তাহাজ উদ্দীন")</f>
        <v>পিতা: মো: তাহাজ উদ্দীন</v>
      </c>
      <c r="F227" s="5" t="str">
        <f>IFERROR(__xludf.DUMMYFUNCTION("""COMPUTED_VALUE"""),"মাতা: মোছা: আছিয়া খাতুন")</f>
        <v>মাতা: মোছা: আছিয়া খাতুন</v>
      </c>
      <c r="G227" s="5" t="str">
        <f>IFERROR(__xludf.DUMMYFUNCTION("""COMPUTED_VALUE"""),"জন্ম তারিখ: ০৬/০৩/১৯৮২")</f>
        <v>জন্ম তারিখ: ০৬/০৩/১৯৮২</v>
      </c>
      <c r="H227" s="5" t="str">
        <f>IFERROR(__xludf.DUMMYFUNCTION("""COMPUTED_VALUE"""),"পেশা: কৃষক")</f>
        <v>পেশা: কৃষক</v>
      </c>
      <c r="I227" s="5" t="str">
        <f>IFERROR(__xludf.DUMMYFUNCTION("""COMPUTED_VALUE"""),"ঠিকানা: গাড়াবোব")</f>
        <v>ঠিকানা: গাড়াবোব</v>
      </c>
      <c r="J227" s="5" t="str">
        <f>IFERROR(__xludf.DUMMYFUNCTION("""COMPUTED_VALUE""")," গাংনী")</f>
        <v> গাংনী</v>
      </c>
      <c r="K227" s="5" t="str">
        <f>IFERROR(__xludf.DUMMYFUNCTION("""COMPUTED_VALUE""")," মেহেরপুর")</f>
        <v> মেহেরপুর</v>
      </c>
    </row>
    <row r="228">
      <c r="A228" s="7" t="s">
        <v>7380</v>
      </c>
      <c r="B228" s="5">
        <f>IFERROR(__xludf.DUMMYFUNCTION("SPLIT(A228,"","")"),1500.0)</f>
        <v>1500</v>
      </c>
      <c r="C228" s="5" t="str">
        <f>IFERROR(__xludf.DUMMYFUNCTION("""COMPUTED_VALUE"""),"নাম: মো: শাহ আলম বাদশা")</f>
        <v>নাম: মো: শাহ আলম বাদশা</v>
      </c>
      <c r="D228" s="5" t="str">
        <f>IFERROR(__xludf.DUMMYFUNCTION("""COMPUTED_VALUE"""),"ভোটার নং: ৫৭০০৩৮৩৫৬৬৮১")</f>
        <v>ভোটার নং: ৫৭০০৩৮৩৫৬৬৮১</v>
      </c>
      <c r="E228" s="5" t="str">
        <f>IFERROR(__xludf.DUMMYFUNCTION("""COMPUTED_VALUE"""),"পিতা: মো: আব্দুর রশিদ")</f>
        <v>পিতা: মো: আব্দুর রশিদ</v>
      </c>
      <c r="F228" s="5" t="str">
        <f>IFERROR(__xludf.DUMMYFUNCTION("""COMPUTED_VALUE"""),"মাতা: মোছা: মাবিয়া খাতুন")</f>
        <v>মাতা: মোছা: মাবিয়া খাতুন</v>
      </c>
      <c r="G228" s="5" t="str">
        <f>IFERROR(__xludf.DUMMYFUNCTION("""COMPUTED_VALUE"""),"জন্ম তারিখ: ১৪/০৯/১৯৮২")</f>
        <v>জন্ম তারিখ: ১৪/০৯/১৯৮২</v>
      </c>
      <c r="H228" s="5" t="str">
        <f>IFERROR(__xludf.DUMMYFUNCTION("""COMPUTED_VALUE"""),"পেশা: কৃষক")</f>
        <v>পেশা: কৃষক</v>
      </c>
      <c r="I228" s="5" t="str">
        <f>IFERROR(__xludf.DUMMYFUNCTION("""COMPUTED_VALUE"""),"ঠিকানা: গাড়াবোব")</f>
        <v>ঠিকানা: গাড়াবোব</v>
      </c>
      <c r="J228" s="5" t="str">
        <f>IFERROR(__xludf.DUMMYFUNCTION("""COMPUTED_VALUE""")," গাংনী")</f>
        <v> গাংনী</v>
      </c>
      <c r="K228" s="5" t="str">
        <f>IFERROR(__xludf.DUMMYFUNCTION("""COMPUTED_VALUE""")," মেহেরপুর")</f>
        <v> মেহেরপুর</v>
      </c>
    </row>
    <row r="229">
      <c r="A229" s="7" t="s">
        <v>7381</v>
      </c>
      <c r="B229" s="5">
        <f>IFERROR(__xludf.DUMMYFUNCTION("SPLIT(A229,"","")"),1501.0)</f>
        <v>1501</v>
      </c>
      <c r="C229" s="5" t="str">
        <f>IFERROR(__xludf.DUMMYFUNCTION("""COMPUTED_VALUE"""),"নাম: মো: গোলাম মালিথা")</f>
        <v>নাম: মো: গোলাম মালিথা</v>
      </c>
      <c r="D229" s="5" t="str">
        <f>IFERROR(__xludf.DUMMYFUNCTION("""COMPUTED_VALUE"""),"ভোটার নং: ৫৭০০৩৮৩৫৬৬৮২")</f>
        <v>ভোটার নং: ৫৭০০৩৮৩৫৬৬৮২</v>
      </c>
      <c r="E229" s="5" t="str">
        <f>IFERROR(__xludf.DUMMYFUNCTION("""COMPUTED_VALUE"""),"পিতা: ফকির মালিথা")</f>
        <v>পিতা: ফকির মালিথা</v>
      </c>
      <c r="F229" s="5" t="str">
        <f>IFERROR(__xludf.DUMMYFUNCTION("""COMPUTED_VALUE"""),"মাতা: নেকজান")</f>
        <v>মাতা: নেকজান</v>
      </c>
      <c r="G229" s="5" t="str">
        <f>IFERROR(__xludf.DUMMYFUNCTION("""COMPUTED_VALUE"""),"জন্ম তারিখ: ২২/০৪/১৯৫৭")</f>
        <v>জন্ম তারিখ: ২২/০৪/১৯৫৭</v>
      </c>
      <c r="H229" s="5" t="str">
        <f>IFERROR(__xludf.DUMMYFUNCTION("""COMPUTED_VALUE"""),"পেশা: কৃষক")</f>
        <v>পেশা: কৃষক</v>
      </c>
      <c r="I229" s="5" t="str">
        <f>IFERROR(__xludf.DUMMYFUNCTION("""COMPUTED_VALUE"""),"ঠিকানা: গাড়াবোব")</f>
        <v>ঠিকানা: গাড়াবোব</v>
      </c>
      <c r="J229" s="5" t="str">
        <f>IFERROR(__xludf.DUMMYFUNCTION("""COMPUTED_VALUE""")," গাংনী")</f>
        <v> গাংনী</v>
      </c>
      <c r="K229" s="5" t="str">
        <f>IFERROR(__xludf.DUMMYFUNCTION("""COMPUTED_VALUE""")," মেহেরপুর")</f>
        <v> মেহেরপুর</v>
      </c>
    </row>
    <row r="230">
      <c r="A230" s="7" t="s">
        <v>7382</v>
      </c>
      <c r="B230" s="5">
        <f>IFERROR(__xludf.DUMMYFUNCTION("SPLIT(A230,"","")"),1502.0)</f>
        <v>1502</v>
      </c>
      <c r="C230" s="5" t="str">
        <f>IFERROR(__xludf.DUMMYFUNCTION("""COMPUTED_VALUE"""),"নাম: মো: আবু বক্কর")</f>
        <v>নাম: মো: আবু বক্কর</v>
      </c>
      <c r="D230" s="5" t="str">
        <f>IFERROR(__xludf.DUMMYFUNCTION("""COMPUTED_VALUE"""),"ভোটার নং: ৫৭০০৩৮৩৫৬৬৮৬")</f>
        <v>ভোটার নং: ৫৭০০৩৮৩৫৬৬৮৬</v>
      </c>
      <c r="E230" s="5" t="str">
        <f>IFERROR(__xludf.DUMMYFUNCTION("""COMPUTED_VALUE"""),"পিতা: মো: কলিম উদ্দীন")</f>
        <v>পিতা: মো: কলিম উদ্দীন</v>
      </c>
      <c r="F230" s="5" t="str">
        <f>IFERROR(__xludf.DUMMYFUNCTION("""COMPUTED_VALUE"""),"মাতা: মোছা: আছিয়া খাতুন")</f>
        <v>মাতা: মোছা: আছিয়া খাতুন</v>
      </c>
      <c r="G230" s="5" t="str">
        <f>IFERROR(__xludf.DUMMYFUNCTION("""COMPUTED_VALUE"""),"জন্ম তারিখ: ০২/০৩/১৯৬১")</f>
        <v>জন্ম তারিখ: ০২/০৩/১৯৬১</v>
      </c>
      <c r="H230" s="5" t="str">
        <f>IFERROR(__xludf.DUMMYFUNCTION("""COMPUTED_VALUE"""),"পেশা: সরকারী চাকুরী")</f>
        <v>পেশা: সরকারী চাকুরী</v>
      </c>
      <c r="I230" s="5" t="str">
        <f>IFERROR(__xludf.DUMMYFUNCTION("""COMPUTED_VALUE"""),"ঠিকানা: গাড়াবোব")</f>
        <v>ঠিকানা: গাড়াবোব</v>
      </c>
      <c r="J230" s="5" t="str">
        <f>IFERROR(__xludf.DUMMYFUNCTION("""COMPUTED_VALUE""")," গাংনী")</f>
        <v> গাংনী</v>
      </c>
      <c r="K230" s="5" t="str">
        <f>IFERROR(__xludf.DUMMYFUNCTION("""COMPUTED_VALUE""")," মেহেরপুর")</f>
        <v> মেহেরপুর</v>
      </c>
    </row>
    <row r="231">
      <c r="A231" s="7" t="s">
        <v>7383</v>
      </c>
      <c r="B231" s="5">
        <f>IFERROR(__xludf.DUMMYFUNCTION("SPLIT(A231,"","")"),1503.0)</f>
        <v>1503</v>
      </c>
      <c r="C231" s="5" t="str">
        <f>IFERROR(__xludf.DUMMYFUNCTION("""COMPUTED_VALUE"""),"নাম: মো: সাফায়াত হোসেন")</f>
        <v>নাম: মো: সাফায়াত হোসেন</v>
      </c>
      <c r="D231" s="5" t="str">
        <f>IFERROR(__xludf.DUMMYFUNCTION("""COMPUTED_VALUE"""),"ভোটার নং: ৫৭০০৩৮৩৫৬৬৮৮")</f>
        <v>ভোটার নং: ৫৭০০৩৮৩৫৬৬৮৮</v>
      </c>
      <c r="E231" s="5" t="str">
        <f>IFERROR(__xludf.DUMMYFUNCTION("""COMPUTED_VALUE"""),"পিতা: মো: নাসির উদ্দীন")</f>
        <v>পিতা: মো: নাসির উদ্দীন</v>
      </c>
      <c r="F231" s="5" t="str">
        <f>IFERROR(__xludf.DUMMYFUNCTION("""COMPUTED_VALUE"""),"মাতা: আলেক জান")</f>
        <v>মাতা: আলেক জান</v>
      </c>
      <c r="G231" s="5" t="str">
        <f>IFERROR(__xludf.DUMMYFUNCTION("""COMPUTED_VALUE"""),"জন্ম তারিখ: ১৫/১০/১৯৫৯")</f>
        <v>জন্ম তারিখ: ১৫/১০/১৯৫৯</v>
      </c>
      <c r="H231" s="5" t="str">
        <f>IFERROR(__xludf.DUMMYFUNCTION("""COMPUTED_VALUE"""),"পেশা: ব্যবসা")</f>
        <v>পেশা: ব্যবসা</v>
      </c>
      <c r="I231" s="5" t="str">
        <f>IFERROR(__xludf.DUMMYFUNCTION("""COMPUTED_VALUE"""),"ঠিকানা: গাড়াবোব")</f>
        <v>ঠিকানা: গাড়াবোব</v>
      </c>
      <c r="J231" s="5" t="str">
        <f>IFERROR(__xludf.DUMMYFUNCTION("""COMPUTED_VALUE""")," গাংনী")</f>
        <v> গাংনী</v>
      </c>
      <c r="K231" s="5" t="str">
        <f>IFERROR(__xludf.DUMMYFUNCTION("""COMPUTED_VALUE""")," মেহেরপুর")</f>
        <v> মেহেরপুর</v>
      </c>
    </row>
    <row r="232">
      <c r="A232" s="7" t="s">
        <v>7384</v>
      </c>
      <c r="B232" s="5">
        <f>IFERROR(__xludf.DUMMYFUNCTION("SPLIT(A232,"","")"),1504.0)</f>
        <v>1504</v>
      </c>
      <c r="C232" s="5" t="str">
        <f>IFERROR(__xludf.DUMMYFUNCTION("""COMPUTED_VALUE"""),"নাম: মো: আশরাফুল ইসলাম")</f>
        <v>নাম: মো: আশরাফুল ইসলাম</v>
      </c>
      <c r="D232" s="5" t="str">
        <f>IFERROR(__xludf.DUMMYFUNCTION("""COMPUTED_VALUE"""),"ভোটার নং: ৫৭০০৩৮৩৫৬৬৮৯")</f>
        <v>ভোটার নং: ৫৭০০৩৮৩৫৬৬৮৯</v>
      </c>
      <c r="E232" s="5" t="str">
        <f>IFERROR(__xludf.DUMMYFUNCTION("""COMPUTED_VALUE"""),"পিতা: মো: তাহাজ উদ্দীন")</f>
        <v>পিতা: মো: তাহাজ উদ্দীন</v>
      </c>
      <c r="F232" s="5" t="str">
        <f>IFERROR(__xludf.DUMMYFUNCTION("""COMPUTED_VALUE"""),"মাতা: মোছা: আছিয়া খাতুন")</f>
        <v>মাতা: মোছা: আছিয়া খাতুন</v>
      </c>
      <c r="G232" s="5" t="str">
        <f>IFERROR(__xludf.DUMMYFUNCTION("""COMPUTED_VALUE"""),"জন্ম তারিখ: ১০/০৬/১৯৭১")</f>
        <v>জন্ম তারিখ: ১০/০৬/১৯৭১</v>
      </c>
      <c r="H232" s="5" t="str">
        <f>IFERROR(__xludf.DUMMYFUNCTION("""COMPUTED_VALUE"""),"পেশা: কৃষক")</f>
        <v>পেশা: কৃষক</v>
      </c>
      <c r="I232" s="5" t="str">
        <f>IFERROR(__xludf.DUMMYFUNCTION("""COMPUTED_VALUE"""),"ঠিকানা: গাড়াবোব")</f>
        <v>ঠিকানা: গাড়াবোব</v>
      </c>
      <c r="J232" s="5" t="str">
        <f>IFERROR(__xludf.DUMMYFUNCTION("""COMPUTED_VALUE""")," গাংনী")</f>
        <v> গাংনী</v>
      </c>
      <c r="K232" s="5" t="str">
        <f>IFERROR(__xludf.DUMMYFUNCTION("""COMPUTED_VALUE""")," মেহেরপুর")</f>
        <v> মেহেরপুর</v>
      </c>
    </row>
    <row r="233">
      <c r="A233" s="7" t="s">
        <v>7385</v>
      </c>
      <c r="B233" s="5">
        <f>IFERROR(__xludf.DUMMYFUNCTION("SPLIT(A233,"","")"),1505.0)</f>
        <v>1505</v>
      </c>
      <c r="C233" s="5" t="str">
        <f>IFERROR(__xludf.DUMMYFUNCTION("""COMPUTED_VALUE"""),"নাম: মো: চাঁদ আলী")</f>
        <v>নাম: মো: চাঁদ আলী</v>
      </c>
      <c r="D233" s="5" t="str">
        <f>IFERROR(__xludf.DUMMYFUNCTION("""COMPUTED_VALUE"""),"ভোটার নং: ৫৭০০৩৮৩৫৬৬৯০")</f>
        <v>ভোটার নং: ৫৭০০৩৮৩৫৬৬৯০</v>
      </c>
      <c r="E233" s="5" t="str">
        <f>IFERROR(__xludf.DUMMYFUNCTION("""COMPUTED_VALUE"""),"পিতা: সাবিতুল্লাহ শেখ")</f>
        <v>পিতা: সাবিতুল্লাহ শেখ</v>
      </c>
      <c r="F233" s="5" t="str">
        <f>IFERROR(__xludf.DUMMYFUNCTION("""COMPUTED_VALUE"""),"মাতা: ফজিলা খাতুন")</f>
        <v>মাতা: ফজিলা খাতুন</v>
      </c>
      <c r="G233" s="5" t="str">
        <f>IFERROR(__xludf.DUMMYFUNCTION("""COMPUTED_VALUE"""),"জন্ম তারিখ: ০২/০৪/১৯৮১")</f>
        <v>জন্ম তারিখ: ০২/০৪/১৯৮১</v>
      </c>
      <c r="H233" s="5" t="str">
        <f>IFERROR(__xludf.DUMMYFUNCTION("""COMPUTED_VALUE"""),"পেশা: মিস্ত্রী")</f>
        <v>পেশা: মিস্ত্রী</v>
      </c>
      <c r="I233" s="5" t="str">
        <f>IFERROR(__xludf.DUMMYFUNCTION("""COMPUTED_VALUE"""),"ঠিকানা: গাড়াবোব")</f>
        <v>ঠিকানা: গাড়াবোব</v>
      </c>
      <c r="J233" s="5" t="str">
        <f>IFERROR(__xludf.DUMMYFUNCTION("""COMPUTED_VALUE""")," গাংনী")</f>
        <v> গাংনী</v>
      </c>
      <c r="K233" s="5" t="str">
        <f>IFERROR(__xludf.DUMMYFUNCTION("""COMPUTED_VALUE""")," মেহেরপুর")</f>
        <v> মেহেরপুর</v>
      </c>
    </row>
    <row r="234">
      <c r="A234" s="7" t="s">
        <v>7386</v>
      </c>
      <c r="B234" s="5">
        <f>IFERROR(__xludf.DUMMYFUNCTION("SPLIT(A234,"","")"),1506.0)</f>
        <v>1506</v>
      </c>
      <c r="C234" s="5" t="str">
        <f>IFERROR(__xludf.DUMMYFUNCTION("""COMPUTED_VALUE"""),"নাম: মোহা: রাজিকুল ইসলাম")</f>
        <v>নাম: মোহা: রাজিকুল ইসলাম</v>
      </c>
      <c r="D234" s="5" t="str">
        <f>IFERROR(__xludf.DUMMYFUNCTION("""COMPUTED_VALUE"""),"ভোটার নং: ৫৭০০৩৮৩৫৬৬৯৪")</f>
        <v>ভোটার নং: ৫৭০০৩৮৩৫৬৬৯৪</v>
      </c>
      <c r="E234" s="5" t="str">
        <f>IFERROR(__xludf.DUMMYFUNCTION("""COMPUTED_VALUE"""),"পিতা: মোহা: নুরুল ইসলাম")</f>
        <v>পিতা: মোহা: নুরুল ইসলাম</v>
      </c>
      <c r="F234" s="5" t="str">
        <f>IFERROR(__xludf.DUMMYFUNCTION("""COMPUTED_VALUE"""),"মাতা: মোহা: রাজিয়া খাতুন")</f>
        <v>মাতা: মোহা: রাজিয়া খাতুন</v>
      </c>
      <c r="G234" s="5" t="str">
        <f>IFERROR(__xludf.DUMMYFUNCTION("""COMPUTED_VALUE"""),"জন্ম তারিখ: ১৫/১২/১৯৮৭")</f>
        <v>জন্ম তারিখ: ১৫/১২/১৯৮৭</v>
      </c>
      <c r="H234" s="5" t="str">
        <f>IFERROR(__xludf.DUMMYFUNCTION("""COMPUTED_VALUE"""),"পেশা: ছাত্র/ছাত্রী")</f>
        <v>পেশা: ছাত্র/ছাত্রী</v>
      </c>
      <c r="I234" s="5" t="str">
        <f>IFERROR(__xludf.DUMMYFUNCTION("""COMPUTED_VALUE"""),"ঠিকানা: গাড়াবোব")</f>
        <v>ঠিকানা: গাড়াবোব</v>
      </c>
      <c r="J234" s="5" t="str">
        <f>IFERROR(__xludf.DUMMYFUNCTION("""COMPUTED_VALUE""")," গাংনী")</f>
        <v> গাংনী</v>
      </c>
      <c r="K234" s="5" t="str">
        <f>IFERROR(__xludf.DUMMYFUNCTION("""COMPUTED_VALUE""")," মেহেরপুর")</f>
        <v> মেহেরপুর</v>
      </c>
    </row>
    <row r="235">
      <c r="A235" s="7" t="s">
        <v>7387</v>
      </c>
      <c r="B235" s="5">
        <f>IFERROR(__xludf.DUMMYFUNCTION("SPLIT(A235,"","")"),1507.0)</f>
        <v>1507</v>
      </c>
      <c r="C235" s="5" t="str">
        <f>IFERROR(__xludf.DUMMYFUNCTION("""COMPUTED_VALUE"""),"নাম: মো: সালাউদ্দীন")</f>
        <v>নাম: মো: সালাউদ্দীন</v>
      </c>
      <c r="D235" s="5" t="str">
        <f>IFERROR(__xludf.DUMMYFUNCTION("""COMPUTED_VALUE"""),"ভোটার নং: ৫৭০০৩৮৩৫৬৬৯৫")</f>
        <v>ভোটার নং: ৫৭০০৩৮৩৫৬৬৯৫</v>
      </c>
      <c r="E235" s="5" t="str">
        <f>IFERROR(__xludf.DUMMYFUNCTION("""COMPUTED_VALUE"""),"পিতা: মো: মহিউদ্দীন")</f>
        <v>পিতা: মো: মহিউদ্দীন</v>
      </c>
      <c r="F235" s="5" t="str">
        <f>IFERROR(__xludf.DUMMYFUNCTION("""COMPUTED_VALUE"""),"মাতা: মোছা: মর্জিনা খাতুন")</f>
        <v>মাতা: মোছা: মর্জিনা খাতুন</v>
      </c>
      <c r="G235" s="5" t="str">
        <f>IFERROR(__xludf.DUMMYFUNCTION("""COMPUTED_VALUE"""),"জন্ম তারিখ: ০২/০১/১৯৮৭")</f>
        <v>জন্ম তারিখ: ০২/০১/১৯৮৭</v>
      </c>
      <c r="H235" s="5" t="str">
        <f>IFERROR(__xludf.DUMMYFUNCTION("""COMPUTED_VALUE"""),"পেশা: বেসরকারী চাকুরী")</f>
        <v>পেশা: বেসরকারী চাকুরী</v>
      </c>
      <c r="I235" s="5" t="str">
        <f>IFERROR(__xludf.DUMMYFUNCTION("""COMPUTED_VALUE"""),"ঠিকানা: গাড়াবোব")</f>
        <v>ঠিকানা: গাড়াবোব</v>
      </c>
      <c r="J235" s="5" t="str">
        <f>IFERROR(__xludf.DUMMYFUNCTION("""COMPUTED_VALUE""")," গাংনী")</f>
        <v> গাংনী</v>
      </c>
      <c r="K235" s="5" t="str">
        <f>IFERROR(__xludf.DUMMYFUNCTION("""COMPUTED_VALUE""")," মেহেরপুর")</f>
        <v> মেহেরপুর</v>
      </c>
    </row>
    <row r="236">
      <c r="A236" s="7" t="s">
        <v>7388</v>
      </c>
      <c r="B236" s="5">
        <f>IFERROR(__xludf.DUMMYFUNCTION("SPLIT(A236,"","")"),1508.0)</f>
        <v>1508</v>
      </c>
      <c r="C236" s="5" t="str">
        <f>IFERROR(__xludf.DUMMYFUNCTION("""COMPUTED_VALUE"""),"নাম: মো: আব্দুল হান্নান")</f>
        <v>নাম: মো: আব্দুল হান্নান</v>
      </c>
      <c r="D236" s="5" t="str">
        <f>IFERROR(__xludf.DUMMYFUNCTION("""COMPUTED_VALUE"""),"ভোটার নং: ৫৭০০৩৮৩৫৬৭০২")</f>
        <v>ভোটার নং: ৫৭০০৩৮৩৫৬৭০২</v>
      </c>
      <c r="E236" s="5" t="str">
        <f>IFERROR(__xludf.DUMMYFUNCTION("""COMPUTED_VALUE"""),"পিতা: মো: আবুল কালাম")</f>
        <v>পিতা: মো: আবুল কালাম</v>
      </c>
      <c r="F236" s="5" t="str">
        <f>IFERROR(__xludf.DUMMYFUNCTION("""COMPUTED_VALUE"""),"মাতা: মোছা: বেদেনা খাতুন")</f>
        <v>মাতা: মোছা: বেদেনা খাতুন</v>
      </c>
      <c r="G236" s="5" t="str">
        <f>IFERROR(__xludf.DUMMYFUNCTION("""COMPUTED_VALUE"""),"জন্ম তারিখ: ২৭/০৬/১৯৬২")</f>
        <v>জন্ম তারিখ: ২৭/০৬/১৯৬২</v>
      </c>
      <c r="H236" s="5" t="str">
        <f>IFERROR(__xludf.DUMMYFUNCTION("""COMPUTED_VALUE"""),"পেশা: ব্যবসা")</f>
        <v>পেশা: ব্যবসা</v>
      </c>
      <c r="I236" s="5" t="str">
        <f>IFERROR(__xludf.DUMMYFUNCTION("""COMPUTED_VALUE"""),"ঠিকানা: গাড়াবোব")</f>
        <v>ঠিকানা: গাড়াবোব</v>
      </c>
      <c r="J236" s="5" t="str">
        <f>IFERROR(__xludf.DUMMYFUNCTION("""COMPUTED_VALUE""")," গাংনী")</f>
        <v> গাংনী</v>
      </c>
      <c r="K236" s="5" t="str">
        <f>IFERROR(__xludf.DUMMYFUNCTION("""COMPUTED_VALUE""")," মেহেরপুর")</f>
        <v> মেহেরপুর</v>
      </c>
    </row>
    <row r="237">
      <c r="A237" s="7" t="s">
        <v>7389</v>
      </c>
      <c r="B237" s="5">
        <f>IFERROR(__xludf.DUMMYFUNCTION("SPLIT(A237,"","")"),1509.0)</f>
        <v>1509</v>
      </c>
      <c r="C237" s="5" t="str">
        <f>IFERROR(__xludf.DUMMYFUNCTION("""COMPUTED_VALUE"""),"নাম: মো: আবুল কালাম")</f>
        <v>নাম: মো: আবুল কালাম</v>
      </c>
      <c r="D237" s="5" t="str">
        <f>IFERROR(__xludf.DUMMYFUNCTION("""COMPUTED_VALUE"""),"ভোটার নং: ৫৭০০৩৮৩৫৬৭০৩")</f>
        <v>ভোটার নং: ৫৭০০৩৮৩৫৬৭০৩</v>
      </c>
      <c r="E237" s="5" t="str">
        <f>IFERROR(__xludf.DUMMYFUNCTION("""COMPUTED_VALUE"""),"পিতা: ফাকের আলী")</f>
        <v>পিতা: ফাকের আলী</v>
      </c>
      <c r="F237" s="5" t="str">
        <f>IFERROR(__xludf.DUMMYFUNCTION("""COMPUTED_VALUE"""),"মাতা: জাসিমন নেছা")</f>
        <v>মাতা: জাসিমন নেছা</v>
      </c>
      <c r="G237" s="5" t="str">
        <f>IFERROR(__xludf.DUMMYFUNCTION("""COMPUTED_VALUE"""),"জন্ম তারিখ: ০৪/০৫/১৯২৫")</f>
        <v>জন্ম তারিখ: ০৪/০৫/১৯২৫</v>
      </c>
      <c r="H237" s="5" t="str">
        <f>IFERROR(__xludf.DUMMYFUNCTION("""COMPUTED_VALUE"""),"পেশা: বেকার")</f>
        <v>পেশা: বেকার</v>
      </c>
      <c r="I237" s="5" t="str">
        <f>IFERROR(__xludf.DUMMYFUNCTION("""COMPUTED_VALUE"""),"ঠিকানা: গাড়াবোব")</f>
        <v>ঠিকানা: গাড়াবোব</v>
      </c>
      <c r="J237" s="5" t="str">
        <f>IFERROR(__xludf.DUMMYFUNCTION("""COMPUTED_VALUE""")," গাংনী")</f>
        <v> গাংনী</v>
      </c>
      <c r="K237" s="5" t="str">
        <f>IFERROR(__xludf.DUMMYFUNCTION("""COMPUTED_VALUE""")," মেহেরপুর")</f>
        <v> মেহেরপুর</v>
      </c>
    </row>
    <row r="238">
      <c r="A238" s="7" t="s">
        <v>7390</v>
      </c>
      <c r="B238" s="5">
        <f>IFERROR(__xludf.DUMMYFUNCTION("SPLIT(A238,"","")"),1510.0)</f>
        <v>1510</v>
      </c>
      <c r="C238" s="5" t="str">
        <f>IFERROR(__xludf.DUMMYFUNCTION("""COMPUTED_VALUE"""),"নাম: মো: আব্দুর রহিম")</f>
        <v>নাম: মো: আব্দুর রহিম</v>
      </c>
      <c r="D238" s="5" t="str">
        <f>IFERROR(__xludf.DUMMYFUNCTION("""COMPUTED_VALUE"""),"ভোটার নং: ৫৭০০৩৮৩৫৬৭০৫")</f>
        <v>ভোটার নং: ৫৭০০৩৮৩৫৬৭০৫</v>
      </c>
      <c r="E238" s="5" t="str">
        <f>IFERROR(__xludf.DUMMYFUNCTION("""COMPUTED_VALUE"""),"পিতা: মো: আবুল কালাম")</f>
        <v>পিতা: মো: আবুল কালাম</v>
      </c>
      <c r="F238" s="5" t="str">
        <f>IFERROR(__xludf.DUMMYFUNCTION("""COMPUTED_VALUE"""),"মাতা: মোছা: বেদেনা খাতুন")</f>
        <v>মাতা: মোছা: বেদেনা খাতুন</v>
      </c>
      <c r="G238" s="5" t="str">
        <f>IFERROR(__xludf.DUMMYFUNCTION("""COMPUTED_VALUE"""),"জন্ম তারিখ: ১৫/০৯/১৯৭১")</f>
        <v>জন্ম তারিখ: ১৫/০৯/১৯৭১</v>
      </c>
      <c r="H238" s="5" t="str">
        <f>IFERROR(__xludf.DUMMYFUNCTION("""COMPUTED_VALUE"""),"পেশা: ব্যবসা")</f>
        <v>পেশা: ব্যবসা</v>
      </c>
      <c r="I238" s="5" t="str">
        <f>IFERROR(__xludf.DUMMYFUNCTION("""COMPUTED_VALUE"""),"ঠিকানা: গাড়াবোব")</f>
        <v>ঠিকানা: গাড়াবোব</v>
      </c>
      <c r="J238" s="5" t="str">
        <f>IFERROR(__xludf.DUMMYFUNCTION("""COMPUTED_VALUE""")," গাংনী")</f>
        <v> গাংনী</v>
      </c>
      <c r="K238" s="5" t="str">
        <f>IFERROR(__xludf.DUMMYFUNCTION("""COMPUTED_VALUE""")," মেহেরপুর")</f>
        <v> মেহেরপুর</v>
      </c>
    </row>
    <row r="239">
      <c r="A239" s="7" t="s">
        <v>7391</v>
      </c>
      <c r="B239" s="5">
        <f>IFERROR(__xludf.DUMMYFUNCTION("SPLIT(A239,"","")"),1511.0)</f>
        <v>1511</v>
      </c>
      <c r="C239" s="5" t="str">
        <f>IFERROR(__xludf.DUMMYFUNCTION("""COMPUTED_VALUE"""),"নাম: মো: জমিরুল ইসলাম")</f>
        <v>নাম: মো: জমিরুল ইসলাম</v>
      </c>
      <c r="D239" s="5" t="str">
        <f>IFERROR(__xludf.DUMMYFUNCTION("""COMPUTED_VALUE"""),"ভোটার নং: ৫৭০০৩৮৩৫৬৭১২")</f>
        <v>ভোটার নং: ৫৭০০৩৮৩৫৬৭১২</v>
      </c>
      <c r="E239" s="5" t="str">
        <f>IFERROR(__xludf.DUMMYFUNCTION("""COMPUTED_VALUE"""),"পিতা: মো: আবুল হোসেন")</f>
        <v>পিতা: মো: আবুল হোসেন</v>
      </c>
      <c r="F239" s="5" t="str">
        <f>IFERROR(__xludf.DUMMYFUNCTION("""COMPUTED_VALUE"""),"মাতা: মোছা: নেকজান খাতুন")</f>
        <v>মাতা: মোছা: নেকজান খাতুন</v>
      </c>
      <c r="G239" s="5" t="str">
        <f>IFERROR(__xludf.DUMMYFUNCTION("""COMPUTED_VALUE"""),"জন্ম তারিখ: ০৬/০৬/১৯৮০")</f>
        <v>জন্ম তারিখ: ০৬/০৬/১৯৮০</v>
      </c>
      <c r="H239" s="5" t="str">
        <f>IFERROR(__xludf.DUMMYFUNCTION("""COMPUTED_VALUE"""),"পেশা: কৃষক")</f>
        <v>পেশা: কৃষক</v>
      </c>
      <c r="I239" s="5" t="str">
        <f>IFERROR(__xludf.DUMMYFUNCTION("""COMPUTED_VALUE"""),"ঠিকানা: গাড়াবোব")</f>
        <v>ঠিকানা: গাড়াবোব</v>
      </c>
      <c r="J239" s="5" t="str">
        <f>IFERROR(__xludf.DUMMYFUNCTION("""COMPUTED_VALUE""")," গাংনী")</f>
        <v> গাংনী</v>
      </c>
      <c r="K239" s="5" t="str">
        <f>IFERROR(__xludf.DUMMYFUNCTION("""COMPUTED_VALUE""")," মেহেরপুর")</f>
        <v> মেহেরপুর</v>
      </c>
    </row>
    <row r="240">
      <c r="A240" s="7" t="s">
        <v>7392</v>
      </c>
      <c r="B240" s="5">
        <f>IFERROR(__xludf.DUMMYFUNCTION("SPLIT(A240,"","")"),1512.0)</f>
        <v>1512</v>
      </c>
      <c r="C240" s="5" t="str">
        <f>IFERROR(__xludf.DUMMYFUNCTION("""COMPUTED_VALUE"""),"নাম: মো: শরিফুল ইসলাম")</f>
        <v>নাম: মো: শরিফুল ইসলাম</v>
      </c>
      <c r="D240" s="5" t="str">
        <f>IFERROR(__xludf.DUMMYFUNCTION("""COMPUTED_VALUE"""),"ভোটার নং: ৫৭০০৩৮৩৫৬৭১৬")</f>
        <v>ভোটার নং: ৫৭০০৩৮৩৫৬৭১৬</v>
      </c>
      <c r="E240" s="5" t="str">
        <f>IFERROR(__xludf.DUMMYFUNCTION("""COMPUTED_VALUE"""),"পিতা: মো: আব্দুল খালেক")</f>
        <v>পিতা: মো: আব্দুল খালেক</v>
      </c>
      <c r="F240" s="5" t="str">
        <f>IFERROR(__xludf.DUMMYFUNCTION("""COMPUTED_VALUE"""),"মাতা: মোছা: সাহিদা খাতুন")</f>
        <v>মাতা: মোছা: সাহিদা খাতুন</v>
      </c>
      <c r="G240" s="5" t="str">
        <f>IFERROR(__xludf.DUMMYFUNCTION("""COMPUTED_VALUE"""),"জন্ম তারিখ: ১২/০৩/১৯৬৫")</f>
        <v>জন্ম তারিখ: ১২/০৩/১৯৬৫</v>
      </c>
      <c r="H240" s="5" t="str">
        <f>IFERROR(__xludf.DUMMYFUNCTION("""COMPUTED_VALUE"""),"পেশা: কৃষক")</f>
        <v>পেশা: কৃষক</v>
      </c>
      <c r="I240" s="5" t="str">
        <f>IFERROR(__xludf.DUMMYFUNCTION("""COMPUTED_VALUE"""),"ঠিকানা: গাড়াবোব")</f>
        <v>ঠিকানা: গাড়াবোব</v>
      </c>
      <c r="J240" s="5" t="str">
        <f>IFERROR(__xludf.DUMMYFUNCTION("""COMPUTED_VALUE""")," গাংনী")</f>
        <v> গাংনী</v>
      </c>
      <c r="K240" s="5" t="str">
        <f>IFERROR(__xludf.DUMMYFUNCTION("""COMPUTED_VALUE""")," মেহেরপুর")</f>
        <v> মেহেরপুর</v>
      </c>
    </row>
    <row r="241">
      <c r="A241" s="7" t="s">
        <v>7393</v>
      </c>
      <c r="B241" s="5">
        <f>IFERROR(__xludf.DUMMYFUNCTION("SPLIT(A241,"","")"),1513.0)</f>
        <v>1513</v>
      </c>
      <c r="C241" s="5" t="str">
        <f>IFERROR(__xludf.DUMMYFUNCTION("""COMPUTED_VALUE"""),"নাম: মো: আক্কাচ আলী")</f>
        <v>নাম: মো: আক্কাচ আলী</v>
      </c>
      <c r="D241" s="5" t="str">
        <f>IFERROR(__xludf.DUMMYFUNCTION("""COMPUTED_VALUE"""),"ভোটার নং: ৫৭০০৩৮৩৫৬৭২১")</f>
        <v>ভোটার নং: ৫৭০০৩৮৩৫৬৭২১</v>
      </c>
      <c r="E241" s="5" t="str">
        <f>IFERROR(__xludf.DUMMYFUNCTION("""COMPUTED_VALUE"""),"পিতা: আজগার আলী")</f>
        <v>পিতা: আজগার আলী</v>
      </c>
      <c r="F241" s="5" t="str">
        <f>IFERROR(__xludf.DUMMYFUNCTION("""COMPUTED_VALUE"""),"মাতা: মোছা: আছিয়া খাতুন")</f>
        <v>মাতা: মোছা: আছিয়া খাতুন</v>
      </c>
      <c r="G241" s="5" t="str">
        <f>IFERROR(__xludf.DUMMYFUNCTION("""COMPUTED_VALUE"""),"জন্ম তারিখ: ২৩/০৯/১৯৬০")</f>
        <v>জন্ম তারিখ: ২৩/০৯/১৯৬০</v>
      </c>
      <c r="H241" s="5" t="str">
        <f>IFERROR(__xludf.DUMMYFUNCTION("""COMPUTED_VALUE"""),"পেশা: শ্রমিক")</f>
        <v>পেশা: শ্রমিক</v>
      </c>
      <c r="I241" s="5" t="str">
        <f>IFERROR(__xludf.DUMMYFUNCTION("""COMPUTED_VALUE"""),"ঠিকানা: গাড়াবোব")</f>
        <v>ঠিকানা: গাড়াবোব</v>
      </c>
      <c r="J241" s="5" t="str">
        <f>IFERROR(__xludf.DUMMYFUNCTION("""COMPUTED_VALUE""")," গাংনী")</f>
        <v> গাংনী</v>
      </c>
      <c r="K241" s="5" t="str">
        <f>IFERROR(__xludf.DUMMYFUNCTION("""COMPUTED_VALUE""")," মেহেরপুর")</f>
        <v> মেহেরপুর</v>
      </c>
    </row>
    <row r="242">
      <c r="A242" s="7" t="s">
        <v>7394</v>
      </c>
      <c r="B242" s="5">
        <f>IFERROR(__xludf.DUMMYFUNCTION("SPLIT(A242,"","")"),1514.0)</f>
        <v>1514</v>
      </c>
      <c r="C242" s="5" t="str">
        <f>IFERROR(__xludf.DUMMYFUNCTION("""COMPUTED_VALUE"""),"নাম: মো: আনিছুর রহমান")</f>
        <v>নাম: মো: আনিছুর রহমান</v>
      </c>
      <c r="D242" s="5" t="str">
        <f>IFERROR(__xludf.DUMMYFUNCTION("""COMPUTED_VALUE"""),"ভোটার নং: ৫৭০০৩৮৩৫৬৭২৪")</f>
        <v>ভোটার নং: ৫৭০০৩৮৩৫৬৭২৪</v>
      </c>
      <c r="E242" s="5" t="str">
        <f>IFERROR(__xludf.DUMMYFUNCTION("""COMPUTED_VALUE"""),"পিতা: হেকমত শেখ")</f>
        <v>পিতা: হেকমত শেখ</v>
      </c>
      <c r="F242" s="5" t="str">
        <f>IFERROR(__xludf.DUMMYFUNCTION("""COMPUTED_VALUE"""),"মাতা: মোছা: জহেরা বেগম")</f>
        <v>মাতা: মোছা: জহেরা বেগম</v>
      </c>
      <c r="G242" s="5" t="str">
        <f>IFERROR(__xludf.DUMMYFUNCTION("""COMPUTED_VALUE"""),"জন্ম তারিখ: ২৯/১০/১৯৬৩")</f>
        <v>জন্ম তারিখ: ২৯/১০/১৯৬৩</v>
      </c>
      <c r="H242" s="5" t="str">
        <f>IFERROR(__xludf.DUMMYFUNCTION("""COMPUTED_VALUE"""),"পেশা: কৃষক")</f>
        <v>পেশা: কৃষক</v>
      </c>
      <c r="I242" s="5" t="str">
        <f>IFERROR(__xludf.DUMMYFUNCTION("""COMPUTED_VALUE"""),"ঠিকানা: গাড়াবোব")</f>
        <v>ঠিকানা: গাড়াবোব</v>
      </c>
      <c r="J242" s="5" t="str">
        <f>IFERROR(__xludf.DUMMYFUNCTION("""COMPUTED_VALUE""")," গাংনী")</f>
        <v> গাংনী</v>
      </c>
      <c r="K242" s="5" t="str">
        <f>IFERROR(__xludf.DUMMYFUNCTION("""COMPUTED_VALUE""")," মেহেরপুর")</f>
        <v> মেহেরপুর</v>
      </c>
    </row>
    <row r="243">
      <c r="A243" s="7" t="s">
        <v>7395</v>
      </c>
      <c r="B243" s="5">
        <f>IFERROR(__xludf.DUMMYFUNCTION("SPLIT(A243,"","")"),1515.0)</f>
        <v>1515</v>
      </c>
      <c r="C243" s="5" t="str">
        <f>IFERROR(__xludf.DUMMYFUNCTION("""COMPUTED_VALUE"""),"নাম: মো: ছবেদ আলী")</f>
        <v>নাম: মো: ছবেদ আলী</v>
      </c>
      <c r="D243" s="5" t="str">
        <f>IFERROR(__xludf.DUMMYFUNCTION("""COMPUTED_VALUE"""),"ভোটার নং: ৫৭০০৩৮৩৫৬৭২৮")</f>
        <v>ভোটার নং: ৫৭০০৩৮৩৫৬৭২৮</v>
      </c>
      <c r="E243" s="5" t="str">
        <f>IFERROR(__xludf.DUMMYFUNCTION("""COMPUTED_VALUE"""),"পিতা: ছাদের আলী")</f>
        <v>পিতা: ছাদের আলী</v>
      </c>
      <c r="F243" s="5" t="str">
        <f>IFERROR(__xludf.DUMMYFUNCTION("""COMPUTED_VALUE"""),"মাতা: হায়রুন নেছা")</f>
        <v>মাতা: হায়রুন নেছা</v>
      </c>
      <c r="G243" s="5" t="str">
        <f>IFERROR(__xludf.DUMMYFUNCTION("""COMPUTED_VALUE"""),"জন্ম তারিখ: ১৭/০৭/১৯৪৮")</f>
        <v>জন্ম তারিখ: ১৭/০৭/১৯৪৮</v>
      </c>
      <c r="H243" s="5" t="str">
        <f>IFERROR(__xludf.DUMMYFUNCTION("""COMPUTED_VALUE"""),"পেশা: কৃষক")</f>
        <v>পেশা: কৃষক</v>
      </c>
      <c r="I243" s="5" t="str">
        <f>IFERROR(__xludf.DUMMYFUNCTION("""COMPUTED_VALUE"""),"ঠিকানা: গাড়াবোব")</f>
        <v>ঠিকানা: গাড়াবোব</v>
      </c>
      <c r="J243" s="5" t="str">
        <f>IFERROR(__xludf.DUMMYFUNCTION("""COMPUTED_VALUE""")," গাংনী")</f>
        <v> গাংনী</v>
      </c>
      <c r="K243" s="5" t="str">
        <f>IFERROR(__xludf.DUMMYFUNCTION("""COMPUTED_VALUE""")," মেহেরপুর")</f>
        <v> মেহেরপুর</v>
      </c>
    </row>
    <row r="244">
      <c r="A244" s="7" t="s">
        <v>7396</v>
      </c>
      <c r="B244" s="5">
        <f>IFERROR(__xludf.DUMMYFUNCTION("SPLIT(A244,"","")"),1516.0)</f>
        <v>1516</v>
      </c>
      <c r="C244" s="5" t="str">
        <f>IFERROR(__xludf.DUMMYFUNCTION("""COMPUTED_VALUE"""),"নাম: মো: আওলাদ হোসেন")</f>
        <v>নাম: মো: আওলাদ হোসেন</v>
      </c>
      <c r="D244" s="5" t="str">
        <f>IFERROR(__xludf.DUMMYFUNCTION("""COMPUTED_VALUE"""),"ভোটার নং: ৫৭০০৩৮৩৫৬৭৩০")</f>
        <v>ভোটার নং: ৫৭০০৩৮৩৫৬৭৩০</v>
      </c>
      <c r="E244" s="5" t="str">
        <f>IFERROR(__xludf.DUMMYFUNCTION("""COMPUTED_VALUE"""),"পিতা: শুকুর আলী")</f>
        <v>পিতা: শুকুর আলী</v>
      </c>
      <c r="F244" s="5" t="str">
        <f>IFERROR(__xludf.DUMMYFUNCTION("""COMPUTED_VALUE"""),"মাতা: মোছা: জবেদা খাতুন")</f>
        <v>মাতা: মোছা: জবেদা খাতুন</v>
      </c>
      <c r="G244" s="5" t="str">
        <f>IFERROR(__xludf.DUMMYFUNCTION("""COMPUTED_VALUE"""),"জন্ম তারিখ: ১৯/০২/১৯৬৮")</f>
        <v>জন্ম তারিখ: ১৯/০২/১৯৬৮</v>
      </c>
      <c r="H244" s="5" t="str">
        <f>IFERROR(__xludf.DUMMYFUNCTION("""COMPUTED_VALUE"""),"পেশা: কৃষক")</f>
        <v>পেশা: কৃষক</v>
      </c>
      <c r="I244" s="5" t="str">
        <f>IFERROR(__xludf.DUMMYFUNCTION("""COMPUTED_VALUE"""),"ঠিকানা: গাড়াবোব")</f>
        <v>ঠিকানা: গাড়াবোব</v>
      </c>
      <c r="J244" s="5" t="str">
        <f>IFERROR(__xludf.DUMMYFUNCTION("""COMPUTED_VALUE""")," গাংনী")</f>
        <v> গাংনী</v>
      </c>
      <c r="K244" s="5" t="str">
        <f>IFERROR(__xludf.DUMMYFUNCTION("""COMPUTED_VALUE""")," মেহেরপুর")</f>
        <v> মেহেরপুর</v>
      </c>
    </row>
    <row r="245">
      <c r="A245" s="7" t="s">
        <v>7397</v>
      </c>
      <c r="B245" s="5">
        <f>IFERROR(__xludf.DUMMYFUNCTION("SPLIT(A245,"","")"),1517.0)</f>
        <v>1517</v>
      </c>
      <c r="C245" s="5" t="str">
        <f>IFERROR(__xludf.DUMMYFUNCTION("""COMPUTED_VALUE"""),"নাম: মোহা: মহসীন আলী")</f>
        <v>নাম: মোহা: মহসীন আলী</v>
      </c>
      <c r="D245" s="5" t="str">
        <f>IFERROR(__xludf.DUMMYFUNCTION("""COMPUTED_VALUE"""),"ভোটার নং: ৫৭০০৩৮৩৫৬৭৩৪")</f>
        <v>ভোটার নং: ৫৭০০৩৮৩৫৬৭৩৪</v>
      </c>
      <c r="E245" s="5" t="str">
        <f>IFERROR(__xludf.DUMMYFUNCTION("""COMPUTED_VALUE"""),"পিতা: শুকুর আলী")</f>
        <v>পিতা: শুকুর আলী</v>
      </c>
      <c r="F245" s="5" t="str">
        <f>IFERROR(__xludf.DUMMYFUNCTION("""COMPUTED_VALUE"""),"মাতা: মোছা: জবেদা খাতুন")</f>
        <v>মাতা: মোছা: জবেদা খাতুন</v>
      </c>
      <c r="G245" s="5" t="str">
        <f>IFERROR(__xludf.DUMMYFUNCTION("""COMPUTED_VALUE"""),"জন্ম তারিখ: ২৬/০২/১৯৭৭")</f>
        <v>জন্ম তারিখ: ২৬/০২/১৯৭৭</v>
      </c>
      <c r="H245" s="5" t="str">
        <f>IFERROR(__xludf.DUMMYFUNCTION("""COMPUTED_VALUE"""),"পেশা: কৃষক")</f>
        <v>পেশা: কৃষক</v>
      </c>
      <c r="I245" s="5" t="str">
        <f>IFERROR(__xludf.DUMMYFUNCTION("""COMPUTED_VALUE"""),"ঠিকানা: গাড়াবোব")</f>
        <v>ঠিকানা: গাড়াবোব</v>
      </c>
      <c r="J245" s="5" t="str">
        <f>IFERROR(__xludf.DUMMYFUNCTION("""COMPUTED_VALUE""")," গাংনী")</f>
        <v> গাংনী</v>
      </c>
      <c r="K245" s="5" t="str">
        <f>IFERROR(__xludf.DUMMYFUNCTION("""COMPUTED_VALUE""")," মেহেরপুর")</f>
        <v> মেহেরপুর</v>
      </c>
    </row>
    <row r="246">
      <c r="A246" s="7" t="s">
        <v>7398</v>
      </c>
      <c r="B246" s="5">
        <f>IFERROR(__xludf.DUMMYFUNCTION("SPLIT(A246,"","")"),1518.0)</f>
        <v>1518</v>
      </c>
      <c r="C246" s="5" t="str">
        <f>IFERROR(__xludf.DUMMYFUNCTION("""COMPUTED_VALUE"""),"নাম: মো: জাফর আলী")</f>
        <v>নাম: মো: জাফর আলী</v>
      </c>
      <c r="D246" s="5" t="str">
        <f>IFERROR(__xludf.DUMMYFUNCTION("""COMPUTED_VALUE"""),"ভোটার নং: ৫৭০০৩৮৩৫৬৭৩৯")</f>
        <v>ভোটার নং: ৫৭০০৩৮৩৫৬৭৩৯</v>
      </c>
      <c r="E246" s="5" t="str">
        <f>IFERROR(__xludf.DUMMYFUNCTION("""COMPUTED_VALUE"""),"পিতা: মো: আব্দুল শাফী")</f>
        <v>পিতা: মো: আব্দুল শাফী</v>
      </c>
      <c r="F246" s="5" t="str">
        <f>IFERROR(__xludf.DUMMYFUNCTION("""COMPUTED_VALUE"""),"মাতা: মোছা: বুলু নেছা")</f>
        <v>মাতা: মোছা: বুলু নেছা</v>
      </c>
      <c r="G246" s="5" t="str">
        <f>IFERROR(__xludf.DUMMYFUNCTION("""COMPUTED_VALUE"""),"জন্ম তারিখ: ১৭/০৯/১৯৮৮")</f>
        <v>জন্ম তারিখ: ১৭/০৯/১৯৮৮</v>
      </c>
      <c r="H246" s="5" t="str">
        <f>IFERROR(__xludf.DUMMYFUNCTION("""COMPUTED_VALUE"""),"পেশা: কৃষক")</f>
        <v>পেশা: কৃষক</v>
      </c>
      <c r="I246" s="5" t="str">
        <f>IFERROR(__xludf.DUMMYFUNCTION("""COMPUTED_VALUE"""),"ঠিকানা: গাড়াবোব")</f>
        <v>ঠিকানা: গাড়াবোব</v>
      </c>
      <c r="J246" s="5" t="str">
        <f>IFERROR(__xludf.DUMMYFUNCTION("""COMPUTED_VALUE""")," গাংনী")</f>
        <v> গাংনী</v>
      </c>
      <c r="K246" s="5" t="str">
        <f>IFERROR(__xludf.DUMMYFUNCTION("""COMPUTED_VALUE""")," মেহেরপুর")</f>
        <v> মেহেরপুর</v>
      </c>
    </row>
    <row r="247">
      <c r="A247" s="7" t="s">
        <v>7399</v>
      </c>
      <c r="B247" s="5">
        <f>IFERROR(__xludf.DUMMYFUNCTION("SPLIT(A247,"","")"),1519.0)</f>
        <v>1519</v>
      </c>
      <c r="C247" s="5" t="str">
        <f>IFERROR(__xludf.DUMMYFUNCTION("""COMPUTED_VALUE"""),"নাম: মো: আব্দুল গণি")</f>
        <v>নাম: মো: আব্দুল গণি</v>
      </c>
      <c r="D247" s="5" t="str">
        <f>IFERROR(__xludf.DUMMYFUNCTION("""COMPUTED_VALUE"""),"ভোটার নং: ৫৭০০৩৮৩৫৬৭৪০")</f>
        <v>ভোটার নং: ৫৭০০৩৮৩৫৬৭৪০</v>
      </c>
      <c r="E247" s="5" t="str">
        <f>IFERROR(__xludf.DUMMYFUNCTION("""COMPUTED_VALUE"""),"পিতা: মো: আব্দুল শাফী")</f>
        <v>পিতা: মো: আব্দুল শাফী</v>
      </c>
      <c r="F247" s="5" t="str">
        <f>IFERROR(__xludf.DUMMYFUNCTION("""COMPUTED_VALUE"""),"মাতা: মোছা: বুলু নেছা")</f>
        <v>মাতা: মোছা: বুলু নেছা</v>
      </c>
      <c r="G247" s="5" t="str">
        <f>IFERROR(__xludf.DUMMYFUNCTION("""COMPUTED_VALUE"""),"জন্ম তারিখ: ০২/০১/১৯৭৯")</f>
        <v>জন্ম তারিখ: ০২/০১/১৯৭৯</v>
      </c>
      <c r="H247" s="5" t="str">
        <f>IFERROR(__xludf.DUMMYFUNCTION("""COMPUTED_VALUE"""),"পেশা: ব্যবসা")</f>
        <v>পেশা: ব্যবসা</v>
      </c>
      <c r="I247" s="5" t="str">
        <f>IFERROR(__xludf.DUMMYFUNCTION("""COMPUTED_VALUE"""),"ঠিকানা: গাড়াবোব")</f>
        <v>ঠিকানা: গাড়াবোব</v>
      </c>
      <c r="J247" s="5" t="str">
        <f>IFERROR(__xludf.DUMMYFUNCTION("""COMPUTED_VALUE""")," গাংনী")</f>
        <v> গাংনী</v>
      </c>
      <c r="K247" s="5" t="str">
        <f>IFERROR(__xludf.DUMMYFUNCTION("""COMPUTED_VALUE""")," মেহেরপুর")</f>
        <v> মেহেরপুর</v>
      </c>
    </row>
    <row r="248">
      <c r="A248" s="7" t="s">
        <v>7400</v>
      </c>
      <c r="B248" s="5">
        <f>IFERROR(__xludf.DUMMYFUNCTION("SPLIT(A248,"","")"),1520.0)</f>
        <v>1520</v>
      </c>
      <c r="C248" s="5" t="str">
        <f>IFERROR(__xludf.DUMMYFUNCTION("""COMPUTED_VALUE"""),"নাম: মো: তৌহিদুল ইসলাম")</f>
        <v>নাম: মো: তৌহিদুল ইসলাম</v>
      </c>
      <c r="D248" s="5" t="str">
        <f>IFERROR(__xludf.DUMMYFUNCTION("""COMPUTED_VALUE"""),"ভোটার নং: ৫৭০০৩৮৩৫৬৭৬০")</f>
        <v>ভোটার নং: ৫৭০০৩৮৩৫৬৭৬০</v>
      </c>
      <c r="E248" s="5" t="str">
        <f>IFERROR(__xludf.DUMMYFUNCTION("""COMPUTED_VALUE"""),"পিতা: মো: আবুল হোসেন")</f>
        <v>পিতা: মো: আবুল হোসেন</v>
      </c>
      <c r="F248" s="5" t="str">
        <f>IFERROR(__xludf.DUMMYFUNCTION("""COMPUTED_VALUE"""),"মাতা: মোছা: তহুরা খাতুন")</f>
        <v>মাতা: মোছা: তহুরা খাতুন</v>
      </c>
      <c r="G248" s="5" t="str">
        <f>IFERROR(__xludf.DUMMYFUNCTION("""COMPUTED_VALUE"""),"জন্ম তারিখ: ১৯/০৩/১৯৮৫")</f>
        <v>জন্ম তারিখ: ১৯/০৩/১৯৮৫</v>
      </c>
      <c r="H248" s="5" t="str">
        <f>IFERROR(__xludf.DUMMYFUNCTION("""COMPUTED_VALUE"""),"পেশা: কৃষক")</f>
        <v>পেশা: কৃষক</v>
      </c>
      <c r="I248" s="5" t="str">
        <f>IFERROR(__xludf.DUMMYFUNCTION("""COMPUTED_VALUE"""),"ঠিকানা: গাড়াবোব")</f>
        <v>ঠিকানা: গাড়াবোব</v>
      </c>
      <c r="J248" s="5" t="str">
        <f>IFERROR(__xludf.DUMMYFUNCTION("""COMPUTED_VALUE""")," গাংনী")</f>
        <v> গাংনী</v>
      </c>
      <c r="K248" s="5" t="str">
        <f>IFERROR(__xludf.DUMMYFUNCTION("""COMPUTED_VALUE""")," মেহেরপুর")</f>
        <v> মেহেরপুর</v>
      </c>
    </row>
    <row r="249">
      <c r="A249" s="7" t="s">
        <v>7401</v>
      </c>
      <c r="B249" s="5">
        <f>IFERROR(__xludf.DUMMYFUNCTION("SPLIT(A249,"","")"),1521.0)</f>
        <v>1521</v>
      </c>
      <c r="C249" s="5" t="str">
        <f>IFERROR(__xludf.DUMMYFUNCTION("""COMPUTED_VALUE"""),"নাম: মো: ফিরোজ আলী")</f>
        <v>নাম: মো: ফিরোজ আলী</v>
      </c>
      <c r="D249" s="5" t="str">
        <f>IFERROR(__xludf.DUMMYFUNCTION("""COMPUTED_VALUE"""),"ভোটার নং: ৫৭০০৩৮৩৫৬৭৬১")</f>
        <v>ভোটার নং: ৫৭০০৩৮৩৫৬৭৬১</v>
      </c>
      <c r="E249" s="5" t="str">
        <f>IFERROR(__xludf.DUMMYFUNCTION("""COMPUTED_VALUE"""),"পিতা: আজগার আলী")</f>
        <v>পিতা: আজগার আলী</v>
      </c>
      <c r="F249" s="5" t="str">
        <f>IFERROR(__xludf.DUMMYFUNCTION("""COMPUTED_VALUE"""),"মাতা: মোছা: আছিয়া বেগম")</f>
        <v>মাতা: মোছা: আছিয়া বেগম</v>
      </c>
      <c r="G249" s="5" t="str">
        <f>IFERROR(__xludf.DUMMYFUNCTION("""COMPUTED_VALUE"""),"জন্ম তারিখ: ২৫/০৫/১৯৭০")</f>
        <v>জন্ম তারিখ: ২৫/০৫/১৯৭০</v>
      </c>
      <c r="H249" s="5" t="str">
        <f>IFERROR(__xludf.DUMMYFUNCTION("""COMPUTED_VALUE"""),"পেশা: শ্রমিক")</f>
        <v>পেশা: শ্রমিক</v>
      </c>
      <c r="I249" s="5" t="str">
        <f>IFERROR(__xludf.DUMMYFUNCTION("""COMPUTED_VALUE"""),"ঠিকানা: গাড়াবোব")</f>
        <v>ঠিকানা: গাড়াবোব</v>
      </c>
      <c r="J249" s="5" t="str">
        <f>IFERROR(__xludf.DUMMYFUNCTION("""COMPUTED_VALUE""")," গাংনী")</f>
        <v> গাংনী</v>
      </c>
      <c r="K249" s="5" t="str">
        <f>IFERROR(__xludf.DUMMYFUNCTION("""COMPUTED_VALUE""")," মেহেরপুর")</f>
        <v> মেহেরপুর</v>
      </c>
    </row>
    <row r="250">
      <c r="A250" s="7" t="s">
        <v>7402</v>
      </c>
      <c r="B250" s="5">
        <f>IFERROR(__xludf.DUMMYFUNCTION("SPLIT(A250,"","")"),1522.0)</f>
        <v>1522</v>
      </c>
      <c r="C250" s="5" t="str">
        <f>IFERROR(__xludf.DUMMYFUNCTION("""COMPUTED_VALUE"""),"নাম: মো: আলী হোসেন")</f>
        <v>নাম: মো: আলী হোসেন</v>
      </c>
      <c r="D250" s="5" t="str">
        <f>IFERROR(__xludf.DUMMYFUNCTION("""COMPUTED_VALUE"""),"ভোটার নং: ৫৭০০৩৮৩৫৬৭৬৫")</f>
        <v>ভোটার নং: ৫৭০০৩৮৩৫৬৭৬৫</v>
      </c>
      <c r="E250" s="5" t="str">
        <f>IFERROR(__xludf.DUMMYFUNCTION("""COMPUTED_VALUE"""),"পিতা: শুকুর আলী")</f>
        <v>পিতা: শুকুর আলী</v>
      </c>
      <c r="F250" s="5" t="str">
        <f>IFERROR(__xludf.DUMMYFUNCTION("""COMPUTED_VALUE"""),"মাতা: মোছা: জবেদা খাতুন")</f>
        <v>মাতা: মোছা: জবেদা খাতুন</v>
      </c>
      <c r="G250" s="5" t="str">
        <f>IFERROR(__xludf.DUMMYFUNCTION("""COMPUTED_VALUE"""),"জন্ম তারিখ: ০৫/০৩/১৯৬৯")</f>
        <v>জন্ম তারিখ: ০৫/০৩/১৯৬৯</v>
      </c>
      <c r="H250" s="5" t="str">
        <f>IFERROR(__xludf.DUMMYFUNCTION("""COMPUTED_VALUE"""),"পেশা: কৃষক")</f>
        <v>পেশা: কৃষক</v>
      </c>
      <c r="I250" s="5" t="str">
        <f>IFERROR(__xludf.DUMMYFUNCTION("""COMPUTED_VALUE"""),"ঠিকানা: গাড়াবোব")</f>
        <v>ঠিকানা: গাড়াবোব</v>
      </c>
      <c r="J250" s="5" t="str">
        <f>IFERROR(__xludf.DUMMYFUNCTION("""COMPUTED_VALUE""")," গাংনী")</f>
        <v> গাংনী</v>
      </c>
      <c r="K250" s="5" t="str">
        <f>IFERROR(__xludf.DUMMYFUNCTION("""COMPUTED_VALUE""")," মেহেরপুর")</f>
        <v> মেহেরপুর</v>
      </c>
    </row>
    <row r="251">
      <c r="A251" s="7" t="s">
        <v>7403</v>
      </c>
      <c r="B251" s="5">
        <f>IFERROR(__xludf.DUMMYFUNCTION("SPLIT(A251,"","")"),1523.0)</f>
        <v>1523</v>
      </c>
      <c r="C251" s="5" t="str">
        <f>IFERROR(__xludf.DUMMYFUNCTION("""COMPUTED_VALUE"""),"নাম: মো: কুদ্দুস আলী")</f>
        <v>নাম: মো: কুদ্দুস আলী</v>
      </c>
      <c r="D251" s="5" t="str">
        <f>IFERROR(__xludf.DUMMYFUNCTION("""COMPUTED_VALUE"""),"ভোটার নং: ৫৭০০৩৮৩৫৬৭৬৬")</f>
        <v>ভোটার নং: ৫৭০০৩৮৩৫৬৭৬৬</v>
      </c>
      <c r="E251" s="5" t="str">
        <f>IFERROR(__xludf.DUMMYFUNCTION("""COMPUTED_VALUE"""),"পিতা: ফকির মোহাম্মাদ")</f>
        <v>পিতা: ফকির মোহাম্মাদ</v>
      </c>
      <c r="F251" s="5" t="str">
        <f>IFERROR(__xludf.DUMMYFUNCTION("""COMPUTED_VALUE"""),"মাতা: মোছা: নবিছন নেছা")</f>
        <v>মাতা: মোছা: নবিছন নেছা</v>
      </c>
      <c r="G251" s="5" t="str">
        <f>IFERROR(__xludf.DUMMYFUNCTION("""COMPUTED_VALUE"""),"জন্ম তারিখ: ০৭/০৪/১৯৭০")</f>
        <v>জন্ম তারিখ: ০৭/০৪/১৯৭০</v>
      </c>
      <c r="H251" s="5" t="str">
        <f>IFERROR(__xludf.DUMMYFUNCTION("""COMPUTED_VALUE"""),"পেশা: কৃষক")</f>
        <v>পেশা: কৃষক</v>
      </c>
      <c r="I251" s="5" t="str">
        <f>IFERROR(__xludf.DUMMYFUNCTION("""COMPUTED_VALUE"""),"ঠিকানা: গাড়াবোব")</f>
        <v>ঠিকানা: গাড়াবোব</v>
      </c>
      <c r="J251" s="5" t="str">
        <f>IFERROR(__xludf.DUMMYFUNCTION("""COMPUTED_VALUE""")," গাংনী")</f>
        <v> গাংনী</v>
      </c>
      <c r="K251" s="5" t="str">
        <f>IFERROR(__xludf.DUMMYFUNCTION("""COMPUTED_VALUE""")," মেহেরপুর")</f>
        <v> মেহেরপুর</v>
      </c>
    </row>
    <row r="252">
      <c r="A252" s="7" t="s">
        <v>7404</v>
      </c>
      <c r="B252" s="5">
        <f>IFERROR(__xludf.DUMMYFUNCTION("SPLIT(A252,"","")"),1524.0)</f>
        <v>1524</v>
      </c>
      <c r="C252" s="5" t="str">
        <f>IFERROR(__xludf.DUMMYFUNCTION("""COMPUTED_VALUE"""),"নাম: মো: কামাল হোসেন")</f>
        <v>নাম: মো: কামাল হোসেন</v>
      </c>
      <c r="D252" s="5" t="str">
        <f>IFERROR(__xludf.DUMMYFUNCTION("""COMPUTED_VALUE"""),"ভোটার নং: ৫৭০০৩৮৩৫৬৭৬৭")</f>
        <v>ভোটার নং: ৫৭০০৩৮৩৫৬৭৬৭</v>
      </c>
      <c r="E252" s="5" t="str">
        <f>IFERROR(__xludf.DUMMYFUNCTION("""COMPUTED_VALUE"""),"পিতা: মোহা: হাশেম আলী")</f>
        <v>পিতা: মোহা: হাশেম আলী</v>
      </c>
      <c r="F252" s="5" t="str">
        <f>IFERROR(__xludf.DUMMYFUNCTION("""COMPUTED_VALUE"""),"মাতা: মোছা: জাহানারা খাতুন")</f>
        <v>মাতা: মোছা: জাহানারা খাতুন</v>
      </c>
      <c r="G252" s="5" t="str">
        <f>IFERROR(__xludf.DUMMYFUNCTION("""COMPUTED_VALUE"""),"জন্ম তারিখ: ০৬/০৫/১৯৮০")</f>
        <v>জন্ম তারিখ: ০৬/০৫/১৯৮০</v>
      </c>
      <c r="H252" s="5" t="str">
        <f>IFERROR(__xludf.DUMMYFUNCTION("""COMPUTED_VALUE"""),"পেশা: কৃষক")</f>
        <v>পেশা: কৃষক</v>
      </c>
      <c r="I252" s="5" t="str">
        <f>IFERROR(__xludf.DUMMYFUNCTION("""COMPUTED_VALUE"""),"ঠিকানা: গাড়াবোব")</f>
        <v>ঠিকানা: গাড়াবোব</v>
      </c>
      <c r="J252" s="5" t="str">
        <f>IFERROR(__xludf.DUMMYFUNCTION("""COMPUTED_VALUE""")," গাংনী")</f>
        <v> গাংনী</v>
      </c>
      <c r="K252" s="5" t="str">
        <f>IFERROR(__xludf.DUMMYFUNCTION("""COMPUTED_VALUE""")," মেহেরপুর")</f>
        <v> মেহেরপুর</v>
      </c>
    </row>
    <row r="253">
      <c r="A253" s="7" t="s">
        <v>7405</v>
      </c>
      <c r="B253" s="5">
        <f>IFERROR(__xludf.DUMMYFUNCTION("SPLIT(A253,"","")"),1525.0)</f>
        <v>1525</v>
      </c>
      <c r="C253" s="5" t="str">
        <f>IFERROR(__xludf.DUMMYFUNCTION("""COMPUTED_VALUE"""),"নাম: মোহা: কেসমত আলী")</f>
        <v>নাম: মোহা: কেসমত আলী</v>
      </c>
      <c r="D253" s="5" t="str">
        <f>IFERROR(__xludf.DUMMYFUNCTION("""COMPUTED_VALUE"""),"ভোটার নং: ৫৭০০৩৮৩৫৬৭৬৮")</f>
        <v>ভোটার নং: ৫৭০০৩৮৩৫৬৭৬৮</v>
      </c>
      <c r="E253" s="5" t="str">
        <f>IFERROR(__xludf.DUMMYFUNCTION("""COMPUTED_VALUE"""),"পিতা: ফকির মোহাম্মাদ")</f>
        <v>পিতা: ফকির মোহাম্মাদ</v>
      </c>
      <c r="F253" s="5" t="str">
        <f>IFERROR(__xludf.DUMMYFUNCTION("""COMPUTED_VALUE"""),"মাতা: মোছা: নবিছন নেছা")</f>
        <v>মাতা: মোছা: নবিছন নেছা</v>
      </c>
      <c r="G253" s="5" t="str">
        <f>IFERROR(__xludf.DUMMYFUNCTION("""COMPUTED_VALUE"""),"জন্ম তারিখ: ১২/০৪/১৯৮০")</f>
        <v>জন্ম তারিখ: ১২/০৪/১৯৮০</v>
      </c>
      <c r="H253" s="5" t="str">
        <f>IFERROR(__xludf.DUMMYFUNCTION("""COMPUTED_VALUE"""),"পেশা: শ্রমিক")</f>
        <v>পেশা: শ্রমিক</v>
      </c>
      <c r="I253" s="5" t="str">
        <f>IFERROR(__xludf.DUMMYFUNCTION("""COMPUTED_VALUE"""),"ঠিকানা: গাড়াবোব")</f>
        <v>ঠিকানা: গাড়াবোব</v>
      </c>
      <c r="J253" s="5" t="str">
        <f>IFERROR(__xludf.DUMMYFUNCTION("""COMPUTED_VALUE""")," গাংনী")</f>
        <v> গাংনী</v>
      </c>
      <c r="K253" s="5" t="str">
        <f>IFERROR(__xludf.DUMMYFUNCTION("""COMPUTED_VALUE""")," মেহেরপুর")</f>
        <v> মেহেরপুর</v>
      </c>
    </row>
    <row r="254">
      <c r="A254" s="7" t="s">
        <v>7406</v>
      </c>
      <c r="B254" s="5">
        <f>IFERROR(__xludf.DUMMYFUNCTION("SPLIT(A254,"","")"),1526.0)</f>
        <v>1526</v>
      </c>
      <c r="C254" s="5" t="str">
        <f>IFERROR(__xludf.DUMMYFUNCTION("""COMPUTED_VALUE"""),"নাম: মো: আবুল হোসেন")</f>
        <v>নাম: মো: আবুল হোসেন</v>
      </c>
      <c r="D254" s="5" t="str">
        <f>IFERROR(__xludf.DUMMYFUNCTION("""COMPUTED_VALUE"""),"ভোটার নং: ৫৭০০৩৮৩৫৬৭৬৯")</f>
        <v>ভোটার নং: ৫৭০০৩৮৩৫৬৭৬৯</v>
      </c>
      <c r="E254" s="5" t="str">
        <f>IFERROR(__xludf.DUMMYFUNCTION("""COMPUTED_VALUE"""),"পিতা: মোহা: নুর মোহাম্মাদ")</f>
        <v>পিতা: মোহা: নুর মোহাম্মাদ</v>
      </c>
      <c r="F254" s="5" t="str">
        <f>IFERROR(__xludf.DUMMYFUNCTION("""COMPUTED_VALUE"""),"মাতা: মোছা: জাকিমন খাতুন")</f>
        <v>মাতা: মোছা: জাকিমন খাতুন</v>
      </c>
      <c r="G254" s="5" t="str">
        <f>IFERROR(__xludf.DUMMYFUNCTION("""COMPUTED_VALUE"""),"জন্ম তারিখ: ২২/০৭/১৯৪৬")</f>
        <v>জন্ম তারিখ: ২২/০৭/১৯৪৬</v>
      </c>
      <c r="H254" s="5" t="str">
        <f>IFERROR(__xludf.DUMMYFUNCTION("""COMPUTED_VALUE"""),"পেশা: কৃষক")</f>
        <v>পেশা: কৃষক</v>
      </c>
      <c r="I254" s="5" t="str">
        <f>IFERROR(__xludf.DUMMYFUNCTION("""COMPUTED_VALUE"""),"ঠিকানা: গাড়াবোব")</f>
        <v>ঠিকানা: গাড়াবোব</v>
      </c>
      <c r="J254" s="5" t="str">
        <f>IFERROR(__xludf.DUMMYFUNCTION("""COMPUTED_VALUE""")," গাংনী")</f>
        <v> গাংনী</v>
      </c>
      <c r="K254" s="5" t="str">
        <f>IFERROR(__xludf.DUMMYFUNCTION("""COMPUTED_VALUE""")," মেহেরপুর")</f>
        <v> মেহেরপুর</v>
      </c>
    </row>
    <row r="255">
      <c r="A255" s="7" t="s">
        <v>7407</v>
      </c>
      <c r="B255" s="5">
        <f>IFERROR(__xludf.DUMMYFUNCTION("SPLIT(A255,"","")"),1527.0)</f>
        <v>1527</v>
      </c>
      <c r="C255" s="5" t="str">
        <f>IFERROR(__xludf.DUMMYFUNCTION("""COMPUTED_VALUE"""),"নাম: মো: হাশেম আলী")</f>
        <v>নাম: মো: হাশেম আলী</v>
      </c>
      <c r="D255" s="5" t="str">
        <f>IFERROR(__xludf.DUMMYFUNCTION("""COMPUTED_VALUE"""),"ভোটার নং: ৫৭০০৩৮৩৫৬৭৭০")</f>
        <v>ভোটার নং: ৫৭০০৩৮৩৫৬৭৭০</v>
      </c>
      <c r="E255" s="5" t="str">
        <f>IFERROR(__xludf.DUMMYFUNCTION("""COMPUTED_VALUE"""),"পিতা: মোহা: নুর মোহাম্মাদ")</f>
        <v>পিতা: মোহা: নুর মোহাম্মাদ</v>
      </c>
      <c r="F255" s="5" t="str">
        <f>IFERROR(__xludf.DUMMYFUNCTION("""COMPUTED_VALUE"""),"মাতা: মোছা: জকিমন নেছা")</f>
        <v>মাতা: মোছা: জকিমন নেছা</v>
      </c>
      <c r="G255" s="5" t="str">
        <f>IFERROR(__xludf.DUMMYFUNCTION("""COMPUTED_VALUE"""),"জন্ম তারিখ: ১৮/০৯/১৯৬০")</f>
        <v>জন্ম তারিখ: ১৮/০৯/১৯৬০</v>
      </c>
      <c r="H255" s="5" t="str">
        <f>IFERROR(__xludf.DUMMYFUNCTION("""COMPUTED_VALUE"""),"পেশা: কৃষক")</f>
        <v>পেশা: কৃষক</v>
      </c>
      <c r="I255" s="5" t="str">
        <f>IFERROR(__xludf.DUMMYFUNCTION("""COMPUTED_VALUE"""),"ঠিকানা: গাড়াবোব")</f>
        <v>ঠিকানা: গাড়াবোব</v>
      </c>
      <c r="J255" s="5" t="str">
        <f>IFERROR(__xludf.DUMMYFUNCTION("""COMPUTED_VALUE""")," গাংনী")</f>
        <v> গাংনী</v>
      </c>
      <c r="K255" s="5" t="str">
        <f>IFERROR(__xludf.DUMMYFUNCTION("""COMPUTED_VALUE""")," মেহেরপুর")</f>
        <v> মেহেরপুর</v>
      </c>
    </row>
    <row r="256">
      <c r="A256" s="7" t="s">
        <v>7408</v>
      </c>
      <c r="B256" s="5">
        <f>IFERROR(__xludf.DUMMYFUNCTION("SPLIT(A256,"","")"),1528.0)</f>
        <v>1528</v>
      </c>
      <c r="C256" s="5" t="str">
        <f>IFERROR(__xludf.DUMMYFUNCTION("""COMPUTED_VALUE"""),"নাম: মো: আবুল হোসেন")</f>
        <v>নাম: মো: আবুল হোসেন</v>
      </c>
      <c r="D256" s="5" t="str">
        <f>IFERROR(__xludf.DUMMYFUNCTION("""COMPUTED_VALUE"""),"ভোটার নং: ৫৭০০৩৮৩৫৬৭৭৩")</f>
        <v>ভোটার নং: ৫৭০০৩৮৩৫৬৭৭৩</v>
      </c>
      <c r="E256" s="5" t="str">
        <f>IFERROR(__xludf.DUMMYFUNCTION("""COMPUTED_VALUE"""),"পিতা: মো: জহুর আলী")</f>
        <v>পিতা: মো: জহুর আলী</v>
      </c>
      <c r="F256" s="5" t="str">
        <f>IFERROR(__xludf.DUMMYFUNCTION("""COMPUTED_VALUE"""),"মাতা: মোছা: গণ বিবি")</f>
        <v>মাতা: মোছা: গণ বিবি</v>
      </c>
      <c r="G256" s="5" t="str">
        <f>IFERROR(__xludf.DUMMYFUNCTION("""COMPUTED_VALUE"""),"জন্ম তারিখ: ১৬/০২/১৯৬০")</f>
        <v>জন্ম তারিখ: ১৬/০২/১৯৬০</v>
      </c>
      <c r="H256" s="5" t="str">
        <f>IFERROR(__xludf.DUMMYFUNCTION("""COMPUTED_VALUE"""),"পেশা: কৃষক")</f>
        <v>পেশা: কৃষক</v>
      </c>
      <c r="I256" s="5" t="str">
        <f>IFERROR(__xludf.DUMMYFUNCTION("""COMPUTED_VALUE"""),"ঠিকানা: গাড়াবোব")</f>
        <v>ঠিকানা: গাড়াবোব</v>
      </c>
      <c r="J256" s="5" t="str">
        <f>IFERROR(__xludf.DUMMYFUNCTION("""COMPUTED_VALUE""")," গাংনী")</f>
        <v> গাংনী</v>
      </c>
      <c r="K256" s="5" t="str">
        <f>IFERROR(__xludf.DUMMYFUNCTION("""COMPUTED_VALUE""")," মেহেরপুর")</f>
        <v> মেহেরপুর</v>
      </c>
    </row>
    <row r="257">
      <c r="A257" s="7" t="s">
        <v>7409</v>
      </c>
      <c r="B257" s="5">
        <f>IFERROR(__xludf.DUMMYFUNCTION("SPLIT(A257,"","")"),1529.0)</f>
        <v>1529</v>
      </c>
      <c r="C257" s="5" t="str">
        <f>IFERROR(__xludf.DUMMYFUNCTION("""COMPUTED_VALUE"""),"নাম: মো: আবুল হোসেন")</f>
        <v>নাম: মো: আবুল হোসেন</v>
      </c>
      <c r="D257" s="5" t="str">
        <f>IFERROR(__xludf.DUMMYFUNCTION("""COMPUTED_VALUE"""),"ভোটার নং: ৫৭০০৩৮৩৫৬৭৮১")</f>
        <v>ভোটার নং: ৫৭০০৩৮৩৫৬৭৮১</v>
      </c>
      <c r="E257" s="5" t="str">
        <f>IFERROR(__xludf.DUMMYFUNCTION("""COMPUTED_VALUE"""),"পিতা: সৈয়দ আলী শেখ")</f>
        <v>পিতা: সৈয়দ আলী শেখ</v>
      </c>
      <c r="F257" s="5" t="str">
        <f>IFERROR(__xludf.DUMMYFUNCTION("""COMPUTED_VALUE"""),"মাতা: মোছা: জোহরা খাতুন")</f>
        <v>মাতা: মোছা: জোহরা খাতুন</v>
      </c>
      <c r="G257" s="5" t="str">
        <f>IFERROR(__xludf.DUMMYFUNCTION("""COMPUTED_VALUE"""),"জন্ম তারিখ: ১১/০৩/১৯৫৭")</f>
        <v>জন্ম তারিখ: ১১/০৩/১৯৫৭</v>
      </c>
      <c r="H257" s="5" t="str">
        <f>IFERROR(__xludf.DUMMYFUNCTION("""COMPUTED_VALUE"""),"পেশা: কৃষক")</f>
        <v>পেশা: কৃষক</v>
      </c>
      <c r="I257" s="5" t="str">
        <f>IFERROR(__xludf.DUMMYFUNCTION("""COMPUTED_VALUE"""),"ঠিকানা: গাড়াবোব")</f>
        <v>ঠিকানা: গাড়াবোব</v>
      </c>
      <c r="J257" s="5" t="str">
        <f>IFERROR(__xludf.DUMMYFUNCTION("""COMPUTED_VALUE""")," গাংনী")</f>
        <v> গাংনী</v>
      </c>
      <c r="K257" s="5" t="str">
        <f>IFERROR(__xludf.DUMMYFUNCTION("""COMPUTED_VALUE""")," মেহেরপুর")</f>
        <v> মেহেরপুর</v>
      </c>
    </row>
    <row r="258">
      <c r="A258" s="7" t="s">
        <v>7410</v>
      </c>
      <c r="B258" s="5">
        <f>IFERROR(__xludf.DUMMYFUNCTION("SPLIT(A258,"","")"),1530.0)</f>
        <v>1530</v>
      </c>
      <c r="C258" s="5" t="str">
        <f>IFERROR(__xludf.DUMMYFUNCTION("""COMPUTED_VALUE"""),"নাম: মো: কাওছার আলী")</f>
        <v>নাম: মো: কাওছার আলী</v>
      </c>
      <c r="D258" s="5" t="str">
        <f>IFERROR(__xludf.DUMMYFUNCTION("""COMPUTED_VALUE"""),"ভোটার নং: ৫৭০০৩৮৩৫৬৭৮২")</f>
        <v>ভোটার নং: ৫৭০০৩৮৩৫৬৭৮২</v>
      </c>
      <c r="E258" s="5" t="str">
        <f>IFERROR(__xludf.DUMMYFUNCTION("""COMPUTED_VALUE"""),"পিতা: সৈয়দ আলী")</f>
        <v>পিতা: সৈয়দ আলী</v>
      </c>
      <c r="F258" s="5" t="str">
        <f>IFERROR(__xludf.DUMMYFUNCTION("""COMPUTED_VALUE"""),"মাতা: মোছা: জোহরা খাতুন")</f>
        <v>মাতা: মোছা: জোহরা খাতুন</v>
      </c>
      <c r="G258" s="5" t="str">
        <f>IFERROR(__xludf.DUMMYFUNCTION("""COMPUTED_VALUE"""),"জন্ম তারিখ: ১২/০৬/১৯৭২")</f>
        <v>জন্ম তারিখ: ১২/০৬/১৯৭২</v>
      </c>
      <c r="H258" s="5" t="str">
        <f>IFERROR(__xludf.DUMMYFUNCTION("""COMPUTED_VALUE"""),"পেশা: শ্রমিক")</f>
        <v>পেশা: শ্রমিক</v>
      </c>
      <c r="I258" s="5" t="str">
        <f>IFERROR(__xludf.DUMMYFUNCTION("""COMPUTED_VALUE"""),"ঠিকানা: গাড়াবোব")</f>
        <v>ঠিকানা: গাড়াবোব</v>
      </c>
      <c r="J258" s="5" t="str">
        <f>IFERROR(__xludf.DUMMYFUNCTION("""COMPUTED_VALUE""")," গাংনী")</f>
        <v> গাংনী</v>
      </c>
      <c r="K258" s="5" t="str">
        <f>IFERROR(__xludf.DUMMYFUNCTION("""COMPUTED_VALUE""")," মেহেরপুর")</f>
        <v> মেহেরপুর</v>
      </c>
    </row>
    <row r="259">
      <c r="A259" s="7" t="s">
        <v>7411</v>
      </c>
      <c r="B259" s="5">
        <f>IFERROR(__xludf.DUMMYFUNCTION("SPLIT(A259,"","")"),1531.0)</f>
        <v>1531</v>
      </c>
      <c r="C259" s="5" t="str">
        <f>IFERROR(__xludf.DUMMYFUNCTION("""COMPUTED_VALUE"""),"নাম: মো: হযরত আলী")</f>
        <v>নাম: মো: হযরত আলী</v>
      </c>
      <c r="D259" s="5" t="str">
        <f>IFERROR(__xludf.DUMMYFUNCTION("""COMPUTED_VALUE"""),"ভোটার নং: ৫৭০০৩৮৩৫৬৭৮৬")</f>
        <v>ভোটার নং: ৫৭০০৩৮৩৫৬৭৮৬</v>
      </c>
      <c r="E259" s="5" t="str">
        <f>IFERROR(__xludf.DUMMYFUNCTION("""COMPUTED_VALUE"""),"পিতা: সৈয়দ আলী")</f>
        <v>পিতা: সৈয়দ আলী</v>
      </c>
      <c r="F259" s="5" t="str">
        <f>IFERROR(__xludf.DUMMYFUNCTION("""COMPUTED_VALUE"""),"মাতা: মোছা: মহিমা খাতুন")</f>
        <v>মাতা: মোছা: মহিমা খাতুন</v>
      </c>
      <c r="G259" s="5" t="str">
        <f>IFERROR(__xludf.DUMMYFUNCTION("""COMPUTED_VALUE"""),"জন্ম তারিখ: ০২/১০/১৯৭৮")</f>
        <v>জন্ম তারিখ: ০২/১০/১৯৭৮</v>
      </c>
      <c r="H259" s="5" t="str">
        <f>IFERROR(__xludf.DUMMYFUNCTION("""COMPUTED_VALUE"""),"পেশা: ব্যবসা")</f>
        <v>পেশা: ব্যবসা</v>
      </c>
      <c r="I259" s="5" t="str">
        <f>IFERROR(__xludf.DUMMYFUNCTION("""COMPUTED_VALUE"""),"ঠিকানা: গাড়াবোব")</f>
        <v>ঠিকানা: গাড়াবোব</v>
      </c>
      <c r="J259" s="5" t="str">
        <f>IFERROR(__xludf.DUMMYFUNCTION("""COMPUTED_VALUE""")," গাংনী")</f>
        <v> গাংনী</v>
      </c>
      <c r="K259" s="5" t="str">
        <f>IFERROR(__xludf.DUMMYFUNCTION("""COMPUTED_VALUE""")," মেহেরপুর")</f>
        <v> মেহেরপুর</v>
      </c>
    </row>
    <row r="260">
      <c r="A260" s="7" t="s">
        <v>7412</v>
      </c>
      <c r="B260" s="5">
        <f>IFERROR(__xludf.DUMMYFUNCTION("SPLIT(A260,"","")"),1532.0)</f>
        <v>1532</v>
      </c>
      <c r="C260" s="5" t="str">
        <f>IFERROR(__xludf.DUMMYFUNCTION("""COMPUTED_VALUE"""),"নাম: মোহা: বাবলু মিয়া")</f>
        <v>নাম: মোহা: বাবলু মিয়া</v>
      </c>
      <c r="D260" s="5" t="str">
        <f>IFERROR(__xludf.DUMMYFUNCTION("""COMPUTED_VALUE"""),"ভোটার নং: ৫৭০০৩৮৩৫৬৭৯৫")</f>
        <v>ভোটার নং: ৫৭০০৩৮৩৫৬৭৯৫</v>
      </c>
      <c r="E260" s="5" t="str">
        <f>IFERROR(__xludf.DUMMYFUNCTION("""COMPUTED_VALUE"""),"পিতা: মো: আফাজ উদ্দীন")</f>
        <v>পিতা: মো: আফাজ উদ্দীন</v>
      </c>
      <c r="F260" s="5" t="str">
        <f>IFERROR(__xludf.DUMMYFUNCTION("""COMPUTED_VALUE"""),"মাতা: মিজাতন নেছা")</f>
        <v>মাতা: মিজাতন নেছা</v>
      </c>
      <c r="G260" s="5" t="str">
        <f>IFERROR(__xludf.DUMMYFUNCTION("""COMPUTED_VALUE"""),"জন্ম তারিখ: ২৭/০৯/১৯৬৭")</f>
        <v>জন্ম তারিখ: ২৭/০৯/১৯৬৭</v>
      </c>
      <c r="H260" s="5" t="str">
        <f>IFERROR(__xludf.DUMMYFUNCTION("""COMPUTED_VALUE"""),"পেশা: শ্রমিক")</f>
        <v>পেশা: শ্রমিক</v>
      </c>
      <c r="I260" s="5" t="str">
        <f>IFERROR(__xludf.DUMMYFUNCTION("""COMPUTED_VALUE"""),"ঠিকানা: গাড়াবোব")</f>
        <v>ঠিকানা: গাড়াবোব</v>
      </c>
      <c r="J260" s="5" t="str">
        <f>IFERROR(__xludf.DUMMYFUNCTION("""COMPUTED_VALUE""")," গাংনী")</f>
        <v> গাংনী</v>
      </c>
      <c r="K260" s="5" t="str">
        <f>IFERROR(__xludf.DUMMYFUNCTION("""COMPUTED_VALUE""")," মেহেরপুর")</f>
        <v> মেহেরপুর</v>
      </c>
    </row>
    <row r="261">
      <c r="A261" s="7" t="s">
        <v>7413</v>
      </c>
      <c r="B261" s="5">
        <f>IFERROR(__xludf.DUMMYFUNCTION("SPLIT(A261,"","")"),1533.0)</f>
        <v>1533</v>
      </c>
      <c r="C261" s="5" t="str">
        <f>IFERROR(__xludf.DUMMYFUNCTION("""COMPUTED_VALUE"""),"নাম: মো: মফিজুল ইসলাম")</f>
        <v>নাম: মো: মফিজুল ইসলাম</v>
      </c>
      <c r="D261" s="5" t="str">
        <f>IFERROR(__xludf.DUMMYFUNCTION("""COMPUTED_VALUE"""),"ভোটার নং: ৫৭০০৩৮৩৫৬৭৯৬")</f>
        <v>ভোটার নং: ৫৭০০৩৮৩৫৬৭৯৬</v>
      </c>
      <c r="E261" s="5" t="str">
        <f>IFERROR(__xludf.DUMMYFUNCTION("""COMPUTED_VALUE"""),"পিতা: মো: আফাজ উদ্দীন")</f>
        <v>পিতা: মো: আফাজ উদ্দীন</v>
      </c>
      <c r="F261" s="5" t="str">
        <f>IFERROR(__xludf.DUMMYFUNCTION("""COMPUTED_VALUE"""),"মাতা: মোছা: ফুলু বেগম")</f>
        <v>মাতা: মোছা: ফুলু বেগম</v>
      </c>
      <c r="G261" s="5" t="str">
        <f>IFERROR(__xludf.DUMMYFUNCTION("""COMPUTED_VALUE"""),"জন্ম তারিখ: ১১/০৮/১৯৭৭")</f>
        <v>জন্ম তারিখ: ১১/০৮/১৯৭৭</v>
      </c>
      <c r="H261" s="5" t="str">
        <f>IFERROR(__xludf.DUMMYFUNCTION("""COMPUTED_VALUE"""),"পেশা: কৃষক")</f>
        <v>পেশা: কৃষক</v>
      </c>
      <c r="I261" s="5" t="str">
        <f>IFERROR(__xludf.DUMMYFUNCTION("""COMPUTED_VALUE"""),"ঠিকানা: গাড়াবোব")</f>
        <v>ঠিকানা: গাড়াবোব</v>
      </c>
      <c r="J261" s="5" t="str">
        <f>IFERROR(__xludf.DUMMYFUNCTION("""COMPUTED_VALUE""")," গাংনী")</f>
        <v> গাংনী</v>
      </c>
      <c r="K261" s="5" t="str">
        <f>IFERROR(__xludf.DUMMYFUNCTION("""COMPUTED_VALUE""")," মেহেরপুর")</f>
        <v> মেহেরপুর</v>
      </c>
    </row>
    <row r="262">
      <c r="A262" s="7" t="s">
        <v>7414</v>
      </c>
      <c r="B262" s="5">
        <f>IFERROR(__xludf.DUMMYFUNCTION("SPLIT(A262,"","")"),1534.0)</f>
        <v>1534</v>
      </c>
      <c r="C262" s="5" t="str">
        <f>IFERROR(__xludf.DUMMYFUNCTION("""COMPUTED_VALUE"""),"নাম: মো: শওকত আলী")</f>
        <v>নাম: মো: শওকত আলী</v>
      </c>
      <c r="D262" s="5" t="str">
        <f>IFERROR(__xludf.DUMMYFUNCTION("""COMPUTED_VALUE"""),"ভোটার নং: ৫৭০০৩৮৩৫৬৭৯৭")</f>
        <v>ভোটার নং: ৫৭০০৩৮৩৫৬৭৯৭</v>
      </c>
      <c r="E262" s="5" t="str">
        <f>IFERROR(__xludf.DUMMYFUNCTION("""COMPUTED_VALUE"""),"পিতা: মো: জহুর শেখ")</f>
        <v>পিতা: মো: জহুর শেখ</v>
      </c>
      <c r="F262" s="5" t="str">
        <f>IFERROR(__xludf.DUMMYFUNCTION("""COMPUTED_VALUE"""),"মাতা: মোছা: গোলেজান বিবি")</f>
        <v>মাতা: মোছা: গোলেজান বিবি</v>
      </c>
      <c r="G262" s="5" t="str">
        <f>IFERROR(__xludf.DUMMYFUNCTION("""COMPUTED_VALUE"""),"জন্ম তারিখ: ১৪/০৮/১৯৭৭")</f>
        <v>জন্ম তারিখ: ১৪/০৮/১৯৭৭</v>
      </c>
      <c r="H262" s="5" t="str">
        <f>IFERROR(__xludf.DUMMYFUNCTION("""COMPUTED_VALUE"""),"পেশা: কৃষক")</f>
        <v>পেশা: কৃষক</v>
      </c>
      <c r="I262" s="5" t="str">
        <f>IFERROR(__xludf.DUMMYFUNCTION("""COMPUTED_VALUE"""),"ঠিকানা: গাড়াবোব")</f>
        <v>ঠিকানা: গাড়াবোব</v>
      </c>
      <c r="J262" s="5" t="str">
        <f>IFERROR(__xludf.DUMMYFUNCTION("""COMPUTED_VALUE""")," গাংনী")</f>
        <v> গাংনী</v>
      </c>
      <c r="K262" s="5" t="str">
        <f>IFERROR(__xludf.DUMMYFUNCTION("""COMPUTED_VALUE""")," মেহেরপুর")</f>
        <v> মেহেরপুর</v>
      </c>
    </row>
    <row r="263">
      <c r="A263" s="7" t="s">
        <v>7415</v>
      </c>
      <c r="B263" s="5">
        <f>IFERROR(__xludf.DUMMYFUNCTION("SPLIT(A263,"","")"),1535.0)</f>
        <v>1535</v>
      </c>
      <c r="C263" s="5" t="str">
        <f>IFERROR(__xludf.DUMMYFUNCTION("""COMPUTED_VALUE"""),"নাম: মো: আব্দুর রহমান")</f>
        <v>নাম: মো: আব্দুর রহমান</v>
      </c>
      <c r="D263" s="5" t="str">
        <f>IFERROR(__xludf.DUMMYFUNCTION("""COMPUTED_VALUE"""),"ভোটার নং: ৫৭০০৩৮৩৫৬৭৯৮")</f>
        <v>ভোটার নং: ৫৭০০৩৮৩৫৬৭৯৮</v>
      </c>
      <c r="E263" s="5" t="str">
        <f>IFERROR(__xludf.DUMMYFUNCTION("""COMPUTED_VALUE"""),"পিতা: আব্দুল ওয়াহেদ")</f>
        <v>পিতা: আব্দুল ওয়াহেদ</v>
      </c>
      <c r="F263" s="5" t="str">
        <f>IFERROR(__xludf.DUMMYFUNCTION("""COMPUTED_VALUE"""),"মাতা: জমেলা খাতুন")</f>
        <v>মাতা: জমেলা খাতুন</v>
      </c>
      <c r="G263" s="5" t="str">
        <f>IFERROR(__xludf.DUMMYFUNCTION("""COMPUTED_VALUE"""),"জন্ম তারিখ: ২৮/০৩/১৯৪৯")</f>
        <v>জন্ম তারিখ: ২৮/০৩/১৯৪৯</v>
      </c>
      <c r="H263" s="5" t="str">
        <f>IFERROR(__xludf.DUMMYFUNCTION("""COMPUTED_VALUE"""),"পেশা: কৃষক")</f>
        <v>পেশা: কৃষক</v>
      </c>
      <c r="I263" s="5" t="str">
        <f>IFERROR(__xludf.DUMMYFUNCTION("""COMPUTED_VALUE"""),"ঠিকানা: গাড়াবোব")</f>
        <v>ঠিকানা: গাড়াবোব</v>
      </c>
      <c r="J263" s="5" t="str">
        <f>IFERROR(__xludf.DUMMYFUNCTION("""COMPUTED_VALUE""")," গাংনী")</f>
        <v> গাংনী</v>
      </c>
      <c r="K263" s="5" t="str">
        <f>IFERROR(__xludf.DUMMYFUNCTION("""COMPUTED_VALUE""")," মেহেরপুর")</f>
        <v> মেহেরপুর</v>
      </c>
    </row>
    <row r="264">
      <c r="A264" s="7" t="s">
        <v>7416</v>
      </c>
      <c r="B264" s="5">
        <f>IFERROR(__xludf.DUMMYFUNCTION("SPLIT(A264,"","")"),1536.0)</f>
        <v>1536</v>
      </c>
      <c r="C264" s="5" t="str">
        <f>IFERROR(__xludf.DUMMYFUNCTION("""COMPUTED_VALUE"""),"নাম: মো: ইয়ার আলী")</f>
        <v>নাম: মো: ইয়ার আলী</v>
      </c>
      <c r="D264" s="5" t="str">
        <f>IFERROR(__xludf.DUMMYFUNCTION("""COMPUTED_VALUE"""),"ভোটার নং: ৫৭০০৩৮৩৫৬৭৯৯")</f>
        <v>ভোটার নং: ৫৭০০৩৮৩৫৬৭৯৯</v>
      </c>
      <c r="E264" s="5" t="str">
        <f>IFERROR(__xludf.DUMMYFUNCTION("""COMPUTED_VALUE"""),"পিতা: মো: আব্দুর রহমান")</f>
        <v>পিতা: মো: আব্দুর রহমান</v>
      </c>
      <c r="F264" s="5" t="str">
        <f>IFERROR(__xludf.DUMMYFUNCTION("""COMPUTED_VALUE"""),"মাতা: মোছা: রাফিয়া খাতুন")</f>
        <v>মাতা: মোছা: রাফিয়া খাতুন</v>
      </c>
      <c r="G264" s="5" t="str">
        <f>IFERROR(__xludf.DUMMYFUNCTION("""COMPUTED_VALUE"""),"জন্ম তারিখ: ০২/০৫/১৯৭২")</f>
        <v>জন্ম তারিখ: ০২/০৫/১৯৭২</v>
      </c>
      <c r="H264" s="5" t="str">
        <f>IFERROR(__xludf.DUMMYFUNCTION("""COMPUTED_VALUE"""),"পেশা: কৃষক")</f>
        <v>পেশা: কৃষক</v>
      </c>
      <c r="I264" s="5" t="str">
        <f>IFERROR(__xludf.DUMMYFUNCTION("""COMPUTED_VALUE"""),"ঠিকানা: গাড়াবোব")</f>
        <v>ঠিকানা: গাড়াবোব</v>
      </c>
      <c r="J264" s="5" t="str">
        <f>IFERROR(__xludf.DUMMYFUNCTION("""COMPUTED_VALUE""")," গাংনী")</f>
        <v> গাংনী</v>
      </c>
      <c r="K264" s="5" t="str">
        <f>IFERROR(__xludf.DUMMYFUNCTION("""COMPUTED_VALUE""")," মেহেরপুর")</f>
        <v> মেহেরপুর</v>
      </c>
    </row>
    <row r="265">
      <c r="A265" s="7" t="s">
        <v>7417</v>
      </c>
      <c r="B265" s="5">
        <f>IFERROR(__xludf.DUMMYFUNCTION("SPLIT(A265,"","")"),1537.0)</f>
        <v>1537</v>
      </c>
      <c r="C265" s="5" t="str">
        <f>IFERROR(__xludf.DUMMYFUNCTION("""COMPUTED_VALUE"""),"নাম: মো: মল্লিক হোসেন")</f>
        <v>নাম: মো: মল্লিক হোসেন</v>
      </c>
      <c r="D265" s="5" t="str">
        <f>IFERROR(__xludf.DUMMYFUNCTION("""COMPUTED_VALUE"""),"ভোটার নং: ৫৭০০৩৮৩৫৬৮০০")</f>
        <v>ভোটার নং: ৫৭০০৩৮৩৫৬৮০০</v>
      </c>
      <c r="E265" s="5" t="str">
        <f>IFERROR(__xludf.DUMMYFUNCTION("""COMPUTED_VALUE"""),"পিতা: ইমাজ উদ্দীন")</f>
        <v>পিতা: ইমাজ উদ্দীন</v>
      </c>
      <c r="F265" s="5" t="str">
        <f>IFERROR(__xludf.DUMMYFUNCTION("""COMPUTED_VALUE"""),"মাতা: জমেলা খাতুন")</f>
        <v>মাতা: জমেলা খাতুন</v>
      </c>
      <c r="G265" s="5" t="str">
        <f>IFERROR(__xludf.DUMMYFUNCTION("""COMPUTED_VALUE"""),"জন্ম তারিখ: ২৮/০৯/১৯৫৭")</f>
        <v>জন্ম তারিখ: ২৮/০৯/১৯৫৭</v>
      </c>
      <c r="H265" s="5" t="str">
        <f>IFERROR(__xludf.DUMMYFUNCTION("""COMPUTED_VALUE"""),"পেশা: কৃষক")</f>
        <v>পেশা: কৃষক</v>
      </c>
      <c r="I265" s="5" t="str">
        <f>IFERROR(__xludf.DUMMYFUNCTION("""COMPUTED_VALUE"""),"ঠিকানা: গাড়াবোব")</f>
        <v>ঠিকানা: গাড়াবোব</v>
      </c>
      <c r="J265" s="5" t="str">
        <f>IFERROR(__xludf.DUMMYFUNCTION("""COMPUTED_VALUE""")," গাংনী")</f>
        <v> গাংনী</v>
      </c>
      <c r="K265" s="5" t="str">
        <f>IFERROR(__xludf.DUMMYFUNCTION("""COMPUTED_VALUE""")," মেহেরপুর")</f>
        <v> মেহেরপুর</v>
      </c>
    </row>
    <row r="266">
      <c r="A266" s="7" t="s">
        <v>7418</v>
      </c>
      <c r="B266" s="5">
        <f>IFERROR(__xludf.DUMMYFUNCTION("SPLIT(A266,"","")"),1538.0)</f>
        <v>1538</v>
      </c>
      <c r="C266" s="5" t="str">
        <f>IFERROR(__xludf.DUMMYFUNCTION("""COMPUTED_VALUE"""),"নাম: মো: আকবর আলী")</f>
        <v>নাম: মো: আকবর আলী</v>
      </c>
      <c r="D266" s="5" t="str">
        <f>IFERROR(__xludf.DUMMYFUNCTION("""COMPUTED_VALUE"""),"ভোটার নং: ৫৭০০৩৮৩৫৬৮০১")</f>
        <v>ভোটার নং: ৫৭০০৩৮৩৫৬৮০১</v>
      </c>
      <c r="E266" s="5" t="str">
        <f>IFERROR(__xludf.DUMMYFUNCTION("""COMPUTED_VALUE"""),"পিতা: শাফেজ উদ্দীন")</f>
        <v>পিতা: শাফেজ উদ্দীন</v>
      </c>
      <c r="F266" s="5" t="str">
        <f>IFERROR(__xludf.DUMMYFUNCTION("""COMPUTED_VALUE"""),"মাতা: মোছা: আয়েশা খাতুন")</f>
        <v>মাতা: মোছা: আয়েশা খাতুন</v>
      </c>
      <c r="G266" s="5" t="str">
        <f>IFERROR(__xludf.DUMMYFUNCTION("""COMPUTED_VALUE"""),"জন্ম তারিখ: ১১/০৭/১৯৬২")</f>
        <v>জন্ম তারিখ: ১১/০৭/১৯৬২</v>
      </c>
      <c r="H266" s="5" t="str">
        <f>IFERROR(__xludf.DUMMYFUNCTION("""COMPUTED_VALUE"""),"পেশা: কৃষক")</f>
        <v>পেশা: কৃষক</v>
      </c>
      <c r="I266" s="5" t="str">
        <f>IFERROR(__xludf.DUMMYFUNCTION("""COMPUTED_VALUE"""),"ঠিকানা: গাড়াবোব")</f>
        <v>ঠিকানা: গাড়াবোব</v>
      </c>
      <c r="J266" s="5" t="str">
        <f>IFERROR(__xludf.DUMMYFUNCTION("""COMPUTED_VALUE""")," গাংনী")</f>
        <v> গাংনী</v>
      </c>
      <c r="K266" s="5" t="str">
        <f>IFERROR(__xludf.DUMMYFUNCTION("""COMPUTED_VALUE""")," মেহেরপুর")</f>
        <v> মেহেরপুর</v>
      </c>
    </row>
    <row r="267">
      <c r="A267" s="7" t="s">
        <v>7419</v>
      </c>
      <c r="B267" s="5">
        <f>IFERROR(__xludf.DUMMYFUNCTION("SPLIT(A267,"","")"),1539.0)</f>
        <v>1539</v>
      </c>
      <c r="C267" s="5" t="str">
        <f>IFERROR(__xludf.DUMMYFUNCTION("""COMPUTED_VALUE"""),"নাম: মো: মনি মোল্লা")</f>
        <v>নাম: মো: মনি মোল্লা</v>
      </c>
      <c r="D267" s="5" t="str">
        <f>IFERROR(__xludf.DUMMYFUNCTION("""COMPUTED_VALUE"""),"ভোটার নং: ৫৭০০৩৮৩৫৬৮০২")</f>
        <v>ভোটার নং: ৫৭০০৩৮৩৫৬৮০২</v>
      </c>
      <c r="E267" s="5" t="str">
        <f>IFERROR(__xludf.DUMMYFUNCTION("""COMPUTED_VALUE"""),"পিতা: মো: শাফী")</f>
        <v>পিতা: মো: শাফী</v>
      </c>
      <c r="F267" s="5" t="str">
        <f>IFERROR(__xludf.DUMMYFUNCTION("""COMPUTED_VALUE"""),"মাতা: মোছা: বুলু খাতুন")</f>
        <v>মাতা: মোছা: বুলু খাতুন</v>
      </c>
      <c r="G267" s="5" t="str">
        <f>IFERROR(__xludf.DUMMYFUNCTION("""COMPUTED_VALUE"""),"জন্ম তারিখ: ১২/০৩/১৯৮২")</f>
        <v>জন্ম তারিখ: ১২/০৩/১৯৮২</v>
      </c>
      <c r="H267" s="5" t="str">
        <f>IFERROR(__xludf.DUMMYFUNCTION("""COMPUTED_VALUE"""),"পেশা: কৃষক")</f>
        <v>পেশা: কৃষক</v>
      </c>
      <c r="I267" s="5" t="str">
        <f>IFERROR(__xludf.DUMMYFUNCTION("""COMPUTED_VALUE"""),"ঠিকানা: গাড়াবোব")</f>
        <v>ঠিকানা: গাড়াবোব</v>
      </c>
      <c r="J267" s="5" t="str">
        <f>IFERROR(__xludf.DUMMYFUNCTION("""COMPUTED_VALUE""")," গাংনী")</f>
        <v> গাংনী</v>
      </c>
      <c r="K267" s="5" t="str">
        <f>IFERROR(__xludf.DUMMYFUNCTION("""COMPUTED_VALUE""")," মেহেরপুর")</f>
        <v> মেহেরপুর</v>
      </c>
    </row>
    <row r="268">
      <c r="A268" s="7" t="s">
        <v>7420</v>
      </c>
      <c r="B268" s="5">
        <f>IFERROR(__xludf.DUMMYFUNCTION("SPLIT(A268,"","")"),1540.0)</f>
        <v>1540</v>
      </c>
      <c r="C268" s="5" t="str">
        <f>IFERROR(__xludf.DUMMYFUNCTION("""COMPUTED_VALUE"""),"নাম: মো: আইয়ুব আলী")</f>
        <v>নাম: মো: আইয়ুব আলী</v>
      </c>
      <c r="D268" s="5" t="str">
        <f>IFERROR(__xludf.DUMMYFUNCTION("""COMPUTED_VALUE"""),"ভোটার নং: ৫৭০০৩৮৩৫৬৮০৩")</f>
        <v>ভোটার নং: ৫৭০০৩৮৩৫৬৮০৩</v>
      </c>
      <c r="E268" s="5" t="str">
        <f>IFERROR(__xludf.DUMMYFUNCTION("""COMPUTED_VALUE"""),"পিতা: ফকির মোহাম্মাদ")</f>
        <v>পিতা: ফকির মোহাম্মাদ</v>
      </c>
      <c r="F268" s="5" t="str">
        <f>IFERROR(__xludf.DUMMYFUNCTION("""COMPUTED_VALUE"""),"মাতা: মোছা: নবিছন নেছা")</f>
        <v>মাতা: মোছা: নবিছন নেছা</v>
      </c>
      <c r="G268" s="5" t="str">
        <f>IFERROR(__xludf.DUMMYFUNCTION("""COMPUTED_VALUE"""),"জন্ম তারিখ: ১২/০৮/১৯৮৭")</f>
        <v>জন্ম তারিখ: ১২/০৮/১৯৮৭</v>
      </c>
      <c r="H268" s="5" t="str">
        <f>IFERROR(__xludf.DUMMYFUNCTION("""COMPUTED_VALUE"""),"পেশা: কৃষক")</f>
        <v>পেশা: কৃষক</v>
      </c>
      <c r="I268" s="5" t="str">
        <f>IFERROR(__xludf.DUMMYFUNCTION("""COMPUTED_VALUE"""),"ঠিকানা: গাড়াবোব")</f>
        <v>ঠিকানা: গাড়াবোব</v>
      </c>
      <c r="J268" s="5" t="str">
        <f>IFERROR(__xludf.DUMMYFUNCTION("""COMPUTED_VALUE""")," গাংনী")</f>
        <v> গাংনী</v>
      </c>
      <c r="K268" s="5" t="str">
        <f>IFERROR(__xludf.DUMMYFUNCTION("""COMPUTED_VALUE""")," মেহেরপুর")</f>
        <v> মেহেরপুর</v>
      </c>
    </row>
    <row r="269">
      <c r="A269" s="7" t="s">
        <v>7421</v>
      </c>
      <c r="B269" s="5">
        <f>IFERROR(__xludf.DUMMYFUNCTION("SPLIT(A269,"","")"),1541.0)</f>
        <v>1541</v>
      </c>
      <c r="C269" s="5" t="str">
        <f>IFERROR(__xludf.DUMMYFUNCTION("""COMPUTED_VALUE"""),"নাম: মো: মেহেদুল ইসলাম")</f>
        <v>নাম: মো: মেহেদুল ইসলাম</v>
      </c>
      <c r="D269" s="5" t="str">
        <f>IFERROR(__xludf.DUMMYFUNCTION("""COMPUTED_VALUE"""),"ভোটার নং: ৫৭০০৩৮৩৫৬৮০৪")</f>
        <v>ভোটার নং: ৫৭০০৩৮৩৫৬৮০৪</v>
      </c>
      <c r="E269" s="5" t="str">
        <f>IFERROR(__xludf.DUMMYFUNCTION("""COMPUTED_VALUE"""),"পিতা: আব্দুল আজিজ")</f>
        <v>পিতা: আব্দুল আজিজ</v>
      </c>
      <c r="F269" s="5" t="str">
        <f>IFERROR(__xludf.DUMMYFUNCTION("""COMPUTED_VALUE"""),"মাতা: মোছা: মেহেরন নেছা")</f>
        <v>মাতা: মোছা: মেহেরন নেছা</v>
      </c>
      <c r="G269" s="5" t="str">
        <f>IFERROR(__xludf.DUMMYFUNCTION("""COMPUTED_VALUE"""),"জন্ম তারিখ: ০৫/০৭/১৯৭২")</f>
        <v>জন্ম তারিখ: ০৫/০৭/১৯৭২</v>
      </c>
      <c r="H269" s="5" t="str">
        <f>IFERROR(__xludf.DUMMYFUNCTION("""COMPUTED_VALUE"""),"পেশা: কৃষক")</f>
        <v>পেশা: কৃষক</v>
      </c>
      <c r="I269" s="5" t="str">
        <f>IFERROR(__xludf.DUMMYFUNCTION("""COMPUTED_VALUE"""),"ঠিকানা: গাড়াবোব")</f>
        <v>ঠিকানা: গাড়াবোব</v>
      </c>
      <c r="J269" s="5" t="str">
        <f>IFERROR(__xludf.DUMMYFUNCTION("""COMPUTED_VALUE""")," গাংনী")</f>
        <v> গাংনী</v>
      </c>
      <c r="K269" s="5" t="str">
        <f>IFERROR(__xludf.DUMMYFUNCTION("""COMPUTED_VALUE""")," মেহেরপুর")</f>
        <v> মেহেরপুর</v>
      </c>
    </row>
    <row r="270">
      <c r="A270" s="7" t="s">
        <v>7422</v>
      </c>
      <c r="B270" s="5">
        <f>IFERROR(__xludf.DUMMYFUNCTION("SPLIT(A270,"","")"),1542.0)</f>
        <v>1542</v>
      </c>
      <c r="C270" s="5" t="str">
        <f>IFERROR(__xludf.DUMMYFUNCTION("""COMPUTED_VALUE"""),"নাম: মো: শাহজাহান আলী")</f>
        <v>নাম: মো: শাহজাহান আলী</v>
      </c>
      <c r="D270" s="5" t="str">
        <f>IFERROR(__xludf.DUMMYFUNCTION("""COMPUTED_VALUE"""),"ভোটার নং: ৫৭০০৩৮৩৫৬৮০৫")</f>
        <v>ভোটার নং: ৫৭০০৩৮৩৫৬৮০৫</v>
      </c>
      <c r="E270" s="5" t="str">
        <f>IFERROR(__xludf.DUMMYFUNCTION("""COMPUTED_VALUE"""),"পিতা: মো: আকবর আলী")</f>
        <v>পিতা: মো: আকবর আলী</v>
      </c>
      <c r="F270" s="5" t="str">
        <f>IFERROR(__xludf.DUMMYFUNCTION("""COMPUTED_VALUE"""),"মাতা: মোছা: রহিমা খাতুন")</f>
        <v>মাতা: মোছা: রহিমা খাতুন</v>
      </c>
      <c r="G270" s="5" t="str">
        <f>IFERROR(__xludf.DUMMYFUNCTION("""COMPUTED_VALUE"""),"জন্ম তারিখ: ১২/০৭/১৯৮৮")</f>
        <v>জন্ম তারিখ: ১২/০৭/১৯৮৮</v>
      </c>
      <c r="H270" s="5" t="str">
        <f>IFERROR(__xludf.DUMMYFUNCTION("""COMPUTED_VALUE"""),"পেশা: কৃষক")</f>
        <v>পেশা: কৃষক</v>
      </c>
      <c r="I270" s="5" t="str">
        <f>IFERROR(__xludf.DUMMYFUNCTION("""COMPUTED_VALUE"""),"ঠিকানা: গাড়াবোব")</f>
        <v>ঠিকানা: গাড়াবোব</v>
      </c>
      <c r="J270" s="5" t="str">
        <f>IFERROR(__xludf.DUMMYFUNCTION("""COMPUTED_VALUE""")," গাংনী")</f>
        <v> গাংনী</v>
      </c>
      <c r="K270" s="5" t="str">
        <f>IFERROR(__xludf.DUMMYFUNCTION("""COMPUTED_VALUE""")," মেহেরপুর")</f>
        <v> মেহেরপুর</v>
      </c>
    </row>
    <row r="271">
      <c r="A271" s="7" t="s">
        <v>7423</v>
      </c>
      <c r="B271" s="5">
        <f>IFERROR(__xludf.DUMMYFUNCTION("SPLIT(A271,"","")"),1543.0)</f>
        <v>1543</v>
      </c>
      <c r="C271" s="5" t="str">
        <f>IFERROR(__xludf.DUMMYFUNCTION("""COMPUTED_VALUE"""),"নাম: মো: জুয়েল রানা")</f>
        <v>নাম: মো: জুয়েল রানা</v>
      </c>
      <c r="D271" s="5" t="str">
        <f>IFERROR(__xludf.DUMMYFUNCTION("""COMPUTED_VALUE"""),"ভোটার নং: ৫৭০০৩৮৩৫৬৮০৬")</f>
        <v>ভোটার নং: ৫৭০০৩৮৩৫৬৮০৬</v>
      </c>
      <c r="E271" s="5" t="str">
        <f>IFERROR(__xludf.DUMMYFUNCTION("""COMPUTED_VALUE"""),"পিতা: মো: হাশেম আলী")</f>
        <v>পিতা: মো: হাশেম আলী</v>
      </c>
      <c r="F271" s="5" t="str">
        <f>IFERROR(__xludf.DUMMYFUNCTION("""COMPUTED_VALUE"""),"মাতা: মোছা: মর্জিনা খাতুন")</f>
        <v>মাতা: মোছা: মর্জিনা খাতুন</v>
      </c>
      <c r="G271" s="5" t="str">
        <f>IFERROR(__xludf.DUMMYFUNCTION("""COMPUTED_VALUE"""),"জন্ম তারিখ: ১৫/০৪/১৯৮৭")</f>
        <v>জন্ম তারিখ: ১৫/০৪/১৯৮৭</v>
      </c>
      <c r="H271" s="5" t="str">
        <f>IFERROR(__xludf.DUMMYFUNCTION("""COMPUTED_VALUE"""),"পেশা: কৃষক")</f>
        <v>পেশা: কৃষক</v>
      </c>
      <c r="I271" s="5" t="str">
        <f>IFERROR(__xludf.DUMMYFUNCTION("""COMPUTED_VALUE"""),"ঠিকানা: গাড়াবোব")</f>
        <v>ঠিকানা: গাড়াবোব</v>
      </c>
      <c r="J271" s="5" t="str">
        <f>IFERROR(__xludf.DUMMYFUNCTION("""COMPUTED_VALUE""")," গাংনী")</f>
        <v> গাংনী</v>
      </c>
      <c r="K271" s="5" t="str">
        <f>IFERROR(__xludf.DUMMYFUNCTION("""COMPUTED_VALUE""")," মেহেরপুর")</f>
        <v> মেহেরপুর</v>
      </c>
    </row>
    <row r="272">
      <c r="A272" s="7" t="s">
        <v>7424</v>
      </c>
      <c r="B272" s="5">
        <f>IFERROR(__xludf.DUMMYFUNCTION("SPLIT(A272,"","")"),1544.0)</f>
        <v>1544</v>
      </c>
      <c r="C272" s="5" t="str">
        <f>IFERROR(__xludf.DUMMYFUNCTION("""COMPUTED_VALUE"""),"নাম: মো: জব্বারুল ইসলাম")</f>
        <v>নাম: মো: জব্বারুল ইসলাম</v>
      </c>
      <c r="D272" s="5" t="str">
        <f>IFERROR(__xludf.DUMMYFUNCTION("""COMPUTED_VALUE"""),"ভোটার নং: ৫৭০০৩৮৩৫৬৮০৭")</f>
        <v>ভোটার নং: ৫৭০০৩৮৩৫৬৮০৭</v>
      </c>
      <c r="E272" s="5" t="str">
        <f>IFERROR(__xludf.DUMMYFUNCTION("""COMPUTED_VALUE"""),"পিতা: মো: আহাদ আলী")</f>
        <v>পিতা: মো: আহাদ আলী</v>
      </c>
      <c r="F272" s="5" t="str">
        <f>IFERROR(__xludf.DUMMYFUNCTION("""COMPUTED_VALUE"""),"মাতা: মোছা: সাজেদা খাতুন")</f>
        <v>মাতা: মোছা: সাজেদা খাতুন</v>
      </c>
      <c r="G272" s="5" t="str">
        <f>IFERROR(__xludf.DUMMYFUNCTION("""COMPUTED_VALUE"""),"জন্ম তারিখ: ১৫/০৫/১৯৮০")</f>
        <v>জন্ম তারিখ: ১৫/০৫/১৯৮০</v>
      </c>
      <c r="H272" s="5" t="str">
        <f>IFERROR(__xludf.DUMMYFUNCTION("""COMPUTED_VALUE"""),"পেশা: কৃষক")</f>
        <v>পেশা: কৃষক</v>
      </c>
      <c r="I272" s="5" t="str">
        <f>IFERROR(__xludf.DUMMYFUNCTION("""COMPUTED_VALUE"""),"ঠিকানা: গাড়াবোব")</f>
        <v>ঠিকানা: গাড়াবোব</v>
      </c>
      <c r="J272" s="5" t="str">
        <f>IFERROR(__xludf.DUMMYFUNCTION("""COMPUTED_VALUE""")," গাংনী")</f>
        <v> গাংনী</v>
      </c>
      <c r="K272" s="5" t="str">
        <f>IFERROR(__xludf.DUMMYFUNCTION("""COMPUTED_VALUE""")," মেহেরপুর")</f>
        <v> মেহেরপুর</v>
      </c>
    </row>
    <row r="273">
      <c r="A273" s="7" t="s">
        <v>7425</v>
      </c>
      <c r="B273" s="5">
        <f>IFERROR(__xludf.DUMMYFUNCTION("SPLIT(A273,"","")"),1545.0)</f>
        <v>1545</v>
      </c>
      <c r="C273" s="5" t="str">
        <f>IFERROR(__xludf.DUMMYFUNCTION("""COMPUTED_VALUE"""),"নাম: মো: সিদ্দীক হোসেন")</f>
        <v>নাম: মো: সিদ্দীক হোসেন</v>
      </c>
      <c r="D273" s="5" t="str">
        <f>IFERROR(__xludf.DUMMYFUNCTION("""COMPUTED_VALUE"""),"ভোটার নং: ৫৭০০৩৮৩৫৬৮০৮")</f>
        <v>ভোটার নং: ৫৭০০৩৮৩৫৬৮০৮</v>
      </c>
      <c r="E273" s="5" t="str">
        <f>IFERROR(__xludf.DUMMYFUNCTION("""COMPUTED_VALUE"""),"পিতা: মো: আবুল হোসেন")</f>
        <v>পিতা: মো: আবুল হোসেন</v>
      </c>
      <c r="F273" s="5" t="str">
        <f>IFERROR(__xludf.DUMMYFUNCTION("""COMPUTED_VALUE"""),"মাতা: মোছা: সকিলা খাতুন")</f>
        <v>মাতা: মোছা: সকিলা খাতুন</v>
      </c>
      <c r="G273" s="5" t="str">
        <f>IFERROR(__xludf.DUMMYFUNCTION("""COMPUTED_VALUE"""),"জন্ম তারিখ: ১৫/০৭/১৯৮৫")</f>
        <v>জন্ম তারিখ: ১৫/০৭/১৯৮৫</v>
      </c>
      <c r="H273" s="5" t="str">
        <f>IFERROR(__xludf.DUMMYFUNCTION("""COMPUTED_VALUE"""),"পেশা: কৃষক")</f>
        <v>পেশা: কৃষক</v>
      </c>
      <c r="I273" s="5" t="str">
        <f>IFERROR(__xludf.DUMMYFUNCTION("""COMPUTED_VALUE"""),"ঠিকানা: গাড়াবোব")</f>
        <v>ঠিকানা: গাড়াবোব</v>
      </c>
      <c r="J273" s="5" t="str">
        <f>IFERROR(__xludf.DUMMYFUNCTION("""COMPUTED_VALUE""")," গাংনী")</f>
        <v> গাংনী</v>
      </c>
      <c r="K273" s="5" t="str">
        <f>IFERROR(__xludf.DUMMYFUNCTION("""COMPUTED_VALUE""")," মেহেরপুর")</f>
        <v> মেহেরপুর</v>
      </c>
    </row>
    <row r="274">
      <c r="A274" s="7" t="s">
        <v>7426</v>
      </c>
      <c r="B274" s="5">
        <f>IFERROR(__xludf.DUMMYFUNCTION("SPLIT(A274,"","")"),1546.0)</f>
        <v>1546</v>
      </c>
      <c r="C274" s="5" t="str">
        <f>IFERROR(__xludf.DUMMYFUNCTION("""COMPUTED_VALUE"""),"নাম: মো: আসেম আলী")</f>
        <v>নাম: মো: আসেম আলী</v>
      </c>
      <c r="D274" s="5" t="str">
        <f>IFERROR(__xludf.DUMMYFUNCTION("""COMPUTED_VALUE"""),"ভোটার নং: ৫৭০০৩৮৩৫৬৮০৯")</f>
        <v>ভোটার নং: ৫৭০০৩৮৩৫৬৮০৯</v>
      </c>
      <c r="E274" s="5" t="str">
        <f>IFERROR(__xludf.DUMMYFUNCTION("""COMPUTED_VALUE"""),"পিতা: মোজাম্মেল হক")</f>
        <v>পিতা: মোজাম্মেল হক</v>
      </c>
      <c r="F274" s="5" t="str">
        <f>IFERROR(__xludf.DUMMYFUNCTION("""COMPUTED_VALUE"""),"মাতা: মোছা: তাহেরা খাতুন")</f>
        <v>মাতা: মোছা: তাহেরা খাতুন</v>
      </c>
      <c r="G274" s="5" t="str">
        <f>IFERROR(__xludf.DUMMYFUNCTION("""COMPUTED_VALUE"""),"জন্ম তারিখ: ১২/০৪/১৯৫৯")</f>
        <v>জন্ম তারিখ: ১২/০৪/১৯৫৯</v>
      </c>
      <c r="H274" s="5" t="str">
        <f>IFERROR(__xludf.DUMMYFUNCTION("""COMPUTED_VALUE"""),"পেশা: কৃষক")</f>
        <v>পেশা: কৃষক</v>
      </c>
      <c r="I274" s="5" t="str">
        <f>IFERROR(__xludf.DUMMYFUNCTION("""COMPUTED_VALUE"""),"ঠিকানা: গাড়াবোব")</f>
        <v>ঠিকানা: গাড়াবোব</v>
      </c>
      <c r="J274" s="5" t="str">
        <f>IFERROR(__xludf.DUMMYFUNCTION("""COMPUTED_VALUE""")," গাংনী")</f>
        <v> গাংনী</v>
      </c>
      <c r="K274" s="5" t="str">
        <f>IFERROR(__xludf.DUMMYFUNCTION("""COMPUTED_VALUE""")," মেহেরপুর")</f>
        <v> মেহেরপুর</v>
      </c>
    </row>
    <row r="275">
      <c r="A275" s="7" t="s">
        <v>7427</v>
      </c>
      <c r="B275" s="5">
        <f>IFERROR(__xludf.DUMMYFUNCTION("SPLIT(A275,"","")"),1547.0)</f>
        <v>1547</v>
      </c>
      <c r="C275" s="5" t="str">
        <f>IFERROR(__xludf.DUMMYFUNCTION("""COMPUTED_VALUE"""),"নাম: মো: রবিউল ইসলাম")</f>
        <v>নাম: মো: রবিউল ইসলাম</v>
      </c>
      <c r="D275" s="5" t="str">
        <f>IFERROR(__xludf.DUMMYFUNCTION("""COMPUTED_VALUE"""),"ভোটার নং: ৫৭০০৩৮৩৫৬৮১০")</f>
        <v>ভোটার নং: ৫৭০০৩৮৩৫৬৮১০</v>
      </c>
      <c r="E275" s="5" t="str">
        <f>IFERROR(__xludf.DUMMYFUNCTION("""COMPUTED_VALUE"""),"পিতা: মো: আতাহার আলী")</f>
        <v>পিতা: মো: আতাহার আলী</v>
      </c>
      <c r="F275" s="5" t="str">
        <f>IFERROR(__xludf.DUMMYFUNCTION("""COMPUTED_VALUE"""),"মাতা: মোছা: মিলু খাতুন")</f>
        <v>মাতা: মোছা: মিলু খাতুন</v>
      </c>
      <c r="G275" s="5" t="str">
        <f>IFERROR(__xludf.DUMMYFUNCTION("""COMPUTED_VALUE"""),"জন্ম তারিখ: ১০/০৩/১৯৭৭")</f>
        <v>জন্ম তারিখ: ১০/০৩/১৯৭৭</v>
      </c>
      <c r="H275" s="5" t="str">
        <f>IFERROR(__xludf.DUMMYFUNCTION("""COMPUTED_VALUE"""),"পেশা: কৃষক")</f>
        <v>পেশা: কৃষক</v>
      </c>
      <c r="I275" s="5" t="str">
        <f>IFERROR(__xludf.DUMMYFUNCTION("""COMPUTED_VALUE"""),"ঠিকানা: গাড়াবোব")</f>
        <v>ঠিকানা: গাড়াবোব</v>
      </c>
      <c r="J275" s="5" t="str">
        <f>IFERROR(__xludf.DUMMYFUNCTION("""COMPUTED_VALUE""")," গাংনী")</f>
        <v> গাংনী</v>
      </c>
      <c r="K275" s="5" t="str">
        <f>IFERROR(__xludf.DUMMYFUNCTION("""COMPUTED_VALUE""")," মেহেরপুর")</f>
        <v> মেহেরপুর</v>
      </c>
    </row>
    <row r="276">
      <c r="A276" s="7" t="s">
        <v>7428</v>
      </c>
      <c r="B276" s="5">
        <f>IFERROR(__xludf.DUMMYFUNCTION("SPLIT(A276,"","")"),1548.0)</f>
        <v>1548</v>
      </c>
      <c r="C276" s="5" t="str">
        <f>IFERROR(__xludf.DUMMYFUNCTION("""COMPUTED_VALUE"""),"নাম: মো: রফিকুল ইসলাম")</f>
        <v>নাম: মো: রফিকুল ইসলাম</v>
      </c>
      <c r="D276" s="5" t="str">
        <f>IFERROR(__xludf.DUMMYFUNCTION("""COMPUTED_VALUE"""),"ভোটার নং: ৫৭০০৩৮৩৫৬৮১১")</f>
        <v>ভোটার নং: ৫৭০০৩৮৩৫৬৮১১</v>
      </c>
      <c r="E276" s="5" t="str">
        <f>IFERROR(__xludf.DUMMYFUNCTION("""COMPUTED_VALUE"""),"পিতা: মো: খেজমত আলী")</f>
        <v>পিতা: মো: খেজমত আলী</v>
      </c>
      <c r="F276" s="5" t="str">
        <f>IFERROR(__xludf.DUMMYFUNCTION("""COMPUTED_VALUE"""),"মাতা: মোছা: রাফিয়া খাতুন")</f>
        <v>মাতা: মোছা: রাফিয়া খাতুন</v>
      </c>
      <c r="G276" s="5" t="str">
        <f>IFERROR(__xludf.DUMMYFUNCTION("""COMPUTED_VALUE"""),"জন্ম তারিখ: ১১/০৫/১৯৭০")</f>
        <v>জন্ম তারিখ: ১১/০৫/১৯৭০</v>
      </c>
      <c r="H276" s="5" t="str">
        <f>IFERROR(__xludf.DUMMYFUNCTION("""COMPUTED_VALUE"""),"পেশা: ব্যবসা")</f>
        <v>পেশা: ব্যবসা</v>
      </c>
      <c r="I276" s="5" t="str">
        <f>IFERROR(__xludf.DUMMYFUNCTION("""COMPUTED_VALUE"""),"ঠিকানা: গাড়াবোব")</f>
        <v>ঠিকানা: গাড়াবোব</v>
      </c>
      <c r="J276" s="5" t="str">
        <f>IFERROR(__xludf.DUMMYFUNCTION("""COMPUTED_VALUE""")," গাংনী")</f>
        <v> গাংনী</v>
      </c>
      <c r="K276" s="5" t="str">
        <f>IFERROR(__xludf.DUMMYFUNCTION("""COMPUTED_VALUE""")," মেহেরপুর")</f>
        <v> মেহেরপুর</v>
      </c>
    </row>
    <row r="277">
      <c r="A277" s="7" t="s">
        <v>7429</v>
      </c>
      <c r="B277" s="5">
        <f>IFERROR(__xludf.DUMMYFUNCTION("SPLIT(A277,"","")"),1549.0)</f>
        <v>1549</v>
      </c>
      <c r="C277" s="5" t="str">
        <f>IFERROR(__xludf.DUMMYFUNCTION("""COMPUTED_VALUE"""),"নাম: মো: মহিবুল ইসলাম")</f>
        <v>নাম: মো: মহিবুল ইসলাম</v>
      </c>
      <c r="D277" s="5" t="str">
        <f>IFERROR(__xludf.DUMMYFUNCTION("""COMPUTED_VALUE"""),"ভোটার নং: ৫৭০০৩৮৩৫৬৮১২")</f>
        <v>ভোটার নং: ৫৭০০৩৮৩৫৬৮১২</v>
      </c>
      <c r="E277" s="5" t="str">
        <f>IFERROR(__xludf.DUMMYFUNCTION("""COMPUTED_VALUE"""),"পিতা: আব্দুল আজিজ")</f>
        <v>পিতা: আব্দুল আজিজ</v>
      </c>
      <c r="F277" s="5" t="str">
        <f>IFERROR(__xludf.DUMMYFUNCTION("""COMPUTED_VALUE"""),"মাতা: মোছা: নিহারন নেছা")</f>
        <v>মাতা: মোছা: নিহারন নেছা</v>
      </c>
      <c r="G277" s="5" t="str">
        <f>IFERROR(__xludf.DUMMYFUNCTION("""COMPUTED_VALUE"""),"জন্ম তারিখ: ১০/০৫/১৯৮১")</f>
        <v>জন্ম তারিখ: ১০/০৫/১৯৮১</v>
      </c>
      <c r="H277" s="5" t="str">
        <f>IFERROR(__xludf.DUMMYFUNCTION("""COMPUTED_VALUE"""),"পেশা: কৃষক")</f>
        <v>পেশা: কৃষক</v>
      </c>
      <c r="I277" s="5" t="str">
        <f>IFERROR(__xludf.DUMMYFUNCTION("""COMPUTED_VALUE"""),"ঠিকানা: গাড়াবোব")</f>
        <v>ঠিকানা: গাড়াবোব</v>
      </c>
      <c r="J277" s="5" t="str">
        <f>IFERROR(__xludf.DUMMYFUNCTION("""COMPUTED_VALUE""")," গাংনী")</f>
        <v> গাংনী</v>
      </c>
      <c r="K277" s="5" t="str">
        <f>IFERROR(__xludf.DUMMYFUNCTION("""COMPUTED_VALUE""")," মেহেরপুর")</f>
        <v> মেহেরপুর</v>
      </c>
    </row>
    <row r="278">
      <c r="A278" s="7" t="s">
        <v>7430</v>
      </c>
      <c r="B278" s="5">
        <f>IFERROR(__xludf.DUMMYFUNCTION("SPLIT(A278,"","")"),1550.0)</f>
        <v>1550</v>
      </c>
      <c r="C278" s="5" t="str">
        <f>IFERROR(__xludf.DUMMYFUNCTION("""COMPUTED_VALUE"""),"নাম: মো: কবির আলী")</f>
        <v>নাম: মো: কবির আলী</v>
      </c>
      <c r="D278" s="5" t="str">
        <f>IFERROR(__xludf.DUMMYFUNCTION("""COMPUTED_VALUE"""),"ভোটার নং: ৫৭০০৩৮৩৫৬৮১৩")</f>
        <v>ভোটার নং: ৫৭০০৩৮৩৫৬৮১৩</v>
      </c>
      <c r="E278" s="5" t="str">
        <f>IFERROR(__xludf.DUMMYFUNCTION("""COMPUTED_VALUE"""),"পিতা: মো: আবুল হোসেন")</f>
        <v>পিতা: মো: আবুল হোসেন</v>
      </c>
      <c r="F278" s="5" t="str">
        <f>IFERROR(__xludf.DUMMYFUNCTION("""COMPUTED_VALUE"""),"মাতা: মোছা: ছয়েলা খাতুন")</f>
        <v>মাতা: মোছা: ছয়েলা খাতুন</v>
      </c>
      <c r="G278" s="5" t="str">
        <f>IFERROR(__xludf.DUMMYFUNCTION("""COMPUTED_VALUE"""),"জন্ম তারিখ: ১৫/০৩/১৯৭৪")</f>
        <v>জন্ম তারিখ: ১৫/০৩/১৯৭৪</v>
      </c>
      <c r="H278" s="5" t="str">
        <f>IFERROR(__xludf.DUMMYFUNCTION("""COMPUTED_VALUE"""),"পেশা: ব্যবসা")</f>
        <v>পেশা: ব্যবসা</v>
      </c>
      <c r="I278" s="5" t="str">
        <f>IFERROR(__xludf.DUMMYFUNCTION("""COMPUTED_VALUE"""),"ঠিকানা: গাড়াবোব")</f>
        <v>ঠিকানা: গাড়াবোব</v>
      </c>
      <c r="J278" s="5" t="str">
        <f>IFERROR(__xludf.DUMMYFUNCTION("""COMPUTED_VALUE""")," গাংনী")</f>
        <v> গাংনী</v>
      </c>
      <c r="K278" s="5" t="str">
        <f>IFERROR(__xludf.DUMMYFUNCTION("""COMPUTED_VALUE""")," মেহেরপুর")</f>
        <v> মেহেরপুর</v>
      </c>
    </row>
    <row r="279">
      <c r="A279" s="7" t="s">
        <v>7431</v>
      </c>
      <c r="B279" s="5">
        <f>IFERROR(__xludf.DUMMYFUNCTION("SPLIT(A279,"","")"),1551.0)</f>
        <v>1551</v>
      </c>
      <c r="C279" s="5" t="str">
        <f>IFERROR(__xludf.DUMMYFUNCTION("""COMPUTED_VALUE"""),"নাম: মো: বাবর আলী")</f>
        <v>নাম: মো: বাবর আলী</v>
      </c>
      <c r="D279" s="5" t="str">
        <f>IFERROR(__xludf.DUMMYFUNCTION("""COMPUTED_VALUE"""),"ভোটার নং: ৫৭০০৩৮৩৫৬৮১৪")</f>
        <v>ভোটার নং: ৫৭০০৩৮৩৫৬৮১৪</v>
      </c>
      <c r="E279" s="5" t="str">
        <f>IFERROR(__xludf.DUMMYFUNCTION("""COMPUTED_VALUE"""),"পিতা: মো: আবুল হোসেন")</f>
        <v>পিতা: মো: আবুল হোসেন</v>
      </c>
      <c r="F279" s="5" t="str">
        <f>IFERROR(__xludf.DUMMYFUNCTION("""COMPUTED_VALUE"""),"মাতা: মোছা: ছয়েলা খাতুন")</f>
        <v>মাতা: মোছা: ছয়েলা খাতুন</v>
      </c>
      <c r="G279" s="5" t="str">
        <f>IFERROR(__xludf.DUMMYFUNCTION("""COMPUTED_VALUE"""),"জন্ম তারিখ: ২৯/০১/১৯৭৩")</f>
        <v>জন্ম তারিখ: ২৯/০১/১৯৭৩</v>
      </c>
      <c r="H279" s="5" t="str">
        <f>IFERROR(__xludf.DUMMYFUNCTION("""COMPUTED_VALUE"""),"পেশা: ব্যবসা")</f>
        <v>পেশা: ব্যবসা</v>
      </c>
      <c r="I279" s="5" t="str">
        <f>IFERROR(__xludf.DUMMYFUNCTION("""COMPUTED_VALUE"""),"ঠিকানা: গাড়াবোব")</f>
        <v>ঠিকানা: গাড়াবোব</v>
      </c>
      <c r="J279" s="5" t="str">
        <f>IFERROR(__xludf.DUMMYFUNCTION("""COMPUTED_VALUE""")," গাংনী")</f>
        <v> গাংনী</v>
      </c>
      <c r="K279" s="5" t="str">
        <f>IFERROR(__xludf.DUMMYFUNCTION("""COMPUTED_VALUE""")," মেহেরপুর")</f>
        <v> মেহেরপুর</v>
      </c>
    </row>
    <row r="280">
      <c r="A280" s="7" t="s">
        <v>7432</v>
      </c>
      <c r="B280" s="5">
        <f>IFERROR(__xludf.DUMMYFUNCTION("SPLIT(A280,"","")"),1552.0)</f>
        <v>1552</v>
      </c>
      <c r="C280" s="5" t="str">
        <f>IFERROR(__xludf.DUMMYFUNCTION("""COMPUTED_VALUE"""),"নাম: মো: রহিদুল ইসলাম")</f>
        <v>নাম: মো: রহিদুল ইসলাম</v>
      </c>
      <c r="D280" s="5" t="str">
        <f>IFERROR(__xludf.DUMMYFUNCTION("""COMPUTED_VALUE"""),"ভোটার নং: ৫৭০০৩৮৩৫৬৮১৫")</f>
        <v>ভোটার নং: ৫৭০০৩৮৩৫৬৮১৫</v>
      </c>
      <c r="E280" s="5" t="str">
        <f>IFERROR(__xludf.DUMMYFUNCTION("""COMPUTED_VALUE"""),"পিতা: মো: আবুল হোসেন")</f>
        <v>পিতা: মো: আবুল হোসেন</v>
      </c>
      <c r="F280" s="5" t="str">
        <f>IFERROR(__xludf.DUMMYFUNCTION("""COMPUTED_VALUE"""),"মাতা: মোছা: ছয়েলা খাতুন")</f>
        <v>মাতা: মোছা: ছয়েলা খাতুন</v>
      </c>
      <c r="G280" s="5" t="str">
        <f>IFERROR(__xludf.DUMMYFUNCTION("""COMPUTED_VALUE"""),"জন্ম তারিখ: ১১/০৫/১৯৬২")</f>
        <v>জন্ম তারিখ: ১১/০৫/১৯৬২</v>
      </c>
      <c r="H280" s="5" t="str">
        <f>IFERROR(__xludf.DUMMYFUNCTION("""COMPUTED_VALUE"""),"পেশা: কৃষক")</f>
        <v>পেশা: কৃষক</v>
      </c>
      <c r="I280" s="5" t="str">
        <f>IFERROR(__xludf.DUMMYFUNCTION("""COMPUTED_VALUE"""),"ঠিকানা: গাড়াবোব")</f>
        <v>ঠিকানা: গাড়াবোব</v>
      </c>
      <c r="J280" s="5" t="str">
        <f>IFERROR(__xludf.DUMMYFUNCTION("""COMPUTED_VALUE""")," গাংনী")</f>
        <v> গাংনী</v>
      </c>
      <c r="K280" s="5" t="str">
        <f>IFERROR(__xludf.DUMMYFUNCTION("""COMPUTED_VALUE""")," মেহেরপুর")</f>
        <v> মেহেরপুর</v>
      </c>
    </row>
    <row r="281">
      <c r="A281" s="7" t="s">
        <v>7433</v>
      </c>
      <c r="B281" s="5">
        <f>IFERROR(__xludf.DUMMYFUNCTION("SPLIT(A281,"","")"),1553.0)</f>
        <v>1553</v>
      </c>
      <c r="C281" s="5" t="str">
        <f>IFERROR(__xludf.DUMMYFUNCTION("""COMPUTED_VALUE"""),"নাম: মো: আবু তাহের")</f>
        <v>নাম: মো: আবু তাহের</v>
      </c>
      <c r="D281" s="5" t="str">
        <f>IFERROR(__xludf.DUMMYFUNCTION("""COMPUTED_VALUE"""),"ভোটার নং: ৫৭০০৩৮৩৫৬৮১৬")</f>
        <v>ভোটার নং: ৫৭০০৩৮৩৫৬৮১৬</v>
      </c>
      <c r="E281" s="5" t="str">
        <f>IFERROR(__xludf.DUMMYFUNCTION("""COMPUTED_VALUE"""),"পিতা: সৈয়দ আলী")</f>
        <v>পিতা: সৈয়দ আলী</v>
      </c>
      <c r="F281" s="5" t="str">
        <f>IFERROR(__xludf.DUMMYFUNCTION("""COMPUTED_VALUE"""),"মাতা: মোছা: জোহরা খাতুন")</f>
        <v>মাতা: মোছা: জোহরা খাতুন</v>
      </c>
      <c r="G281" s="5" t="str">
        <f>IFERROR(__xludf.DUMMYFUNCTION("""COMPUTED_VALUE"""),"জন্ম তারিখ: ১০/০৭/১৯৬৭")</f>
        <v>জন্ম তারিখ: ১০/০৭/১৯৬৭</v>
      </c>
      <c r="H281" s="5" t="str">
        <f>IFERROR(__xludf.DUMMYFUNCTION("""COMPUTED_VALUE"""),"পেশা: কৃষক")</f>
        <v>পেশা: কৃষক</v>
      </c>
      <c r="I281" s="5" t="str">
        <f>IFERROR(__xludf.DUMMYFUNCTION("""COMPUTED_VALUE"""),"ঠিকানা: গাড়াবোব")</f>
        <v>ঠিকানা: গাড়াবোব</v>
      </c>
      <c r="J281" s="5" t="str">
        <f>IFERROR(__xludf.DUMMYFUNCTION("""COMPUTED_VALUE""")," গাংনী")</f>
        <v> গাংনী</v>
      </c>
      <c r="K281" s="5" t="str">
        <f>IFERROR(__xludf.DUMMYFUNCTION("""COMPUTED_VALUE""")," মেহেরপুর")</f>
        <v> মেহেরপুর</v>
      </c>
    </row>
    <row r="282">
      <c r="A282" s="7" t="s">
        <v>7434</v>
      </c>
      <c r="B282" s="5">
        <f>IFERROR(__xludf.DUMMYFUNCTION("SPLIT(A282,"","")"),1554.0)</f>
        <v>1554</v>
      </c>
      <c r="C282" s="5" t="str">
        <f>IFERROR(__xludf.DUMMYFUNCTION("""COMPUTED_VALUE"""),"নাম: এ")</f>
        <v>নাম: এ</v>
      </c>
      <c r="D282" s="5" t="str">
        <f>IFERROR(__xludf.DUMMYFUNCTION("""COMPUTED_VALUE""")," এস")</f>
        <v> এস</v>
      </c>
      <c r="E282" s="5" t="str">
        <f>IFERROR(__xludf.DUMMYFUNCTION("""COMPUTED_VALUE""")," এম শাহজাহান কবীর")</f>
        <v> এম শাহজাহান কবীর</v>
      </c>
      <c r="F282" s="5" t="str">
        <f>IFERROR(__xludf.DUMMYFUNCTION("""COMPUTED_VALUE"""),"ভোটার নং: ৫৭০০৩৮৩৫৬৮১৭")</f>
        <v>ভোটার নং: ৫৭০০৩৮৩৫৬৮১৭</v>
      </c>
      <c r="G282" s="5" t="str">
        <f>IFERROR(__xludf.DUMMYFUNCTION("""COMPUTED_VALUE"""),"পিতা: মো: আ: খালেক")</f>
        <v>পিতা: মো: আ: খালেক</v>
      </c>
      <c r="H282" s="5" t="str">
        <f>IFERROR(__xludf.DUMMYFUNCTION("""COMPUTED_VALUE"""),"মাতা: মোছা: সাহিদা খাতুন")</f>
        <v>মাতা: মোছা: সাহিদা খাতুন</v>
      </c>
      <c r="I282" s="5" t="str">
        <f>IFERROR(__xludf.DUMMYFUNCTION("""COMPUTED_VALUE"""),"জন্ম তারিখ: ২৪/০৫/১৯৭৪")</f>
        <v>জন্ম তারিখ: ২৪/০৫/১৯৭৪</v>
      </c>
      <c r="J282" s="5" t="str">
        <f>IFERROR(__xludf.DUMMYFUNCTION("""COMPUTED_VALUE"""),"পেশা: বেসরকারী চাকুরী")</f>
        <v>পেশা: বেসরকারী চাকুরী</v>
      </c>
      <c r="K282" s="5" t="str">
        <f>IFERROR(__xludf.DUMMYFUNCTION("""COMPUTED_VALUE"""),"ঠিকানা: গাড়াবোব")</f>
        <v>ঠিকানা: গাড়াবোব</v>
      </c>
      <c r="L282" s="5" t="str">
        <f>IFERROR(__xludf.DUMMYFUNCTION("""COMPUTED_VALUE""")," গাংনী")</f>
        <v> গাংনী</v>
      </c>
      <c r="M282" s="5" t="str">
        <f>IFERROR(__xludf.DUMMYFUNCTION("""COMPUTED_VALUE""")," মেহেরপুর")</f>
        <v> মেহেরপুর</v>
      </c>
    </row>
    <row r="283">
      <c r="A283" s="7" t="s">
        <v>7435</v>
      </c>
      <c r="B283" s="5">
        <f>IFERROR(__xludf.DUMMYFUNCTION("SPLIT(A283,"","")"),1555.0)</f>
        <v>1555</v>
      </c>
      <c r="C283" s="5" t="str">
        <f>IFERROR(__xludf.DUMMYFUNCTION("""COMPUTED_VALUE"""),"নাম: মোহা: আবুবক্কার")</f>
        <v>নাম: মোহা: আবুবক্কার</v>
      </c>
      <c r="D283" s="5" t="str">
        <f>IFERROR(__xludf.DUMMYFUNCTION("""COMPUTED_VALUE"""),"ভোটার নং: ৫৭০০৩৮৩৫৬৮২২")</f>
        <v>ভোটার নং: ৫৭০০৩৮৩৫৬৮২২</v>
      </c>
      <c r="E283" s="5" t="str">
        <f>IFERROR(__xludf.DUMMYFUNCTION("""COMPUTED_VALUE"""),"পিতা: কুদরত আলী")</f>
        <v>পিতা: কুদরত আলী</v>
      </c>
      <c r="F283" s="5" t="str">
        <f>IFERROR(__xludf.DUMMYFUNCTION("""COMPUTED_VALUE"""),"মাতা: মোছা: ফতেজান")</f>
        <v>মাতা: মোছা: ফতেজান</v>
      </c>
      <c r="G283" s="5" t="str">
        <f>IFERROR(__xludf.DUMMYFUNCTION("""COMPUTED_VALUE"""),"জন্ম তারিখ: ১৮/০৮/১৯৫৭")</f>
        <v>জন্ম তারিখ: ১৮/০৮/১৯৫৭</v>
      </c>
      <c r="H283" s="5" t="str">
        <f>IFERROR(__xludf.DUMMYFUNCTION("""COMPUTED_VALUE"""),"পেশা: কৃষক")</f>
        <v>পেশা: কৃষক</v>
      </c>
      <c r="I283" s="5" t="str">
        <f>IFERROR(__xludf.DUMMYFUNCTION("""COMPUTED_VALUE"""),"ঠিকানা: গাড়াবোব")</f>
        <v>ঠিকানা: গাড়াবোব</v>
      </c>
      <c r="J283" s="5" t="str">
        <f>IFERROR(__xludf.DUMMYFUNCTION("""COMPUTED_VALUE""")," গাংনী")</f>
        <v> গাংনী</v>
      </c>
      <c r="K283" s="5" t="str">
        <f>IFERROR(__xludf.DUMMYFUNCTION("""COMPUTED_VALUE""")," মেহেরপুর")</f>
        <v> মেহেরপুর</v>
      </c>
    </row>
    <row r="284">
      <c r="A284" s="7" t="s">
        <v>7436</v>
      </c>
      <c r="B284" s="5">
        <f>IFERROR(__xludf.DUMMYFUNCTION("SPLIT(A284,"","")"),1556.0)</f>
        <v>1556</v>
      </c>
      <c r="C284" s="5" t="str">
        <f>IFERROR(__xludf.DUMMYFUNCTION("""COMPUTED_VALUE"""),"নাম: মো: আব্দুর রশিদ")</f>
        <v>নাম: মো: আব্দুর রশিদ</v>
      </c>
      <c r="D284" s="5" t="str">
        <f>IFERROR(__xludf.DUMMYFUNCTION("""COMPUTED_VALUE"""),"ভোটার নং: ৫৭০০৩৮৩৫৬৮২৪")</f>
        <v>ভোটার নং: ৫৭০০৩৮৩৫৬৮২৪</v>
      </c>
      <c r="E284" s="5" t="str">
        <f>IFERROR(__xludf.DUMMYFUNCTION("""COMPUTED_VALUE"""),"পিতা: আব্দুল কাদের")</f>
        <v>পিতা: আব্দুল কাদের</v>
      </c>
      <c r="F284" s="5" t="str">
        <f>IFERROR(__xludf.DUMMYFUNCTION("""COMPUTED_VALUE"""),"মাতা: মোছা: খাদিজা বেগম")</f>
        <v>মাতা: মোছা: খাদিজা বেগম</v>
      </c>
      <c r="G284" s="5" t="str">
        <f>IFERROR(__xludf.DUMMYFUNCTION("""COMPUTED_VALUE"""),"জন্ম তারিখ: ০৫/১১/১৯৫৫")</f>
        <v>জন্ম তারিখ: ০৫/১১/১৯৫৫</v>
      </c>
      <c r="H284" s="5" t="str">
        <f>IFERROR(__xludf.DUMMYFUNCTION("""COMPUTED_VALUE"""),"পেশা: কৃষক")</f>
        <v>পেশা: কৃষক</v>
      </c>
      <c r="I284" s="5" t="str">
        <f>IFERROR(__xludf.DUMMYFUNCTION("""COMPUTED_VALUE"""),"ঠিকানা: গাড়াবোব")</f>
        <v>ঠিকানা: গাড়াবোব</v>
      </c>
      <c r="J284" s="5" t="str">
        <f>IFERROR(__xludf.DUMMYFUNCTION("""COMPUTED_VALUE""")," গাংনী")</f>
        <v> গাংনী</v>
      </c>
      <c r="K284" s="5" t="str">
        <f>IFERROR(__xludf.DUMMYFUNCTION("""COMPUTED_VALUE""")," মেহেরপুর")</f>
        <v> মেহেরপুর</v>
      </c>
    </row>
    <row r="285">
      <c r="A285" s="7" t="s">
        <v>7437</v>
      </c>
      <c r="B285" s="5">
        <f>IFERROR(__xludf.DUMMYFUNCTION("SPLIT(A285,"","")"),1557.0)</f>
        <v>1557</v>
      </c>
      <c r="C285" s="5" t="str">
        <f>IFERROR(__xludf.DUMMYFUNCTION("""COMPUTED_VALUE"""),"নাম: মো: মোবারক হোসেন")</f>
        <v>নাম: মো: মোবারক হোসেন</v>
      </c>
      <c r="D285" s="5" t="str">
        <f>IFERROR(__xludf.DUMMYFUNCTION("""COMPUTED_VALUE"""),"ভোটার নং: ৫৭০০৩৮৩৫৬৮২৬")</f>
        <v>ভোটার নং: ৫৭০০৩৮৩৫৬৮২৬</v>
      </c>
      <c r="E285" s="5" t="str">
        <f>IFERROR(__xludf.DUMMYFUNCTION("""COMPUTED_VALUE"""),"পিতা: মো: আব্দুর রশিদ")</f>
        <v>পিতা: মো: আব্দুর রশিদ</v>
      </c>
      <c r="F285" s="5" t="str">
        <f>IFERROR(__xludf.DUMMYFUNCTION("""COMPUTED_VALUE"""),"মাতা: মোছা: মাবিয়া খাতুন")</f>
        <v>মাতা: মোছা: মাবিয়া খাতুন</v>
      </c>
      <c r="G285" s="5" t="str">
        <f>IFERROR(__xludf.DUMMYFUNCTION("""COMPUTED_VALUE"""),"জন্ম তারিখ: ০৮/০৭/১৯৮০")</f>
        <v>জন্ম তারিখ: ০৮/০৭/১৯৮০</v>
      </c>
      <c r="H285" s="5" t="str">
        <f>IFERROR(__xludf.DUMMYFUNCTION("""COMPUTED_VALUE"""),"পেশা: বেসরকারী চাকুরী")</f>
        <v>পেশা: বেসরকারী চাকুরী</v>
      </c>
      <c r="I285" s="5" t="str">
        <f>IFERROR(__xludf.DUMMYFUNCTION("""COMPUTED_VALUE"""),"ঠিকানা: গাড়াবোব")</f>
        <v>ঠিকানা: গাড়াবোব</v>
      </c>
      <c r="J285" s="5" t="str">
        <f>IFERROR(__xludf.DUMMYFUNCTION("""COMPUTED_VALUE""")," গাংনী")</f>
        <v> গাংনী</v>
      </c>
      <c r="K285" s="5" t="str">
        <f>IFERROR(__xludf.DUMMYFUNCTION("""COMPUTED_VALUE""")," মেহেরপুর")</f>
        <v> মেহেরপুর</v>
      </c>
    </row>
    <row r="286">
      <c r="A286" s="7" t="s">
        <v>7438</v>
      </c>
      <c r="B286" s="5">
        <f>IFERROR(__xludf.DUMMYFUNCTION("SPLIT(A286,"","")"),1558.0)</f>
        <v>1558</v>
      </c>
      <c r="C286" s="5" t="str">
        <f>IFERROR(__xludf.DUMMYFUNCTION("""COMPUTED_VALUE"""),"নাম: মোহা: মোমিন মিয়া")</f>
        <v>নাম: মোহা: মোমিন মিয়া</v>
      </c>
      <c r="D286" s="5" t="str">
        <f>IFERROR(__xludf.DUMMYFUNCTION("""COMPUTED_VALUE"""),"ভোটার নং: ৫৭০০৩৮৩৫৬৮৩৩")</f>
        <v>ভোটার নং: ৫৭০০৩৮৩৫৬৮৩৩</v>
      </c>
      <c r="E286" s="5" t="str">
        <f>IFERROR(__xludf.DUMMYFUNCTION("""COMPUTED_VALUE"""),"পিতা: মো: আনোয়ার হোসেন")</f>
        <v>পিতা: মো: আনোয়ার হোসেন</v>
      </c>
      <c r="F286" s="5" t="str">
        <f>IFERROR(__xludf.DUMMYFUNCTION("""COMPUTED_VALUE"""),"মাতা: মোছা: জমেলা খাতুন")</f>
        <v>মাতা: মোছা: জমেলা খাতুন</v>
      </c>
      <c r="G286" s="5" t="str">
        <f>IFERROR(__xludf.DUMMYFUNCTION("""COMPUTED_VALUE"""),"জন্ম তারিখ: ০৮/০৪/১৯৭৭")</f>
        <v>জন্ম তারিখ: ০৮/০৪/১৯৭৭</v>
      </c>
      <c r="H286" s="5" t="str">
        <f>IFERROR(__xludf.DUMMYFUNCTION("""COMPUTED_VALUE"""),"পেশা: কৃষক")</f>
        <v>পেশা: কৃষক</v>
      </c>
      <c r="I286" s="5" t="str">
        <f>IFERROR(__xludf.DUMMYFUNCTION("""COMPUTED_VALUE"""),"ঠিকানা: গাড়াবোব")</f>
        <v>ঠিকানা: গাড়াবোব</v>
      </c>
      <c r="J286" s="5" t="str">
        <f>IFERROR(__xludf.DUMMYFUNCTION("""COMPUTED_VALUE""")," গাংনী")</f>
        <v> গাংনী</v>
      </c>
      <c r="K286" s="5" t="str">
        <f>IFERROR(__xludf.DUMMYFUNCTION("""COMPUTED_VALUE""")," মেহেরপুর")</f>
        <v> মেহেরপুর</v>
      </c>
    </row>
    <row r="287">
      <c r="A287" s="7" t="s">
        <v>7439</v>
      </c>
      <c r="B287" s="5">
        <f>IFERROR(__xludf.DUMMYFUNCTION("SPLIT(A287,"","")"),1559.0)</f>
        <v>1559</v>
      </c>
      <c r="C287" s="5" t="str">
        <f>IFERROR(__xludf.DUMMYFUNCTION("""COMPUTED_VALUE"""),"নাম: মো: আবু সাইদ")</f>
        <v>নাম: মো: আবু সাইদ</v>
      </c>
      <c r="D287" s="5" t="str">
        <f>IFERROR(__xludf.DUMMYFUNCTION("""COMPUTED_VALUE"""),"ভোটার নং: ৫৭০০৩৮৩৫৬৮৩৬")</f>
        <v>ভোটার নং: ৫৭০০৩৮৩৫৬৮৩৬</v>
      </c>
      <c r="E287" s="5" t="str">
        <f>IFERROR(__xludf.DUMMYFUNCTION("""COMPUTED_VALUE"""),"পিতা: মো: আবু বক্কর")</f>
        <v>পিতা: মো: আবু বক্কর</v>
      </c>
      <c r="F287" s="5" t="str">
        <f>IFERROR(__xludf.DUMMYFUNCTION("""COMPUTED_VALUE"""),"মাতা: মোছা: পানোয়ারা বেগম")</f>
        <v>মাতা: মোছা: পানোয়ারা বেগম</v>
      </c>
      <c r="G287" s="5" t="str">
        <f>IFERROR(__xludf.DUMMYFUNCTION("""COMPUTED_VALUE"""),"জন্ম তারিখ: ২৮/০৭/১৯৮৩")</f>
        <v>জন্ম তারিখ: ২৮/০৭/১৯৮৩</v>
      </c>
      <c r="H287" s="5" t="str">
        <f>IFERROR(__xludf.DUMMYFUNCTION("""COMPUTED_VALUE"""),"পেশা: কৃষক")</f>
        <v>পেশা: কৃষক</v>
      </c>
      <c r="I287" s="5" t="str">
        <f>IFERROR(__xludf.DUMMYFUNCTION("""COMPUTED_VALUE"""),"ঠিকানা: গাড়াবোব")</f>
        <v>ঠিকানা: গাড়াবোব</v>
      </c>
      <c r="J287" s="5" t="str">
        <f>IFERROR(__xludf.DUMMYFUNCTION("""COMPUTED_VALUE""")," গাংনী")</f>
        <v> গাংনী</v>
      </c>
      <c r="K287" s="5" t="str">
        <f>IFERROR(__xludf.DUMMYFUNCTION("""COMPUTED_VALUE""")," মেহেরপুর")</f>
        <v> মেহেরপুর</v>
      </c>
    </row>
    <row r="288">
      <c r="A288" s="7" t="s">
        <v>7440</v>
      </c>
      <c r="B288" s="5">
        <f>IFERROR(__xludf.DUMMYFUNCTION("SPLIT(A288,"","")"),1560.0)</f>
        <v>1560</v>
      </c>
      <c r="C288" s="5" t="str">
        <f>IFERROR(__xludf.DUMMYFUNCTION("""COMPUTED_VALUE"""),"নাম: মো: আরিফুল ইসলাম")</f>
        <v>নাম: মো: আরিফুল ইসলাম</v>
      </c>
      <c r="D288" s="5" t="str">
        <f>IFERROR(__xludf.DUMMYFUNCTION("""COMPUTED_VALUE"""),"ভোটার নং: ৫৭০০৩৮৩৫৬৮৪০")</f>
        <v>ভোটার নং: ৫৭০০৩৮৩৫৬৮৪০</v>
      </c>
      <c r="E288" s="5" t="str">
        <f>IFERROR(__xludf.DUMMYFUNCTION("""COMPUTED_VALUE"""),"পিতা: দৌলত হোসেন")</f>
        <v>পিতা: দৌলত হোসেন</v>
      </c>
      <c r="F288" s="5" t="str">
        <f>IFERROR(__xludf.DUMMYFUNCTION("""COMPUTED_VALUE"""),"মাতা: মোছা: তাহেরা খাতুন")</f>
        <v>মাতা: মোছা: তাহেরা খাতুন</v>
      </c>
      <c r="G288" s="5" t="str">
        <f>IFERROR(__xludf.DUMMYFUNCTION("""COMPUTED_VALUE"""),"জন্ম তারিখ: ২৫/০৫/১৯৮৩")</f>
        <v>জন্ম তারিখ: ২৫/০৫/১৯৮৩</v>
      </c>
      <c r="H288" s="5" t="str">
        <f>IFERROR(__xludf.DUMMYFUNCTION("""COMPUTED_VALUE"""),"পেশা: কৃষক")</f>
        <v>পেশা: কৃষক</v>
      </c>
      <c r="I288" s="5" t="str">
        <f>IFERROR(__xludf.DUMMYFUNCTION("""COMPUTED_VALUE"""),"ঠিকানা: গাড়াবোব")</f>
        <v>ঠিকানা: গাড়াবোব</v>
      </c>
      <c r="J288" s="5" t="str">
        <f>IFERROR(__xludf.DUMMYFUNCTION("""COMPUTED_VALUE""")," গাংনী")</f>
        <v> গাংনী</v>
      </c>
      <c r="K288" s="5" t="str">
        <f>IFERROR(__xludf.DUMMYFUNCTION("""COMPUTED_VALUE""")," মেহেরপুর")</f>
        <v> মেহেরপুর</v>
      </c>
    </row>
    <row r="289">
      <c r="A289" s="7" t="s">
        <v>7441</v>
      </c>
      <c r="B289" s="5">
        <f>IFERROR(__xludf.DUMMYFUNCTION("SPLIT(A289,"","")"),1561.0)</f>
        <v>1561</v>
      </c>
      <c r="C289" s="5" t="str">
        <f>IFERROR(__xludf.DUMMYFUNCTION("""COMPUTED_VALUE"""),"নাম: মো: মহিবুল ইসলাম")</f>
        <v>নাম: মো: মহিবুল ইসলাম</v>
      </c>
      <c r="D289" s="5" t="str">
        <f>IFERROR(__xludf.DUMMYFUNCTION("""COMPUTED_VALUE"""),"ভোটার নং: ৫৭০০৩৮৩৫৬৮৪৩")</f>
        <v>ভোটার নং: ৫৭০০৩৮৩৫৬৮৪৩</v>
      </c>
      <c r="E289" s="5" t="str">
        <f>IFERROR(__xludf.DUMMYFUNCTION("""COMPUTED_VALUE"""),"পিতা: মো: আনোয়ার হোসেন")</f>
        <v>পিতা: মো: আনোয়ার হোসেন</v>
      </c>
      <c r="F289" s="5" t="str">
        <f>IFERROR(__xludf.DUMMYFUNCTION("""COMPUTED_VALUE"""),"মাতা: জমেলা খাতুন")</f>
        <v>মাতা: জমেলা খাতুন</v>
      </c>
      <c r="G289" s="5" t="str">
        <f>IFERROR(__xludf.DUMMYFUNCTION("""COMPUTED_VALUE"""),"জন্ম তারিখ: ১৭/০৭/১৯৮০")</f>
        <v>জন্ম তারিখ: ১৭/০৭/১৯৮০</v>
      </c>
      <c r="H289" s="5" t="str">
        <f>IFERROR(__xludf.DUMMYFUNCTION("""COMPUTED_VALUE"""),"পেশা: ব্যবসা")</f>
        <v>পেশা: ব্যবসা</v>
      </c>
      <c r="I289" s="5" t="str">
        <f>IFERROR(__xludf.DUMMYFUNCTION("""COMPUTED_VALUE"""),"ঠিকানা: গাড়াবোব")</f>
        <v>ঠিকানা: গাড়াবোব</v>
      </c>
      <c r="J289" s="5" t="str">
        <f>IFERROR(__xludf.DUMMYFUNCTION("""COMPUTED_VALUE""")," গাংনী")</f>
        <v> গাংনী</v>
      </c>
      <c r="K289" s="5" t="str">
        <f>IFERROR(__xludf.DUMMYFUNCTION("""COMPUTED_VALUE""")," মেহেরপুর")</f>
        <v> মেহেরপুর</v>
      </c>
    </row>
    <row r="290">
      <c r="A290" s="7" t="s">
        <v>7442</v>
      </c>
      <c r="B290" s="5">
        <f>IFERROR(__xludf.DUMMYFUNCTION("SPLIT(A290,"","")"),1562.0)</f>
        <v>1562</v>
      </c>
      <c r="C290" s="5" t="str">
        <f>IFERROR(__xludf.DUMMYFUNCTION("""COMPUTED_VALUE"""),"নাম: মো: জামাল হোসেন")</f>
        <v>নাম: মো: জামাল হোসেন</v>
      </c>
      <c r="D290" s="5" t="str">
        <f>IFERROR(__xludf.DUMMYFUNCTION("""COMPUTED_VALUE"""),"ভোটার নং: ৫৭০০৩৮৩৫৬৮৪৮")</f>
        <v>ভোটার নং: ৫৭০০৩৮৩৫৬৮৪৮</v>
      </c>
      <c r="E290" s="5" t="str">
        <f>IFERROR(__xludf.DUMMYFUNCTION("""COMPUTED_VALUE"""),"পিতা: মো: আব্দুল বারেক")</f>
        <v>পিতা: মো: আব্দুল বারেক</v>
      </c>
      <c r="F290" s="5" t="str">
        <f>IFERROR(__xludf.DUMMYFUNCTION("""COMPUTED_VALUE"""),"মাতা: মোছা: বানুয়ারা খাতুন")</f>
        <v>মাতা: মোছা: বানুয়ারা খাতুন</v>
      </c>
      <c r="G290" s="5" t="str">
        <f>IFERROR(__xludf.DUMMYFUNCTION("""COMPUTED_VALUE"""),"জন্ম তারিখ: ১৩/০৩/১৯৮৫")</f>
        <v>জন্ম তারিখ: ১৩/০৩/১৯৮৫</v>
      </c>
      <c r="H290" s="5" t="str">
        <f>IFERROR(__xludf.DUMMYFUNCTION("""COMPUTED_VALUE"""),"পেশা: ব্যবসা")</f>
        <v>পেশা: ব্যবসা</v>
      </c>
      <c r="I290" s="5" t="str">
        <f>IFERROR(__xludf.DUMMYFUNCTION("""COMPUTED_VALUE"""),"ঠিকানা: গাড়াবোব")</f>
        <v>ঠিকানা: গাড়াবোব</v>
      </c>
      <c r="J290" s="5" t="str">
        <f>IFERROR(__xludf.DUMMYFUNCTION("""COMPUTED_VALUE""")," গাংনী")</f>
        <v> গাংনী</v>
      </c>
      <c r="K290" s="5" t="str">
        <f>IFERROR(__xludf.DUMMYFUNCTION("""COMPUTED_VALUE""")," মেহেরপুর")</f>
        <v> মেহেরপুর</v>
      </c>
    </row>
    <row r="291">
      <c r="A291" s="7" t="s">
        <v>7443</v>
      </c>
      <c r="B291" s="5">
        <f>IFERROR(__xludf.DUMMYFUNCTION("SPLIT(A291,"","")"),1563.0)</f>
        <v>1563</v>
      </c>
      <c r="C291" s="5" t="str">
        <f>IFERROR(__xludf.DUMMYFUNCTION("""COMPUTED_VALUE"""),"নাম: মো: কামাল হোসেন")</f>
        <v>নাম: মো: কামাল হোসেন</v>
      </c>
      <c r="D291" s="5" t="str">
        <f>IFERROR(__xludf.DUMMYFUNCTION("""COMPUTED_VALUE"""),"ভোটার নং: ৫৭০০৩৮৩৫৬৮৫১")</f>
        <v>ভোটার নং: ৫৭০০৩৮৩৫৬৮৫১</v>
      </c>
      <c r="E291" s="5" t="str">
        <f>IFERROR(__xludf.DUMMYFUNCTION("""COMPUTED_VALUE"""),"পিতা: মো: আব্দুল বারেক")</f>
        <v>পিতা: মো: আব্দুল বারেক</v>
      </c>
      <c r="F291" s="5" t="str">
        <f>IFERROR(__xludf.DUMMYFUNCTION("""COMPUTED_VALUE"""),"মাতা: মোছা: বানুয়ারা খাতুন")</f>
        <v>মাতা: মোছা: বানুয়ারা খাতুন</v>
      </c>
      <c r="G291" s="5" t="str">
        <f>IFERROR(__xludf.DUMMYFUNCTION("""COMPUTED_VALUE"""),"জন্ম তারিখ: ১২/০৩/১৯৮০")</f>
        <v>জন্ম তারিখ: ১২/০৩/১৯৮০</v>
      </c>
      <c r="H291" s="5" t="str">
        <f>IFERROR(__xludf.DUMMYFUNCTION("""COMPUTED_VALUE"""),"পেশা: কৃষক")</f>
        <v>পেশা: কৃষক</v>
      </c>
      <c r="I291" s="5" t="str">
        <f>IFERROR(__xludf.DUMMYFUNCTION("""COMPUTED_VALUE"""),"ঠিকানা: গাড়াবোব")</f>
        <v>ঠিকানা: গাড়াবোব</v>
      </c>
      <c r="J291" s="5" t="str">
        <f>IFERROR(__xludf.DUMMYFUNCTION("""COMPUTED_VALUE""")," গাংনী")</f>
        <v> গাংনী</v>
      </c>
      <c r="K291" s="5" t="str">
        <f>IFERROR(__xludf.DUMMYFUNCTION("""COMPUTED_VALUE""")," মেহেরপুর")</f>
        <v> মেহেরপুর</v>
      </c>
    </row>
    <row r="292">
      <c r="A292" s="7" t="s">
        <v>7444</v>
      </c>
      <c r="B292" s="5">
        <f>IFERROR(__xludf.DUMMYFUNCTION("SPLIT(A292,"","")"),1564.0)</f>
        <v>1564</v>
      </c>
      <c r="C292" s="5" t="str">
        <f>IFERROR(__xludf.DUMMYFUNCTION("""COMPUTED_VALUE"""),"নাম: মো: নিহাজ উদ্দীন")</f>
        <v>নাম: মো: নিহাজ উদ্দীন</v>
      </c>
      <c r="D292" s="5" t="str">
        <f>IFERROR(__xludf.DUMMYFUNCTION("""COMPUTED_VALUE"""),"ভোটার নং: ৫৭০০৩৮৩৫৬৮৫২")</f>
        <v>ভোটার নং: ৫৭০০৩৮৩৫৬৮৫২</v>
      </c>
      <c r="E292" s="5" t="str">
        <f>IFERROR(__xludf.DUMMYFUNCTION("""COMPUTED_VALUE"""),"পিতা: আতর আলী")</f>
        <v>পিতা: আতর আলী</v>
      </c>
      <c r="F292" s="5" t="str">
        <f>IFERROR(__xludf.DUMMYFUNCTION("""COMPUTED_VALUE"""),"মাতা: পরিছুন নেছা")</f>
        <v>মাতা: পরিছুন নেছা</v>
      </c>
      <c r="G292" s="5" t="str">
        <f>IFERROR(__xludf.DUMMYFUNCTION("""COMPUTED_VALUE"""),"জন্ম তারিখ: ১৩/০৭/১৯৬০")</f>
        <v>জন্ম তারিখ: ১৩/০৭/১৯৬০</v>
      </c>
      <c r="H292" s="5" t="str">
        <f>IFERROR(__xludf.DUMMYFUNCTION("""COMPUTED_VALUE"""),"পেশা: কৃষক")</f>
        <v>পেশা: কৃষক</v>
      </c>
      <c r="I292" s="5" t="str">
        <f>IFERROR(__xludf.DUMMYFUNCTION("""COMPUTED_VALUE"""),"ঠিকানা: গাড়াবোব")</f>
        <v>ঠিকানা: গাড়াবোব</v>
      </c>
      <c r="J292" s="5" t="str">
        <f>IFERROR(__xludf.DUMMYFUNCTION("""COMPUTED_VALUE""")," গাংনী")</f>
        <v> গাংনী</v>
      </c>
      <c r="K292" s="5" t="str">
        <f>IFERROR(__xludf.DUMMYFUNCTION("""COMPUTED_VALUE""")," মেহেরপুর")</f>
        <v> মেহেরপুর</v>
      </c>
    </row>
    <row r="293">
      <c r="A293" s="7" t="s">
        <v>7445</v>
      </c>
      <c r="B293" s="5">
        <f>IFERROR(__xludf.DUMMYFUNCTION("SPLIT(A293,"","")"),1565.0)</f>
        <v>1565</v>
      </c>
      <c r="C293" s="5" t="str">
        <f>IFERROR(__xludf.DUMMYFUNCTION("""COMPUTED_VALUE"""),"নাম: মো: আবুল কালাম আজাদ")</f>
        <v>নাম: মো: আবুল কালাম আজাদ</v>
      </c>
      <c r="D293" s="5" t="str">
        <f>IFERROR(__xludf.DUMMYFUNCTION("""COMPUTED_VALUE"""),"ভোটার নং: ৫৭০০৩৮৩৫৬৮৫৫")</f>
        <v>ভোটার নং: ৫৭০০৩৮৩৫৬৮৫৫</v>
      </c>
      <c r="E293" s="5" t="str">
        <f>IFERROR(__xludf.DUMMYFUNCTION("""COMPUTED_VALUE"""),"পিতা: মো: গোলাম মোস্তফা")</f>
        <v>পিতা: মো: গোলাম মোস্তফা</v>
      </c>
      <c r="F293" s="5" t="str">
        <f>IFERROR(__xludf.DUMMYFUNCTION("""COMPUTED_VALUE"""),"মাতা: মোছা: বদিরন নেছা")</f>
        <v>মাতা: মোছা: বদিরন নেছা</v>
      </c>
      <c r="G293" s="5" t="str">
        <f>IFERROR(__xludf.DUMMYFUNCTION("""COMPUTED_VALUE"""),"জন্ম তারিখ: ৩১/১০/১৯৮২")</f>
        <v>জন্ম তারিখ: ৩১/১০/১৯৮২</v>
      </c>
      <c r="H293" s="5" t="str">
        <f>IFERROR(__xludf.DUMMYFUNCTION("""COMPUTED_VALUE"""),"পেশা: ব্যবসা")</f>
        <v>পেশা: ব্যবসা</v>
      </c>
      <c r="I293" s="5" t="str">
        <f>IFERROR(__xludf.DUMMYFUNCTION("""COMPUTED_VALUE"""),"ঠিকানা: গাড়াবোব")</f>
        <v>ঠিকানা: গাড়াবোব</v>
      </c>
      <c r="J293" s="5" t="str">
        <f>IFERROR(__xludf.DUMMYFUNCTION("""COMPUTED_VALUE""")," গাংনী")</f>
        <v> গাংনী</v>
      </c>
      <c r="K293" s="5" t="str">
        <f>IFERROR(__xludf.DUMMYFUNCTION("""COMPUTED_VALUE""")," মেহেরপুর")</f>
        <v> মেহেরপুর</v>
      </c>
    </row>
    <row r="294">
      <c r="A294" s="7" t="s">
        <v>7446</v>
      </c>
      <c r="B294" s="5">
        <f>IFERROR(__xludf.DUMMYFUNCTION("SPLIT(A294,"","")"),1566.0)</f>
        <v>1566</v>
      </c>
      <c r="C294" s="5" t="str">
        <f>IFERROR(__xludf.DUMMYFUNCTION("""COMPUTED_VALUE"""),"নাম: মো: কিশোর মহাম্মদ")</f>
        <v>নাম: মো: কিশোর মহাম্মদ</v>
      </c>
      <c r="D294" s="5" t="str">
        <f>IFERROR(__xludf.DUMMYFUNCTION("""COMPUTED_VALUE"""),"ভোটার নং: ৫৭০০৩৮৩৫৬৮৫৬")</f>
        <v>ভোটার নং: ৫৭০০৩৮৩৫৬৮৫৬</v>
      </c>
      <c r="E294" s="5" t="str">
        <f>IFERROR(__xludf.DUMMYFUNCTION("""COMPUTED_VALUE"""),"পিতা: মো: মরজেম হোসেন")</f>
        <v>পিতা: মো: মরজেম হোসেন</v>
      </c>
      <c r="F294" s="5" t="str">
        <f>IFERROR(__xludf.DUMMYFUNCTION("""COMPUTED_VALUE"""),"মাতা: মোছা: শাহিদা খাতুন")</f>
        <v>মাতা: মোছা: শাহিদা খাতুন</v>
      </c>
      <c r="G294" s="5" t="str">
        <f>IFERROR(__xludf.DUMMYFUNCTION("""COMPUTED_VALUE"""),"জন্ম তারিখ: ১২/০৫/১৯৮৩")</f>
        <v>জন্ম তারিখ: ১২/০৫/১৯৮৩</v>
      </c>
      <c r="H294" s="5" t="str">
        <f>IFERROR(__xludf.DUMMYFUNCTION("""COMPUTED_VALUE"""),"পেশা: ব্যবসা")</f>
        <v>পেশা: ব্যবসা</v>
      </c>
      <c r="I294" s="5" t="str">
        <f>IFERROR(__xludf.DUMMYFUNCTION("""COMPUTED_VALUE"""),"ঠিকানা: গাড়াবোব")</f>
        <v>ঠিকানা: গাড়াবোব</v>
      </c>
      <c r="J294" s="5" t="str">
        <f>IFERROR(__xludf.DUMMYFUNCTION("""COMPUTED_VALUE""")," গাংনী")</f>
        <v> গাংনী</v>
      </c>
      <c r="K294" s="5" t="str">
        <f>IFERROR(__xludf.DUMMYFUNCTION("""COMPUTED_VALUE""")," মেহেরপুর")</f>
        <v> মেহেরপুর</v>
      </c>
    </row>
    <row r="295">
      <c r="A295" s="7" t="s">
        <v>7447</v>
      </c>
      <c r="B295" s="5">
        <f>IFERROR(__xludf.DUMMYFUNCTION("SPLIT(A295,"","")"),1567.0)</f>
        <v>1567</v>
      </c>
      <c r="C295" s="5" t="str">
        <f>IFERROR(__xludf.DUMMYFUNCTION("""COMPUTED_VALUE"""),"নাম: মো: আব্দুস সামাদ")</f>
        <v>নাম: মো: আব্দুস সামাদ</v>
      </c>
      <c r="D295" s="5" t="str">
        <f>IFERROR(__xludf.DUMMYFUNCTION("""COMPUTED_VALUE"""),"ভোটার নং: ৫৭০০৩৮৩৫৬৮৫৯")</f>
        <v>ভোটার নং: ৫৭০০৩৮৩৫৬৮৫৯</v>
      </c>
      <c r="E295" s="5" t="str">
        <f>IFERROR(__xludf.DUMMYFUNCTION("""COMPUTED_VALUE"""),"পিতা: মো: বদর উদ্দীন")</f>
        <v>পিতা: মো: বদর উদ্দীন</v>
      </c>
      <c r="F295" s="5" t="str">
        <f>IFERROR(__xludf.DUMMYFUNCTION("""COMPUTED_VALUE"""),"মাতা: মোছা: ছানোয়ারা")</f>
        <v>মাতা: মোছা: ছানোয়ারা</v>
      </c>
      <c r="G295" s="5" t="str">
        <f>IFERROR(__xludf.DUMMYFUNCTION("""COMPUTED_VALUE"""),"জন্ম তারিখ: ০৯/০২/১৯৬৭")</f>
        <v>জন্ম তারিখ: ০৯/০২/১৯৬৭</v>
      </c>
      <c r="H295" s="5" t="str">
        <f>IFERROR(__xludf.DUMMYFUNCTION("""COMPUTED_VALUE"""),"পেশা: কৃষক")</f>
        <v>পেশা: কৃষক</v>
      </c>
      <c r="I295" s="5" t="str">
        <f>IFERROR(__xludf.DUMMYFUNCTION("""COMPUTED_VALUE"""),"ঠিকানা: গাড়াবোব")</f>
        <v>ঠিকানা: গাড়াবোব</v>
      </c>
      <c r="J295" s="5" t="str">
        <f>IFERROR(__xludf.DUMMYFUNCTION("""COMPUTED_VALUE""")," গাংনী")</f>
        <v> গাংনী</v>
      </c>
      <c r="K295" s="5" t="str">
        <f>IFERROR(__xludf.DUMMYFUNCTION("""COMPUTED_VALUE""")," মেহেরপুর")</f>
        <v> মেহেরপুর</v>
      </c>
    </row>
    <row r="296">
      <c r="A296" s="7" t="s">
        <v>7448</v>
      </c>
      <c r="B296" s="5">
        <f>IFERROR(__xludf.DUMMYFUNCTION("SPLIT(A296,"","")"),1568.0)</f>
        <v>1568</v>
      </c>
      <c r="C296" s="5" t="str">
        <f>IFERROR(__xludf.DUMMYFUNCTION("""COMPUTED_VALUE"""),"নাম: মো: বদর উদ্দীন")</f>
        <v>নাম: মো: বদর উদ্দীন</v>
      </c>
      <c r="D296" s="5" t="str">
        <f>IFERROR(__xludf.DUMMYFUNCTION("""COMPUTED_VALUE"""),"ভোটার নং: ৫৭০০৩৮৩৫৬৮৬১")</f>
        <v>ভোটার নং: ৫৭০০৩৮৩৫৬৮৬১</v>
      </c>
      <c r="E296" s="5" t="str">
        <f>IFERROR(__xludf.DUMMYFUNCTION("""COMPUTED_VALUE"""),"পিতা: আব্দুল জলিল")</f>
        <v>পিতা: আব্দুল জলিল</v>
      </c>
      <c r="F296" s="5" t="str">
        <f>IFERROR(__xludf.DUMMYFUNCTION("""COMPUTED_VALUE"""),"মাতা: খোসজান বেগম")</f>
        <v>মাতা: খোসজান বেগম</v>
      </c>
      <c r="G296" s="5" t="str">
        <f>IFERROR(__xludf.DUMMYFUNCTION("""COMPUTED_VALUE"""),"জন্ম তারিখ: ১৫/০৭/১৯৩৭")</f>
        <v>জন্ম তারিখ: ১৫/০৭/১৯৩৭</v>
      </c>
      <c r="H296" s="5" t="str">
        <f>IFERROR(__xludf.DUMMYFUNCTION("""COMPUTED_VALUE"""),"পেশা: কৃষক")</f>
        <v>পেশা: কৃষক</v>
      </c>
      <c r="I296" s="5" t="str">
        <f>IFERROR(__xludf.DUMMYFUNCTION("""COMPUTED_VALUE"""),"ঠিকানা: গাড়াবোব")</f>
        <v>ঠিকানা: গাড়াবোব</v>
      </c>
      <c r="J296" s="5" t="str">
        <f>IFERROR(__xludf.DUMMYFUNCTION("""COMPUTED_VALUE""")," গাংনী")</f>
        <v> গাংনী</v>
      </c>
      <c r="K296" s="5" t="str">
        <f>IFERROR(__xludf.DUMMYFUNCTION("""COMPUTED_VALUE""")," মেহেরপুর")</f>
        <v> মেহেরপুর</v>
      </c>
    </row>
    <row r="297">
      <c r="A297" s="7" t="s">
        <v>7449</v>
      </c>
      <c r="B297" s="5">
        <f>IFERROR(__xludf.DUMMYFUNCTION("SPLIT(A297,"","")"),1569.0)</f>
        <v>1569</v>
      </c>
      <c r="C297" s="5" t="str">
        <f>IFERROR(__xludf.DUMMYFUNCTION("""COMPUTED_VALUE"""),"নাম: মো: ছলেমান শেখ")</f>
        <v>নাম: মো: ছলেমান শেখ</v>
      </c>
      <c r="D297" s="5" t="str">
        <f>IFERROR(__xludf.DUMMYFUNCTION("""COMPUTED_VALUE"""),"ভোটার নং: ৫৭০০৩৮৩৫৬৮৬২")</f>
        <v>ভোটার নং: ৫৭০০৩৮৩৫৬৮৬২</v>
      </c>
      <c r="E297" s="5" t="str">
        <f>IFERROR(__xludf.DUMMYFUNCTION("""COMPUTED_VALUE"""),"পিতা: আব্দুল জলিল")</f>
        <v>পিতা: আব্দুল জলিল</v>
      </c>
      <c r="F297" s="5" t="str">
        <f>IFERROR(__xludf.DUMMYFUNCTION("""COMPUTED_VALUE"""),"মাতা: খোশ জান")</f>
        <v>মাতা: খোশ জান</v>
      </c>
      <c r="G297" s="5" t="str">
        <f>IFERROR(__xludf.DUMMYFUNCTION("""COMPUTED_VALUE"""),"জন্ম তারিখ: ১১/০৭/১৯৬২")</f>
        <v>জন্ম তারিখ: ১১/০৭/১৯৬২</v>
      </c>
      <c r="H297" s="5" t="str">
        <f>IFERROR(__xludf.DUMMYFUNCTION("""COMPUTED_VALUE"""),"পেশা: শ্রমিক")</f>
        <v>পেশা: শ্রমিক</v>
      </c>
      <c r="I297" s="5" t="str">
        <f>IFERROR(__xludf.DUMMYFUNCTION("""COMPUTED_VALUE"""),"ঠিকানা: গাড়াবোব")</f>
        <v>ঠিকানা: গাড়াবোব</v>
      </c>
      <c r="J297" s="5" t="str">
        <f>IFERROR(__xludf.DUMMYFUNCTION("""COMPUTED_VALUE""")," গাংনী")</f>
        <v> গাংনী</v>
      </c>
      <c r="K297" s="5" t="str">
        <f>IFERROR(__xludf.DUMMYFUNCTION("""COMPUTED_VALUE""")," মেহেরপুর")</f>
        <v> মেহেরপুর</v>
      </c>
    </row>
    <row r="298">
      <c r="A298" s="7" t="s">
        <v>7450</v>
      </c>
      <c r="B298" s="5">
        <f>IFERROR(__xludf.DUMMYFUNCTION("SPLIT(A298,"","")"),1570.0)</f>
        <v>1570</v>
      </c>
      <c r="C298" s="5" t="str">
        <f>IFERROR(__xludf.DUMMYFUNCTION("""COMPUTED_VALUE"""),"নাম: মো: আনোয়ার হোসেন")</f>
        <v>নাম: মো: আনোয়ার হোসেন</v>
      </c>
      <c r="D298" s="5" t="str">
        <f>IFERROR(__xludf.DUMMYFUNCTION("""COMPUTED_VALUE"""),"ভোটার নং: ৫৭০০৩৮৩৫৬৮৬৬")</f>
        <v>ভোটার নং: ৫৭০০৩৮৩৫৬৮৬৬</v>
      </c>
      <c r="E298" s="5" t="str">
        <f>IFERROR(__xludf.DUMMYFUNCTION("""COMPUTED_VALUE"""),"পিতা: মো: ইউসুফ মিয়া")</f>
        <v>পিতা: মো: ইউসুফ মিয়া</v>
      </c>
      <c r="F298" s="5" t="str">
        <f>IFERROR(__xludf.DUMMYFUNCTION("""COMPUTED_VALUE"""),"মাতা: হনুফা খাতুন")</f>
        <v>মাতা: হনুফা খাতুন</v>
      </c>
      <c r="G298" s="5" t="str">
        <f>IFERROR(__xludf.DUMMYFUNCTION("""COMPUTED_VALUE"""),"জন্ম তারিখ: ১৭/০৭/১৯৭২")</f>
        <v>জন্ম তারিখ: ১৭/০৭/১৯৭২</v>
      </c>
      <c r="H298" s="5" t="str">
        <f>IFERROR(__xludf.DUMMYFUNCTION("""COMPUTED_VALUE"""),"পেশা: ব্যবসা")</f>
        <v>পেশা: ব্যবসা</v>
      </c>
      <c r="I298" s="5" t="str">
        <f>IFERROR(__xludf.DUMMYFUNCTION("""COMPUTED_VALUE"""),"ঠিকানা: গাড়াবোব")</f>
        <v>ঠিকানা: গাড়াবোব</v>
      </c>
      <c r="J298" s="5" t="str">
        <f>IFERROR(__xludf.DUMMYFUNCTION("""COMPUTED_VALUE""")," গাংনী")</f>
        <v> গাংনী</v>
      </c>
      <c r="K298" s="5" t="str">
        <f>IFERROR(__xludf.DUMMYFUNCTION("""COMPUTED_VALUE""")," মেহেরপুর")</f>
        <v> মেহেরপুর</v>
      </c>
    </row>
    <row r="299">
      <c r="A299" s="7" t="s">
        <v>7451</v>
      </c>
      <c r="B299" s="5">
        <f>IFERROR(__xludf.DUMMYFUNCTION("SPLIT(A299,"","")"),1571.0)</f>
        <v>1571</v>
      </c>
      <c r="C299" s="5" t="str">
        <f>IFERROR(__xludf.DUMMYFUNCTION("""COMPUTED_VALUE"""),"নাম: মো: ছানোয়ার হোসেন")</f>
        <v>নাম: মো: ছানোয়ার হোসেন</v>
      </c>
      <c r="D299" s="5" t="str">
        <f>IFERROR(__xludf.DUMMYFUNCTION("""COMPUTED_VALUE"""),"ভোটার নং: ৫৭০০৩৮৩৫৬৮৬৮")</f>
        <v>ভোটার নং: ৫৭০০৩৮৩৫৬৮৬৮</v>
      </c>
      <c r="E299" s="5" t="str">
        <f>IFERROR(__xludf.DUMMYFUNCTION("""COMPUTED_VALUE"""),"পিতা: কাদের মল্লিক")</f>
        <v>পিতা: কাদের মল্লিক</v>
      </c>
      <c r="F299" s="5" t="str">
        <f>IFERROR(__xludf.DUMMYFUNCTION("""COMPUTED_VALUE"""),"মাতা: মোছা: সবুজান")</f>
        <v>মাতা: মোছা: সবুজান</v>
      </c>
      <c r="G299" s="5" t="str">
        <f>IFERROR(__xludf.DUMMYFUNCTION("""COMPUTED_VALUE"""),"জন্ম তারিখ: ১৬/০৮/১৯৬৫")</f>
        <v>জন্ম তারিখ: ১৬/০৮/১৯৬৫</v>
      </c>
      <c r="H299" s="5" t="str">
        <f>IFERROR(__xludf.DUMMYFUNCTION("""COMPUTED_VALUE"""),"পেশা: ব্যবসা")</f>
        <v>পেশা: ব্যবসা</v>
      </c>
      <c r="I299" s="5" t="str">
        <f>IFERROR(__xludf.DUMMYFUNCTION("""COMPUTED_VALUE"""),"ঠিকানা: গাড়াবোব")</f>
        <v>ঠিকানা: গাড়াবোব</v>
      </c>
      <c r="J299" s="5" t="str">
        <f>IFERROR(__xludf.DUMMYFUNCTION("""COMPUTED_VALUE""")," গাংনী")</f>
        <v> গাংনী</v>
      </c>
      <c r="K299" s="5" t="str">
        <f>IFERROR(__xludf.DUMMYFUNCTION("""COMPUTED_VALUE""")," মেহেরপুর")</f>
        <v> মেহেরপুর</v>
      </c>
    </row>
    <row r="300">
      <c r="A300" s="7" t="s">
        <v>7452</v>
      </c>
      <c r="B300" s="5">
        <f>IFERROR(__xludf.DUMMYFUNCTION("SPLIT(A300,"","")"),1572.0)</f>
        <v>1572</v>
      </c>
      <c r="C300" s="5" t="str">
        <f>IFERROR(__xludf.DUMMYFUNCTION("""COMPUTED_VALUE"""),"নাম: মো: আমজাদ হোসেন")</f>
        <v>নাম: মো: আমজাদ হোসেন</v>
      </c>
      <c r="D300" s="5" t="str">
        <f>IFERROR(__xludf.DUMMYFUNCTION("""COMPUTED_VALUE"""),"ভোটার নং: ৫৭০০৩৮৩৫৬৮৭১")</f>
        <v>ভোটার নং: ৫৭০০৩৮৩৫৬৮৭১</v>
      </c>
      <c r="E300" s="5" t="str">
        <f>IFERROR(__xludf.DUMMYFUNCTION("""COMPUTED_VALUE"""),"পিতা: কাদের মল্লিক")</f>
        <v>পিতা: কাদের মল্লিক</v>
      </c>
      <c r="F300" s="5" t="str">
        <f>IFERROR(__xludf.DUMMYFUNCTION("""COMPUTED_VALUE"""),"মাতা: মোছা: সবু জান")</f>
        <v>মাতা: মোছা: সবু জান</v>
      </c>
      <c r="G300" s="5" t="str">
        <f>IFERROR(__xludf.DUMMYFUNCTION("""COMPUTED_VALUE"""),"জন্ম তারিখ: ১১/০৪/১৯৭১")</f>
        <v>জন্ম তারিখ: ১১/০৪/১৯৭১</v>
      </c>
      <c r="H300" s="5" t="str">
        <f>IFERROR(__xludf.DUMMYFUNCTION("""COMPUTED_VALUE"""),"পেশা: কৃষক")</f>
        <v>পেশা: কৃষক</v>
      </c>
      <c r="I300" s="5" t="str">
        <f>IFERROR(__xludf.DUMMYFUNCTION("""COMPUTED_VALUE"""),"ঠিকানা: গাড়াবোব")</f>
        <v>ঠিকানা: গাড়াবোব</v>
      </c>
      <c r="J300" s="5" t="str">
        <f>IFERROR(__xludf.DUMMYFUNCTION("""COMPUTED_VALUE""")," গাংনী")</f>
        <v> গাংনী</v>
      </c>
      <c r="K300" s="5" t="str">
        <f>IFERROR(__xludf.DUMMYFUNCTION("""COMPUTED_VALUE""")," মেহেরপুর")</f>
        <v> মেহেরপুর</v>
      </c>
    </row>
    <row r="301">
      <c r="A301" s="7" t="s">
        <v>7453</v>
      </c>
      <c r="B301" s="5">
        <f>IFERROR(__xludf.DUMMYFUNCTION("SPLIT(A301,"","")"),1573.0)</f>
        <v>1573</v>
      </c>
      <c r="C301" s="5" t="str">
        <f>IFERROR(__xludf.DUMMYFUNCTION("""COMPUTED_VALUE"""),"নাম: মো: আব্দুল মান্নান")</f>
        <v>নাম: মো: আব্দুল মান্নান</v>
      </c>
      <c r="D301" s="5" t="str">
        <f>IFERROR(__xludf.DUMMYFUNCTION("""COMPUTED_VALUE"""),"ভোটার নং: ৫৭০০৩৮৩৫৬৮৭২")</f>
        <v>ভোটার নং: ৫৭০০৩৮৩৫৬৮৭২</v>
      </c>
      <c r="E301" s="5" t="str">
        <f>IFERROR(__xludf.DUMMYFUNCTION("""COMPUTED_VALUE"""),"পিতা: আব্দুল কাদের")</f>
        <v>পিতা: আব্দুল কাদের</v>
      </c>
      <c r="F301" s="5" t="str">
        <f>IFERROR(__xludf.DUMMYFUNCTION("""COMPUTED_VALUE"""),"মাতা: মোছা: সবুজান")</f>
        <v>মাতা: মোছা: সবুজান</v>
      </c>
      <c r="G301" s="5" t="str">
        <f>IFERROR(__xludf.DUMMYFUNCTION("""COMPUTED_VALUE"""),"জন্ম তারিখ: ১৩/০৭/১৯৬৬")</f>
        <v>জন্ম তারিখ: ১৩/০৭/১৯৬৬</v>
      </c>
      <c r="H301" s="5" t="str">
        <f>IFERROR(__xludf.DUMMYFUNCTION("""COMPUTED_VALUE"""),"পেশা: কৃষক")</f>
        <v>পেশা: কৃষক</v>
      </c>
      <c r="I301" s="5" t="str">
        <f>IFERROR(__xludf.DUMMYFUNCTION("""COMPUTED_VALUE"""),"ঠিকানা: গাড়াবোব")</f>
        <v>ঠিকানা: গাড়াবোব</v>
      </c>
      <c r="J301" s="5" t="str">
        <f>IFERROR(__xludf.DUMMYFUNCTION("""COMPUTED_VALUE""")," গাংনী")</f>
        <v> গাংনী</v>
      </c>
      <c r="K301" s="5" t="str">
        <f>IFERROR(__xludf.DUMMYFUNCTION("""COMPUTED_VALUE""")," মেহেরপুর")</f>
        <v> মেহেরপুর</v>
      </c>
    </row>
    <row r="302">
      <c r="A302" s="7" t="s">
        <v>7454</v>
      </c>
      <c r="B302" s="5">
        <f>IFERROR(__xludf.DUMMYFUNCTION("SPLIT(A302,"","")"),1574.0)</f>
        <v>1574</v>
      </c>
      <c r="C302" s="5" t="str">
        <f>IFERROR(__xludf.DUMMYFUNCTION("""COMPUTED_VALUE"""),"নাম: মো: শহিদুল ইসলাম")</f>
        <v>নাম: মো: শহিদুল ইসলাম</v>
      </c>
      <c r="D302" s="5" t="str">
        <f>IFERROR(__xludf.DUMMYFUNCTION("""COMPUTED_VALUE"""),"ভোটার নং: ৫৭০০৩৮৩৫৬৮৭৪")</f>
        <v>ভোটার নং: ৫৭০০৩৮৩৫৬৮৭৪</v>
      </c>
      <c r="E302" s="5" t="str">
        <f>IFERROR(__xludf.DUMMYFUNCTION("""COMPUTED_VALUE"""),"পিতা: আজগার আলী")</f>
        <v>পিতা: আজগার আলী</v>
      </c>
      <c r="F302" s="5" t="str">
        <f>IFERROR(__xludf.DUMMYFUNCTION("""COMPUTED_VALUE"""),"মাতা: মোছা: রাশিয়া খাতুন")</f>
        <v>মাতা: মোছা: রাশিয়া খাতুন</v>
      </c>
      <c r="G302" s="5" t="str">
        <f>IFERROR(__xludf.DUMMYFUNCTION("""COMPUTED_VALUE"""),"জন্ম তারিখ: ২৭/০৮/১৯৭০")</f>
        <v>জন্ম তারিখ: ২৭/০৮/১৯৭০</v>
      </c>
      <c r="H302" s="5" t="str">
        <f>IFERROR(__xludf.DUMMYFUNCTION("""COMPUTED_VALUE"""),"পেশা: শ্রমিক")</f>
        <v>পেশা: শ্রমিক</v>
      </c>
      <c r="I302" s="5" t="str">
        <f>IFERROR(__xludf.DUMMYFUNCTION("""COMPUTED_VALUE"""),"ঠিকানা: গাড়াবোব")</f>
        <v>ঠিকানা: গাড়াবোব</v>
      </c>
      <c r="J302" s="5" t="str">
        <f>IFERROR(__xludf.DUMMYFUNCTION("""COMPUTED_VALUE""")," গাংনী")</f>
        <v> গাংনী</v>
      </c>
      <c r="K302" s="5" t="str">
        <f>IFERROR(__xludf.DUMMYFUNCTION("""COMPUTED_VALUE""")," মেহেরপুর")</f>
        <v> মেহেরপুর</v>
      </c>
    </row>
    <row r="303">
      <c r="A303" s="7" t="s">
        <v>7455</v>
      </c>
      <c r="B303" s="5">
        <f>IFERROR(__xludf.DUMMYFUNCTION("SPLIT(A303,"","")"),1575.0)</f>
        <v>1575</v>
      </c>
      <c r="C303" s="5" t="str">
        <f>IFERROR(__xludf.DUMMYFUNCTION("""COMPUTED_VALUE"""),"নাম: মো: আনিসুর রহমান")</f>
        <v>নাম: মো: আনিসুর রহমান</v>
      </c>
      <c r="D303" s="5" t="str">
        <f>IFERROR(__xludf.DUMMYFUNCTION("""COMPUTED_VALUE"""),"ভোটার নং: ৫৭০০৩৮৩৫৬৮৭৬")</f>
        <v>ভোটার নং: ৫৭০০৩৮৩৫৬৮৭৬</v>
      </c>
      <c r="E303" s="5" t="str">
        <f>IFERROR(__xludf.DUMMYFUNCTION("""COMPUTED_VALUE"""),"পিতা: মো: আব্দুল গনি")</f>
        <v>পিতা: মো: আব্দুল গনি</v>
      </c>
      <c r="F303" s="5" t="str">
        <f>IFERROR(__xludf.DUMMYFUNCTION("""COMPUTED_VALUE"""),"মাতা: মোছা: রোজিনা খাতুন")</f>
        <v>মাতা: মোছা: রোজিনা খাতুন</v>
      </c>
      <c r="G303" s="5" t="str">
        <f>IFERROR(__xludf.DUMMYFUNCTION("""COMPUTED_VALUE"""),"জন্ম তারিখ: ২৩/০১/১৯৮০")</f>
        <v>জন্ম তারিখ: ২৩/০১/১৯৮০</v>
      </c>
      <c r="H303" s="5" t="str">
        <f>IFERROR(__xludf.DUMMYFUNCTION("""COMPUTED_VALUE"""),"পেশা: কৃষক")</f>
        <v>পেশা: কৃষক</v>
      </c>
      <c r="I303" s="5" t="str">
        <f>IFERROR(__xludf.DUMMYFUNCTION("""COMPUTED_VALUE"""),"ঠিকানা: গাড়াবোব")</f>
        <v>ঠিকানা: গাড়াবোব</v>
      </c>
      <c r="J303" s="5" t="str">
        <f>IFERROR(__xludf.DUMMYFUNCTION("""COMPUTED_VALUE""")," গাংনী")</f>
        <v> গাংনী</v>
      </c>
      <c r="K303" s="5" t="str">
        <f>IFERROR(__xludf.DUMMYFUNCTION("""COMPUTED_VALUE""")," মেহেরপুর")</f>
        <v> মেহেরপুর</v>
      </c>
    </row>
    <row r="304">
      <c r="A304" s="7" t="s">
        <v>7456</v>
      </c>
      <c r="B304" s="5">
        <f>IFERROR(__xludf.DUMMYFUNCTION("SPLIT(A304,"","")"),1576.0)</f>
        <v>1576</v>
      </c>
      <c r="C304" s="5" t="str">
        <f>IFERROR(__xludf.DUMMYFUNCTION("""COMPUTED_VALUE"""),"নাম: মো: মিজানুর রহমান")</f>
        <v>নাম: মো: মিজানুর রহমান</v>
      </c>
      <c r="D304" s="5" t="str">
        <f>IFERROR(__xludf.DUMMYFUNCTION("""COMPUTED_VALUE"""),"ভোটার নং: ৫৭০০৩৮৩৫৬৮৮২")</f>
        <v>ভোটার নং: ৫৭০০৩৮৩৫৬৮৮২</v>
      </c>
      <c r="E304" s="5" t="str">
        <f>IFERROR(__xludf.DUMMYFUNCTION("""COMPUTED_VALUE"""),"পিতা: মো: ছানোয়ার হোসেন")</f>
        <v>পিতা: মো: ছানোয়ার হোসেন</v>
      </c>
      <c r="F304" s="5" t="str">
        <f>IFERROR(__xludf.DUMMYFUNCTION("""COMPUTED_VALUE"""),"মাতা: মোছা: মর্জিনা খাতুন")</f>
        <v>মাতা: মোছা: মর্জিনা খাতুন</v>
      </c>
      <c r="G304" s="5" t="str">
        <f>IFERROR(__xludf.DUMMYFUNCTION("""COMPUTED_VALUE"""),"জন্ম তারিখ: ১৭/০৭/১৯৮৬")</f>
        <v>জন্ম তারিখ: ১৭/০৭/১৯৮৬</v>
      </c>
      <c r="H304" s="5" t="str">
        <f>IFERROR(__xludf.DUMMYFUNCTION("""COMPUTED_VALUE"""),"পেশা: কৃষক")</f>
        <v>পেশা: কৃষক</v>
      </c>
      <c r="I304" s="5" t="str">
        <f>IFERROR(__xludf.DUMMYFUNCTION("""COMPUTED_VALUE"""),"ঠিকানা: গাড়াবোব")</f>
        <v>ঠিকানা: গাড়াবোব</v>
      </c>
      <c r="J304" s="5" t="str">
        <f>IFERROR(__xludf.DUMMYFUNCTION("""COMPUTED_VALUE""")," গাংনী")</f>
        <v> গাংনী</v>
      </c>
      <c r="K304" s="5" t="str">
        <f>IFERROR(__xludf.DUMMYFUNCTION("""COMPUTED_VALUE""")," মেহেরপুর")</f>
        <v> মেহেরপুর</v>
      </c>
    </row>
    <row r="305">
      <c r="A305" s="7" t="s">
        <v>7457</v>
      </c>
      <c r="B305" s="5">
        <f>IFERROR(__xludf.DUMMYFUNCTION("SPLIT(A305,"","")"),1577.0)</f>
        <v>1577</v>
      </c>
      <c r="C305" s="5" t="str">
        <f>IFERROR(__xludf.DUMMYFUNCTION("""COMPUTED_VALUE"""),"নাম: মো: আব্দুল হান্নান")</f>
        <v>নাম: মো: আব্দুল হান্নান</v>
      </c>
      <c r="D305" s="5" t="str">
        <f>IFERROR(__xludf.DUMMYFUNCTION("""COMPUTED_VALUE"""),"ভোটার নং: ৫৭০০৩৮৩৫৬৮৮৩")</f>
        <v>ভোটার নং: ৫৭০০৩৮৩৫৬৮৮৩</v>
      </c>
      <c r="E305" s="5" t="str">
        <f>IFERROR(__xludf.DUMMYFUNCTION("""COMPUTED_VALUE"""),"পিতা: আব্দুল কাদের")</f>
        <v>পিতা: আব্দুল কাদের</v>
      </c>
      <c r="F305" s="5" t="str">
        <f>IFERROR(__xludf.DUMMYFUNCTION("""COMPUTED_VALUE"""),"মাতা: মোছা: সবুজান খাতুন")</f>
        <v>মাতা: মোছা: সবুজান খাতুন</v>
      </c>
      <c r="G305" s="5" t="str">
        <f>IFERROR(__xludf.DUMMYFUNCTION("""COMPUTED_VALUE"""),"জন্ম তারিখ: ১৯/০৯/১৯৭৫")</f>
        <v>জন্ম তারিখ: ১৯/০৯/১৯৭৫</v>
      </c>
      <c r="H305" s="5" t="str">
        <f>IFERROR(__xludf.DUMMYFUNCTION("""COMPUTED_VALUE"""),"পেশা: কৃষক")</f>
        <v>পেশা: কৃষক</v>
      </c>
      <c r="I305" s="5" t="str">
        <f>IFERROR(__xludf.DUMMYFUNCTION("""COMPUTED_VALUE"""),"ঠিকানা: গাড়াবোব")</f>
        <v>ঠিকানা: গাড়াবোব</v>
      </c>
      <c r="J305" s="5" t="str">
        <f>IFERROR(__xludf.DUMMYFUNCTION("""COMPUTED_VALUE""")," গাংনী")</f>
        <v> গাংনী</v>
      </c>
      <c r="K305" s="5" t="str">
        <f>IFERROR(__xludf.DUMMYFUNCTION("""COMPUTED_VALUE""")," মেহেরপুর")</f>
        <v> মেহেরপুর</v>
      </c>
    </row>
    <row r="306">
      <c r="A306" s="7" t="s">
        <v>7458</v>
      </c>
      <c r="B306" s="5">
        <f>IFERROR(__xludf.DUMMYFUNCTION("SPLIT(A306,"","")"),1578.0)</f>
        <v>1578</v>
      </c>
      <c r="C306" s="5" t="str">
        <f>IFERROR(__xludf.DUMMYFUNCTION("""COMPUTED_VALUE"""),"নাম: মো: শামসুজ্জোহা")</f>
        <v>নাম: মো: শামসুজ্জোহা</v>
      </c>
      <c r="D306" s="5" t="str">
        <f>IFERROR(__xludf.DUMMYFUNCTION("""COMPUTED_VALUE"""),"ভোটার নং: ৫৭০০৩৮৩৫৬৮৮৪")</f>
        <v>ভোটার নং: ৫৭০০৩৮৩৫৬৮৮৪</v>
      </c>
      <c r="E306" s="5" t="str">
        <f>IFERROR(__xludf.DUMMYFUNCTION("""COMPUTED_VALUE"""),"পিতা: আব্দুল কাদের")</f>
        <v>পিতা: আব্দুল কাদের</v>
      </c>
      <c r="F306" s="5" t="str">
        <f>IFERROR(__xludf.DUMMYFUNCTION("""COMPUTED_VALUE"""),"মাতা: মোছা: সবুজান খাতুন")</f>
        <v>মাতা: মোছা: সবুজান খাতুন</v>
      </c>
      <c r="G306" s="5" t="str">
        <f>IFERROR(__xludf.DUMMYFUNCTION("""COMPUTED_VALUE"""),"জন্ম তারিখ: ১৪/০৪/১৯৫৭")</f>
        <v>জন্ম তারিখ: ১৪/০৪/১৯৫৭</v>
      </c>
      <c r="H306" s="5" t="str">
        <f>IFERROR(__xludf.DUMMYFUNCTION("""COMPUTED_VALUE"""),"পেশা: কৃষক")</f>
        <v>পেশা: কৃষক</v>
      </c>
      <c r="I306" s="5" t="str">
        <f>IFERROR(__xludf.DUMMYFUNCTION("""COMPUTED_VALUE"""),"ঠিকানা: গাড়াবোব")</f>
        <v>ঠিকানা: গাড়াবোব</v>
      </c>
      <c r="J306" s="5" t="str">
        <f>IFERROR(__xludf.DUMMYFUNCTION("""COMPUTED_VALUE""")," গাংনী")</f>
        <v> গাংনী</v>
      </c>
      <c r="K306" s="5" t="str">
        <f>IFERROR(__xludf.DUMMYFUNCTION("""COMPUTED_VALUE""")," মেহেরপুর")</f>
        <v> মেহেরপুর</v>
      </c>
    </row>
    <row r="307">
      <c r="A307" s="7" t="s">
        <v>7459</v>
      </c>
      <c r="B307" s="5">
        <f>IFERROR(__xludf.DUMMYFUNCTION("SPLIT(A307,"","")"),1579.0)</f>
        <v>1579</v>
      </c>
      <c r="C307" s="5" t="str">
        <f>IFERROR(__xludf.DUMMYFUNCTION("""COMPUTED_VALUE"""),"নাম: মো: রাশেদুল ইসলাম")</f>
        <v>নাম: মো: রাশেদুল ইসলাম</v>
      </c>
      <c r="D307" s="5" t="str">
        <f>IFERROR(__xludf.DUMMYFUNCTION("""COMPUTED_VALUE"""),"ভোটার নং: ৫৭০০৩৮৩৫৬৮৮৮")</f>
        <v>ভোটার নং: ৫৭০০৩৮৩৫৬৮৮৮</v>
      </c>
      <c r="E307" s="5" t="str">
        <f>IFERROR(__xludf.DUMMYFUNCTION("""COMPUTED_VALUE"""),"পিতা: মো: মোহাদ্দেস হোসেন")</f>
        <v>পিতা: মো: মোহাদ্দেস হোসেন</v>
      </c>
      <c r="F307" s="5" t="str">
        <f>IFERROR(__xludf.DUMMYFUNCTION("""COMPUTED_VALUE"""),"মাতা: মোছা: রওশনারা বেগম")</f>
        <v>মাতা: মোছা: রওশনারা বেগম</v>
      </c>
      <c r="G307" s="5" t="str">
        <f>IFERROR(__xludf.DUMMYFUNCTION("""COMPUTED_VALUE"""),"জন্ম তারিখ: ০৫/০৪/১৯৮৪")</f>
        <v>জন্ম তারিখ: ০৫/০৪/১৯৮৪</v>
      </c>
      <c r="H307" s="5" t="str">
        <f>IFERROR(__xludf.DUMMYFUNCTION("""COMPUTED_VALUE"""),"পেশা: ছাত্র/ছাত্রী")</f>
        <v>পেশা: ছাত্র/ছাত্রী</v>
      </c>
      <c r="I307" s="5" t="str">
        <f>IFERROR(__xludf.DUMMYFUNCTION("""COMPUTED_VALUE"""),"ঠিকানা: গাড়াবোব")</f>
        <v>ঠিকানা: গাড়াবোব</v>
      </c>
      <c r="J307" s="5" t="str">
        <f>IFERROR(__xludf.DUMMYFUNCTION("""COMPUTED_VALUE""")," গাংনী")</f>
        <v> গাংনী</v>
      </c>
      <c r="K307" s="5" t="str">
        <f>IFERROR(__xludf.DUMMYFUNCTION("""COMPUTED_VALUE""")," মেহেরপুর")</f>
        <v> মেহেরপুর</v>
      </c>
    </row>
    <row r="308">
      <c r="A308" s="7" t="s">
        <v>7460</v>
      </c>
      <c r="B308" s="5">
        <f>IFERROR(__xludf.DUMMYFUNCTION("SPLIT(A308,"","")"),1580.0)</f>
        <v>1580</v>
      </c>
      <c r="C308" s="5" t="str">
        <f>IFERROR(__xludf.DUMMYFUNCTION("""COMPUTED_VALUE"""),"নাম: মো: দাউদ হোসেন")</f>
        <v>নাম: মো: দাউদ হোসেন</v>
      </c>
      <c r="D308" s="5" t="str">
        <f>IFERROR(__xludf.DUMMYFUNCTION("""COMPUTED_VALUE"""),"ভোটার নং: ৫৭০০৩৮৩৫৬৮৯৭")</f>
        <v>ভোটার নং: ৫৭০০৩৮৩৫৬৮৯৭</v>
      </c>
      <c r="E308" s="5" t="str">
        <f>IFERROR(__xludf.DUMMYFUNCTION("""COMPUTED_VALUE"""),"পিতা: মো: আব্দুর রহমান")</f>
        <v>পিতা: মো: আব্দুর রহমান</v>
      </c>
      <c r="F308" s="5" t="str">
        <f>IFERROR(__xludf.DUMMYFUNCTION("""COMPUTED_VALUE"""),"মাতা: মোছা: রাফেয়া")</f>
        <v>মাতা: মোছা: রাফেয়া</v>
      </c>
      <c r="G308" s="5" t="str">
        <f>IFERROR(__xludf.DUMMYFUNCTION("""COMPUTED_VALUE"""),"জন্ম তারিখ: ২৫/০৪/১৯৬২")</f>
        <v>জন্ম তারিখ: ২৫/০৪/১৯৬২</v>
      </c>
      <c r="H308" s="5" t="str">
        <f>IFERROR(__xludf.DUMMYFUNCTION("""COMPUTED_VALUE"""),"পেশা: শ্রমিক")</f>
        <v>পেশা: শ্রমিক</v>
      </c>
      <c r="I308" s="5" t="str">
        <f>IFERROR(__xludf.DUMMYFUNCTION("""COMPUTED_VALUE"""),"ঠিকানা: গাড়াবোব")</f>
        <v>ঠিকানা: গাড়াবোব</v>
      </c>
      <c r="J308" s="5" t="str">
        <f>IFERROR(__xludf.DUMMYFUNCTION("""COMPUTED_VALUE""")," গাংনী")</f>
        <v> গাংনী</v>
      </c>
      <c r="K308" s="5" t="str">
        <f>IFERROR(__xludf.DUMMYFUNCTION("""COMPUTED_VALUE""")," মেহেরপুর")</f>
        <v> মেহেরপুর</v>
      </c>
    </row>
    <row r="309">
      <c r="A309" s="7" t="s">
        <v>7461</v>
      </c>
      <c r="B309" s="5">
        <f>IFERROR(__xludf.DUMMYFUNCTION("SPLIT(A309,"","")"),1581.0)</f>
        <v>1581</v>
      </c>
      <c r="C309" s="5" t="str">
        <f>IFERROR(__xludf.DUMMYFUNCTION("""COMPUTED_VALUE"""),"নাম: মো: বুলবুল আহমেদ")</f>
        <v>নাম: মো: বুলবুল আহমেদ</v>
      </c>
      <c r="D309" s="5" t="str">
        <f>IFERROR(__xludf.DUMMYFUNCTION("""COMPUTED_VALUE"""),"ভোটার নং: ৫৭০০৩৮৩৫৬৮৯৮")</f>
        <v>ভোটার নং: ৫৭০০৩৮৩৫৬৮৯৮</v>
      </c>
      <c r="E309" s="5" t="str">
        <f>IFERROR(__xludf.DUMMYFUNCTION("""COMPUTED_VALUE"""),"পিতা: মো: শহিদুল ইসলাম")</f>
        <v>পিতা: মো: শহিদুল ইসলাম</v>
      </c>
      <c r="F309" s="5" t="str">
        <f>IFERROR(__xludf.DUMMYFUNCTION("""COMPUTED_VALUE"""),"মাতা: মোছা: রেজবীনা খাতুন")</f>
        <v>মাতা: মোছা: রেজবীনা খাতুন</v>
      </c>
      <c r="G309" s="5" t="str">
        <f>IFERROR(__xludf.DUMMYFUNCTION("""COMPUTED_VALUE"""),"জন্ম তারিখ: ১৯/০৭/১৯৮৬")</f>
        <v>জন্ম তারিখ: ১৯/০৭/১৯৮৬</v>
      </c>
      <c r="H309" s="5" t="str">
        <f>IFERROR(__xludf.DUMMYFUNCTION("""COMPUTED_VALUE"""),"পেশা: কৃষক")</f>
        <v>পেশা: কৃষক</v>
      </c>
      <c r="I309" s="5" t="str">
        <f>IFERROR(__xludf.DUMMYFUNCTION("""COMPUTED_VALUE"""),"ঠিকানা: গাড়াবোব")</f>
        <v>ঠিকানা: গাড়াবোব</v>
      </c>
      <c r="J309" s="5" t="str">
        <f>IFERROR(__xludf.DUMMYFUNCTION("""COMPUTED_VALUE""")," গাংনী")</f>
        <v> গাংনী</v>
      </c>
      <c r="K309" s="5" t="str">
        <f>IFERROR(__xludf.DUMMYFUNCTION("""COMPUTED_VALUE""")," মেহেরপুর")</f>
        <v> মেহেরপুর</v>
      </c>
    </row>
    <row r="310">
      <c r="A310" s="7" t="s">
        <v>7462</v>
      </c>
      <c r="B310" s="5">
        <f>IFERROR(__xludf.DUMMYFUNCTION("SPLIT(A310,"","")"),1582.0)</f>
        <v>1582</v>
      </c>
      <c r="C310" s="5" t="str">
        <f>IFERROR(__xludf.DUMMYFUNCTION("""COMPUTED_VALUE"""),"নাম: মো: আব্দুর রাজ্জাক")</f>
        <v>নাম: মো: আব্দুর রাজ্জাক</v>
      </c>
      <c r="D310" s="5" t="str">
        <f>IFERROR(__xludf.DUMMYFUNCTION("""COMPUTED_VALUE"""),"ভোটার নং: ৫৭০০৩৮৩৫৬৯০০")</f>
        <v>ভোটার নং: ৫৭০০৩৮৩৫৬৯০০</v>
      </c>
      <c r="E310" s="5" t="str">
        <f>IFERROR(__xludf.DUMMYFUNCTION("""COMPUTED_VALUE"""),"পিতা: মো: আব্দুল গনি")</f>
        <v>পিতা: মো: আব্দুল গনি</v>
      </c>
      <c r="F310" s="5" t="str">
        <f>IFERROR(__xludf.DUMMYFUNCTION("""COMPUTED_VALUE"""),"মাতা: মোছা: রোজিনা খাতুন")</f>
        <v>মাতা: মোছা: রোজিনা খাতুন</v>
      </c>
      <c r="G310" s="5" t="str">
        <f>IFERROR(__xludf.DUMMYFUNCTION("""COMPUTED_VALUE"""),"জন্ম তারিখ: ১০/০৯/১৯৮০")</f>
        <v>জন্ম তারিখ: ১০/০৯/১৯৮০</v>
      </c>
      <c r="H310" s="5" t="str">
        <f>IFERROR(__xludf.DUMMYFUNCTION("""COMPUTED_VALUE"""),"পেশা: কৃষক")</f>
        <v>পেশা: কৃষক</v>
      </c>
      <c r="I310" s="5" t="str">
        <f>IFERROR(__xludf.DUMMYFUNCTION("""COMPUTED_VALUE"""),"ঠিকানা: গাড়াবোব")</f>
        <v>ঠিকানা: গাড়াবোব</v>
      </c>
      <c r="J310" s="5" t="str">
        <f>IFERROR(__xludf.DUMMYFUNCTION("""COMPUTED_VALUE""")," গাংনী")</f>
        <v> গাংনী</v>
      </c>
      <c r="K310" s="5" t="str">
        <f>IFERROR(__xludf.DUMMYFUNCTION("""COMPUTED_VALUE""")," মেহেরপুর")</f>
        <v> মেহেরপুর</v>
      </c>
    </row>
    <row r="311">
      <c r="A311" s="7" t="s">
        <v>7463</v>
      </c>
      <c r="B311" s="5">
        <f>IFERROR(__xludf.DUMMYFUNCTION("SPLIT(A311,"","")"),1583.0)</f>
        <v>1583</v>
      </c>
      <c r="C311" s="5" t="str">
        <f>IFERROR(__xludf.DUMMYFUNCTION("""COMPUTED_VALUE"""),"নাম: মো: আব্দুল গনি")</f>
        <v>নাম: মো: আব্দুল গনি</v>
      </c>
      <c r="D311" s="5" t="str">
        <f>IFERROR(__xludf.DUMMYFUNCTION("""COMPUTED_VALUE"""),"ভোটার নং: ৫৭০০৩৮৩৫৬৯০১")</f>
        <v>ভোটার নং: ৫৭০০৩৮৩৫৬৯০১</v>
      </c>
      <c r="E311" s="5" t="str">
        <f>IFERROR(__xludf.DUMMYFUNCTION("""COMPUTED_VALUE"""),"পিতা: আব্দুল কাদের")</f>
        <v>পিতা: আব্দুল কাদের</v>
      </c>
      <c r="F311" s="5" t="str">
        <f>IFERROR(__xludf.DUMMYFUNCTION("""COMPUTED_VALUE"""),"মাতা: মোছা: খাদিজা খাতুন")</f>
        <v>মাতা: মোছা: খাদিজা খাতুন</v>
      </c>
      <c r="G311" s="5" t="str">
        <f>IFERROR(__xludf.DUMMYFUNCTION("""COMPUTED_VALUE"""),"জন্ম তারিখ: ১৪/০৩/১৯৫৭")</f>
        <v>জন্ম তারিখ: ১৪/০৩/১৯৫৭</v>
      </c>
      <c r="H311" s="5" t="str">
        <f>IFERROR(__xludf.DUMMYFUNCTION("""COMPUTED_VALUE"""),"পেশা: কৃষক")</f>
        <v>পেশা: কৃষক</v>
      </c>
      <c r="I311" s="5" t="str">
        <f>IFERROR(__xludf.DUMMYFUNCTION("""COMPUTED_VALUE"""),"ঠিকানা: গাড়াবোব")</f>
        <v>ঠিকানা: গাড়াবোব</v>
      </c>
      <c r="J311" s="5" t="str">
        <f>IFERROR(__xludf.DUMMYFUNCTION("""COMPUTED_VALUE""")," গাংনী")</f>
        <v> গাংনী</v>
      </c>
      <c r="K311" s="5" t="str">
        <f>IFERROR(__xludf.DUMMYFUNCTION("""COMPUTED_VALUE""")," মেহেরপুর")</f>
        <v> মেহেরপুর</v>
      </c>
    </row>
    <row r="312">
      <c r="A312" s="7" t="s">
        <v>7464</v>
      </c>
      <c r="B312" s="5">
        <f>IFERROR(__xludf.DUMMYFUNCTION("SPLIT(A312,"","")"),1584.0)</f>
        <v>1584</v>
      </c>
      <c r="C312" s="5" t="str">
        <f>IFERROR(__xludf.DUMMYFUNCTION("""COMPUTED_VALUE"""),"নাম: মো: ইমদাদুল হক")</f>
        <v>নাম: মো: ইমদাদুল হক</v>
      </c>
      <c r="D312" s="5" t="str">
        <f>IFERROR(__xludf.DUMMYFUNCTION("""COMPUTED_VALUE"""),"ভোটার নং: ৫৭০০৩৮৩৫৬৯০২")</f>
        <v>ভোটার নং: ৫৭০০৩৮৩৫৬৯০২</v>
      </c>
      <c r="E312" s="5" t="str">
        <f>IFERROR(__xludf.DUMMYFUNCTION("""COMPUTED_VALUE"""),"পিতা: দৌলত হোসেন")</f>
        <v>পিতা: দৌলত হোসেন</v>
      </c>
      <c r="F312" s="5" t="str">
        <f>IFERROR(__xludf.DUMMYFUNCTION("""COMPUTED_VALUE"""),"মাতা: মোছা: আমেনা খাতুন")</f>
        <v>মাতা: মোছা: আমেনা খাতুন</v>
      </c>
      <c r="G312" s="5" t="str">
        <f>IFERROR(__xludf.DUMMYFUNCTION("""COMPUTED_VALUE"""),"জন্ম তারিখ: ১৫/০৭/১৯৭৭")</f>
        <v>জন্ম তারিখ: ১৫/০৭/১৯৭৭</v>
      </c>
      <c r="H312" s="5" t="str">
        <f>IFERROR(__xludf.DUMMYFUNCTION("""COMPUTED_VALUE"""),"পেশা: কৃষক")</f>
        <v>পেশা: কৃষক</v>
      </c>
      <c r="I312" s="5" t="str">
        <f>IFERROR(__xludf.DUMMYFUNCTION("""COMPUTED_VALUE"""),"ঠিকানা: গাড়াবোব")</f>
        <v>ঠিকানা: গাড়াবোব</v>
      </c>
      <c r="J312" s="5" t="str">
        <f>IFERROR(__xludf.DUMMYFUNCTION("""COMPUTED_VALUE""")," গাংনী")</f>
        <v> গাংনী</v>
      </c>
      <c r="K312" s="5" t="str">
        <f>IFERROR(__xludf.DUMMYFUNCTION("""COMPUTED_VALUE""")," মেহেরপুর")</f>
        <v> মেহেরপুর</v>
      </c>
    </row>
    <row r="313">
      <c r="A313" s="7" t="s">
        <v>7465</v>
      </c>
      <c r="B313" s="5">
        <f>IFERROR(__xludf.DUMMYFUNCTION("SPLIT(A313,"","")"),1585.0)</f>
        <v>1585</v>
      </c>
      <c r="C313" s="5" t="str">
        <f>IFERROR(__xludf.DUMMYFUNCTION("""COMPUTED_VALUE"""),"নাম: মো: কবীর হোসেন")</f>
        <v>নাম: মো: কবীর হোসেন</v>
      </c>
      <c r="D313" s="5" t="str">
        <f>IFERROR(__xludf.DUMMYFUNCTION("""COMPUTED_VALUE"""),"ভোটার নং: ৫৭০০৩৮৩৫৬৯০৩")</f>
        <v>ভোটার নং: ৫৭০০৩৮৩৫৬৯০৩</v>
      </c>
      <c r="E313" s="5" t="str">
        <f>IFERROR(__xludf.DUMMYFUNCTION("""COMPUTED_VALUE"""),"পিতা: মো: গোলাম মোস্তফা")</f>
        <v>পিতা: মো: গোলাম মোস্তফা</v>
      </c>
      <c r="F313" s="5" t="str">
        <f>IFERROR(__xludf.DUMMYFUNCTION("""COMPUTED_VALUE"""),"মাতা: মোছা: বদিরন নেছা")</f>
        <v>মাতা: মোছা: বদিরন নেছা</v>
      </c>
      <c r="G313" s="5" t="str">
        <f>IFERROR(__xludf.DUMMYFUNCTION("""COMPUTED_VALUE"""),"জন্ম তারিখ: ১০/০৪/১৯৭২")</f>
        <v>জন্ম তারিখ: ১০/০৪/১৯৭২</v>
      </c>
      <c r="H313" s="5" t="str">
        <f>IFERROR(__xludf.DUMMYFUNCTION("""COMPUTED_VALUE"""),"পেশা: কৃষক")</f>
        <v>পেশা: কৃষক</v>
      </c>
      <c r="I313" s="5" t="str">
        <f>IFERROR(__xludf.DUMMYFUNCTION("""COMPUTED_VALUE"""),"ঠিকানা: গাড়াবোব")</f>
        <v>ঠিকানা: গাড়াবোব</v>
      </c>
      <c r="J313" s="5" t="str">
        <f>IFERROR(__xludf.DUMMYFUNCTION("""COMPUTED_VALUE""")," গাংনী")</f>
        <v> গাংনী</v>
      </c>
      <c r="K313" s="5" t="str">
        <f>IFERROR(__xludf.DUMMYFUNCTION("""COMPUTED_VALUE""")," মেহেরপুর")</f>
        <v> মেহেরপুর</v>
      </c>
    </row>
    <row r="314">
      <c r="A314" s="7" t="s">
        <v>7466</v>
      </c>
      <c r="B314" s="5">
        <f>IFERROR(__xludf.DUMMYFUNCTION("SPLIT(A314,"","")"),1586.0)</f>
        <v>1586</v>
      </c>
      <c r="C314" s="5" t="str">
        <f>IFERROR(__xludf.DUMMYFUNCTION("""COMPUTED_VALUE"""),"নাম: মো: গোলাম মোস্তফা")</f>
        <v>নাম: মো: গোলাম মোস্তফা</v>
      </c>
      <c r="D314" s="5" t="str">
        <f>IFERROR(__xludf.DUMMYFUNCTION("""COMPUTED_VALUE"""),"ভোটার নং: ৫৭০০৩৮৩৫৬৯০৪")</f>
        <v>ভোটার নং: ৫৭০০৩৮৩৫৬৯০৪</v>
      </c>
      <c r="E314" s="5" t="str">
        <f>IFERROR(__xludf.DUMMYFUNCTION("""COMPUTED_VALUE"""),"পিতা: আতর আলী")</f>
        <v>পিতা: আতর আলী</v>
      </c>
      <c r="F314" s="5" t="str">
        <f>IFERROR(__xludf.DUMMYFUNCTION("""COMPUTED_VALUE"""),"মাতা: পরিছুন বিবি")</f>
        <v>মাতা: পরিছুন বিবি</v>
      </c>
      <c r="G314" s="5" t="str">
        <f>IFERROR(__xludf.DUMMYFUNCTION("""COMPUTED_VALUE"""),"জন্ম তারিখ: ১০/০৪/১৯৫২")</f>
        <v>জন্ম তারিখ: ১০/০৪/১৯৫২</v>
      </c>
      <c r="H314" s="5" t="str">
        <f>IFERROR(__xludf.DUMMYFUNCTION("""COMPUTED_VALUE"""),"পেশা: কৃষক")</f>
        <v>পেশা: কৃষক</v>
      </c>
      <c r="I314" s="5" t="str">
        <f>IFERROR(__xludf.DUMMYFUNCTION("""COMPUTED_VALUE"""),"ঠিকানা: গাড়াবোব")</f>
        <v>ঠিকানা: গাড়াবোব</v>
      </c>
      <c r="J314" s="5" t="str">
        <f>IFERROR(__xludf.DUMMYFUNCTION("""COMPUTED_VALUE""")," গাংনী")</f>
        <v> গাংনী</v>
      </c>
      <c r="K314" s="5" t="str">
        <f>IFERROR(__xludf.DUMMYFUNCTION("""COMPUTED_VALUE""")," মেহেরপুর")</f>
        <v> মেহেরপুর</v>
      </c>
    </row>
    <row r="315">
      <c r="A315" s="7" t="s">
        <v>7467</v>
      </c>
      <c r="B315" s="5">
        <f>IFERROR(__xludf.DUMMYFUNCTION("SPLIT(A315,"","")"),1587.0)</f>
        <v>1587</v>
      </c>
      <c r="C315" s="5" t="str">
        <f>IFERROR(__xludf.DUMMYFUNCTION("""COMPUTED_VALUE"""),"নাম: মো: হামিদুল ইসলাম")</f>
        <v>নাম: মো: হামিদুল ইসলাম</v>
      </c>
      <c r="D315" s="5" t="str">
        <f>IFERROR(__xludf.DUMMYFUNCTION("""COMPUTED_VALUE"""),"ভোটার নং: ৫৭০০৩৮৩৫৬৯০৬")</f>
        <v>ভোটার নং: ৫৭০০৩৮৩৫৬৯০৬</v>
      </c>
      <c r="E315" s="5" t="str">
        <f>IFERROR(__xludf.DUMMYFUNCTION("""COMPUTED_VALUE"""),"পিতা: মো: বদর উদ্দীন")</f>
        <v>পিতা: মো: বদর উদ্দীন</v>
      </c>
      <c r="F315" s="5" t="str">
        <f>IFERROR(__xludf.DUMMYFUNCTION("""COMPUTED_VALUE"""),"মাতা: মোছা: ছানোয়ারা খাতুন")</f>
        <v>মাতা: মোছা: ছানোয়ারা খাতুন</v>
      </c>
      <c r="G315" s="5" t="str">
        <f>IFERROR(__xludf.DUMMYFUNCTION("""COMPUTED_VALUE"""),"জন্ম তারিখ: ১০/০৮/১৯৭০")</f>
        <v>জন্ম তারিখ: ১০/০৮/১৯৭০</v>
      </c>
      <c r="H315" s="5" t="str">
        <f>IFERROR(__xludf.DUMMYFUNCTION("""COMPUTED_VALUE"""),"পেশা: কৃষক")</f>
        <v>পেশা: কৃষক</v>
      </c>
      <c r="I315" s="5" t="str">
        <f>IFERROR(__xludf.DUMMYFUNCTION("""COMPUTED_VALUE"""),"ঠিকানা: গাড়াবোব")</f>
        <v>ঠিকানা: গাড়াবোব</v>
      </c>
      <c r="J315" s="5" t="str">
        <f>IFERROR(__xludf.DUMMYFUNCTION("""COMPUTED_VALUE""")," গাংনী")</f>
        <v> গাংনী</v>
      </c>
      <c r="K315" s="5" t="str">
        <f>IFERROR(__xludf.DUMMYFUNCTION("""COMPUTED_VALUE""")," মেহেরপুর")</f>
        <v> মেহেরপুর</v>
      </c>
    </row>
    <row r="316">
      <c r="A316" s="7" t="s">
        <v>7468</v>
      </c>
      <c r="B316" s="5">
        <f>IFERROR(__xludf.DUMMYFUNCTION("SPLIT(A316,"","")"),1588.0)</f>
        <v>1588</v>
      </c>
      <c r="C316" s="5" t="str">
        <f>IFERROR(__xludf.DUMMYFUNCTION("""COMPUTED_VALUE"""),"নাম: মো: মোহাদ্দেস হোসেন")</f>
        <v>নাম: মো: মোহাদ্দেস হোসেন</v>
      </c>
      <c r="D316" s="5" t="str">
        <f>IFERROR(__xludf.DUMMYFUNCTION("""COMPUTED_VALUE"""),"ভোটার নং: ৫৭০০৩৮৩৫৬৯০৭")</f>
        <v>ভোটার নং: ৫৭০০৩৮৩৫৬৯০৭</v>
      </c>
      <c r="E316" s="5" t="str">
        <f>IFERROR(__xludf.DUMMYFUNCTION("""COMPUTED_VALUE"""),"পিতা: দৌলত হোসেন")</f>
        <v>পিতা: দৌলত হোসেন</v>
      </c>
      <c r="F316" s="5" t="str">
        <f>IFERROR(__xludf.DUMMYFUNCTION("""COMPUTED_VALUE"""),"মাতা: মোছা: মকুমা খাতুন")</f>
        <v>মাতা: মোছা: মকুমা খাতুন</v>
      </c>
      <c r="G316" s="5" t="str">
        <f>IFERROR(__xludf.DUMMYFUNCTION("""COMPUTED_VALUE"""),"জন্ম তারিখ: ১১/০৫/১৯৬০")</f>
        <v>জন্ম তারিখ: ১১/০৫/১৯৬০</v>
      </c>
      <c r="H316" s="5" t="str">
        <f>IFERROR(__xludf.DUMMYFUNCTION("""COMPUTED_VALUE"""),"পেশা: ব্যবসা")</f>
        <v>পেশা: ব্যবসা</v>
      </c>
      <c r="I316" s="5" t="str">
        <f>IFERROR(__xludf.DUMMYFUNCTION("""COMPUTED_VALUE"""),"ঠিকানা: গাড়াবোব")</f>
        <v>ঠিকানা: গাড়াবোব</v>
      </c>
      <c r="J316" s="5" t="str">
        <f>IFERROR(__xludf.DUMMYFUNCTION("""COMPUTED_VALUE""")," গাংনী")</f>
        <v> গাংনী</v>
      </c>
      <c r="K316" s="5" t="str">
        <f>IFERROR(__xludf.DUMMYFUNCTION("""COMPUTED_VALUE""")," মেহেরপুর")</f>
        <v> মেহেরপুর</v>
      </c>
    </row>
    <row r="317">
      <c r="A317" s="7" t="s">
        <v>7469</v>
      </c>
      <c r="B317" s="5">
        <f>IFERROR(__xludf.DUMMYFUNCTION("SPLIT(A317,"","")"),1589.0)</f>
        <v>1589</v>
      </c>
      <c r="C317" s="5" t="str">
        <f>IFERROR(__xludf.DUMMYFUNCTION("""COMPUTED_VALUE"""),"নাম: মো: শরীফ হোসেন")</f>
        <v>নাম: মো: শরীফ হোসেন</v>
      </c>
      <c r="D317" s="5" t="str">
        <f>IFERROR(__xludf.DUMMYFUNCTION("""COMPUTED_VALUE"""),"ভোটার নং: ৫৭০০৩৮৩৫৬৯০৯")</f>
        <v>ভোটার নং: ৫৭০০৩৮৩৫৬৯০৯</v>
      </c>
      <c r="E317" s="5" t="str">
        <f>IFERROR(__xludf.DUMMYFUNCTION("""COMPUTED_VALUE"""),"পিতা: সৈয়দ মন্ডল")</f>
        <v>পিতা: সৈয়দ মন্ডল</v>
      </c>
      <c r="F317" s="5" t="str">
        <f>IFERROR(__xludf.DUMMYFUNCTION("""COMPUTED_VALUE"""),"মাতা: মোছা: গোলে খাতুন")</f>
        <v>মাতা: মোছা: গোলে খাতুন</v>
      </c>
      <c r="G317" s="5" t="str">
        <f>IFERROR(__xludf.DUMMYFUNCTION("""COMPUTED_VALUE"""),"জন্ম তারিখ: ১০/০৫/১৯৭৪")</f>
        <v>জন্ম তারিখ: ১০/০৫/১৯৭৪</v>
      </c>
      <c r="H317" s="5" t="str">
        <f>IFERROR(__xludf.DUMMYFUNCTION("""COMPUTED_VALUE"""),"পেশা: কৃষক")</f>
        <v>পেশা: কৃষক</v>
      </c>
      <c r="I317" s="5" t="str">
        <f>IFERROR(__xludf.DUMMYFUNCTION("""COMPUTED_VALUE"""),"ঠিকানা: গাড়াবোব")</f>
        <v>ঠিকানা: গাড়াবোব</v>
      </c>
      <c r="J317" s="5" t="str">
        <f>IFERROR(__xludf.DUMMYFUNCTION("""COMPUTED_VALUE""")," গাংনী")</f>
        <v> গাংনী</v>
      </c>
      <c r="K317" s="5" t="str">
        <f>IFERROR(__xludf.DUMMYFUNCTION("""COMPUTED_VALUE""")," মেহেরপুর")</f>
        <v> মেহেরপুর</v>
      </c>
    </row>
    <row r="318">
      <c r="A318" s="7" t="s">
        <v>7470</v>
      </c>
      <c r="B318" s="5">
        <f>IFERROR(__xludf.DUMMYFUNCTION("SPLIT(A318,"","")"),1590.0)</f>
        <v>1590</v>
      </c>
      <c r="C318" s="5" t="str">
        <f>IFERROR(__xludf.DUMMYFUNCTION("""COMPUTED_VALUE"""),"নাম: মো: জহুর আলী")</f>
        <v>নাম: মো: জহুর আলী</v>
      </c>
      <c r="D318" s="5" t="str">
        <f>IFERROR(__xludf.DUMMYFUNCTION("""COMPUTED_VALUE"""),"ভোটার নং: ৫৭০০৩৮৩৫৬৯১৩")</f>
        <v>ভোটার নং: ৫৭০০৩৮৩৫৬৯১৩</v>
      </c>
      <c r="E318" s="5" t="str">
        <f>IFERROR(__xludf.DUMMYFUNCTION("""COMPUTED_VALUE"""),"পিতা: মেছের শেখ")</f>
        <v>পিতা: মেছের শেখ</v>
      </c>
      <c r="F318" s="5" t="str">
        <f>IFERROR(__xludf.DUMMYFUNCTION("""COMPUTED_VALUE"""),"মাতা: নয়তুন নেছা")</f>
        <v>মাতা: নয়তুন নেছা</v>
      </c>
      <c r="G318" s="5" t="str">
        <f>IFERROR(__xludf.DUMMYFUNCTION("""COMPUTED_VALUE"""),"জন্ম তারিখ: ১৭/০৭/১৯৩২")</f>
        <v>জন্ম তারিখ: ১৭/০৭/১৯৩২</v>
      </c>
      <c r="H318" s="5" t="str">
        <f>IFERROR(__xludf.DUMMYFUNCTION("""COMPUTED_VALUE"""),"পেশা: কৃষক")</f>
        <v>পেশা: কৃষক</v>
      </c>
      <c r="I318" s="5" t="str">
        <f>IFERROR(__xludf.DUMMYFUNCTION("""COMPUTED_VALUE"""),"ঠিকানা: গাড়াবোব")</f>
        <v>ঠিকানা: গাড়াবোব</v>
      </c>
      <c r="J318" s="5" t="str">
        <f>IFERROR(__xludf.DUMMYFUNCTION("""COMPUTED_VALUE""")," গাংনী")</f>
        <v> গাংনী</v>
      </c>
      <c r="K318" s="5" t="str">
        <f>IFERROR(__xludf.DUMMYFUNCTION("""COMPUTED_VALUE""")," মেহেরপুর")</f>
        <v> মেহেরপুর</v>
      </c>
    </row>
    <row r="319">
      <c r="A319" s="7" t="s">
        <v>7471</v>
      </c>
      <c r="B319" s="5">
        <f>IFERROR(__xludf.DUMMYFUNCTION("SPLIT(A319,"","")"),1591.0)</f>
        <v>1591</v>
      </c>
      <c r="C319" s="5" t="str">
        <f>IFERROR(__xludf.DUMMYFUNCTION("""COMPUTED_VALUE"""),"নাম: মো: আবের আলী")</f>
        <v>নাম: মো: আবের আলী</v>
      </c>
      <c r="D319" s="5" t="str">
        <f>IFERROR(__xludf.DUMMYFUNCTION("""COMPUTED_VALUE"""),"ভোটার নং: ৫৭০০৩৮৩৫৬৯১৪")</f>
        <v>ভোটার নং: ৫৭০০৩৮৩৫৬৯১৪</v>
      </c>
      <c r="E319" s="5" t="str">
        <f>IFERROR(__xludf.DUMMYFUNCTION("""COMPUTED_VALUE"""),"পিতা: দুরাত শাহ")</f>
        <v>পিতা: দুরাত শাহ</v>
      </c>
      <c r="F319" s="5" t="str">
        <f>IFERROR(__xludf.DUMMYFUNCTION("""COMPUTED_VALUE"""),"মাতা: আবেজান বিবি")</f>
        <v>মাতা: আবেজান বিবি</v>
      </c>
      <c r="G319" s="5" t="str">
        <f>IFERROR(__xludf.DUMMYFUNCTION("""COMPUTED_VALUE"""),"জন্ম তারিখ: ২২/০২/১৯৫৭")</f>
        <v>জন্ম তারিখ: ২২/০২/১৯৫৭</v>
      </c>
      <c r="H319" s="5" t="str">
        <f>IFERROR(__xludf.DUMMYFUNCTION("""COMPUTED_VALUE"""),"পেশা: কৃষক")</f>
        <v>পেশা: কৃষক</v>
      </c>
      <c r="I319" s="5" t="str">
        <f>IFERROR(__xludf.DUMMYFUNCTION("""COMPUTED_VALUE"""),"ঠিকানা: গাড়াবোব")</f>
        <v>ঠিকানা: গাড়াবোব</v>
      </c>
      <c r="J319" s="5" t="str">
        <f>IFERROR(__xludf.DUMMYFUNCTION("""COMPUTED_VALUE""")," গাংনী")</f>
        <v> গাংনী</v>
      </c>
      <c r="K319" s="5" t="str">
        <f>IFERROR(__xludf.DUMMYFUNCTION("""COMPUTED_VALUE""")," মেহেরপুর")</f>
        <v> মেহেরপুর</v>
      </c>
    </row>
    <row r="320">
      <c r="A320" s="7" t="s">
        <v>7472</v>
      </c>
      <c r="B320" s="5">
        <f>IFERROR(__xludf.DUMMYFUNCTION("SPLIT(A320,"","")"),1592.0)</f>
        <v>1592</v>
      </c>
      <c r="C320" s="5" t="str">
        <f>IFERROR(__xludf.DUMMYFUNCTION("""COMPUTED_VALUE"""),"নাম: মো: মজিরুল ইসলাম")</f>
        <v>নাম: মো: মজিরুল ইসলাম</v>
      </c>
      <c r="D320" s="5" t="str">
        <f>IFERROR(__xludf.DUMMYFUNCTION("""COMPUTED_VALUE"""),"ভোটার নং: ৫৭০০৩৮৩৫৬৯১৬")</f>
        <v>ভোটার নং: ৫৭০০৩৮৩৫৬৯১৬</v>
      </c>
      <c r="E320" s="5" t="str">
        <f>IFERROR(__xludf.DUMMYFUNCTION("""COMPUTED_VALUE"""),"পিতা: মো: আবের আলী")</f>
        <v>পিতা: মো: আবের আলী</v>
      </c>
      <c r="F320" s="5" t="str">
        <f>IFERROR(__xludf.DUMMYFUNCTION("""COMPUTED_VALUE"""),"মাতা: মোছা: নেহারুন নেছা")</f>
        <v>মাতা: মোছা: নেহারুন নেছা</v>
      </c>
      <c r="G320" s="5" t="str">
        <f>IFERROR(__xludf.DUMMYFUNCTION("""COMPUTED_VALUE"""),"জন্ম তারিখ: ০৩/০৪/১৯৮২")</f>
        <v>জন্ম তারিখ: ০৩/০৪/১৯৮২</v>
      </c>
      <c r="H320" s="5" t="str">
        <f>IFERROR(__xludf.DUMMYFUNCTION("""COMPUTED_VALUE"""),"পেশা: কৃষক")</f>
        <v>পেশা: কৃষক</v>
      </c>
      <c r="I320" s="5" t="str">
        <f>IFERROR(__xludf.DUMMYFUNCTION("""COMPUTED_VALUE"""),"ঠিকানা: গাড়াবোব")</f>
        <v>ঠিকানা: গাড়াবোব</v>
      </c>
      <c r="J320" s="5" t="str">
        <f>IFERROR(__xludf.DUMMYFUNCTION("""COMPUTED_VALUE""")," গাংনী")</f>
        <v> গাংনী</v>
      </c>
      <c r="K320" s="5" t="str">
        <f>IFERROR(__xludf.DUMMYFUNCTION("""COMPUTED_VALUE""")," মেহেরপুর")</f>
        <v> মেহেরপুর</v>
      </c>
    </row>
    <row r="321">
      <c r="A321" s="7" t="s">
        <v>7473</v>
      </c>
      <c r="B321" s="5">
        <f>IFERROR(__xludf.DUMMYFUNCTION("SPLIT(A321,"","")"),1593.0)</f>
        <v>1593</v>
      </c>
      <c r="C321" s="5" t="str">
        <f>IFERROR(__xludf.DUMMYFUNCTION("""COMPUTED_VALUE"""),"নাম: মোহা: মিনারুল ইসলাম")</f>
        <v>নাম: মোহা: মিনারুল ইসলাম</v>
      </c>
      <c r="D321" s="5" t="str">
        <f>IFERROR(__xludf.DUMMYFUNCTION("""COMPUTED_VALUE"""),"ভোটার নং: ৫৭০০৩৮৩৫৬৯১৮")</f>
        <v>ভোটার নং: ৫৭০০৩৮৩৫৬৯১৮</v>
      </c>
      <c r="E321" s="5" t="str">
        <f>IFERROR(__xludf.DUMMYFUNCTION("""COMPUTED_VALUE"""),"পিতা: মোহা: আবের আলী")</f>
        <v>পিতা: মোহা: আবের আলী</v>
      </c>
      <c r="F321" s="5" t="str">
        <f>IFERROR(__xludf.DUMMYFUNCTION("""COMPUTED_VALUE"""),"মাতা: মোছা: নেহারুন নেছা")</f>
        <v>মাতা: মোছা: নেহারুন নেছা</v>
      </c>
      <c r="G321" s="5" t="str">
        <f>IFERROR(__xludf.DUMMYFUNCTION("""COMPUTED_VALUE"""),"জন্ম তারিখ: ১৬/০৬/১৯৮৮")</f>
        <v>জন্ম তারিখ: ১৬/০৬/১৯৮৮</v>
      </c>
      <c r="H321" s="5" t="str">
        <f>IFERROR(__xludf.DUMMYFUNCTION("""COMPUTED_VALUE"""),"পেশা: কৃষক")</f>
        <v>পেশা: কৃষক</v>
      </c>
      <c r="I321" s="5" t="str">
        <f>IFERROR(__xludf.DUMMYFUNCTION("""COMPUTED_VALUE"""),"ঠিকানা: গাড়াবোব")</f>
        <v>ঠিকানা: গাড়াবোব</v>
      </c>
      <c r="J321" s="5" t="str">
        <f>IFERROR(__xludf.DUMMYFUNCTION("""COMPUTED_VALUE""")," গাংনী")</f>
        <v> গাংনী</v>
      </c>
      <c r="K321" s="5" t="str">
        <f>IFERROR(__xludf.DUMMYFUNCTION("""COMPUTED_VALUE""")," মেহেরপুর")</f>
        <v> মেহেরপুর</v>
      </c>
    </row>
    <row r="322">
      <c r="A322" s="7" t="s">
        <v>7474</v>
      </c>
      <c r="B322" s="5">
        <f>IFERROR(__xludf.DUMMYFUNCTION("SPLIT(A322,"","")"),1594.0)</f>
        <v>1594</v>
      </c>
      <c r="C322" s="5" t="str">
        <f>IFERROR(__xludf.DUMMYFUNCTION("""COMPUTED_VALUE"""),"নাম: মো: শাহাবুল ইসলাম (সাবলু)")</f>
        <v>নাম: মো: শাহাবুল ইসলাম (সাবলু)</v>
      </c>
      <c r="D322" s="5" t="str">
        <f>IFERROR(__xludf.DUMMYFUNCTION("""COMPUTED_VALUE"""),"ভোটার নং: ৫৭০০৩৮৩৫৬৯১৯")</f>
        <v>ভোটার নং: ৫৭০০৩৮৩৫৬৯১৯</v>
      </c>
      <c r="E322" s="5" t="str">
        <f>IFERROR(__xludf.DUMMYFUNCTION("""COMPUTED_VALUE"""),"পিতা: মো: আফাজ উদ্দীন")</f>
        <v>পিতা: মো: আফাজ উদ্দীন</v>
      </c>
      <c r="F322" s="5" t="str">
        <f>IFERROR(__xludf.DUMMYFUNCTION("""COMPUTED_VALUE"""),"মাতা: মিরজাতুন নেছা")</f>
        <v>মাতা: মিরজাতুন নেছা</v>
      </c>
      <c r="G322" s="5" t="str">
        <f>IFERROR(__xludf.DUMMYFUNCTION("""COMPUTED_VALUE"""),"জন্ম তারিখ: ২২/০২/১৯৭০")</f>
        <v>জন্ম তারিখ: ২২/০২/১৯৭০</v>
      </c>
      <c r="H322" s="5" t="str">
        <f>IFERROR(__xludf.DUMMYFUNCTION("""COMPUTED_VALUE"""),"পেশা: ব্যবসা")</f>
        <v>পেশা: ব্যবসা</v>
      </c>
      <c r="I322" s="5" t="str">
        <f>IFERROR(__xludf.DUMMYFUNCTION("""COMPUTED_VALUE"""),"ঠিকানা: গাড়াবোব")</f>
        <v>ঠিকানা: গাড়াবোব</v>
      </c>
      <c r="J322" s="5" t="str">
        <f>IFERROR(__xludf.DUMMYFUNCTION("""COMPUTED_VALUE""")," গাংনী")</f>
        <v> গাংনী</v>
      </c>
      <c r="K322" s="5" t="str">
        <f>IFERROR(__xludf.DUMMYFUNCTION("""COMPUTED_VALUE""")," মেহেরপুর")</f>
        <v> মেহেরপুর</v>
      </c>
    </row>
    <row r="323">
      <c r="A323" s="7" t="s">
        <v>7475</v>
      </c>
      <c r="B323" s="5">
        <f>IFERROR(__xludf.DUMMYFUNCTION("SPLIT(A323,"","")"),1595.0)</f>
        <v>1595</v>
      </c>
      <c r="C323" s="5" t="str">
        <f>IFERROR(__xludf.DUMMYFUNCTION("""COMPUTED_VALUE"""),"নাম: মো: হামিদুল ইসলাম")</f>
        <v>নাম: মো: হামিদুল ইসলাম</v>
      </c>
      <c r="D323" s="5" t="str">
        <f>IFERROR(__xludf.DUMMYFUNCTION("""COMPUTED_VALUE"""),"ভোটার নং: ৫৭০০৩৮৩৫৬৯২১")</f>
        <v>ভোটার নং: ৫৭০০৩৮৩৫৬৯২১</v>
      </c>
      <c r="E323" s="5" t="str">
        <f>IFERROR(__xludf.DUMMYFUNCTION("""COMPUTED_VALUE"""),"পিতা: মোহা: আফাজ উদ্দীন")</f>
        <v>পিতা: মোহা: আফাজ উদ্দীন</v>
      </c>
      <c r="F323" s="5" t="str">
        <f>IFERROR(__xludf.DUMMYFUNCTION("""COMPUTED_VALUE"""),"মাতা: মোহা: মিরজাতুন খাতুন")</f>
        <v>মাতা: মোহা: মিরজাতুন খাতুন</v>
      </c>
      <c r="G323" s="5" t="str">
        <f>IFERROR(__xludf.DUMMYFUNCTION("""COMPUTED_VALUE"""),"জন্ম তারিখ: ২১/১১/১৯৮২")</f>
        <v>জন্ম তারিখ: ২১/১১/১৯৮২</v>
      </c>
      <c r="H323" s="5" t="str">
        <f>IFERROR(__xludf.DUMMYFUNCTION("""COMPUTED_VALUE"""),"পেশা: কৃষক")</f>
        <v>পেশা: কৃষক</v>
      </c>
      <c r="I323" s="5" t="str">
        <f>IFERROR(__xludf.DUMMYFUNCTION("""COMPUTED_VALUE"""),"ঠিকানা: গাড়াবোব")</f>
        <v>ঠিকানা: গাড়াবোব</v>
      </c>
      <c r="J323" s="5" t="str">
        <f>IFERROR(__xludf.DUMMYFUNCTION("""COMPUTED_VALUE""")," গাংনী")</f>
        <v> গাংনী</v>
      </c>
      <c r="K323" s="5" t="str">
        <f>IFERROR(__xludf.DUMMYFUNCTION("""COMPUTED_VALUE""")," মেহেরপুর")</f>
        <v> মেহেরপুর</v>
      </c>
    </row>
    <row r="324">
      <c r="A324" s="7" t="s">
        <v>7476</v>
      </c>
      <c r="B324" s="5">
        <f>IFERROR(__xludf.DUMMYFUNCTION("SPLIT(A324,"","")"),1596.0)</f>
        <v>1596</v>
      </c>
      <c r="C324" s="5" t="str">
        <f>IFERROR(__xludf.DUMMYFUNCTION("""COMPUTED_VALUE"""),"নাম: মোহা: নিহাজুল")</f>
        <v>নাম: মোহা: নিহাজুল</v>
      </c>
      <c r="D324" s="5" t="str">
        <f>IFERROR(__xludf.DUMMYFUNCTION("""COMPUTED_VALUE"""),"ভোটার নং: ৫৭০০৩৮৩৫৬৯২৩")</f>
        <v>ভোটার নং: ৫৭০০৩৮৩৫৬৯২৩</v>
      </c>
      <c r="E324" s="5" t="str">
        <f>IFERROR(__xludf.DUMMYFUNCTION("""COMPUTED_VALUE"""),"পিতা: মোহা: আবের আলী")</f>
        <v>পিতা: মোহা: আবের আলী</v>
      </c>
      <c r="F324" s="5" t="str">
        <f>IFERROR(__xludf.DUMMYFUNCTION("""COMPUTED_VALUE"""),"মাতা: মোছা: নেহারুন নেছা")</f>
        <v>মাতা: মোছা: নেহারুন নেছা</v>
      </c>
      <c r="G324" s="5" t="str">
        <f>IFERROR(__xludf.DUMMYFUNCTION("""COMPUTED_VALUE"""),"জন্ম তারিখ: ১২/০৩/১৯৭৮")</f>
        <v>জন্ম তারিখ: ১২/০৩/১৯৭৮</v>
      </c>
      <c r="H324" s="5" t="str">
        <f>IFERROR(__xludf.DUMMYFUNCTION("""COMPUTED_VALUE"""),"পেশা: কৃষক")</f>
        <v>পেশা: কৃষক</v>
      </c>
      <c r="I324" s="5" t="str">
        <f>IFERROR(__xludf.DUMMYFUNCTION("""COMPUTED_VALUE"""),"ঠিকানা: গাড়াবোব")</f>
        <v>ঠিকানা: গাড়াবোব</v>
      </c>
      <c r="J324" s="5" t="str">
        <f>IFERROR(__xludf.DUMMYFUNCTION("""COMPUTED_VALUE""")," গাংনী")</f>
        <v> গাংনী</v>
      </c>
      <c r="K324" s="5" t="str">
        <f>IFERROR(__xludf.DUMMYFUNCTION("""COMPUTED_VALUE""")," মেহেরপুর")</f>
        <v> মেহেরপুর</v>
      </c>
    </row>
    <row r="325">
      <c r="A325" s="7" t="s">
        <v>7477</v>
      </c>
      <c r="B325" s="5">
        <f>IFERROR(__xludf.DUMMYFUNCTION("SPLIT(A325,"","")"),1597.0)</f>
        <v>1597</v>
      </c>
      <c r="C325" s="5" t="str">
        <f>IFERROR(__xludf.DUMMYFUNCTION("""COMPUTED_VALUE"""),"নাম: মোহা: আব্দুর রাজ্জাক")</f>
        <v>নাম: মোহা: আব্দুর রাজ্জাক</v>
      </c>
      <c r="D325" s="5" t="str">
        <f>IFERROR(__xludf.DUMMYFUNCTION("""COMPUTED_VALUE"""),"ভোটার নং: ৫৭০০৩৮৩৫৬৯২৬")</f>
        <v>ভোটার নং: ৫৭০০৩৮৩৫৬৯২৬</v>
      </c>
      <c r="E325" s="5" t="str">
        <f>IFERROR(__xludf.DUMMYFUNCTION("""COMPUTED_VALUE"""),"পিতা: দুণ্ড শেখ")</f>
        <v>পিতা: দুণ্ড শেখ</v>
      </c>
      <c r="F325" s="5" t="str">
        <f>IFERROR(__xludf.DUMMYFUNCTION("""COMPUTED_VALUE"""),"মাতা: মোছা: রাবেয়া খাতুন")</f>
        <v>মাতা: মোছা: রাবেয়া খাতুন</v>
      </c>
      <c r="G325" s="5" t="str">
        <f>IFERROR(__xludf.DUMMYFUNCTION("""COMPUTED_VALUE"""),"জন্ম তারিখ: ২০/০৭/১৯৭৫")</f>
        <v>জন্ম তারিখ: ২০/০৭/১৯৭৫</v>
      </c>
      <c r="H325" s="5" t="str">
        <f>IFERROR(__xludf.DUMMYFUNCTION("""COMPUTED_VALUE"""),"পেশা: কৃষক")</f>
        <v>পেশা: কৃষক</v>
      </c>
      <c r="I325" s="5" t="str">
        <f>IFERROR(__xludf.DUMMYFUNCTION("""COMPUTED_VALUE"""),"ঠিকানা: গাড়াবোব")</f>
        <v>ঠিকানা: গাড়াবোব</v>
      </c>
      <c r="J325" s="5" t="str">
        <f>IFERROR(__xludf.DUMMYFUNCTION("""COMPUTED_VALUE""")," গাংনী")</f>
        <v> গাংনী</v>
      </c>
      <c r="K325" s="5" t="str">
        <f>IFERROR(__xludf.DUMMYFUNCTION("""COMPUTED_VALUE""")," মেহেরপুর")</f>
        <v> মেহেরপুর</v>
      </c>
    </row>
    <row r="326">
      <c r="A326" s="7" t="s">
        <v>7478</v>
      </c>
      <c r="B326" s="5">
        <f>IFERROR(__xludf.DUMMYFUNCTION("SPLIT(A326,"","")"),1598.0)</f>
        <v>1598</v>
      </c>
      <c r="C326" s="5" t="str">
        <f>IFERROR(__xludf.DUMMYFUNCTION("""COMPUTED_VALUE"""),"নাম: মো: আব্দুল মতিন")</f>
        <v>নাম: মো: আব্দুল মতিন</v>
      </c>
      <c r="D326" s="5" t="str">
        <f>IFERROR(__xludf.DUMMYFUNCTION("""COMPUTED_VALUE"""),"ভোটার নং: ৫৭০০৩৮৩৫৬৯৩০")</f>
        <v>ভোটার নং: ৫৭০০৩৮৩৫৬৯৩০</v>
      </c>
      <c r="E326" s="5" t="str">
        <f>IFERROR(__xludf.DUMMYFUNCTION("""COMPUTED_VALUE"""),"পিতা: মোহা: সিরাজুল ইসলাম")</f>
        <v>পিতা: মোহা: সিরাজুল ইসলাম</v>
      </c>
      <c r="F326" s="5" t="str">
        <f>IFERROR(__xludf.DUMMYFUNCTION("""COMPUTED_VALUE"""),"মাতা: মোছা: খোদেজান বেগম")</f>
        <v>মাতা: মোছা: খোদেজান বেগম</v>
      </c>
      <c r="G326" s="5" t="str">
        <f>IFERROR(__xludf.DUMMYFUNCTION("""COMPUTED_VALUE"""),"জন্ম তারিখ: ১৫/০৩/১৯৬৯")</f>
        <v>জন্ম তারিখ: ১৫/০৩/১৯৬৯</v>
      </c>
      <c r="H326" s="5" t="str">
        <f>IFERROR(__xludf.DUMMYFUNCTION("""COMPUTED_VALUE"""),"পেশা: শ্রমিক")</f>
        <v>পেশা: শ্রমিক</v>
      </c>
      <c r="I326" s="5" t="str">
        <f>IFERROR(__xludf.DUMMYFUNCTION("""COMPUTED_VALUE"""),"ঠিকানা: গাড়াবোব")</f>
        <v>ঠিকানা: গাড়াবোব</v>
      </c>
      <c r="J326" s="5" t="str">
        <f>IFERROR(__xludf.DUMMYFUNCTION("""COMPUTED_VALUE""")," গাংনী")</f>
        <v> গাংনী</v>
      </c>
      <c r="K326" s="5" t="str">
        <f>IFERROR(__xludf.DUMMYFUNCTION("""COMPUTED_VALUE""")," মেহেরপুর")</f>
        <v> মেহেরপুর</v>
      </c>
    </row>
    <row r="327">
      <c r="A327" s="7" t="s">
        <v>7479</v>
      </c>
      <c r="B327" s="5">
        <f>IFERROR(__xludf.DUMMYFUNCTION("SPLIT(A327,"","")"),1599.0)</f>
        <v>1599</v>
      </c>
      <c r="C327" s="5" t="str">
        <f>IFERROR(__xludf.DUMMYFUNCTION("""COMPUTED_VALUE"""),"নাম: মো: আশরাফুল ইসলাম")</f>
        <v>নাম: মো: আশরাফুল ইসলাম</v>
      </c>
      <c r="D327" s="5" t="str">
        <f>IFERROR(__xludf.DUMMYFUNCTION("""COMPUTED_VALUE"""),"ভোটার নং: ৫৭০০৩৮৩৫৬৯৩৩")</f>
        <v>ভোটার নং: ৫৭০০৩৮৩৫৬৯৩৩</v>
      </c>
      <c r="E327" s="5" t="str">
        <f>IFERROR(__xludf.DUMMYFUNCTION("""COMPUTED_VALUE"""),"পিতা: নুরুল ইসলাম")</f>
        <v>পিতা: নুরুল ইসলাম</v>
      </c>
      <c r="F327" s="5" t="str">
        <f>IFERROR(__xludf.DUMMYFUNCTION("""COMPUTED_VALUE"""),"মাতা: মোছা: রাবেয়া খাতুন")</f>
        <v>মাতা: মোছা: রাবেয়া খাতুন</v>
      </c>
      <c r="G327" s="5" t="str">
        <f>IFERROR(__xludf.DUMMYFUNCTION("""COMPUTED_VALUE"""),"জন্ম তারিখ: ১৫/০৭/১৯৭০")</f>
        <v>জন্ম তারিখ: ১৫/০৭/১৯৭০</v>
      </c>
      <c r="H327" s="5" t="str">
        <f>IFERROR(__xludf.DUMMYFUNCTION("""COMPUTED_VALUE"""),"পেশা: কৃষক")</f>
        <v>পেশা: কৃষক</v>
      </c>
      <c r="I327" s="5" t="str">
        <f>IFERROR(__xludf.DUMMYFUNCTION("""COMPUTED_VALUE"""),"ঠিকানা: গাড়াবোব")</f>
        <v>ঠিকানা: গাড়াবোব</v>
      </c>
      <c r="J327" s="5" t="str">
        <f>IFERROR(__xludf.DUMMYFUNCTION("""COMPUTED_VALUE""")," গাংনী")</f>
        <v> গাংনী</v>
      </c>
      <c r="K327" s="5" t="str">
        <f>IFERROR(__xludf.DUMMYFUNCTION("""COMPUTED_VALUE""")," মেহেরপুর")</f>
        <v> মেহেরপুর</v>
      </c>
    </row>
    <row r="328">
      <c r="A328" s="7" t="s">
        <v>7480</v>
      </c>
      <c r="B328" s="5">
        <f>IFERROR(__xludf.DUMMYFUNCTION("SPLIT(A328,"","")"),1600.0)</f>
        <v>1600</v>
      </c>
      <c r="C328" s="5" t="str">
        <f>IFERROR(__xludf.DUMMYFUNCTION("""COMPUTED_VALUE"""),"নাম: মো: বকুল হোসেন")</f>
        <v>নাম: মো: বকুল হোসেন</v>
      </c>
      <c r="D328" s="5" t="str">
        <f>IFERROR(__xludf.DUMMYFUNCTION("""COMPUTED_VALUE"""),"ভোটার নং: ৫৭০০৩৮৩৫৬৯৩৪")</f>
        <v>ভোটার নং: ৫৭০০৩৮৩৫৬৯৩৪</v>
      </c>
      <c r="E328" s="5" t="str">
        <f>IFERROR(__xludf.DUMMYFUNCTION("""COMPUTED_VALUE"""),"পিতা: মো: নাসির উদ্দীন শেখ")</f>
        <v>পিতা: মো: নাসির উদ্দীন শেখ</v>
      </c>
      <c r="F328" s="5" t="str">
        <f>IFERROR(__xludf.DUMMYFUNCTION("""COMPUTED_VALUE"""),"মাতা: মোছা: কাইমন নেছা")</f>
        <v>মাতা: মোছা: কাইমন নেছা</v>
      </c>
      <c r="G328" s="5" t="str">
        <f>IFERROR(__xludf.DUMMYFUNCTION("""COMPUTED_VALUE"""),"জন্ম তারিখ: ২২/০৪/১৯৮২")</f>
        <v>জন্ম তারিখ: ২২/০৪/১৯৮২</v>
      </c>
      <c r="H328" s="5" t="str">
        <f>IFERROR(__xludf.DUMMYFUNCTION("""COMPUTED_VALUE"""),"পেশা: ব্যবসা")</f>
        <v>পেশা: ব্যবসা</v>
      </c>
      <c r="I328" s="5" t="str">
        <f>IFERROR(__xludf.DUMMYFUNCTION("""COMPUTED_VALUE"""),"ঠিকানা: গাড়াবোব")</f>
        <v>ঠিকানা: গাড়াবোব</v>
      </c>
      <c r="J328" s="5" t="str">
        <f>IFERROR(__xludf.DUMMYFUNCTION("""COMPUTED_VALUE""")," গাংনী")</f>
        <v> গাংনী</v>
      </c>
      <c r="K328" s="5" t="str">
        <f>IFERROR(__xludf.DUMMYFUNCTION("""COMPUTED_VALUE""")," মেহেরপুর")</f>
        <v> মেহেরপুর</v>
      </c>
    </row>
    <row r="329">
      <c r="A329" s="7" t="s">
        <v>7481</v>
      </c>
      <c r="B329" s="5">
        <f>IFERROR(__xludf.DUMMYFUNCTION("SPLIT(A329,"","")"),1601.0)</f>
        <v>1601</v>
      </c>
      <c r="C329" s="5" t="str">
        <f>IFERROR(__xludf.DUMMYFUNCTION("""COMPUTED_VALUE"""),"নাম: মো: হিফাজ উদ্দীন")</f>
        <v>নাম: মো: হিফাজ উদ্দীন</v>
      </c>
      <c r="D329" s="5" t="str">
        <f>IFERROR(__xludf.DUMMYFUNCTION("""COMPUTED_VALUE"""),"ভোটার নং: ৫৭০০৩৮৩৫৬৯৩৮")</f>
        <v>ভোটার নং: ৫৭০০৩৮৩৫৬৯৩৮</v>
      </c>
      <c r="E329" s="5" t="str">
        <f>IFERROR(__xludf.DUMMYFUNCTION("""COMPUTED_VALUE"""),"পিতা: জফর আলী")</f>
        <v>পিতা: জফর আলী</v>
      </c>
      <c r="F329" s="5" t="str">
        <f>IFERROR(__xludf.DUMMYFUNCTION("""COMPUTED_VALUE"""),"মাতা: মোছা: নেকজান")</f>
        <v>মাতা: মোছা: নেকজান</v>
      </c>
      <c r="G329" s="5" t="str">
        <f>IFERROR(__xludf.DUMMYFUNCTION("""COMPUTED_VALUE"""),"জন্ম তারিখ: ১১/০৩/১৯৬৪")</f>
        <v>জন্ম তারিখ: ১১/০৩/১৯৬৪</v>
      </c>
      <c r="H329" s="5" t="str">
        <f>IFERROR(__xludf.DUMMYFUNCTION("""COMPUTED_VALUE"""),"পেশা: কৃষক")</f>
        <v>পেশা: কৃষক</v>
      </c>
      <c r="I329" s="5" t="str">
        <f>IFERROR(__xludf.DUMMYFUNCTION("""COMPUTED_VALUE"""),"ঠিকানা: গাড়াবোব")</f>
        <v>ঠিকানা: গাড়াবোব</v>
      </c>
      <c r="J329" s="5" t="str">
        <f>IFERROR(__xludf.DUMMYFUNCTION("""COMPUTED_VALUE""")," গাংনী")</f>
        <v> গাংনী</v>
      </c>
      <c r="K329" s="5" t="str">
        <f>IFERROR(__xludf.DUMMYFUNCTION("""COMPUTED_VALUE""")," মেহেরপুর")</f>
        <v> মেহেরপুর</v>
      </c>
    </row>
    <row r="330">
      <c r="A330" s="7" t="s">
        <v>7482</v>
      </c>
      <c r="B330" s="5">
        <f>IFERROR(__xludf.DUMMYFUNCTION("SPLIT(A330,"","")"),1602.0)</f>
        <v>1602</v>
      </c>
      <c r="C330" s="5" t="str">
        <f>IFERROR(__xludf.DUMMYFUNCTION("""COMPUTED_VALUE"""),"নাম: মোহা: শহিদুল ইসলাম")</f>
        <v>নাম: মোহা: শহিদুল ইসলাম</v>
      </c>
      <c r="D330" s="5" t="str">
        <f>IFERROR(__xludf.DUMMYFUNCTION("""COMPUTED_VALUE"""),"ভোটার নং: ৫৭০০৩৮৩৫৬৯৪১")</f>
        <v>ভোটার নং: ৫৭০০৩৮৩৫৬৯৪১</v>
      </c>
      <c r="E330" s="5" t="str">
        <f>IFERROR(__xludf.DUMMYFUNCTION("""COMPUTED_VALUE"""),"পিতা: কাদের শেখ")</f>
        <v>পিতা: কাদের শেখ</v>
      </c>
      <c r="F330" s="5" t="str">
        <f>IFERROR(__xludf.DUMMYFUNCTION("""COMPUTED_VALUE"""),"মাতা: মোছা: খাদিজা খাতুন")</f>
        <v>মাতা: মোছা: খাদিজা খাতুন</v>
      </c>
      <c r="G330" s="5" t="str">
        <f>IFERROR(__xludf.DUMMYFUNCTION("""COMPUTED_VALUE"""),"জন্ম তারিখ: ২৫/০৫/১৯৫৭")</f>
        <v>জন্ম তারিখ: ২৫/০৫/১৯৫৭</v>
      </c>
      <c r="H330" s="5" t="str">
        <f>IFERROR(__xludf.DUMMYFUNCTION("""COMPUTED_VALUE"""),"পেশা: কৃষক")</f>
        <v>পেশা: কৃষক</v>
      </c>
      <c r="I330" s="5" t="str">
        <f>IFERROR(__xludf.DUMMYFUNCTION("""COMPUTED_VALUE"""),"ঠিকানা: গাড়াবোব")</f>
        <v>ঠিকানা: গাড়াবোব</v>
      </c>
      <c r="J330" s="5" t="str">
        <f>IFERROR(__xludf.DUMMYFUNCTION("""COMPUTED_VALUE""")," গাংনী")</f>
        <v> গাংনী</v>
      </c>
      <c r="K330" s="5" t="str">
        <f>IFERROR(__xludf.DUMMYFUNCTION("""COMPUTED_VALUE""")," মেহেরপুর")</f>
        <v> মেহেরপুর</v>
      </c>
    </row>
    <row r="331">
      <c r="A331" s="7" t="s">
        <v>7483</v>
      </c>
      <c r="B331" s="5">
        <f>IFERROR(__xludf.DUMMYFUNCTION("SPLIT(A331,"","")"),1603.0)</f>
        <v>1603</v>
      </c>
      <c r="C331" s="5" t="str">
        <f>IFERROR(__xludf.DUMMYFUNCTION("""COMPUTED_VALUE"""),"নাম: মো: আসাদুল ইসলাম")</f>
        <v>নাম: মো: আসাদুল ইসলাম</v>
      </c>
      <c r="D331" s="5" t="str">
        <f>IFERROR(__xludf.DUMMYFUNCTION("""COMPUTED_VALUE"""),"ভোটার নং: ৫৭০০৩৮৩৫৬৯৪২")</f>
        <v>ভোটার নং: ৫৭০০৩৮৩৫৬৯৪২</v>
      </c>
      <c r="E331" s="5" t="str">
        <f>IFERROR(__xludf.DUMMYFUNCTION("""COMPUTED_VALUE"""),"পিতা: মো: খেজমত আলী")</f>
        <v>পিতা: মো: খেজমত আলী</v>
      </c>
      <c r="F331" s="5" t="str">
        <f>IFERROR(__xludf.DUMMYFUNCTION("""COMPUTED_VALUE"""),"মাতা: মোছা: রাফিয়া")</f>
        <v>মাতা: মোছা: রাফিয়া</v>
      </c>
      <c r="G331" s="5" t="str">
        <f>IFERROR(__xludf.DUMMYFUNCTION("""COMPUTED_VALUE"""),"জন্ম তারিখ: ২২/০৭/১৯৭০")</f>
        <v>জন্ম তারিখ: ২২/০৭/১৯৭০</v>
      </c>
      <c r="H331" s="5" t="str">
        <f>IFERROR(__xludf.DUMMYFUNCTION("""COMPUTED_VALUE"""),"পেশা: কৃষক")</f>
        <v>পেশা: কৃষক</v>
      </c>
      <c r="I331" s="5" t="str">
        <f>IFERROR(__xludf.DUMMYFUNCTION("""COMPUTED_VALUE"""),"ঠিকানা: গাড়াবোব")</f>
        <v>ঠিকানা: গাড়াবোব</v>
      </c>
      <c r="J331" s="5" t="str">
        <f>IFERROR(__xludf.DUMMYFUNCTION("""COMPUTED_VALUE""")," গাংনী")</f>
        <v> গাংনী</v>
      </c>
      <c r="K331" s="5" t="str">
        <f>IFERROR(__xludf.DUMMYFUNCTION("""COMPUTED_VALUE""")," মেহেরপুর")</f>
        <v> মেহেরপুর</v>
      </c>
    </row>
    <row r="332">
      <c r="A332" s="7" t="s">
        <v>7484</v>
      </c>
      <c r="B332" s="5">
        <f>IFERROR(__xludf.DUMMYFUNCTION("SPLIT(A332,"","")"),1604.0)</f>
        <v>1604</v>
      </c>
      <c r="C332" s="5" t="str">
        <f>IFERROR(__xludf.DUMMYFUNCTION("""COMPUTED_VALUE"""),"নাম: মো: ফারুক হোসেন")</f>
        <v>নাম: মো: ফারুক হোসেন</v>
      </c>
      <c r="D332" s="5" t="str">
        <f>IFERROR(__xludf.DUMMYFUNCTION("""COMPUTED_VALUE"""),"ভোটার নং: ৫৭০০৩৮৩৫৬৯৫০")</f>
        <v>ভোটার নং: ৫৭০০৩৮৩৫৬৯৫০</v>
      </c>
      <c r="E332" s="5" t="str">
        <f>IFERROR(__xludf.DUMMYFUNCTION("""COMPUTED_VALUE"""),"পিতা: মো: আতাল আলী")</f>
        <v>পিতা: মো: আতাল আলী</v>
      </c>
      <c r="F332" s="5" t="str">
        <f>IFERROR(__xludf.DUMMYFUNCTION("""COMPUTED_VALUE"""),"মাতা: মোছা: ফিরোজা বেগম")</f>
        <v>মাতা: মোছা: ফিরোজা বেগম</v>
      </c>
      <c r="G332" s="5" t="str">
        <f>IFERROR(__xludf.DUMMYFUNCTION("""COMPUTED_VALUE"""),"জন্ম তারিখ: ২৫/০৭/১৯৮৬")</f>
        <v>জন্ম তারিখ: ২৫/০৭/১৯৮৬</v>
      </c>
      <c r="H332" s="5" t="str">
        <f>IFERROR(__xludf.DUMMYFUNCTION("""COMPUTED_VALUE"""),"পেশা: কৃষক")</f>
        <v>পেশা: কৃষক</v>
      </c>
      <c r="I332" s="5" t="str">
        <f>IFERROR(__xludf.DUMMYFUNCTION("""COMPUTED_VALUE"""),"ঠিকানা: গাড়াবোব")</f>
        <v>ঠিকানা: গাড়াবোব</v>
      </c>
      <c r="J332" s="5" t="str">
        <f>IFERROR(__xludf.DUMMYFUNCTION("""COMPUTED_VALUE""")," গাংনী")</f>
        <v> গাংনী</v>
      </c>
      <c r="K332" s="5" t="str">
        <f>IFERROR(__xludf.DUMMYFUNCTION("""COMPUTED_VALUE""")," মেহেরপুর")</f>
        <v> মেহেরপুর</v>
      </c>
    </row>
    <row r="333">
      <c r="A333" s="7" t="s">
        <v>7485</v>
      </c>
      <c r="B333" s="5">
        <f>IFERROR(__xludf.DUMMYFUNCTION("SPLIT(A333,"","")"),1605.0)</f>
        <v>1605</v>
      </c>
      <c r="C333" s="5" t="str">
        <f>IFERROR(__xludf.DUMMYFUNCTION("""COMPUTED_VALUE"""),"নাম: মো: ওসমান গনি")</f>
        <v>নাম: মো: ওসমান গনি</v>
      </c>
      <c r="D333" s="5" t="str">
        <f>IFERROR(__xludf.DUMMYFUNCTION("""COMPUTED_VALUE"""),"ভোটার নং: ৫৭০০৩৮৩৭৫৬৭০")</f>
        <v>ভোটার নং: ৫৭০০৩৮৩৭৫৬৭০</v>
      </c>
      <c r="E333" s="5" t="str">
        <f>IFERROR(__xludf.DUMMYFUNCTION("""COMPUTED_VALUE"""),"পিতা: মসলেম উদ্দীন")</f>
        <v>পিতা: মসলেম উদ্দীন</v>
      </c>
      <c r="F333" s="5" t="str">
        <f>IFERROR(__xludf.DUMMYFUNCTION("""COMPUTED_VALUE"""),"মাতা: মোছা: পিয়ারা বেগম")</f>
        <v>মাতা: মোছা: পিয়ারা বেগম</v>
      </c>
      <c r="G333" s="5" t="str">
        <f>IFERROR(__xludf.DUMMYFUNCTION("""COMPUTED_VALUE"""),"জন্ম তারিখ: ১৫/০১/১৯৭২")</f>
        <v>জন্ম তারিখ: ১৫/০১/১৯৭২</v>
      </c>
      <c r="H333" s="5" t="str">
        <f>IFERROR(__xludf.DUMMYFUNCTION("""COMPUTED_VALUE"""),"পেশা: ব্যবসা")</f>
        <v>পেশা: ব্যবসা</v>
      </c>
      <c r="I333" s="5" t="str">
        <f>IFERROR(__xludf.DUMMYFUNCTION("""COMPUTED_VALUE"""),"ঠিকানা: গাড়াবোব")</f>
        <v>ঠিকানা: গাড়াবোব</v>
      </c>
      <c r="J333" s="5" t="str">
        <f>IFERROR(__xludf.DUMMYFUNCTION("""COMPUTED_VALUE""")," গাংনী")</f>
        <v> গাংনী</v>
      </c>
      <c r="K333" s="5" t="str">
        <f>IFERROR(__xludf.DUMMYFUNCTION("""COMPUTED_VALUE""")," মেহেরপুর")</f>
        <v> মেহেরপুর</v>
      </c>
    </row>
    <row r="334">
      <c r="A334" s="7" t="s">
        <v>7486</v>
      </c>
      <c r="B334" s="5">
        <f>IFERROR(__xludf.DUMMYFUNCTION("SPLIT(A334,"","")"),1606.0)</f>
        <v>1606</v>
      </c>
      <c r="C334" s="5" t="str">
        <f>IFERROR(__xludf.DUMMYFUNCTION("""COMPUTED_VALUE"""),"নাম: মো: আ: বারী")</f>
        <v>নাম: মো: আ: বারী</v>
      </c>
      <c r="D334" s="5" t="str">
        <f>IFERROR(__xludf.DUMMYFUNCTION("""COMPUTED_VALUE"""),"ভোটার নং: ৫৭০০৩৮৫৪৪৪৪২")</f>
        <v>ভোটার নং: ৫৭০০৩৮৫৪৪৪৪২</v>
      </c>
      <c r="E334" s="5" t="str">
        <f>IFERROR(__xludf.DUMMYFUNCTION("""COMPUTED_VALUE"""),"পিতা: মো: ফরমান মন্ডল")</f>
        <v>পিতা: মো: ফরমান মন্ডল</v>
      </c>
      <c r="F334" s="5" t="str">
        <f>IFERROR(__xludf.DUMMYFUNCTION("""COMPUTED_VALUE"""),"মাতা: মোছা: আয়েশা নেছা")</f>
        <v>মাতা: মোছা: আয়েশা নেছা</v>
      </c>
      <c r="G334" s="5" t="str">
        <f>IFERROR(__xludf.DUMMYFUNCTION("""COMPUTED_VALUE"""),"জন্ম তারিখ: ১১/০৯/১৯৫২")</f>
        <v>জন্ম তারিখ: ১১/০৯/১৯৫২</v>
      </c>
      <c r="H334" s="5" t="str">
        <f>IFERROR(__xludf.DUMMYFUNCTION("""COMPUTED_VALUE"""),"পেশা: কৃষক")</f>
        <v>পেশা: কৃষক</v>
      </c>
      <c r="I334" s="5" t="str">
        <f>IFERROR(__xludf.DUMMYFUNCTION("""COMPUTED_VALUE"""),"ঠিকানা: গাড়াবোব")</f>
        <v>ঠিকানা: গাড়াবোব</v>
      </c>
      <c r="J334" s="5" t="str">
        <f>IFERROR(__xludf.DUMMYFUNCTION("""COMPUTED_VALUE""")," গাংনী")</f>
        <v> গাংনী</v>
      </c>
      <c r="K334" s="5" t="str">
        <f>IFERROR(__xludf.DUMMYFUNCTION("""COMPUTED_VALUE""")," মেহেরপুর")</f>
        <v> মেহেরপুর</v>
      </c>
    </row>
    <row r="335">
      <c r="A335" s="7" t="s">
        <v>7487</v>
      </c>
      <c r="B335" s="5">
        <f>IFERROR(__xludf.DUMMYFUNCTION("SPLIT(A335,"","")"),1607.0)</f>
        <v>1607</v>
      </c>
      <c r="C335" s="5" t="str">
        <f>IFERROR(__xludf.DUMMYFUNCTION("""COMPUTED_VALUE"""),"নাম: মো: আবুল কালাম আজাদ")</f>
        <v>নাম: মো: আবুল কালাম আজাদ</v>
      </c>
      <c r="D335" s="5" t="str">
        <f>IFERROR(__xludf.DUMMYFUNCTION("""COMPUTED_VALUE"""),"ভোটার নং: ৫৭০০৩৮৫৪৪৭০৭")</f>
        <v>ভোটার নং: ৫৭০০৩৮৫৪৪৭০৭</v>
      </c>
      <c r="E335" s="5" t="str">
        <f>IFERROR(__xludf.DUMMYFUNCTION("""COMPUTED_VALUE"""),"পিতা: মো: রায়হান উদ্দীন")</f>
        <v>পিতা: মো: রায়হান উদ্দীন</v>
      </c>
      <c r="F335" s="5" t="str">
        <f>IFERROR(__xludf.DUMMYFUNCTION("""COMPUTED_VALUE"""),"মাতা: মোছা: আয়েশা খাতুন")</f>
        <v>মাতা: মোছা: আয়েশা খাতুন</v>
      </c>
      <c r="G335" s="5" t="str">
        <f>IFERROR(__xludf.DUMMYFUNCTION("""COMPUTED_VALUE"""),"জন্ম তারিখ: ০১/০১/১৯৭০")</f>
        <v>জন্ম তারিখ: ০১/০১/১৯৭০</v>
      </c>
      <c r="H335" s="5" t="str">
        <f>IFERROR(__xludf.DUMMYFUNCTION("""COMPUTED_VALUE"""),"পেশা: অন্যান্য")</f>
        <v>পেশা: অন্যান্য</v>
      </c>
      <c r="I335" s="5" t="str">
        <f>IFERROR(__xludf.DUMMYFUNCTION("""COMPUTED_VALUE"""),"ঠিকানা: গাড়াবোব")</f>
        <v>ঠিকানা: গাড়াবোব</v>
      </c>
      <c r="J335" s="5" t="str">
        <f>IFERROR(__xludf.DUMMYFUNCTION("""COMPUTED_VALUE""")," গাংনী")</f>
        <v> গাংনী</v>
      </c>
      <c r="K335" s="5" t="str">
        <f>IFERROR(__xludf.DUMMYFUNCTION("""COMPUTED_VALUE""")," মেহেরপুর")</f>
        <v> মেহেরপুর</v>
      </c>
    </row>
    <row r="336">
      <c r="A336" s="7" t="s">
        <v>7488</v>
      </c>
      <c r="B336" s="5">
        <f>IFERROR(__xludf.DUMMYFUNCTION("SPLIT(A336,"","")"),1608.0)</f>
        <v>1608</v>
      </c>
      <c r="C336" s="5" t="str">
        <f>IFERROR(__xludf.DUMMYFUNCTION("""COMPUTED_VALUE"""),"নাম: মো: শরিফুল ইসলাম")</f>
        <v>নাম: মো: শরিফুল ইসলাম</v>
      </c>
      <c r="D336" s="5" t="str">
        <f>IFERROR(__xludf.DUMMYFUNCTION("""COMPUTED_VALUE"""),"ভোটার নং: ৫৭০০৩৮৫৪৪৭৩৯")</f>
        <v>ভোটার নং: ৫৭০০৩৮৫৪৪৭৩৯</v>
      </c>
      <c r="E336" s="5" t="str">
        <f>IFERROR(__xludf.DUMMYFUNCTION("""COMPUTED_VALUE"""),"পিতা: মো: শফিউল্লা")</f>
        <v>পিতা: মো: শফিউল্লা</v>
      </c>
      <c r="F336" s="5" t="str">
        <f>IFERROR(__xludf.DUMMYFUNCTION("""COMPUTED_VALUE"""),"মাতা: মোছা: রমেজা খাতুন")</f>
        <v>মাতা: মোছা: রমেজা খাতুন</v>
      </c>
      <c r="G336" s="5" t="str">
        <f>IFERROR(__xludf.DUMMYFUNCTION("""COMPUTED_VALUE"""),"জন্ম তারিখ: ০১/০১/১৯৮০")</f>
        <v>জন্ম তারিখ: ০১/০১/১৯৮০</v>
      </c>
      <c r="H336" s="5" t="str">
        <f>IFERROR(__xludf.DUMMYFUNCTION("""COMPUTED_VALUE"""),"পেশা: শ্রমিক")</f>
        <v>পেশা: শ্রমিক</v>
      </c>
      <c r="I336" s="5" t="str">
        <f>IFERROR(__xludf.DUMMYFUNCTION("""COMPUTED_VALUE"""),"ঠিকানা: ""গাড়াবোব")</f>
        <v>ঠিকানা: "গাড়াবোব</v>
      </c>
      <c r="J336" s="5" t="str">
        <f>IFERROR(__xludf.DUMMYFUNCTION("""COMPUTED_VALUE""")," ধানখোলা")</f>
        <v> ধানখোলা</v>
      </c>
      <c r="K336" s="5" t="str">
        <f>IFERROR(__xludf.DUMMYFUNCTION("""COMPUTED_VALUE""")," গাংনী")</f>
        <v> গাংনী</v>
      </c>
      <c r="L336" s="5" t="str">
        <f>IFERROR(__xludf.DUMMYFUNCTION("""COMPUTED_VALUE""")," মেহেরপুর""")</f>
        <v> মেহেরপুর"</v>
      </c>
    </row>
    <row r="337">
      <c r="A337" s="7" t="s">
        <v>7489</v>
      </c>
      <c r="B337" s="5">
        <f>IFERROR(__xludf.DUMMYFUNCTION("SPLIT(A337,"","")"),1609.0)</f>
        <v>1609</v>
      </c>
      <c r="C337" s="5" t="str">
        <f>IFERROR(__xludf.DUMMYFUNCTION("""COMPUTED_VALUE"""),"নাম: মো: নাসির উদ্দিন")</f>
        <v>নাম: মো: নাসির উদ্দিন</v>
      </c>
      <c r="D337" s="5" t="str">
        <f>IFERROR(__xludf.DUMMYFUNCTION("""COMPUTED_VALUE"""),"ভোটার নং: ৫৭০০৩৮৫৪৪৯৪২")</f>
        <v>ভোটার নং: ৫৭০০৩৮৫৪৪৯৪২</v>
      </c>
      <c r="E337" s="5" t="str">
        <f>IFERROR(__xludf.DUMMYFUNCTION("""COMPUTED_VALUE"""),"পিতা: মো: নবিছু উদ্দীন")</f>
        <v>পিতা: মো: নবিছু উদ্দীন</v>
      </c>
      <c r="F337" s="5" t="str">
        <f>IFERROR(__xludf.DUMMYFUNCTION("""COMPUTED_VALUE"""),"মাতা: মোছা: নছিরন নেসা")</f>
        <v>মাতা: মোছা: নছিরন নেসা</v>
      </c>
      <c r="G337" s="5" t="str">
        <f>IFERROR(__xludf.DUMMYFUNCTION("""COMPUTED_VALUE"""),"জন্ম তারিখ: ০১/০১/১৯৮১")</f>
        <v>জন্ম তারিখ: ০১/০১/১৯৮১</v>
      </c>
      <c r="H337" s="5" t="str">
        <f>IFERROR(__xludf.DUMMYFUNCTION("""COMPUTED_VALUE"""),"পেশা: শ্রমিক")</f>
        <v>পেশা: শ্রমিক</v>
      </c>
      <c r="I337" s="5" t="str">
        <f>IFERROR(__xludf.DUMMYFUNCTION("""COMPUTED_VALUE"""),"ঠিকানা: ""গাড়াবোব")</f>
        <v>ঠিকানা: "গাড়াবোব</v>
      </c>
      <c r="J337" s="5" t="str">
        <f>IFERROR(__xludf.DUMMYFUNCTION("""COMPUTED_VALUE""")," জলি বিল পাড়া")</f>
        <v> জলি বিল পাড়া</v>
      </c>
      <c r="K337" s="5" t="str">
        <f>IFERROR(__xludf.DUMMYFUNCTION("""COMPUTED_VALUE""")," গাংনী")</f>
        <v> গাংনী</v>
      </c>
      <c r="L337" s="5" t="str">
        <f>IFERROR(__xludf.DUMMYFUNCTION("""COMPUTED_VALUE""")," মেহেরপুর""")</f>
        <v> মেহেরপুর"</v>
      </c>
    </row>
    <row r="338">
      <c r="A338" s="7" t="s">
        <v>7490</v>
      </c>
      <c r="B338" s="5">
        <f>IFERROR(__xludf.DUMMYFUNCTION("SPLIT(A338,"","")"),1610.0)</f>
        <v>1610</v>
      </c>
      <c r="C338" s="5" t="str">
        <f>IFERROR(__xludf.DUMMYFUNCTION("""COMPUTED_VALUE"""),"নাম: মো: বসির উদ্দীন")</f>
        <v>নাম: মো: বসির উদ্দীন</v>
      </c>
      <c r="D338" s="5" t="str">
        <f>IFERROR(__xludf.DUMMYFUNCTION("""COMPUTED_VALUE"""),"ভোটার নং: ৫৭০০৩৮৫৪৪৯৪৪")</f>
        <v>ভোটার নং: ৫৭০০৩৮৫৪৪৯৪৪</v>
      </c>
      <c r="E338" s="5" t="str">
        <f>IFERROR(__xludf.DUMMYFUNCTION("""COMPUTED_VALUE"""),"পিতা: মো: নবিছুউদ্দীন")</f>
        <v>পিতা: মো: নবিছুউদ্দীন</v>
      </c>
      <c r="F338" s="5" t="str">
        <f>IFERROR(__xludf.DUMMYFUNCTION("""COMPUTED_VALUE"""),"মাতা: মোছা: নছিরন বেগম")</f>
        <v>মাতা: মোছা: নছিরন বেগম</v>
      </c>
      <c r="G338" s="5" t="str">
        <f>IFERROR(__xludf.DUMMYFUNCTION("""COMPUTED_VALUE"""),"জন্ম তারিখ: ০১/০৭/১৯৭৮")</f>
        <v>জন্ম তারিখ: ০১/০৭/১৯৭৮</v>
      </c>
      <c r="H338" s="5" t="str">
        <f>IFERROR(__xludf.DUMMYFUNCTION("""COMPUTED_VALUE"""),"পেশা: ব্যবসা")</f>
        <v>পেশা: ব্যবসা</v>
      </c>
      <c r="I338" s="5" t="str">
        <f>IFERROR(__xludf.DUMMYFUNCTION("""COMPUTED_VALUE"""),"ঠিকানা: গাড়াবোব")</f>
        <v>ঠিকানা: গাড়াবোব</v>
      </c>
      <c r="J338" s="5" t="str">
        <f>IFERROR(__xludf.DUMMYFUNCTION("""COMPUTED_VALUE""")," গাংনী")</f>
        <v> গাংনী</v>
      </c>
      <c r="K338" s="5" t="str">
        <f>IFERROR(__xludf.DUMMYFUNCTION("""COMPUTED_VALUE""")," মেহেরপুর")</f>
        <v> মেহেরপুর</v>
      </c>
    </row>
    <row r="339">
      <c r="A339" s="7" t="s">
        <v>7491</v>
      </c>
      <c r="B339" s="5">
        <f>IFERROR(__xludf.DUMMYFUNCTION("SPLIT(A339,"","")"),1611.0)</f>
        <v>1611</v>
      </c>
      <c r="C339" s="5" t="str">
        <f>IFERROR(__xludf.DUMMYFUNCTION("""COMPUTED_VALUE"""),"নাম: মো: আতিয়ার রহমান")</f>
        <v>নাম: মো: আতিয়ার রহমান</v>
      </c>
      <c r="D339" s="5" t="str">
        <f>IFERROR(__xludf.DUMMYFUNCTION("""COMPUTED_VALUE"""),"ভোটার নং: ৫৭০০৩৮৫৪৪৯২২")</f>
        <v>ভোটার নং: ৫৭০০৩৮৫৪৪৯২২</v>
      </c>
      <c r="E339" s="5" t="str">
        <f>IFERROR(__xludf.DUMMYFUNCTION("""COMPUTED_VALUE"""),"পিতা: মো: ছলেমান")</f>
        <v>পিতা: মো: ছলেমান</v>
      </c>
      <c r="F339" s="5" t="str">
        <f>IFERROR(__xludf.DUMMYFUNCTION("""COMPUTED_VALUE"""),"মাতা: মোছা: অর্জিনা খাতুন")</f>
        <v>মাতা: মোছা: অর্জিনা খাতুন</v>
      </c>
      <c r="G339" s="5" t="str">
        <f>IFERROR(__xludf.DUMMYFUNCTION("""COMPUTED_VALUE"""),"জন্ম তারিখ: ১৪/০৭/১৯৮৬")</f>
        <v>জন্ম তারিখ: ১৪/০৭/১৯৮৬</v>
      </c>
      <c r="H339" s="5" t="str">
        <f>IFERROR(__xludf.DUMMYFUNCTION("""COMPUTED_VALUE"""),"পেশা: শ্রমিক")</f>
        <v>পেশা: শ্রমিক</v>
      </c>
      <c r="I339" s="5" t="str">
        <f>IFERROR(__xludf.DUMMYFUNCTION("""COMPUTED_VALUE"""),"ঠিকানা: ""গাড়াবোব")</f>
        <v>ঠিকানা: "গাড়াবোব</v>
      </c>
      <c r="J339" s="5" t="str">
        <f>IFERROR(__xludf.DUMMYFUNCTION("""COMPUTED_VALUE""")," মাঠপাড়া")</f>
        <v> মাঠপাড়া</v>
      </c>
      <c r="K339" s="5" t="str">
        <f>IFERROR(__xludf.DUMMYFUNCTION("""COMPUTED_VALUE""")," গাংনী")</f>
        <v> গাংনী</v>
      </c>
      <c r="L339" s="5" t="str">
        <f>IFERROR(__xludf.DUMMYFUNCTION("""COMPUTED_VALUE""")," মেহেরপুর""")</f>
        <v> মেহেরপুর"</v>
      </c>
    </row>
    <row r="340">
      <c r="A340" s="7" t="s">
        <v>7492</v>
      </c>
      <c r="B340" s="5">
        <f>IFERROR(__xludf.DUMMYFUNCTION("SPLIT(A340,"","")"),1612.0)</f>
        <v>1612</v>
      </c>
      <c r="C340" s="5" t="str">
        <f>IFERROR(__xludf.DUMMYFUNCTION("""COMPUTED_VALUE"""),"নাম: মো: ইসমাইল হাসান")</f>
        <v>নাম: মো: ইসমাইল হাসান</v>
      </c>
      <c r="D340" s="5" t="str">
        <f>IFERROR(__xludf.DUMMYFUNCTION("""COMPUTED_VALUE"""),"ভোটার নং: ৫৭০০৩৮০০০০০১")</f>
        <v>ভোটার নং: ৫৭০০৩৮০০০০০১</v>
      </c>
      <c r="E340" s="5" t="str">
        <f>IFERROR(__xludf.DUMMYFUNCTION("""COMPUTED_VALUE"""),"পিতা: মো: সিদ্দিকুর রহমান")</f>
        <v>পিতা: মো: সিদ্দিকুর রহমান</v>
      </c>
      <c r="F340" s="5" t="str">
        <f>IFERROR(__xludf.DUMMYFUNCTION("""COMPUTED_VALUE"""),"মাতা: মোছা: হাফিজা খাতুন")</f>
        <v>মাতা: মোছা: হাফিজা খাতুন</v>
      </c>
      <c r="G340" s="5" t="str">
        <f>IFERROR(__xludf.DUMMYFUNCTION("""COMPUTED_VALUE"""),"জন্ম তারিখ: ০১/০১/১৯৬৪")</f>
        <v>জন্ম তারিখ: ০১/০১/১৯৬৪</v>
      </c>
      <c r="H340" s="5" t="str">
        <f>IFERROR(__xludf.DUMMYFUNCTION("""COMPUTED_VALUE"""),"পেশা: ব্যবসা")</f>
        <v>পেশা: ব্যবসা</v>
      </c>
      <c r="I340" s="5" t="str">
        <f>IFERROR(__xludf.DUMMYFUNCTION("""COMPUTED_VALUE"""),"ঠিকানা: গাড়াবোব")</f>
        <v>ঠিকানা: গাড়াবোব</v>
      </c>
      <c r="J340" s="5" t="str">
        <f>IFERROR(__xludf.DUMMYFUNCTION("""COMPUTED_VALUE""")," গাংনী")</f>
        <v> গাংনী</v>
      </c>
      <c r="K340" s="5" t="str">
        <f>IFERROR(__xludf.DUMMYFUNCTION("""COMPUTED_VALUE""")," মেহেরপুর")</f>
        <v> মেহেরপুর</v>
      </c>
    </row>
    <row r="341">
      <c r="A341" s="7" t="s">
        <v>7493</v>
      </c>
      <c r="B341" s="5">
        <f>IFERROR(__xludf.DUMMYFUNCTION("SPLIT(A341,"","")"),1613.0)</f>
        <v>1613</v>
      </c>
      <c r="C341" s="5" t="str">
        <f>IFERROR(__xludf.DUMMYFUNCTION("""COMPUTED_VALUE"""),"নাম: মো: আরিফুল ইসলাম")</f>
        <v>নাম: মো: আরিফুল ইসলাম</v>
      </c>
      <c r="D341" s="5" t="str">
        <f>IFERROR(__xludf.DUMMYFUNCTION("""COMPUTED_VALUE"""),"ভোটার নং: ৫৭০০৩৮০০০০০২")</f>
        <v>ভোটার নং: ৫৭০০৩৮০০০০০২</v>
      </c>
      <c r="E341" s="5" t="str">
        <f>IFERROR(__xludf.DUMMYFUNCTION("""COMPUTED_VALUE"""),"পিতা: মো: আব্দুর রহিম")</f>
        <v>পিতা: মো: আব্দুর রহিম</v>
      </c>
      <c r="F341" s="5" t="str">
        <f>IFERROR(__xludf.DUMMYFUNCTION("""COMPUTED_VALUE"""),"মাতা: মোছা: শাহিদুন্নাহার")</f>
        <v>মাতা: মোছা: শাহিদুন্নাহার</v>
      </c>
      <c r="G341" s="5" t="str">
        <f>IFERROR(__xludf.DUMMYFUNCTION("""COMPUTED_VALUE"""),"জন্ম তারিখ: ০১/১২/১৯৯০")</f>
        <v>জন্ম তারিখ: ০১/১২/১৯৯০</v>
      </c>
      <c r="H341" s="5" t="str">
        <f>IFERROR(__xludf.DUMMYFUNCTION("""COMPUTED_VALUE"""),"পেশা: কৃষক")</f>
        <v>পেশা: কৃষক</v>
      </c>
      <c r="I341" s="5" t="str">
        <f>IFERROR(__xludf.DUMMYFUNCTION("""COMPUTED_VALUE"""),"ঠিকানা: গাড়াবোব")</f>
        <v>ঠিকানা: গাড়াবোব</v>
      </c>
      <c r="J341" s="5" t="str">
        <f>IFERROR(__xludf.DUMMYFUNCTION("""COMPUTED_VALUE""")," গাংনী")</f>
        <v> গাংনী</v>
      </c>
      <c r="K341" s="5" t="str">
        <f>IFERROR(__xludf.DUMMYFUNCTION("""COMPUTED_VALUE""")," মেহেরপুর")</f>
        <v> মেহেরপুর</v>
      </c>
    </row>
    <row r="342">
      <c r="A342" s="7" t="s">
        <v>7494</v>
      </c>
      <c r="B342" s="5">
        <f>IFERROR(__xludf.DUMMYFUNCTION("SPLIT(A342,"","")"),1614.0)</f>
        <v>1614</v>
      </c>
      <c r="C342" s="5" t="str">
        <f>IFERROR(__xludf.DUMMYFUNCTION("""COMPUTED_VALUE"""),"নাম: মো: মিলন হোসেন")</f>
        <v>নাম: মো: মিলন হোসেন</v>
      </c>
      <c r="D342" s="5" t="str">
        <f>IFERROR(__xludf.DUMMYFUNCTION("""COMPUTED_VALUE"""),"ভোটার নং: ৫৭০০৩৮০০০০০৪")</f>
        <v>ভোটার নং: ৫৭০০৩৮০০০০০৪</v>
      </c>
      <c r="E342" s="5" t="str">
        <f>IFERROR(__xludf.DUMMYFUNCTION("""COMPUTED_VALUE"""),"পিতা: মো: আব্দুল কুদ্দুস")</f>
        <v>পিতা: মো: আব্দুল কুদ্দুস</v>
      </c>
      <c r="F342" s="5" t="str">
        <f>IFERROR(__xludf.DUMMYFUNCTION("""COMPUTED_VALUE"""),"মাতা: মোছা: মনোয়ারা খাতুন")</f>
        <v>মাতা: মোছা: মনোয়ারা খাতুন</v>
      </c>
      <c r="G342" s="5" t="str">
        <f>IFERROR(__xludf.DUMMYFUNCTION("""COMPUTED_VALUE"""),"জন্ম তারিখ: ১৫/০৩/১৯৮৯")</f>
        <v>জন্ম তারিখ: ১৫/০৩/১৯৮৯</v>
      </c>
      <c r="H342" s="5" t="str">
        <f>IFERROR(__xludf.DUMMYFUNCTION("""COMPUTED_VALUE"""),"পেশা: ব্যবসা")</f>
        <v>পেশা: ব্যবসা</v>
      </c>
      <c r="I342" s="5" t="str">
        <f>IFERROR(__xludf.DUMMYFUNCTION("""COMPUTED_VALUE"""),"ঠিকানা: গাড়াবোব")</f>
        <v>ঠিকানা: গাড়াবোব</v>
      </c>
      <c r="J342" s="5" t="str">
        <f>IFERROR(__xludf.DUMMYFUNCTION("""COMPUTED_VALUE""")," গাংনী")</f>
        <v> গাংনী</v>
      </c>
      <c r="K342" s="5" t="str">
        <f>IFERROR(__xludf.DUMMYFUNCTION("""COMPUTED_VALUE""")," মেহেরপুর")</f>
        <v> মেহেরপুর</v>
      </c>
    </row>
    <row r="343">
      <c r="A343" s="7" t="s">
        <v>7495</v>
      </c>
      <c r="B343" s="5">
        <f>IFERROR(__xludf.DUMMYFUNCTION("SPLIT(A343,"","")"),1615.0)</f>
        <v>1615</v>
      </c>
      <c r="C343" s="5" t="str">
        <f>IFERROR(__xludf.DUMMYFUNCTION("""COMPUTED_VALUE"""),"নাম: মো: আলমগীর হোসেন")</f>
        <v>নাম: মো: আলমগীর হোসেন</v>
      </c>
      <c r="D343" s="5" t="str">
        <f>IFERROR(__xludf.DUMMYFUNCTION("""COMPUTED_VALUE"""),"ভোটার নং: ৫৭০০৩৮০০০০০৫")</f>
        <v>ভোটার নং: ৫৭০০৩৮০০০০০৫</v>
      </c>
      <c r="E343" s="5" t="str">
        <f>IFERROR(__xludf.DUMMYFUNCTION("""COMPUTED_VALUE"""),"পিতা: খেজমত")</f>
        <v>পিতা: খেজমত</v>
      </c>
      <c r="F343" s="5" t="str">
        <f>IFERROR(__xludf.DUMMYFUNCTION("""COMPUTED_VALUE"""),"মাতা: শামসুন্নাহার")</f>
        <v>মাতা: শামসুন্নাহার</v>
      </c>
      <c r="G343" s="5" t="str">
        <f>IFERROR(__xludf.DUMMYFUNCTION("""COMPUTED_VALUE"""),"জন্ম তারিখ: ১৫/০৬/১৯৮০")</f>
        <v>জন্ম তারিখ: ১৫/০৬/১৯৮০</v>
      </c>
      <c r="H343" s="5" t="str">
        <f>IFERROR(__xludf.DUMMYFUNCTION("""COMPUTED_VALUE"""),"পেশা: কৃষক")</f>
        <v>পেশা: কৃষক</v>
      </c>
      <c r="I343" s="5" t="str">
        <f>IFERROR(__xludf.DUMMYFUNCTION("""COMPUTED_VALUE"""),"ঠিকানা: গাড়াবোব")</f>
        <v>ঠিকানা: গাড়াবোব</v>
      </c>
      <c r="J343" s="5" t="str">
        <f>IFERROR(__xludf.DUMMYFUNCTION("""COMPUTED_VALUE""")," গাংনী")</f>
        <v> গাংনী</v>
      </c>
      <c r="K343" s="5" t="str">
        <f>IFERROR(__xludf.DUMMYFUNCTION("""COMPUTED_VALUE""")," মেহেরপুর")</f>
        <v> মেহেরপুর</v>
      </c>
    </row>
    <row r="344">
      <c r="A344" s="7" t="s">
        <v>7496</v>
      </c>
      <c r="B344" s="5">
        <f>IFERROR(__xludf.DUMMYFUNCTION("SPLIT(A344,"","")"),1616.0)</f>
        <v>1616</v>
      </c>
      <c r="C344" s="5" t="str">
        <f>IFERROR(__xludf.DUMMYFUNCTION("""COMPUTED_VALUE"""),"নাম: কে এম মাহবুবউল আলম")</f>
        <v>নাম: কে এম মাহবুবউল আলম</v>
      </c>
      <c r="D344" s="5" t="str">
        <f>IFERROR(__xludf.DUMMYFUNCTION("""COMPUTED_VALUE"""),"ভোটার নং: ৫৭০০৩৮০০০০০১৫")</f>
        <v>ভোটার নং: ৫৭০০৩৮০০০০০১৫</v>
      </c>
      <c r="E344" s="5" t="str">
        <f>IFERROR(__xludf.DUMMYFUNCTION("""COMPUTED_VALUE"""),"পিতা: মো: আব্দুল জলিল")</f>
        <v>পিতা: মো: আব্দুল জলিল</v>
      </c>
      <c r="F344" s="5" t="str">
        <f>IFERROR(__xludf.DUMMYFUNCTION("""COMPUTED_VALUE"""),"মাতা: মোছা: আছিয়া খাতুন")</f>
        <v>মাতা: মোছা: আছিয়া খাতুন</v>
      </c>
      <c r="G344" s="5" t="str">
        <f>IFERROR(__xludf.DUMMYFUNCTION("""COMPUTED_VALUE"""),"জন্ম তারিখ: ১০/০২/১৯৯১")</f>
        <v>জন্ম তারিখ: ১০/০২/১৯৯১</v>
      </c>
      <c r="H344" s="5" t="str">
        <f>IFERROR(__xludf.DUMMYFUNCTION("""COMPUTED_VALUE"""),"পেশা: ছাত্র/ছাত্রী")</f>
        <v>পেশা: ছাত্র/ছাত্রী</v>
      </c>
      <c r="I344" s="5" t="str">
        <f>IFERROR(__xludf.DUMMYFUNCTION("""COMPUTED_VALUE"""),"ঠিকানা: গাড়াবোব")</f>
        <v>ঠিকানা: গাড়াবোব</v>
      </c>
      <c r="J344" s="5" t="str">
        <f>IFERROR(__xludf.DUMMYFUNCTION("""COMPUTED_VALUE""")," গাংনী")</f>
        <v> গাংনী</v>
      </c>
      <c r="K344" s="5" t="str">
        <f>IFERROR(__xludf.DUMMYFUNCTION("""COMPUTED_VALUE""")," মেহেরপুর")</f>
        <v> মেহেরপুর</v>
      </c>
    </row>
    <row r="345">
      <c r="A345" s="7" t="s">
        <v>7497</v>
      </c>
      <c r="B345" s="5">
        <f>IFERROR(__xludf.DUMMYFUNCTION("SPLIT(A345,"","")"),1617.0)</f>
        <v>1617</v>
      </c>
      <c r="C345" s="5" t="str">
        <f>IFERROR(__xludf.DUMMYFUNCTION("""COMPUTED_VALUE"""),"নাম: মো: জাহিদুল ইসলাম")</f>
        <v>নাম: মো: জাহিদুল ইসলাম</v>
      </c>
      <c r="D345" s="5" t="str">
        <f>IFERROR(__xludf.DUMMYFUNCTION("""COMPUTED_VALUE"""),"ভোটার নং: ৫৭০০৩৮০০০০০১৮")</f>
        <v>ভোটার নং: ৫৭০০৩৮০০০০০১৮</v>
      </c>
      <c r="E345" s="5" t="str">
        <f>IFERROR(__xludf.DUMMYFUNCTION("""COMPUTED_VALUE"""),"পিতা: মো: মিজানুর রহমান")</f>
        <v>পিতা: মো: মিজানুর রহমান</v>
      </c>
      <c r="F345" s="5" t="str">
        <f>IFERROR(__xludf.DUMMYFUNCTION("""COMPUTED_VALUE"""),"মাতা: মোছা: জালেমা খাতুন")</f>
        <v>মাতা: মোছা: জালেমা খাতুন</v>
      </c>
      <c r="G345" s="5" t="str">
        <f>IFERROR(__xludf.DUMMYFUNCTION("""COMPUTED_VALUE"""),"জন্ম তারিখ: ০১/০১/১৯৮৯")</f>
        <v>জন্ম তারিখ: ০১/০১/১৯৮৯</v>
      </c>
      <c r="H345" s="5" t="str">
        <f>IFERROR(__xludf.DUMMYFUNCTION("""COMPUTED_VALUE"""),"পেশা: কৃষক")</f>
        <v>পেশা: কৃষক</v>
      </c>
      <c r="I345" s="5" t="str">
        <f>IFERROR(__xludf.DUMMYFUNCTION("""COMPUTED_VALUE"""),"ঠিকানা: গাড়াবোব")</f>
        <v>ঠিকানা: গাড়াবোব</v>
      </c>
      <c r="J345" s="5" t="str">
        <f>IFERROR(__xludf.DUMMYFUNCTION("""COMPUTED_VALUE""")," গাংনী")</f>
        <v> গাংনী</v>
      </c>
      <c r="K345" s="5" t="str">
        <f>IFERROR(__xludf.DUMMYFUNCTION("""COMPUTED_VALUE""")," মেহেরপুর")</f>
        <v> মেহেরপুর</v>
      </c>
    </row>
    <row r="346">
      <c r="A346" s="7" t="s">
        <v>7498</v>
      </c>
      <c r="B346" s="5">
        <f>IFERROR(__xludf.DUMMYFUNCTION("SPLIT(A346,"","")"),1618.0)</f>
        <v>1618</v>
      </c>
      <c r="C346" s="5" t="str">
        <f>IFERROR(__xludf.DUMMYFUNCTION("""COMPUTED_VALUE"""),"নাম: মো: আতিয়ার রহমান")</f>
        <v>নাম: মো: আতিয়ার রহমান</v>
      </c>
      <c r="D346" s="5" t="str">
        <f>IFERROR(__xludf.DUMMYFUNCTION("""COMPUTED_VALUE"""),"ভোটার নং: ৫৭০০৩৮০০০০২৬")</f>
        <v>ভোটার নং: ৫৭০০৩৮০০০০২৬</v>
      </c>
      <c r="E346" s="5" t="str">
        <f>IFERROR(__xludf.DUMMYFUNCTION("""COMPUTED_VALUE"""),"পিতা: জবেদ আলী মীর")</f>
        <v>পিতা: জবেদ আলী মীর</v>
      </c>
      <c r="F346" s="5" t="str">
        <f>IFERROR(__xludf.DUMMYFUNCTION("""COMPUTED_VALUE"""),"মাতা: মোছা: মর্জিনা খাতুন")</f>
        <v>মাতা: মোছা: মর্জিনা খাতুন</v>
      </c>
      <c r="G346" s="5" t="str">
        <f>IFERROR(__xludf.DUMMYFUNCTION("""COMPUTED_VALUE"""),"জন্ম তারিখ: ০১/০৪/১৯৭২")</f>
        <v>জন্ম তারিখ: ০১/০৪/১৯৭২</v>
      </c>
      <c r="H346" s="5" t="str">
        <f>IFERROR(__xludf.DUMMYFUNCTION("""COMPUTED_VALUE"""),"পেশা: ব্যবসা")</f>
        <v>পেশা: ব্যবসা</v>
      </c>
      <c r="I346" s="5" t="str">
        <f>IFERROR(__xludf.DUMMYFUNCTION("""COMPUTED_VALUE"""),"ঠিকানা: গাড়াবোব")</f>
        <v>ঠিকানা: গাড়াবোব</v>
      </c>
      <c r="J346" s="5" t="str">
        <f>IFERROR(__xludf.DUMMYFUNCTION("""COMPUTED_VALUE""")," গাংনী")</f>
        <v> গাংনী</v>
      </c>
      <c r="K346" s="5" t="str">
        <f>IFERROR(__xludf.DUMMYFUNCTION("""COMPUTED_VALUE""")," মেহেরপুর")</f>
        <v> মেহেরপুর</v>
      </c>
    </row>
    <row r="347">
      <c r="A347" s="7" t="s">
        <v>7499</v>
      </c>
      <c r="B347" s="5">
        <f>IFERROR(__xludf.DUMMYFUNCTION("SPLIT(A347,"","")"),1619.0)</f>
        <v>1619</v>
      </c>
      <c r="C347" s="5" t="str">
        <f>IFERROR(__xludf.DUMMYFUNCTION("""COMPUTED_VALUE"""),"নাম: মো: বাহারুল ইসলাম")</f>
        <v>নাম: মো: বাহারুল ইসলাম</v>
      </c>
      <c r="D347" s="5" t="str">
        <f>IFERROR(__xludf.DUMMYFUNCTION("""COMPUTED_VALUE"""),"ভোটার নং: ৫৭০০৩৮০০০০২৭")</f>
        <v>ভোটার নং: ৫৭০০৩৮০০০০২৭</v>
      </c>
      <c r="E347" s="5" t="str">
        <f>IFERROR(__xludf.DUMMYFUNCTION("""COMPUTED_VALUE"""),"পিতা: মো: আওলাদ হোসেন")</f>
        <v>পিতা: মো: আওলাদ হোসেন</v>
      </c>
      <c r="F347" s="5" t="str">
        <f>IFERROR(__xludf.DUMMYFUNCTION("""COMPUTED_VALUE"""),"মাতা: মোছা: খাদেজা খাতুন")</f>
        <v>মাতা: মোছা: খাদেজা খাতুন</v>
      </c>
      <c r="G347" s="5" t="str">
        <f>IFERROR(__xludf.DUMMYFUNCTION("""COMPUTED_VALUE"""),"জন্ম তারিখ: ১৫/০২/১৯৯৫")</f>
        <v>জন্ম তারিখ: ১৫/০২/১৯৯৫</v>
      </c>
      <c r="H347" s="5" t="str">
        <f>IFERROR(__xludf.DUMMYFUNCTION("""COMPUTED_VALUE"""),"পেশা: বেসরকারী চাকুরী")</f>
        <v>পেশা: বেসরকারী চাকুরী</v>
      </c>
      <c r="I347" s="5" t="str">
        <f>IFERROR(__xludf.DUMMYFUNCTION("""COMPUTED_VALUE"""),"ঠিকানা: গাড়াবোব")</f>
        <v>ঠিকানা: গাড়াবোব</v>
      </c>
      <c r="J347" s="5" t="str">
        <f>IFERROR(__xludf.DUMMYFUNCTION("""COMPUTED_VALUE""")," গাংনী")</f>
        <v> গাংনী</v>
      </c>
      <c r="K347" s="5" t="str">
        <f>IFERROR(__xludf.DUMMYFUNCTION("""COMPUTED_VALUE""")," মেহেরপুর")</f>
        <v> মেহেরপুর</v>
      </c>
    </row>
    <row r="348">
      <c r="A348" s="7" t="s">
        <v>7500</v>
      </c>
      <c r="B348" s="5">
        <f>IFERROR(__xludf.DUMMYFUNCTION("SPLIT(A348,"","")"),1620.0)</f>
        <v>1620</v>
      </c>
      <c r="C348" s="5" t="str">
        <f>IFERROR(__xludf.DUMMYFUNCTION("""COMPUTED_VALUE"""),"নাম: মো: জাহাঙ্গীর")</f>
        <v>নাম: মো: জাহাঙ্গীর</v>
      </c>
      <c r="D348" s="5" t="str">
        <f>IFERROR(__xludf.DUMMYFUNCTION("""COMPUTED_VALUE"""),"ভোটার নং: ৫৭০০৩৮০০০০৩৪")</f>
        <v>ভোটার নং: ৫৭০০৩৮০০০০৩৪</v>
      </c>
      <c r="E348" s="5" t="str">
        <f>IFERROR(__xludf.DUMMYFUNCTION("""COMPUTED_VALUE"""),"পিতা: মো: খেজমত")</f>
        <v>পিতা: মো: খেজমত</v>
      </c>
      <c r="F348" s="5" t="str">
        <f>IFERROR(__xludf.DUMMYFUNCTION("""COMPUTED_VALUE"""),"মাতা: মোছা: সামসুন্নাহার")</f>
        <v>মাতা: মোছা: সামসুন্নাহার</v>
      </c>
      <c r="G348" s="5" t="str">
        <f>IFERROR(__xludf.DUMMYFUNCTION("""COMPUTED_VALUE"""),"জন্ম তারিখ: ১৩/০২/১৯৮৬")</f>
        <v>জন্ম তারিখ: ১৩/০২/১৯৮৬</v>
      </c>
      <c r="H348" s="5" t="str">
        <f>IFERROR(__xludf.DUMMYFUNCTION("""COMPUTED_VALUE"""),"পেশা: দিনমজুর")</f>
        <v>পেশা: দিনমজুর</v>
      </c>
      <c r="I348" s="5" t="str">
        <f>IFERROR(__xludf.DUMMYFUNCTION("""COMPUTED_VALUE"""),"ঠিকানা: গাড়াবোব")</f>
        <v>ঠিকানা: গাড়াবোব</v>
      </c>
      <c r="J348" s="5" t="str">
        <f>IFERROR(__xludf.DUMMYFUNCTION("""COMPUTED_VALUE""")," গাংনী")</f>
        <v> গাংনী</v>
      </c>
      <c r="K348" s="5" t="str">
        <f>IFERROR(__xludf.DUMMYFUNCTION("""COMPUTED_VALUE""")," মেহেরপুর")</f>
        <v> মেহেরপুর</v>
      </c>
    </row>
    <row r="349">
      <c r="A349" s="7" t="s">
        <v>7501</v>
      </c>
      <c r="B349" s="5">
        <f>IFERROR(__xludf.DUMMYFUNCTION("SPLIT(A349,"","")"),1621.0)</f>
        <v>1621</v>
      </c>
      <c r="C349" s="5" t="str">
        <f>IFERROR(__xludf.DUMMYFUNCTION("""COMPUTED_VALUE"""),"নাম: মো: সামিরুল ইসলাম")</f>
        <v>নাম: মো: সামিরুল ইসলাম</v>
      </c>
      <c r="D349" s="5" t="str">
        <f>IFERROR(__xludf.DUMMYFUNCTION("""COMPUTED_VALUE"""),"ভোটার নং: ৫৭০০৩৮০০০০৩৫")</f>
        <v>ভোটার নং: ৫৭০০৩৮০০০০৩৫</v>
      </c>
      <c r="E349" s="5" t="str">
        <f>IFERROR(__xludf.DUMMYFUNCTION("""COMPUTED_VALUE"""),"পিতা: মো: সইরুদ্দীন")</f>
        <v>পিতা: মো: সইরুদ্দীন</v>
      </c>
      <c r="F349" s="5" t="str">
        <f>IFERROR(__xludf.DUMMYFUNCTION("""COMPUTED_VALUE"""),"মাতা: আমেনা খাতুন")</f>
        <v>মাতা: আমেনা খাতুন</v>
      </c>
      <c r="G349" s="5" t="str">
        <f>IFERROR(__xludf.DUMMYFUNCTION("""COMPUTED_VALUE"""),"জন্ম তারিখ: ১৫/০৭/১৯৯০")</f>
        <v>জন্ম তারিখ: ১৫/০৭/১৯৯০</v>
      </c>
      <c r="H349" s="5" t="str">
        <f>IFERROR(__xludf.DUMMYFUNCTION("""COMPUTED_VALUE"""),"পেশা: শ্রমিক")</f>
        <v>পেশা: শ্রমিক</v>
      </c>
      <c r="I349" s="5" t="str">
        <f>IFERROR(__xludf.DUMMYFUNCTION("""COMPUTED_VALUE"""),"ঠিকানা: গাড়াবোব")</f>
        <v>ঠিকানা: গাড়াবোব</v>
      </c>
      <c r="J349" s="5" t="str">
        <f>IFERROR(__xludf.DUMMYFUNCTION("""COMPUTED_VALUE""")," গাংনী")</f>
        <v> গাংনী</v>
      </c>
      <c r="K349" s="5" t="str">
        <f>IFERROR(__xludf.DUMMYFUNCTION("""COMPUTED_VALUE""")," মেহেরপুর")</f>
        <v> মেহেরপুর</v>
      </c>
    </row>
    <row r="350">
      <c r="A350" s="7" t="s">
        <v>7502</v>
      </c>
      <c r="B350" s="5">
        <f>IFERROR(__xludf.DUMMYFUNCTION("SPLIT(A350,"","")"),1622.0)</f>
        <v>1622</v>
      </c>
      <c r="C350" s="5" t="str">
        <f>IFERROR(__xludf.DUMMYFUNCTION("""COMPUTED_VALUE"""),"নাম: মো: আসরাফুল ইসলাম")</f>
        <v>নাম: মো: আসরাফুল ইসলাম</v>
      </c>
      <c r="D350" s="5" t="str">
        <f>IFERROR(__xludf.DUMMYFUNCTION("""COMPUTED_VALUE"""),"ভোটার নং: ৫৭০০৩৮০০০০৩৭")</f>
        <v>ভোটার নং: ৫৭০০৩৮০০০০৩৭</v>
      </c>
      <c r="E350" s="5" t="str">
        <f>IFERROR(__xludf.DUMMYFUNCTION("""COMPUTED_VALUE"""),"পিতা: মো: রফিকুল ইসলাম")</f>
        <v>পিতা: মো: রফিকুল ইসলাম</v>
      </c>
      <c r="F350" s="5" t="str">
        <f>IFERROR(__xludf.DUMMYFUNCTION("""COMPUTED_VALUE"""),"মাতা: মোছা: মনোয়ারা বেগম")</f>
        <v>মাতা: মোছা: মনোয়ারা বেগম</v>
      </c>
      <c r="G350" s="5" t="str">
        <f>IFERROR(__xludf.DUMMYFUNCTION("""COMPUTED_VALUE"""),"জন্ম তারিখ: ০১/১০/১৯৯০")</f>
        <v>জন্ম তারিখ: ০১/১০/১৯৯০</v>
      </c>
      <c r="H350" s="5" t="str">
        <f>IFERROR(__xludf.DUMMYFUNCTION("""COMPUTED_VALUE"""),"পেশা: কৃষক")</f>
        <v>পেশা: কৃষক</v>
      </c>
      <c r="I350" s="5" t="str">
        <f>IFERROR(__xludf.DUMMYFUNCTION("""COMPUTED_VALUE"""),"ঠিকানা: গাড়াবোব")</f>
        <v>ঠিকানা: গাড়াবোব</v>
      </c>
      <c r="J350" s="5" t="str">
        <f>IFERROR(__xludf.DUMMYFUNCTION("""COMPUTED_VALUE""")," গাংনী")</f>
        <v> গাংনী</v>
      </c>
      <c r="K350" s="5" t="str">
        <f>IFERROR(__xludf.DUMMYFUNCTION("""COMPUTED_VALUE""")," মেহেরপুর")</f>
        <v> মেহেরপুর</v>
      </c>
    </row>
    <row r="351">
      <c r="A351" s="7" t="s">
        <v>7503</v>
      </c>
      <c r="B351" s="5">
        <f>IFERROR(__xludf.DUMMYFUNCTION("SPLIT(A351,"","")"),1623.0)</f>
        <v>1623</v>
      </c>
      <c r="C351" s="5" t="str">
        <f>IFERROR(__xludf.DUMMYFUNCTION("""COMPUTED_VALUE"""),"নাম: মো: জামিরুল ইসলাম")</f>
        <v>নাম: মো: জামিরুল ইসলাম</v>
      </c>
      <c r="D351" s="5" t="str">
        <f>IFERROR(__xludf.DUMMYFUNCTION("""COMPUTED_VALUE"""),"ভোটার নং: ৫৭০০৩৮০০০০৩৮")</f>
        <v>ভোটার নং: ৫৭০০৩৮০০০০৩৮</v>
      </c>
      <c r="E351" s="5" t="str">
        <f>IFERROR(__xludf.DUMMYFUNCTION("""COMPUTED_VALUE"""),"পিতা: মো: ছাদের আলী")</f>
        <v>পিতা: মো: ছাদের আলী</v>
      </c>
      <c r="F351" s="5" t="str">
        <f>IFERROR(__xludf.DUMMYFUNCTION("""COMPUTED_VALUE"""),"মাতা: মোছা: ইকাতন")</f>
        <v>মাতা: মোছা: ইকাতন</v>
      </c>
      <c r="G351" s="5" t="str">
        <f>IFERROR(__xludf.DUMMYFUNCTION("""COMPUTED_VALUE"""),"জন্ম তারিখ: ০২/০৫/১৯৮৯")</f>
        <v>জন্ম তারিখ: ০২/০৫/১৯৮৯</v>
      </c>
      <c r="H351" s="5" t="str">
        <f>IFERROR(__xludf.DUMMYFUNCTION("""COMPUTED_VALUE"""),"পেশা: মিস্ত্রী")</f>
        <v>পেশা: মিস্ত্রী</v>
      </c>
      <c r="I351" s="5" t="str">
        <f>IFERROR(__xludf.DUMMYFUNCTION("""COMPUTED_VALUE"""),"ঠিকানা: গাড়াবোব")</f>
        <v>ঠিকানা: গাড়াবোব</v>
      </c>
      <c r="J351" s="5" t="str">
        <f>IFERROR(__xludf.DUMMYFUNCTION("""COMPUTED_VALUE""")," গাংনী")</f>
        <v> গাংনী</v>
      </c>
      <c r="K351" s="5" t="str">
        <f>IFERROR(__xludf.DUMMYFUNCTION("""COMPUTED_VALUE""")," মেহেরপুর")</f>
        <v> মেহেরপুর</v>
      </c>
    </row>
    <row r="352">
      <c r="A352" s="7" t="s">
        <v>7504</v>
      </c>
      <c r="B352" s="5">
        <f>IFERROR(__xludf.DUMMYFUNCTION("SPLIT(A352,"","")"),1624.0)</f>
        <v>1624</v>
      </c>
      <c r="C352" s="5" t="str">
        <f>IFERROR(__xludf.DUMMYFUNCTION("""COMPUTED_VALUE"""),"নাম: মো: মনিরুল ইসলাম")</f>
        <v>নাম: মো: মনিরুল ইসলাম</v>
      </c>
      <c r="D352" s="5" t="str">
        <f>IFERROR(__xludf.DUMMYFUNCTION("""COMPUTED_VALUE"""),"ভোটার নং: ৫৭০০৩৮০০০০৩৯")</f>
        <v>ভোটার নং: ৫৭০০৩৮০০০০৩৯</v>
      </c>
      <c r="E352" s="5" t="str">
        <f>IFERROR(__xludf.DUMMYFUNCTION("""COMPUTED_VALUE"""),"পিতা: মো: আখের আলী")</f>
        <v>পিতা: মো: আখের আলী</v>
      </c>
      <c r="F352" s="5" t="str">
        <f>IFERROR(__xludf.DUMMYFUNCTION("""COMPUTED_VALUE"""),"মাতা: মোছা: জাফিরন নেছা")</f>
        <v>মাতা: মোছা: জাফিরন নেছা</v>
      </c>
      <c r="G352" s="5" t="str">
        <f>IFERROR(__xludf.DUMMYFUNCTION("""COMPUTED_VALUE"""),"জন্ম তারিখ: ১৫/০৩/১৯৮৩")</f>
        <v>জন্ম তারিখ: ১৫/০৩/১৯৮৩</v>
      </c>
      <c r="H352" s="5" t="str">
        <f>IFERROR(__xludf.DUMMYFUNCTION("""COMPUTED_VALUE"""),"পেশা: কৃষক")</f>
        <v>পেশা: কৃষক</v>
      </c>
      <c r="I352" s="5" t="str">
        <f>IFERROR(__xludf.DUMMYFUNCTION("""COMPUTED_VALUE"""),"ঠিকানা: গাড়াবোব")</f>
        <v>ঠিকানা: গাড়াবোব</v>
      </c>
      <c r="J352" s="5" t="str">
        <f>IFERROR(__xludf.DUMMYFUNCTION("""COMPUTED_VALUE""")," গাংনী")</f>
        <v> গাংনী</v>
      </c>
      <c r="K352" s="5" t="str">
        <f>IFERROR(__xludf.DUMMYFUNCTION("""COMPUTED_VALUE""")," মেহেরপুর")</f>
        <v> মেহেরপুর</v>
      </c>
    </row>
    <row r="353">
      <c r="A353" s="7" t="s">
        <v>7505</v>
      </c>
      <c r="B353" s="5">
        <f>IFERROR(__xludf.DUMMYFUNCTION("SPLIT(A353,"","")"),1625.0)</f>
        <v>1625</v>
      </c>
      <c r="C353" s="5" t="str">
        <f>IFERROR(__xludf.DUMMYFUNCTION("""COMPUTED_VALUE"""),"নাম: মো: হাবিবুর রহমান")</f>
        <v>নাম: মো: হাবিবুর রহমান</v>
      </c>
      <c r="D353" s="5" t="str">
        <f>IFERROR(__xludf.DUMMYFUNCTION("""COMPUTED_VALUE"""),"ভোটার নং: ৫৭০০৩৮০০০০৪০")</f>
        <v>ভোটার নং: ৫৭০০৩৮০০০০৪০</v>
      </c>
      <c r="E353" s="5" t="str">
        <f>IFERROR(__xludf.DUMMYFUNCTION("""COMPUTED_VALUE"""),"পিতা: মো: নাজিমুদ্দিন")</f>
        <v>পিতা: মো: নাজিমুদ্দিন</v>
      </c>
      <c r="F353" s="5" t="str">
        <f>IFERROR(__xludf.DUMMYFUNCTION("""COMPUTED_VALUE"""),"মাতা: মোছা: মাবিয়া খাতুন")</f>
        <v>মাতা: মোছা: মাবিয়া খাতুন</v>
      </c>
      <c r="G353" s="5" t="str">
        <f>IFERROR(__xludf.DUMMYFUNCTION("""COMPUTED_VALUE"""),"জন্ম তারিখ: ০১/০১/১৯৮৯")</f>
        <v>জন্ম তারিখ: ০১/০১/১৯৮৯</v>
      </c>
      <c r="H353" s="5" t="str">
        <f>IFERROR(__xludf.DUMMYFUNCTION("""COMPUTED_VALUE"""),"পেশা: কৃষক")</f>
        <v>পেশা: কৃষক</v>
      </c>
      <c r="I353" s="5" t="str">
        <f>IFERROR(__xludf.DUMMYFUNCTION("""COMPUTED_VALUE"""),"ঠিকানা: গাড়াবোব")</f>
        <v>ঠিকানা: গাড়াবোব</v>
      </c>
      <c r="J353" s="5" t="str">
        <f>IFERROR(__xludf.DUMMYFUNCTION("""COMPUTED_VALUE""")," গাংনী")</f>
        <v> গাংনী</v>
      </c>
      <c r="K353" s="5" t="str">
        <f>IFERROR(__xludf.DUMMYFUNCTION("""COMPUTED_VALUE""")," মেহেরপুর")</f>
        <v> মেহেরপুর</v>
      </c>
    </row>
    <row r="354">
      <c r="A354" s="7" t="s">
        <v>7506</v>
      </c>
      <c r="B354" s="5">
        <f>IFERROR(__xludf.DUMMYFUNCTION("SPLIT(A354,"","")"),1626.0)</f>
        <v>1626</v>
      </c>
      <c r="C354" s="5" t="str">
        <f>IFERROR(__xludf.DUMMYFUNCTION("""COMPUTED_VALUE"""),"নাম: মো: নাজমুল হোসেন")</f>
        <v>নাম: মো: নাজমুল হোসেন</v>
      </c>
      <c r="D354" s="5" t="str">
        <f>IFERROR(__xludf.DUMMYFUNCTION("""COMPUTED_VALUE"""),"ভোটার নং: ৫৭০০৩৮০০০০৪১")</f>
        <v>ভোটার নং: ৫৭০০৩৮০০০০৪১</v>
      </c>
      <c r="E354" s="5" t="str">
        <f>IFERROR(__xludf.DUMMYFUNCTION("""COMPUTED_VALUE"""),"পিতা: মো: আ: মোতালেব")</f>
        <v>পিতা: মো: আ: মোতালেব</v>
      </c>
      <c r="F354" s="5" t="str">
        <f>IFERROR(__xludf.DUMMYFUNCTION("""COMPUTED_VALUE"""),"মাতা: মোছা: নাছিমা খাতুন")</f>
        <v>মাতা: মোছা: নাছিমা খাতুন</v>
      </c>
      <c r="G354" s="5" t="str">
        <f>IFERROR(__xludf.DUMMYFUNCTION("""COMPUTED_VALUE"""),"জন্ম তারিখ: ০২/০২/১৯৮৯")</f>
        <v>জন্ম তারিখ: ০২/০২/১৯৮৯</v>
      </c>
      <c r="H354" s="5" t="str">
        <f>IFERROR(__xludf.DUMMYFUNCTION("""COMPUTED_VALUE"""),"পেশা: কৃষক")</f>
        <v>পেশা: কৃষক</v>
      </c>
      <c r="I354" s="5" t="str">
        <f>IFERROR(__xludf.DUMMYFUNCTION("""COMPUTED_VALUE"""),"ঠিকানা: গাড়াবোব")</f>
        <v>ঠিকানা: গাড়াবোব</v>
      </c>
      <c r="J354" s="5" t="str">
        <f>IFERROR(__xludf.DUMMYFUNCTION("""COMPUTED_VALUE""")," গাংনী")</f>
        <v> গাংনী</v>
      </c>
      <c r="K354" s="5" t="str">
        <f>IFERROR(__xludf.DUMMYFUNCTION("""COMPUTED_VALUE""")," মেহেরপুর")</f>
        <v> মেহেরপুর</v>
      </c>
    </row>
    <row r="355">
      <c r="A355" s="7" t="s">
        <v>7507</v>
      </c>
      <c r="B355" s="5">
        <f>IFERROR(__xludf.DUMMYFUNCTION("SPLIT(A355,"","")"),1627.0)</f>
        <v>1627</v>
      </c>
      <c r="C355" s="5" t="str">
        <f>IFERROR(__xludf.DUMMYFUNCTION("""COMPUTED_VALUE"""),"নাম: মো: আব্দুল মান্নান")</f>
        <v>নাম: মো: আব্দুল মান্নান</v>
      </c>
      <c r="D355" s="5" t="str">
        <f>IFERROR(__xludf.DUMMYFUNCTION("""COMPUTED_VALUE"""),"ভোটার নং: ৫৭০০৩৮০০০০৪২")</f>
        <v>ভোটার নং: ৫৭০০৩৮০০০০৪২</v>
      </c>
      <c r="E355" s="5" t="str">
        <f>IFERROR(__xludf.DUMMYFUNCTION("""COMPUTED_VALUE"""),"পিতা: আতর আলী")</f>
        <v>পিতা: আতর আলী</v>
      </c>
      <c r="F355" s="5" t="str">
        <f>IFERROR(__xludf.DUMMYFUNCTION("""COMPUTED_VALUE"""),"মাতা: মোছা: জামেনা খাতুন")</f>
        <v>মাতা: মোছা: জামেনা খাতুন</v>
      </c>
      <c r="G355" s="5" t="str">
        <f>IFERROR(__xludf.DUMMYFUNCTION("""COMPUTED_VALUE"""),"জন্ম তারিখ: ৩০/০৫/১৯৯০")</f>
        <v>জন্ম তারিখ: ৩০/০৫/১৯৯০</v>
      </c>
      <c r="H355" s="5" t="str">
        <f>IFERROR(__xludf.DUMMYFUNCTION("""COMPUTED_VALUE"""),"পেশা: দর্জি")</f>
        <v>পেশা: দর্জি</v>
      </c>
      <c r="I355" s="5" t="str">
        <f>IFERROR(__xludf.DUMMYFUNCTION("""COMPUTED_VALUE"""),"ঠিকানা: গাড়াবোব")</f>
        <v>ঠিকানা: গাড়াবোব</v>
      </c>
      <c r="J355" s="5" t="str">
        <f>IFERROR(__xludf.DUMMYFUNCTION("""COMPUTED_VALUE""")," গাংনী")</f>
        <v> গাংনী</v>
      </c>
      <c r="K355" s="5" t="str">
        <f>IFERROR(__xludf.DUMMYFUNCTION("""COMPUTED_VALUE""")," মেহেরপুর")</f>
        <v> মেহেরপুর</v>
      </c>
    </row>
    <row r="356">
      <c r="A356" s="7" t="s">
        <v>7508</v>
      </c>
      <c r="B356" s="5">
        <f>IFERROR(__xludf.DUMMYFUNCTION("SPLIT(A356,"","")"),1628.0)</f>
        <v>1628</v>
      </c>
      <c r="C356" s="5" t="str">
        <f>IFERROR(__xludf.DUMMYFUNCTION("""COMPUTED_VALUE"""),"নাম: মো: সেলিম রেজা")</f>
        <v>নাম: মো: সেলিম রেজা</v>
      </c>
      <c r="D356" s="5" t="str">
        <f>IFERROR(__xludf.DUMMYFUNCTION("""COMPUTED_VALUE"""),"ভোটার নং: ৫৭০০৩৮০০০০৪৩")</f>
        <v>ভোটার নং: ৫৭০০৩৮০০০০৪৩</v>
      </c>
      <c r="E356" s="5" t="str">
        <f>IFERROR(__xludf.DUMMYFUNCTION("""COMPUTED_VALUE"""),"পিতা: মো: চাঁদ মিয়া")</f>
        <v>পিতা: মো: চাঁদ মিয়া</v>
      </c>
      <c r="F356" s="5" t="str">
        <f>IFERROR(__xludf.DUMMYFUNCTION("""COMPUTED_VALUE"""),"মাতা: মোছা: বিবিরন নেছা")</f>
        <v>মাতা: মোছা: বিবিরন নেছা</v>
      </c>
      <c r="G356" s="5" t="str">
        <f>IFERROR(__xludf.DUMMYFUNCTION("""COMPUTED_VALUE"""),"জন্ম তারিখ: ১৫/০১/১৯৯০")</f>
        <v>জন্ম তারিখ: ১৫/০১/১৯৯০</v>
      </c>
      <c r="H356" s="5" t="str">
        <f>IFERROR(__xludf.DUMMYFUNCTION("""COMPUTED_VALUE"""),"পেশা: মিস্ত্রী")</f>
        <v>পেশা: মিস্ত্রী</v>
      </c>
      <c r="I356" s="5" t="str">
        <f>IFERROR(__xludf.DUMMYFUNCTION("""COMPUTED_VALUE"""),"ঠিকানা: গাড়াবোব")</f>
        <v>ঠিকানা: গাড়াবোব</v>
      </c>
      <c r="J356" s="5" t="str">
        <f>IFERROR(__xludf.DUMMYFUNCTION("""COMPUTED_VALUE""")," গাংনী")</f>
        <v> গাংনী</v>
      </c>
      <c r="K356" s="5" t="str">
        <f>IFERROR(__xludf.DUMMYFUNCTION("""COMPUTED_VALUE""")," মেহেরপুর")</f>
        <v> মেহেরপুর</v>
      </c>
    </row>
    <row r="357">
      <c r="A357" s="7" t="s">
        <v>7509</v>
      </c>
      <c r="B357" s="5">
        <f>IFERROR(__xludf.DUMMYFUNCTION("SPLIT(A357,"","")"),1629.0)</f>
        <v>1629</v>
      </c>
      <c r="C357" s="5" t="str">
        <f>IFERROR(__xludf.DUMMYFUNCTION("""COMPUTED_VALUE"""),"নাম: মো: জাহিদুল ইসলাম")</f>
        <v>নাম: মো: জাহিদুল ইসলাম</v>
      </c>
      <c r="D357" s="5" t="str">
        <f>IFERROR(__xludf.DUMMYFUNCTION("""COMPUTED_VALUE"""),"ভোটার নং: ৫৭০০৩৮০০০০৪৪")</f>
        <v>ভোটার নং: ৫৭০০৩৮০০০০৪৪</v>
      </c>
      <c r="E357" s="5" t="str">
        <f>IFERROR(__xludf.DUMMYFUNCTION("""COMPUTED_VALUE"""),"পিতা: মো: নুরুল আমীন")</f>
        <v>পিতা: মো: নুরুল আমীন</v>
      </c>
      <c r="F357" s="5" t="str">
        <f>IFERROR(__xludf.DUMMYFUNCTION("""COMPUTED_VALUE"""),"মাতা: মোছা: আকলিমা খাতুন")</f>
        <v>মাতা: মোছা: আকলিমা খাতুন</v>
      </c>
      <c r="G357" s="5" t="str">
        <f>IFERROR(__xludf.DUMMYFUNCTION("""COMPUTED_VALUE"""),"জন্ম তারিখ: ০১/০১/১৯৯১")</f>
        <v>জন্ম তারিখ: ০১/০১/১৯৯১</v>
      </c>
      <c r="H357" s="5" t="str">
        <f>IFERROR(__xludf.DUMMYFUNCTION("""COMPUTED_VALUE"""),"পেশা: শ্রমিক")</f>
        <v>পেশা: শ্রমিক</v>
      </c>
      <c r="I357" s="5" t="str">
        <f>IFERROR(__xludf.DUMMYFUNCTION("""COMPUTED_VALUE"""),"ঠিকানা: গাড়াবোব")</f>
        <v>ঠিকানা: গাড়াবোব</v>
      </c>
      <c r="J357" s="5" t="str">
        <f>IFERROR(__xludf.DUMMYFUNCTION("""COMPUTED_VALUE""")," গাংনী")</f>
        <v> গাংনী</v>
      </c>
      <c r="K357" s="5" t="str">
        <f>IFERROR(__xludf.DUMMYFUNCTION("""COMPUTED_VALUE""")," মেহেরপুর")</f>
        <v> মেহেরপুর</v>
      </c>
    </row>
    <row r="358">
      <c r="A358" s="7" t="s">
        <v>7510</v>
      </c>
      <c r="B358" s="5">
        <f>IFERROR(__xludf.DUMMYFUNCTION("SPLIT(A358,"","")"),1630.0)</f>
        <v>1630</v>
      </c>
      <c r="C358" s="5" t="str">
        <f>IFERROR(__xludf.DUMMYFUNCTION("""COMPUTED_VALUE"""),"নাম: মো: আব্দুল মালেক")</f>
        <v>নাম: মো: আব্দুল মালেক</v>
      </c>
      <c r="D358" s="5" t="str">
        <f>IFERROR(__xludf.DUMMYFUNCTION("""COMPUTED_VALUE"""),"ভোটার নং: ৫৭০০৩৮০০০০৪৫")</f>
        <v>ভোটার নং: ৫৭০০৩৮০০০০৪৫</v>
      </c>
      <c r="E358" s="5" t="str">
        <f>IFERROR(__xludf.DUMMYFUNCTION("""COMPUTED_VALUE"""),"পিতা: মো: জহির উদ্দীন")</f>
        <v>পিতা: মো: জহির উদ্দীন</v>
      </c>
      <c r="F358" s="5" t="str">
        <f>IFERROR(__xludf.DUMMYFUNCTION("""COMPUTED_VALUE"""),"মাতা: মোছা: ছালেহা খাতুন")</f>
        <v>মাতা: মোছা: ছালেহা খাতুন</v>
      </c>
      <c r="G358" s="5" t="str">
        <f>IFERROR(__xludf.DUMMYFUNCTION("""COMPUTED_VALUE"""),"জন্ম তারিখ: ২১/১০/১৯৬৮")</f>
        <v>জন্ম তারিখ: ২১/১০/১৯৬৮</v>
      </c>
      <c r="H358" s="5" t="str">
        <f>IFERROR(__xludf.DUMMYFUNCTION("""COMPUTED_VALUE"""),"পেশা: কৃষক")</f>
        <v>পেশা: কৃষক</v>
      </c>
      <c r="I358" s="5" t="str">
        <f>IFERROR(__xludf.DUMMYFUNCTION("""COMPUTED_VALUE"""),"ঠিকানা: গাড়াবোব")</f>
        <v>ঠিকানা: গাড়াবোব</v>
      </c>
      <c r="J358" s="5" t="str">
        <f>IFERROR(__xludf.DUMMYFUNCTION("""COMPUTED_VALUE""")," গাংনী")</f>
        <v> গাংনী</v>
      </c>
      <c r="K358" s="5" t="str">
        <f>IFERROR(__xludf.DUMMYFUNCTION("""COMPUTED_VALUE""")," মেহেরপুর")</f>
        <v> মেহেরপুর</v>
      </c>
    </row>
    <row r="359">
      <c r="A359" s="7" t="s">
        <v>7511</v>
      </c>
      <c r="B359" s="5">
        <f>IFERROR(__xludf.DUMMYFUNCTION("SPLIT(A359,"","")"),1631.0)</f>
        <v>1631</v>
      </c>
      <c r="C359" s="5" t="str">
        <f>IFERROR(__xludf.DUMMYFUNCTION("""COMPUTED_VALUE"""),"নাম: মো: তাইজুল আলী")</f>
        <v>নাম: মো: তাইজুল আলী</v>
      </c>
      <c r="D359" s="5" t="str">
        <f>IFERROR(__xludf.DUMMYFUNCTION("""COMPUTED_VALUE"""),"ভোটার নং: ৫৭০০৩৮০০০০৪৭")</f>
        <v>ভোটার নং: ৫৭০০৩৮০০০০৪৭</v>
      </c>
      <c r="E359" s="5" t="str">
        <f>IFERROR(__xludf.DUMMYFUNCTION("""COMPUTED_VALUE"""),"পিতা: আনারুল ইসলাম")</f>
        <v>পিতা: আনারুল ইসলাম</v>
      </c>
      <c r="F359" s="5" t="str">
        <f>IFERROR(__xludf.DUMMYFUNCTION("""COMPUTED_VALUE"""),"মাতা: তানজিলা")</f>
        <v>মাতা: তানজিলা</v>
      </c>
      <c r="G359" s="5" t="str">
        <f>IFERROR(__xludf.DUMMYFUNCTION("""COMPUTED_VALUE"""),"জন্ম তারিখ: ০৬/০৬/১৯৯০")</f>
        <v>জন্ম তারিখ: ০৬/০৬/১৯৯০</v>
      </c>
      <c r="H359" s="5" t="str">
        <f>IFERROR(__xludf.DUMMYFUNCTION("""COMPUTED_VALUE"""),"পেশা: বেকার")</f>
        <v>পেশা: বেকার</v>
      </c>
      <c r="I359" s="5" t="str">
        <f>IFERROR(__xludf.DUMMYFUNCTION("""COMPUTED_VALUE"""),"ঠিকানা: গাড়াবোব")</f>
        <v>ঠিকানা: গাড়াবোব</v>
      </c>
      <c r="J359" s="5" t="str">
        <f>IFERROR(__xludf.DUMMYFUNCTION("""COMPUTED_VALUE""")," গাংনী")</f>
        <v> গাংনী</v>
      </c>
      <c r="K359" s="5" t="str">
        <f>IFERROR(__xludf.DUMMYFUNCTION("""COMPUTED_VALUE""")," মেহেরপুর")</f>
        <v> মেহেরপুর</v>
      </c>
    </row>
    <row r="360">
      <c r="A360" s="7" t="s">
        <v>7512</v>
      </c>
      <c r="B360" s="5">
        <f>IFERROR(__xludf.DUMMYFUNCTION("SPLIT(A360,"","")"),1632.0)</f>
        <v>1632</v>
      </c>
      <c r="C360" s="5" t="str">
        <f>IFERROR(__xludf.DUMMYFUNCTION("""COMPUTED_VALUE"""),"নাম: মো: সলিম শেখ")</f>
        <v>নাম: মো: সলিম শেখ</v>
      </c>
      <c r="D360" s="5" t="str">
        <f>IFERROR(__xludf.DUMMYFUNCTION("""COMPUTED_VALUE"""),"ভোটার নং: ৫৭০০৩৮০০০০৪৯")</f>
        <v>ভোটার নং: ৫৭০০৩৮০০০০৪৯</v>
      </c>
      <c r="E360" s="5" t="str">
        <f>IFERROR(__xludf.DUMMYFUNCTION("""COMPUTED_VALUE"""),"পিতা: মো: শুকচাদ শেখ")</f>
        <v>পিতা: মো: শুকচাদ শেখ</v>
      </c>
      <c r="F360" s="5" t="str">
        <f>IFERROR(__xludf.DUMMYFUNCTION("""COMPUTED_VALUE"""),"মাতা: মোছা: আসমা খাতুন")</f>
        <v>মাতা: মোছা: আসমা খাতুন</v>
      </c>
      <c r="G360" s="5" t="str">
        <f>IFERROR(__xludf.DUMMYFUNCTION("""COMPUTED_VALUE"""),"জন্ম তারিখ: ০৫/০৩/১৯৮৭")</f>
        <v>জন্ম তারিখ: ০৫/০৩/১৯৮৭</v>
      </c>
      <c r="H360" s="5" t="str">
        <f>IFERROR(__xludf.DUMMYFUNCTION("""COMPUTED_VALUE"""),"পেশা: কৃষক")</f>
        <v>পেশা: কৃষক</v>
      </c>
      <c r="I360" s="5" t="str">
        <f>IFERROR(__xludf.DUMMYFUNCTION("""COMPUTED_VALUE"""),"ঠিকানা: গাড়াবোব")</f>
        <v>ঠিকানা: গাড়াবোব</v>
      </c>
      <c r="J360" s="5" t="str">
        <f>IFERROR(__xludf.DUMMYFUNCTION("""COMPUTED_VALUE""")," গাংনী")</f>
        <v> গাংনী</v>
      </c>
      <c r="K360" s="5" t="str">
        <f>IFERROR(__xludf.DUMMYFUNCTION("""COMPUTED_VALUE""")," মেহেরপুর")</f>
        <v> মেহেরপুর</v>
      </c>
    </row>
    <row r="361">
      <c r="A361" s="7" t="s">
        <v>7513</v>
      </c>
      <c r="B361" s="5">
        <f>IFERROR(__xludf.DUMMYFUNCTION("SPLIT(A361,"","")"),1633.0)</f>
        <v>1633</v>
      </c>
      <c r="C361" s="5" t="str">
        <f>IFERROR(__xludf.DUMMYFUNCTION("""COMPUTED_VALUE"""),"নাম: মো: ফরাজুল ইসলাম")</f>
        <v>নাম: মো: ফরাজুল ইসলাম</v>
      </c>
      <c r="D361" s="5" t="str">
        <f>IFERROR(__xludf.DUMMYFUNCTION("""COMPUTED_VALUE"""),"ভোটার নং: ৫৭০০৩৮০০০০৫০")</f>
        <v>ভোটার নং: ৫৭০০৩৮০০০০৫০</v>
      </c>
      <c r="E361" s="5" t="str">
        <f>IFERROR(__xludf.DUMMYFUNCTION("""COMPUTED_VALUE"""),"পিতা: নুর মোহাম্মাদ")</f>
        <v>পিতা: নুর মোহাম্মাদ</v>
      </c>
      <c r="F361" s="5" t="str">
        <f>IFERROR(__xludf.DUMMYFUNCTION("""COMPUTED_VALUE"""),"মাতা: মোছা: খাদিজা খাতুন")</f>
        <v>মাতা: মোছা: খাদিজা খাতুন</v>
      </c>
      <c r="G361" s="5" t="str">
        <f>IFERROR(__xludf.DUMMYFUNCTION("""COMPUTED_VALUE"""),"জন্ম তারিখ: ১০/০৭/১৯৬৯")</f>
        <v>জন্ম তারিখ: ১০/০৭/১৯৬৯</v>
      </c>
      <c r="H361" s="5" t="str">
        <f>IFERROR(__xludf.DUMMYFUNCTION("""COMPUTED_VALUE"""),"পেশা: কৃষক")</f>
        <v>পেশা: কৃষক</v>
      </c>
      <c r="I361" s="5" t="str">
        <f>IFERROR(__xludf.DUMMYFUNCTION("""COMPUTED_VALUE"""),"ঠিকানা: গাড়াবোব")</f>
        <v>ঠিকানা: গাড়াবোব</v>
      </c>
      <c r="J361" s="5" t="str">
        <f>IFERROR(__xludf.DUMMYFUNCTION("""COMPUTED_VALUE""")," গাংনী")</f>
        <v> গাংনী</v>
      </c>
      <c r="K361" s="5" t="str">
        <f>IFERROR(__xludf.DUMMYFUNCTION("""COMPUTED_VALUE""")," মেহেরপুর")</f>
        <v> মেহেরপুর</v>
      </c>
    </row>
    <row r="362">
      <c r="A362" s="7" t="s">
        <v>7514</v>
      </c>
      <c r="B362" s="5">
        <f>IFERROR(__xludf.DUMMYFUNCTION("SPLIT(A362,"","")"),1634.0)</f>
        <v>1634</v>
      </c>
      <c r="C362" s="5" t="str">
        <f>IFERROR(__xludf.DUMMYFUNCTION("""COMPUTED_VALUE"""),"নাম: মোহা: মন্টু মিয়া")</f>
        <v>নাম: মোহা: মন্টু মিয়া</v>
      </c>
      <c r="D362" s="5" t="str">
        <f>IFERROR(__xludf.DUMMYFUNCTION("""COMPUTED_VALUE"""),"ভোটার নং: ৫৭০০৩৮০০০০৫১")</f>
        <v>ভোটার নং: ৫৭০০৩৮০০০০৫১</v>
      </c>
      <c r="E362" s="5" t="str">
        <f>IFERROR(__xludf.DUMMYFUNCTION("""COMPUTED_VALUE"""),"পিতা: মোহা: হাফেজ উদ্দিন শেখ")</f>
        <v>পিতা: মোহা: হাফেজ উদ্দিন শেখ</v>
      </c>
      <c r="F362" s="5" t="str">
        <f>IFERROR(__xludf.DUMMYFUNCTION("""COMPUTED_VALUE"""),"মাতা: মোছা: নাছিমা খাতুন")</f>
        <v>মাতা: মোছা: নাছিমা খাতুন</v>
      </c>
      <c r="G362" s="5" t="str">
        <f>IFERROR(__xludf.DUMMYFUNCTION("""COMPUTED_VALUE"""),"জন্ম তারিখ: ২৯/১১/১৯৯১")</f>
        <v>জন্ম তারিখ: ২৯/১১/১৯৯১</v>
      </c>
      <c r="H362" s="5" t="str">
        <f>IFERROR(__xludf.DUMMYFUNCTION("""COMPUTED_VALUE"""),"পেশা: ছাত্র/ছাত্রী")</f>
        <v>পেশা: ছাত্র/ছাত্রী</v>
      </c>
      <c r="I362" s="5" t="str">
        <f>IFERROR(__xludf.DUMMYFUNCTION("""COMPUTED_VALUE"""),"ঠিকানা: গাড়াবোব")</f>
        <v>ঠিকানা: গাড়াবোব</v>
      </c>
      <c r="J362" s="5" t="str">
        <f>IFERROR(__xludf.DUMMYFUNCTION("""COMPUTED_VALUE""")," গাংনী")</f>
        <v> গাংনী</v>
      </c>
      <c r="K362" s="5" t="str">
        <f>IFERROR(__xludf.DUMMYFUNCTION("""COMPUTED_VALUE""")," মেহেরপুর")</f>
        <v> মেহেরপুর</v>
      </c>
    </row>
    <row r="363">
      <c r="A363" s="7" t="s">
        <v>7515</v>
      </c>
      <c r="B363" s="5">
        <f>IFERROR(__xludf.DUMMYFUNCTION("SPLIT(A363,"","")"),1635.0)</f>
        <v>1635</v>
      </c>
      <c r="C363" s="5" t="str">
        <f>IFERROR(__xludf.DUMMYFUNCTION("""COMPUTED_VALUE"""),"নাম: মো: গাফফারুল ইসলাম")</f>
        <v>নাম: মো: গাফফারুল ইসলাম</v>
      </c>
      <c r="D363" s="5" t="str">
        <f>IFERROR(__xludf.DUMMYFUNCTION("""COMPUTED_VALUE"""),"ভোটার নং: ৫৭০০৩৮০০০০৫৪")</f>
        <v>ভোটার নং: ৫৭০০৩৮০০০০৫৪</v>
      </c>
      <c r="E363" s="5" t="str">
        <f>IFERROR(__xludf.DUMMYFUNCTION("""COMPUTED_VALUE"""),"পিতা: মো: আহাদ আলী")</f>
        <v>পিতা: মো: আহাদ আলী</v>
      </c>
      <c r="F363" s="5" t="str">
        <f>IFERROR(__xludf.DUMMYFUNCTION("""COMPUTED_VALUE"""),"মাতা: মোছা: সাজেদা খাতুন")</f>
        <v>মাতা: মোছা: সাজেদা খাতুন</v>
      </c>
      <c r="G363" s="5" t="str">
        <f>IFERROR(__xludf.DUMMYFUNCTION("""COMPUTED_VALUE"""),"জন্ম তারিখ: ১৬/১২/১৯৮৭")</f>
        <v>জন্ম তারিখ: ১৬/১২/১৯৮৭</v>
      </c>
      <c r="H363" s="5" t="str">
        <f>IFERROR(__xludf.DUMMYFUNCTION("""COMPUTED_VALUE"""),"পেশা: কৃষক")</f>
        <v>পেশা: কৃষক</v>
      </c>
      <c r="I363" s="5" t="str">
        <f>IFERROR(__xludf.DUMMYFUNCTION("""COMPUTED_VALUE"""),"ঠিকানা: গাড়াবোব")</f>
        <v>ঠিকানা: গাড়াবোব</v>
      </c>
      <c r="J363" s="5" t="str">
        <f>IFERROR(__xludf.DUMMYFUNCTION("""COMPUTED_VALUE""")," গাংনী")</f>
        <v> গাংনী</v>
      </c>
      <c r="K363" s="5" t="str">
        <f>IFERROR(__xludf.DUMMYFUNCTION("""COMPUTED_VALUE""")," মেহেরপুর")</f>
        <v> মেহেরপুর</v>
      </c>
    </row>
    <row r="364">
      <c r="A364" s="7" t="s">
        <v>7516</v>
      </c>
      <c r="B364" s="5">
        <f>IFERROR(__xludf.DUMMYFUNCTION("SPLIT(A364,"","")"),1636.0)</f>
        <v>1636</v>
      </c>
      <c r="C364" s="5" t="str">
        <f>IFERROR(__xludf.DUMMYFUNCTION("""COMPUTED_VALUE"""),"নাম: মো: রোকনুজ্জামান")</f>
        <v>নাম: মো: রোকনুজ্জামান</v>
      </c>
      <c r="D364" s="5" t="str">
        <f>IFERROR(__xludf.DUMMYFUNCTION("""COMPUTED_VALUE"""),"ভোটার নং: ৫৭০০৩৮০০০০৫৮")</f>
        <v>ভোটার নং: ৫৭০০৩৮০০০০৫৮</v>
      </c>
      <c r="E364" s="5" t="str">
        <f>IFERROR(__xludf.DUMMYFUNCTION("""COMPUTED_VALUE"""),"পিতা: মো: তৈয়ব আলী")</f>
        <v>পিতা: মো: তৈয়ব আলী</v>
      </c>
      <c r="F364" s="5" t="str">
        <f>IFERROR(__xludf.DUMMYFUNCTION("""COMPUTED_VALUE"""),"মাতা: মোছা: আনজিরা খাতুন")</f>
        <v>মাতা: মোছা: আনজিরা খাতুন</v>
      </c>
      <c r="G364" s="5" t="str">
        <f>IFERROR(__xludf.DUMMYFUNCTION("""COMPUTED_VALUE"""),"জন্ম তারিখ: ০৪/০৩/১৯৯০")</f>
        <v>জন্ম তারিখ: ০৪/০৩/১৯৯০</v>
      </c>
      <c r="H364" s="5" t="str">
        <f>IFERROR(__xludf.DUMMYFUNCTION("""COMPUTED_VALUE"""),"পেশা: ছাত্র/ছাত্রী")</f>
        <v>পেশা: ছাত্র/ছাত্রী</v>
      </c>
      <c r="I364" s="5" t="str">
        <f>IFERROR(__xludf.DUMMYFUNCTION("""COMPUTED_VALUE"""),"ঠিকানা: গাড়াবোব")</f>
        <v>ঠিকানা: গাড়াবোব</v>
      </c>
      <c r="J364" s="5" t="str">
        <f>IFERROR(__xludf.DUMMYFUNCTION("""COMPUTED_VALUE""")," গাংনী")</f>
        <v> গাংনী</v>
      </c>
      <c r="K364" s="5" t="str">
        <f>IFERROR(__xludf.DUMMYFUNCTION("""COMPUTED_VALUE""")," মেহেরপুর")</f>
        <v> মেহেরপুর</v>
      </c>
    </row>
    <row r="365">
      <c r="A365" s="7" t="s">
        <v>7517</v>
      </c>
      <c r="B365" s="5">
        <f>IFERROR(__xludf.DUMMYFUNCTION("SPLIT(A365,"","")"),1637.0)</f>
        <v>1637</v>
      </c>
      <c r="C365" s="5" t="str">
        <f>IFERROR(__xludf.DUMMYFUNCTION("""COMPUTED_VALUE"""),"নাম: মো: জাব্বারুল ইসলাম")</f>
        <v>নাম: মো: জাব্বারুল ইসলাম</v>
      </c>
      <c r="D365" s="5" t="str">
        <f>IFERROR(__xludf.DUMMYFUNCTION("""COMPUTED_VALUE"""),"ভোটার নং: ৫৭০০৩৮০০০০৬১")</f>
        <v>ভোটার নং: ৫৭০০৩৮০০০০৬১</v>
      </c>
      <c r="E365" s="5" t="str">
        <f>IFERROR(__xludf.DUMMYFUNCTION("""COMPUTED_VALUE"""),"পিতা: মো: আব্দুল হান্নান")</f>
        <v>পিতা: মো: আব্দুল হান্নান</v>
      </c>
      <c r="F365" s="5" t="str">
        <f>IFERROR(__xludf.DUMMYFUNCTION("""COMPUTED_VALUE"""),"মাতা: মোছা: বুলুয়ারা")</f>
        <v>মাতা: মোছা: বুলুয়ারা</v>
      </c>
      <c r="G365" s="5" t="str">
        <f>IFERROR(__xludf.DUMMYFUNCTION("""COMPUTED_VALUE"""),"জন্ম তারিখ: ০১/১২/১৯৯০")</f>
        <v>জন্ম তারিখ: ০১/১২/১৯৯০</v>
      </c>
      <c r="H365" s="5" t="str">
        <f>IFERROR(__xludf.DUMMYFUNCTION("""COMPUTED_VALUE"""),"পেশা: কৃষক")</f>
        <v>পেশা: কৃষক</v>
      </c>
      <c r="I365" s="5" t="str">
        <f>IFERROR(__xludf.DUMMYFUNCTION("""COMPUTED_VALUE"""),"ঠিকানা: গাড়াবোব")</f>
        <v>ঠিকানা: গাড়াবোব</v>
      </c>
      <c r="J365" s="5" t="str">
        <f>IFERROR(__xludf.DUMMYFUNCTION("""COMPUTED_VALUE""")," গাংনী")</f>
        <v> গাংনী</v>
      </c>
      <c r="K365" s="5" t="str">
        <f>IFERROR(__xludf.DUMMYFUNCTION("""COMPUTED_VALUE""")," মেহেরপুর")</f>
        <v> মেহেরপুর</v>
      </c>
    </row>
    <row r="366">
      <c r="A366" s="7" t="s">
        <v>7518</v>
      </c>
      <c r="B366" s="5">
        <f>IFERROR(__xludf.DUMMYFUNCTION("SPLIT(A366,"","")"),1638.0)</f>
        <v>1638</v>
      </c>
      <c r="C366" s="5" t="str">
        <f>IFERROR(__xludf.DUMMYFUNCTION("""COMPUTED_VALUE"""),"নাম: মো: শাহিন রেজা")</f>
        <v>নাম: মো: শাহিন রেজা</v>
      </c>
      <c r="D366" s="5" t="str">
        <f>IFERROR(__xludf.DUMMYFUNCTION("""COMPUTED_VALUE"""),"ভোটার নং: ৫৭০০৩৮০০০০৬২")</f>
        <v>ভোটার নং: ৫৭০০৩৮০০০০৬২</v>
      </c>
      <c r="E366" s="5" t="str">
        <f>IFERROR(__xludf.DUMMYFUNCTION("""COMPUTED_VALUE"""),"পিতা: মো: সোহরাব হোসেন")</f>
        <v>পিতা: মো: সোহরাব হোসেন</v>
      </c>
      <c r="F366" s="5" t="str">
        <f>IFERROR(__xludf.DUMMYFUNCTION("""COMPUTED_VALUE"""),"মাতা: মোছা: সেলিনা খাতুন")</f>
        <v>মাতা: মোছা: সেলিনা খাতুন</v>
      </c>
      <c r="G366" s="5" t="str">
        <f>IFERROR(__xludf.DUMMYFUNCTION("""COMPUTED_VALUE"""),"জন্ম তারিখ: ০৬/০১/১৯৯০")</f>
        <v>জন্ম তারিখ: ০৬/০১/১৯৯০</v>
      </c>
      <c r="H366" s="5" t="str">
        <f>IFERROR(__xludf.DUMMYFUNCTION("""COMPUTED_VALUE"""),"পেশা: ছাত্র/ছাত্রী")</f>
        <v>পেশা: ছাত্র/ছাত্রী</v>
      </c>
      <c r="I366" s="5" t="str">
        <f>IFERROR(__xludf.DUMMYFUNCTION("""COMPUTED_VALUE"""),"ঠিকানা: গাড়াবোব")</f>
        <v>ঠিকানা: গাড়াবোব</v>
      </c>
      <c r="J366" s="5" t="str">
        <f>IFERROR(__xludf.DUMMYFUNCTION("""COMPUTED_VALUE""")," গাংনী")</f>
        <v> গাংনী</v>
      </c>
      <c r="K366" s="5" t="str">
        <f>IFERROR(__xludf.DUMMYFUNCTION("""COMPUTED_VALUE""")," মেহেরপুর")</f>
        <v> মেহেরপুর</v>
      </c>
    </row>
    <row r="367">
      <c r="A367" s="7" t="s">
        <v>7519</v>
      </c>
      <c r="B367" s="5">
        <f>IFERROR(__xludf.DUMMYFUNCTION("SPLIT(A367,"","")"),1639.0)</f>
        <v>1639</v>
      </c>
      <c r="C367" s="5" t="str">
        <f>IFERROR(__xludf.DUMMYFUNCTION("""COMPUTED_VALUE"""),"নাম: মো: মখলেচুর রহমান")</f>
        <v>নাম: মো: মখলেচুর রহমান</v>
      </c>
      <c r="D367" s="5" t="str">
        <f>IFERROR(__xludf.DUMMYFUNCTION("""COMPUTED_VALUE"""),"ভোটার নং: ৫৭০০৩৮০০০০৬৩")</f>
        <v>ভোটার নং: ৫৭০০৩৮০০০০৬৩</v>
      </c>
      <c r="E367" s="5" t="str">
        <f>IFERROR(__xludf.DUMMYFUNCTION("""COMPUTED_VALUE"""),"পিতা: মো: মুনছুর আলী")</f>
        <v>পিতা: মো: মুনছুর আলী</v>
      </c>
      <c r="F367" s="5" t="str">
        <f>IFERROR(__xludf.DUMMYFUNCTION("""COMPUTED_VALUE"""),"মাতা: মোছা: আরশিনা খাতুন")</f>
        <v>মাতা: মোছা: আরশিনা খাতুন</v>
      </c>
      <c r="G367" s="5" t="str">
        <f>IFERROR(__xludf.DUMMYFUNCTION("""COMPUTED_VALUE"""),"জন্ম তারিখ: ১০/০৫/১৯৯০")</f>
        <v>জন্ম তারিখ: ১০/০৫/১৯৯০</v>
      </c>
      <c r="H367" s="5" t="str">
        <f>IFERROR(__xludf.DUMMYFUNCTION("""COMPUTED_VALUE"""),"পেশা: ব্যবসা")</f>
        <v>পেশা: ব্যবসা</v>
      </c>
      <c r="I367" s="5" t="str">
        <f>IFERROR(__xludf.DUMMYFUNCTION("""COMPUTED_VALUE"""),"ঠিকানা: গাড়াবোব")</f>
        <v>ঠিকানা: গাড়াবোব</v>
      </c>
      <c r="J367" s="5" t="str">
        <f>IFERROR(__xludf.DUMMYFUNCTION("""COMPUTED_VALUE""")," গাংনী")</f>
        <v> গাংনী</v>
      </c>
      <c r="K367" s="5" t="str">
        <f>IFERROR(__xludf.DUMMYFUNCTION("""COMPUTED_VALUE""")," মেহেরপুর")</f>
        <v> মেহেরপুর</v>
      </c>
    </row>
    <row r="368">
      <c r="A368" s="7" t="s">
        <v>7520</v>
      </c>
      <c r="B368" s="5">
        <f>IFERROR(__xludf.DUMMYFUNCTION("SPLIT(A368,"","")"),1640.0)</f>
        <v>1640</v>
      </c>
      <c r="C368" s="5" t="str">
        <f>IFERROR(__xludf.DUMMYFUNCTION("""COMPUTED_VALUE"""),"নাম: মো: বাবু মিয়া")</f>
        <v>নাম: মো: বাবু মিয়া</v>
      </c>
      <c r="D368" s="5" t="str">
        <f>IFERROR(__xludf.DUMMYFUNCTION("""COMPUTED_VALUE"""),"ভোটার নং: ৫৭০০৩৮০০০০৬৪")</f>
        <v>ভোটার নং: ৫৭০০৩৮০০০০৬৪</v>
      </c>
      <c r="E368" s="5" t="str">
        <f>IFERROR(__xludf.DUMMYFUNCTION("""COMPUTED_VALUE"""),"পিতা: ওমর আলী")</f>
        <v>পিতা: ওমর আলী</v>
      </c>
      <c r="F368" s="5" t="str">
        <f>IFERROR(__xludf.DUMMYFUNCTION("""COMPUTED_VALUE"""),"মাতা: খুকি খাতুন")</f>
        <v>মাতা: খুকি খাতুন</v>
      </c>
      <c r="G368" s="5" t="str">
        <f>IFERROR(__xludf.DUMMYFUNCTION("""COMPUTED_VALUE"""),"জন্ম তারিখ: ০৫/০৬/১৯৭০")</f>
        <v>জন্ম তারিখ: ০৫/০৬/১৯৭০</v>
      </c>
      <c r="H368" s="5" t="str">
        <f>IFERROR(__xludf.DUMMYFUNCTION("""COMPUTED_VALUE"""),"পেশা: ব্যবসা")</f>
        <v>পেশা: ব্যবসা</v>
      </c>
      <c r="I368" s="5" t="str">
        <f>IFERROR(__xludf.DUMMYFUNCTION("""COMPUTED_VALUE"""),"ঠিকানা: গাড়াবোব")</f>
        <v>ঠিকানা: গাড়াবোব</v>
      </c>
      <c r="J368" s="5" t="str">
        <f>IFERROR(__xludf.DUMMYFUNCTION("""COMPUTED_VALUE""")," গাংনী")</f>
        <v> গাংনী</v>
      </c>
      <c r="K368" s="5" t="str">
        <f>IFERROR(__xludf.DUMMYFUNCTION("""COMPUTED_VALUE""")," মেহেরপুর")</f>
        <v> মেহেরপুর</v>
      </c>
    </row>
    <row r="369">
      <c r="A369" s="7" t="s">
        <v>7521</v>
      </c>
      <c r="B369" s="5">
        <f>IFERROR(__xludf.DUMMYFUNCTION("SPLIT(A369,"","")"),1641.0)</f>
        <v>1641</v>
      </c>
      <c r="C369" s="5" t="str">
        <f>IFERROR(__xludf.DUMMYFUNCTION("""COMPUTED_VALUE"""),"নাম: মো: শাহারুল ইসলাম")</f>
        <v>নাম: মো: শাহারুল ইসলাম</v>
      </c>
      <c r="D369" s="5" t="str">
        <f>IFERROR(__xludf.DUMMYFUNCTION("""COMPUTED_VALUE"""),"ভোটার নং: ৫৭০০৩৮০০০০৬৫")</f>
        <v>ভোটার নং: ৫৭০০৩৮০০০০৬৫</v>
      </c>
      <c r="E369" s="5" t="str">
        <f>IFERROR(__xludf.DUMMYFUNCTION("""COMPUTED_VALUE"""),"পিতা: মো: আওলাদ হোসেন")</f>
        <v>পিতা: মো: আওলাদ হোসেন</v>
      </c>
      <c r="F369" s="5" t="str">
        <f>IFERROR(__xludf.DUMMYFUNCTION("""COMPUTED_VALUE"""),"মাতা: মোছা: খাদিজা খাতুন")</f>
        <v>মাতা: মোছা: খাদিজা খাতুন</v>
      </c>
      <c r="G369" s="5" t="str">
        <f>IFERROR(__xludf.DUMMYFUNCTION("""COMPUTED_VALUE"""),"জন্ম তারিখ: ০২/০৩/১৯৯১")</f>
        <v>জন্ম তারিখ: ০২/০৩/১৯৯১</v>
      </c>
      <c r="H369" s="5" t="str">
        <f>IFERROR(__xludf.DUMMYFUNCTION("""COMPUTED_VALUE"""),"পেশা: কৃষক")</f>
        <v>পেশা: কৃষক</v>
      </c>
      <c r="I369" s="5" t="str">
        <f>IFERROR(__xludf.DUMMYFUNCTION("""COMPUTED_VALUE"""),"ঠিকানা: গাড়াবোব")</f>
        <v>ঠিকানা: গাড়াবোব</v>
      </c>
      <c r="J369" s="5" t="str">
        <f>IFERROR(__xludf.DUMMYFUNCTION("""COMPUTED_VALUE""")," গাংনী")</f>
        <v> গাংনী</v>
      </c>
      <c r="K369" s="5" t="str">
        <f>IFERROR(__xludf.DUMMYFUNCTION("""COMPUTED_VALUE""")," মেহেরপুর")</f>
        <v> মেহেরপুর</v>
      </c>
    </row>
    <row r="370">
      <c r="A370" s="7" t="s">
        <v>7522</v>
      </c>
      <c r="B370" s="5">
        <f>IFERROR(__xludf.DUMMYFUNCTION("SPLIT(A370,"","")"),1642.0)</f>
        <v>1642</v>
      </c>
      <c r="C370" s="5" t="str">
        <f>IFERROR(__xludf.DUMMYFUNCTION("""COMPUTED_VALUE"""),"নাম: মো: আবুল কাশেম")</f>
        <v>নাম: মো: আবুল কাশেম</v>
      </c>
      <c r="D370" s="5" t="str">
        <f>IFERROR(__xludf.DUMMYFUNCTION("""COMPUTED_VALUE"""),"ভোটার নং: ৫৭০০৩৮০০০০৬৭")</f>
        <v>ভোটার নং: ৫৭০০৩৮০০০০৬৭</v>
      </c>
      <c r="E370" s="5" t="str">
        <f>IFERROR(__xludf.DUMMYFUNCTION("""COMPUTED_VALUE"""),"পিতা: মো: এনায়েত আলী")</f>
        <v>পিতা: মো: এনায়েত আলী</v>
      </c>
      <c r="F370" s="5" t="str">
        <f>IFERROR(__xludf.DUMMYFUNCTION("""COMPUTED_VALUE"""),"মাতা: মোছা: হাজেরা খাতুন")</f>
        <v>মাতা: মোছা: হাজেরা খাতুন</v>
      </c>
      <c r="G370" s="5" t="str">
        <f>IFERROR(__xludf.DUMMYFUNCTION("""COMPUTED_VALUE"""),"জন্ম তারিখ: ২১/০৭/১৯৮৭")</f>
        <v>জন্ম তারিখ: ২১/০৭/১৯৮৭</v>
      </c>
      <c r="H370" s="5" t="str">
        <f>IFERROR(__xludf.DUMMYFUNCTION("""COMPUTED_VALUE"""),"পেশা: ছাত্র/ছাত্রী")</f>
        <v>পেশা: ছাত্র/ছাত্রী</v>
      </c>
      <c r="I370" s="5" t="str">
        <f>IFERROR(__xludf.DUMMYFUNCTION("""COMPUTED_VALUE"""),"ঠিকানা: গাড়াবোব")</f>
        <v>ঠিকানা: গাড়াবোব</v>
      </c>
      <c r="J370" s="5" t="str">
        <f>IFERROR(__xludf.DUMMYFUNCTION("""COMPUTED_VALUE""")," গাংনী")</f>
        <v> গাংনী</v>
      </c>
      <c r="K370" s="5" t="str">
        <f>IFERROR(__xludf.DUMMYFUNCTION("""COMPUTED_VALUE""")," মেহেরপুর")</f>
        <v> মেহেরপুর</v>
      </c>
    </row>
    <row r="371">
      <c r="A371" s="7" t="s">
        <v>7523</v>
      </c>
      <c r="B371" s="5">
        <f>IFERROR(__xludf.DUMMYFUNCTION("SPLIT(A371,"","")"),1643.0)</f>
        <v>1643</v>
      </c>
      <c r="C371" s="5" t="str">
        <f>IFERROR(__xludf.DUMMYFUNCTION("""COMPUTED_VALUE"""),"নাম: মো: আব্দুস সাত্তার")</f>
        <v>নাম: মো: আব্দুস সাত্তার</v>
      </c>
      <c r="D371" s="5" t="str">
        <f>IFERROR(__xludf.DUMMYFUNCTION("""COMPUTED_VALUE"""),"ভোটার নং: ৫৭০০৩৮০০০০৬৯")</f>
        <v>ভোটার নং: ৫৭০০৩৮০০০০৬৯</v>
      </c>
      <c r="E371" s="5" t="str">
        <f>IFERROR(__xludf.DUMMYFUNCTION("""COMPUTED_VALUE"""),"পিতা: মো: হারু মালিথা")</f>
        <v>পিতা: মো: হারু মালিথা</v>
      </c>
      <c r="F371" s="5" t="str">
        <f>IFERROR(__xludf.DUMMYFUNCTION("""COMPUTED_VALUE"""),"মাতা: মোছা: আনোয়ারা")</f>
        <v>মাতা: মোছা: আনোয়ারা</v>
      </c>
      <c r="G371" s="5" t="str">
        <f>IFERROR(__xludf.DUMMYFUNCTION("""COMPUTED_VALUE"""),"জন্ম তারিখ: ১১/০৬/১৯৮২")</f>
        <v>জন্ম তারিখ: ১১/০৬/১৯৮২</v>
      </c>
      <c r="H371" s="5" t="str">
        <f>IFERROR(__xludf.DUMMYFUNCTION("""COMPUTED_VALUE"""),"পেশা: কৃষক")</f>
        <v>পেশা: কৃষক</v>
      </c>
      <c r="I371" s="5" t="str">
        <f>IFERROR(__xludf.DUMMYFUNCTION("""COMPUTED_VALUE"""),"ঠিকানা: গাড়াবোব")</f>
        <v>ঠিকানা: গাড়াবোব</v>
      </c>
      <c r="J371" s="5" t="str">
        <f>IFERROR(__xludf.DUMMYFUNCTION("""COMPUTED_VALUE""")," গাংনী")</f>
        <v> গাংনী</v>
      </c>
      <c r="K371" s="5" t="str">
        <f>IFERROR(__xludf.DUMMYFUNCTION("""COMPUTED_VALUE""")," মেহেরপুর")</f>
        <v> মেহেরপুর</v>
      </c>
    </row>
    <row r="372">
      <c r="A372" s="7" t="s">
        <v>7524</v>
      </c>
      <c r="B372" s="5">
        <f>IFERROR(__xludf.DUMMYFUNCTION("SPLIT(A372,"","")"),1644.0)</f>
        <v>1644</v>
      </c>
      <c r="C372" s="5" t="str">
        <f>IFERROR(__xludf.DUMMYFUNCTION("""COMPUTED_VALUE"""),"নাম: মো: মুকাদ্দেছ আলী")</f>
        <v>নাম: মো: মুকাদ্দেছ আলী</v>
      </c>
      <c r="D372" s="5" t="str">
        <f>IFERROR(__xludf.DUMMYFUNCTION("""COMPUTED_VALUE"""),"ভোটার নং: ৫৭০০৩৮০০০০৭০")</f>
        <v>ভোটার নং: ৫৭০০৩৮০০০০৭০</v>
      </c>
      <c r="E372" s="5" t="str">
        <f>IFERROR(__xludf.DUMMYFUNCTION("""COMPUTED_VALUE"""),"পিতা: জালাল আলী")</f>
        <v>পিতা: জালাল আলী</v>
      </c>
      <c r="F372" s="5" t="str">
        <f>IFERROR(__xludf.DUMMYFUNCTION("""COMPUTED_VALUE"""),"মাতা: জহুরা খাতুন")</f>
        <v>মাতা: জহুরা খাতুন</v>
      </c>
      <c r="G372" s="5" t="str">
        <f>IFERROR(__xludf.DUMMYFUNCTION("""COMPUTED_VALUE"""),"জন্ম তারিখ: ০৫/০৬/১৯৯১")</f>
        <v>জন্ম তারিখ: ০৫/০৬/১৯৯১</v>
      </c>
      <c r="H372" s="5" t="str">
        <f>IFERROR(__xludf.DUMMYFUNCTION("""COMPUTED_VALUE"""),"পেশা: দিনমজুর")</f>
        <v>পেশা: দিনমজুর</v>
      </c>
      <c r="I372" s="5" t="str">
        <f>IFERROR(__xludf.DUMMYFUNCTION("""COMPUTED_VALUE"""),"ঠিকানা: গাড়াবোব")</f>
        <v>ঠিকানা: গাড়াবোব</v>
      </c>
      <c r="J372" s="5" t="str">
        <f>IFERROR(__xludf.DUMMYFUNCTION("""COMPUTED_VALUE""")," গাংনী")</f>
        <v> গাংনী</v>
      </c>
      <c r="K372" s="5" t="str">
        <f>IFERROR(__xludf.DUMMYFUNCTION("""COMPUTED_VALUE""")," মেহেরপুর")</f>
        <v> মেহেরপুর</v>
      </c>
    </row>
    <row r="373">
      <c r="A373" s="7" t="s">
        <v>7525</v>
      </c>
      <c r="B373" s="5">
        <f>IFERROR(__xludf.DUMMYFUNCTION("SPLIT(A373,"","")"),1645.0)</f>
        <v>1645</v>
      </c>
      <c r="C373" s="5" t="str">
        <f>IFERROR(__xludf.DUMMYFUNCTION("""COMPUTED_VALUE"""),"নাম: মো: আঃ হালিম")</f>
        <v>নাম: মো: আঃ হালিম</v>
      </c>
      <c r="D373" s="5" t="str">
        <f>IFERROR(__xludf.DUMMYFUNCTION("""COMPUTED_VALUE"""),"ভোটার নং: ৫৭০০৩৮০০০০৭৪")</f>
        <v>ভোটার নং: ৫৭০০৩৮০০০০৭৪</v>
      </c>
      <c r="E373" s="5" t="str">
        <f>IFERROR(__xludf.DUMMYFUNCTION("""COMPUTED_VALUE"""),"পিতা: আঃ রাজ্জাক")</f>
        <v>পিতা: আঃ রাজ্জাক</v>
      </c>
      <c r="F373" s="5" t="str">
        <f>IFERROR(__xludf.DUMMYFUNCTION("""COMPUTED_VALUE"""),"মাতা: জীবন্নারা খাতুন")</f>
        <v>মাতা: জীবন্নারা খাতুন</v>
      </c>
      <c r="G373" s="5" t="str">
        <f>IFERROR(__xludf.DUMMYFUNCTION("""COMPUTED_VALUE"""),"জন্ম তারিখ: ২০/০৬/১৯৮৯")</f>
        <v>জন্ম তারিখ: ২০/০৬/১৯৮৯</v>
      </c>
      <c r="H373" s="5" t="str">
        <f>IFERROR(__xludf.DUMMYFUNCTION("""COMPUTED_VALUE"""),"পেশা: বেকার")</f>
        <v>পেশা: বেকার</v>
      </c>
      <c r="I373" s="5" t="str">
        <f>IFERROR(__xludf.DUMMYFUNCTION("""COMPUTED_VALUE"""),"ঠিকানা: গাড়াবোব")</f>
        <v>ঠিকানা: গাড়াবোব</v>
      </c>
      <c r="J373" s="5" t="str">
        <f>IFERROR(__xludf.DUMMYFUNCTION("""COMPUTED_VALUE""")," গাংনী")</f>
        <v> গাংনী</v>
      </c>
      <c r="K373" s="5" t="str">
        <f>IFERROR(__xludf.DUMMYFUNCTION("""COMPUTED_VALUE""")," মেহেরপুর")</f>
        <v> মেহেরপুর</v>
      </c>
    </row>
    <row r="374">
      <c r="A374" s="7" t="s">
        <v>7526</v>
      </c>
      <c r="B374" s="5">
        <f>IFERROR(__xludf.DUMMYFUNCTION("SPLIT(A374,"","")"),1646.0)</f>
        <v>1646</v>
      </c>
      <c r="C374" s="5" t="str">
        <f>IFERROR(__xludf.DUMMYFUNCTION("""COMPUTED_VALUE"""),"নাম: মো: সামসুল আলম")</f>
        <v>নাম: মো: সামসুল আলম</v>
      </c>
      <c r="D374" s="5" t="str">
        <f>IFERROR(__xludf.DUMMYFUNCTION("""COMPUTED_VALUE"""),"ভোটার নং: ৫৭০০৩৮০০০০৭৫")</f>
        <v>ভোটার নং: ৫৭০০৩৮০০০০৭৫</v>
      </c>
      <c r="E374" s="5" t="str">
        <f>IFERROR(__xludf.DUMMYFUNCTION("""COMPUTED_VALUE"""),"পিতা: মো: আবুল কালাম")</f>
        <v>পিতা: মো: আবুল কালাম</v>
      </c>
      <c r="F374" s="5" t="str">
        <f>IFERROR(__xludf.DUMMYFUNCTION("""COMPUTED_VALUE"""),"মাতা: মোছা: আছিয়া খাতুন")</f>
        <v>মাতা: মোছা: আছিয়া খাতুন</v>
      </c>
      <c r="G374" s="5" t="str">
        <f>IFERROR(__xludf.DUMMYFUNCTION("""COMPUTED_VALUE"""),"জন্ম তারিখ: ২৩/১০/১৯৮৭")</f>
        <v>জন্ম তারিখ: ২৩/১০/১৯৮৭</v>
      </c>
      <c r="H374" s="5" t="str">
        <f>IFERROR(__xludf.DUMMYFUNCTION("""COMPUTED_VALUE"""),"পেশা: কৃষক")</f>
        <v>পেশা: কৃষক</v>
      </c>
      <c r="I374" s="5" t="str">
        <f>IFERROR(__xludf.DUMMYFUNCTION("""COMPUTED_VALUE"""),"ঠিকানা: গাড়াবোব")</f>
        <v>ঠিকানা: গাড়াবোব</v>
      </c>
      <c r="J374" s="5" t="str">
        <f>IFERROR(__xludf.DUMMYFUNCTION("""COMPUTED_VALUE""")," গাংনী")</f>
        <v> গাংনী</v>
      </c>
      <c r="K374" s="5" t="str">
        <f>IFERROR(__xludf.DUMMYFUNCTION("""COMPUTED_VALUE""")," মেহেরপুর")</f>
        <v> মেহেরপুর</v>
      </c>
    </row>
    <row r="375">
      <c r="A375" s="7" t="s">
        <v>7527</v>
      </c>
      <c r="B375" s="5">
        <f>IFERROR(__xludf.DUMMYFUNCTION("SPLIT(A375,"","")"),1647.0)</f>
        <v>1647</v>
      </c>
      <c r="C375" s="5" t="str">
        <f>IFERROR(__xludf.DUMMYFUNCTION("""COMPUTED_VALUE"""),"নাম: মো: শাহিনুর ইসলাম")</f>
        <v>নাম: মো: শাহিনুর ইসলাম</v>
      </c>
      <c r="D375" s="5" t="str">
        <f>IFERROR(__xludf.DUMMYFUNCTION("""COMPUTED_VALUE"""),"ভোটার নং: ৫৭০০৩৮০০০০৭৬")</f>
        <v>ভোটার নং: ৫৭০০৩৮০০০০৭৬</v>
      </c>
      <c r="E375" s="5" t="str">
        <f>IFERROR(__xludf.DUMMYFUNCTION("""COMPUTED_VALUE"""),"পিতা: মো: রফিকুল ইসলাম")</f>
        <v>পিতা: মো: রফিকুল ইসলাম</v>
      </c>
      <c r="F375" s="5" t="str">
        <f>IFERROR(__xludf.DUMMYFUNCTION("""COMPUTED_VALUE"""),"মাতা: মোছা: শাহিদা খাতুন")</f>
        <v>মাতা: মোছা: শাহিদা খাতুন</v>
      </c>
      <c r="G375" s="5" t="str">
        <f>IFERROR(__xludf.DUMMYFUNCTION("""COMPUTED_VALUE"""),"জন্ম তারিখ: ১০/১০/১৯৯১")</f>
        <v>জন্ম তারিখ: ১০/১০/১৯৯১</v>
      </c>
      <c r="H375" s="5" t="str">
        <f>IFERROR(__xludf.DUMMYFUNCTION("""COMPUTED_VALUE"""),"পেশা: ব্যবসা")</f>
        <v>পেশা: ব্যবসা</v>
      </c>
      <c r="I375" s="5" t="str">
        <f>IFERROR(__xludf.DUMMYFUNCTION("""COMPUTED_VALUE"""),"ঠিকানা: গাড়াবোব")</f>
        <v>ঠিকানা: গাড়াবোব</v>
      </c>
      <c r="J375" s="5" t="str">
        <f>IFERROR(__xludf.DUMMYFUNCTION("""COMPUTED_VALUE""")," গাংনী")</f>
        <v> গাংনী</v>
      </c>
      <c r="K375" s="5" t="str">
        <f>IFERROR(__xludf.DUMMYFUNCTION("""COMPUTED_VALUE""")," মেহেরপুর")</f>
        <v> মেহেরপুর</v>
      </c>
    </row>
    <row r="376">
      <c r="A376" s="7" t="s">
        <v>7528</v>
      </c>
      <c r="B376" s="5">
        <f>IFERROR(__xludf.DUMMYFUNCTION("SPLIT(A376,"","")"),1648.0)</f>
        <v>1648</v>
      </c>
      <c r="C376" s="5" t="str">
        <f>IFERROR(__xludf.DUMMYFUNCTION("""COMPUTED_VALUE"""),"নাম: মো: আবু ইউসুফ")</f>
        <v>নাম: মো: আবু ইউসুফ</v>
      </c>
      <c r="D376" s="5" t="str">
        <f>IFERROR(__xludf.DUMMYFUNCTION("""COMPUTED_VALUE"""),"ভোটার নং: ৫৭০০৩৮০০০০৭৭")</f>
        <v>ভোটার নং: ৫৭০০৩৮০০০০৭৭</v>
      </c>
      <c r="E376" s="5" t="str">
        <f>IFERROR(__xludf.DUMMYFUNCTION("""COMPUTED_VALUE"""),"পিতা: মো: নাসির উদ্দীন")</f>
        <v>পিতা: মো: নাসির উদ্দীন</v>
      </c>
      <c r="F376" s="5" t="str">
        <f>IFERROR(__xludf.DUMMYFUNCTION("""COMPUTED_VALUE"""),"মাতা: মোছা: লায়লা খাতুন")</f>
        <v>মাতা: মোছা: লায়লা খাতুন</v>
      </c>
      <c r="G376" s="5" t="str">
        <f>IFERROR(__xludf.DUMMYFUNCTION("""COMPUTED_VALUE"""),"জন্ম তারিখ: ০২/০২/১৯৯০")</f>
        <v>জন্ম তারিখ: ০২/০২/১৯৯০</v>
      </c>
      <c r="H376" s="5" t="str">
        <f>IFERROR(__xludf.DUMMYFUNCTION("""COMPUTED_VALUE"""),"পেশা: ছাত্র/ছাত্রী")</f>
        <v>পেশা: ছাত্র/ছাত্রী</v>
      </c>
      <c r="I376" s="5" t="str">
        <f>IFERROR(__xludf.DUMMYFUNCTION("""COMPUTED_VALUE"""),"ঠিকানা: গাড়াবোব")</f>
        <v>ঠিকানা: গাড়াবোব</v>
      </c>
      <c r="J376" s="5" t="str">
        <f>IFERROR(__xludf.DUMMYFUNCTION("""COMPUTED_VALUE""")," গাংনী")</f>
        <v> গাংনী</v>
      </c>
      <c r="K376" s="5" t="str">
        <f>IFERROR(__xludf.DUMMYFUNCTION("""COMPUTED_VALUE""")," মেহেরপুর")</f>
        <v> মেহেরপুর</v>
      </c>
    </row>
    <row r="377">
      <c r="A377" s="7" t="s">
        <v>7529</v>
      </c>
      <c r="B377" s="5">
        <f>IFERROR(__xludf.DUMMYFUNCTION("SPLIT(A377,"","")"),1649.0)</f>
        <v>1649</v>
      </c>
      <c r="C377" s="5" t="str">
        <f>IFERROR(__xludf.DUMMYFUNCTION("""COMPUTED_VALUE"""),"নাম: মো: তৌফিকুল ইসলাম")</f>
        <v>নাম: মো: তৌফিকুল ইসলাম</v>
      </c>
      <c r="D377" s="5" t="str">
        <f>IFERROR(__xludf.DUMMYFUNCTION("""COMPUTED_VALUE"""),"ভোটার নং: ৫৭০০৩৮০০০০৭৮")</f>
        <v>ভোটার নং: ৫৭০০৩৮০০০০৭৮</v>
      </c>
      <c r="E377" s="5" t="str">
        <f>IFERROR(__xludf.DUMMYFUNCTION("""COMPUTED_VALUE"""),"পিতা: মো: তারিফ হোসেন")</f>
        <v>পিতা: মো: তারিফ হোসেন</v>
      </c>
      <c r="F377" s="5" t="str">
        <f>IFERROR(__xludf.DUMMYFUNCTION("""COMPUTED_VALUE"""),"মাতা: মোছা: তাসলিমা খাতুন")</f>
        <v>মাতা: মোছা: তাসলিমা খাতুন</v>
      </c>
      <c r="G377" s="5" t="str">
        <f>IFERROR(__xludf.DUMMYFUNCTION("""COMPUTED_VALUE"""),"জন্ম তারিখ: ০১/০১/১৯৯২")</f>
        <v>জন্ম তারিখ: ০১/০১/১৯৯২</v>
      </c>
      <c r="H377" s="5" t="str">
        <f>IFERROR(__xludf.DUMMYFUNCTION("""COMPUTED_VALUE"""),"পেশা: ছাত্র/ছাত্রী")</f>
        <v>পেশা: ছাত্র/ছাত্রী</v>
      </c>
      <c r="I377" s="5" t="str">
        <f>IFERROR(__xludf.DUMMYFUNCTION("""COMPUTED_VALUE"""),"ঠিকানা: গাড়াবোব")</f>
        <v>ঠিকানা: গাড়াবোব</v>
      </c>
      <c r="J377" s="5" t="str">
        <f>IFERROR(__xludf.DUMMYFUNCTION("""COMPUTED_VALUE""")," গাংনী")</f>
        <v> গাংনী</v>
      </c>
      <c r="K377" s="5" t="str">
        <f>IFERROR(__xludf.DUMMYFUNCTION("""COMPUTED_VALUE""")," মেহেরপুর")</f>
        <v> মেহেরপুর</v>
      </c>
    </row>
    <row r="378">
      <c r="A378" s="7" t="s">
        <v>7530</v>
      </c>
      <c r="B378" s="5">
        <f>IFERROR(__xludf.DUMMYFUNCTION("SPLIT(A378,"","")"),1650.0)</f>
        <v>1650</v>
      </c>
      <c r="C378" s="5" t="str">
        <f>IFERROR(__xludf.DUMMYFUNCTION("""COMPUTED_VALUE"""),"নাম: মো: মিন্টু মিয়া")</f>
        <v>নাম: মো: মিন্টু মিয়া</v>
      </c>
      <c r="D378" s="5" t="str">
        <f>IFERROR(__xludf.DUMMYFUNCTION("""COMPUTED_VALUE"""),"ভোটার নং: ৫৭০০৩৮০০০০৭৯")</f>
        <v>ভোটার নং: ৫৭০০৩৮০০০০৭৯</v>
      </c>
      <c r="E378" s="5" t="str">
        <f>IFERROR(__xludf.DUMMYFUNCTION("""COMPUTED_VALUE"""),"পিতা: মো: আব্দুল কুদ্দুস")</f>
        <v>পিতা: মো: আব্দুল কুদ্দুস</v>
      </c>
      <c r="F378" s="5" t="str">
        <f>IFERROR(__xludf.DUMMYFUNCTION("""COMPUTED_VALUE"""),"মাতা: মোছা: মনোয়ারা বেগম")</f>
        <v>মাতা: মোছা: মনোয়ারা বেগম</v>
      </c>
      <c r="G378" s="5" t="str">
        <f>IFERROR(__xludf.DUMMYFUNCTION("""COMPUTED_VALUE"""),"জন্ম তারিখ: ০১/০৫/১৯৮৭")</f>
        <v>জন্ম তারিখ: ০১/০৫/১৯৮৭</v>
      </c>
      <c r="H378" s="5" t="str">
        <f>IFERROR(__xludf.DUMMYFUNCTION("""COMPUTED_VALUE"""),"পেশা: ব্যবসা")</f>
        <v>পেশা: ব্যবসা</v>
      </c>
      <c r="I378" s="5" t="str">
        <f>IFERROR(__xludf.DUMMYFUNCTION("""COMPUTED_VALUE"""),"ঠিকানা: গাড়াবোব")</f>
        <v>ঠিকানা: গাড়াবোব</v>
      </c>
      <c r="J378" s="5" t="str">
        <f>IFERROR(__xludf.DUMMYFUNCTION("""COMPUTED_VALUE""")," গাংনী")</f>
        <v> গাংনী</v>
      </c>
      <c r="K378" s="5" t="str">
        <f>IFERROR(__xludf.DUMMYFUNCTION("""COMPUTED_VALUE""")," মেহেরপুর")</f>
        <v> মেহেরপুর</v>
      </c>
    </row>
    <row r="379">
      <c r="A379" s="7" t="s">
        <v>7531</v>
      </c>
      <c r="B379" s="5">
        <f>IFERROR(__xludf.DUMMYFUNCTION("SPLIT(A379,"","")"),1651.0)</f>
        <v>1651</v>
      </c>
      <c r="C379" s="5" t="str">
        <f>IFERROR(__xludf.DUMMYFUNCTION("""COMPUTED_VALUE"""),"নাম: মো: মাইনুল ইসলাম")</f>
        <v>নাম: মো: মাইনুল ইসলাম</v>
      </c>
      <c r="D379" s="5" t="str">
        <f>IFERROR(__xludf.DUMMYFUNCTION("""COMPUTED_VALUE"""),"ভোটার নং: ৫৭০০৩৮০০০০৮০")</f>
        <v>ভোটার নং: ৫৭০০৩৮০০০০৮০</v>
      </c>
      <c r="E379" s="5" t="str">
        <f>IFERROR(__xludf.DUMMYFUNCTION("""COMPUTED_VALUE"""),"পিতা: পাঞ্জাব মন্ডল")</f>
        <v>পিতা: পাঞ্জাব মন্ডল</v>
      </c>
      <c r="F379" s="5" t="str">
        <f>IFERROR(__xludf.DUMMYFUNCTION("""COMPUTED_VALUE"""),"মাতা: আনোয়ারা খাতুন")</f>
        <v>মাতা: আনোয়ারা খাতুন</v>
      </c>
      <c r="G379" s="5" t="str">
        <f>IFERROR(__xludf.DUMMYFUNCTION("""COMPUTED_VALUE"""),"জন্ম তারিখ: ১০/০৫/১৯৮৫")</f>
        <v>জন্ম তারিখ: ১০/০৫/১৯৮৫</v>
      </c>
      <c r="H379" s="5" t="str">
        <f>IFERROR(__xludf.DUMMYFUNCTION("""COMPUTED_VALUE"""),"পেশা: বেসরকারী চাকুরী")</f>
        <v>পেশা: বেসরকারী চাকুরী</v>
      </c>
      <c r="I379" s="5" t="str">
        <f>IFERROR(__xludf.DUMMYFUNCTION("""COMPUTED_VALUE"""),"ঠিকানা: গাড়াবোব")</f>
        <v>ঠিকানা: গাড়াবোব</v>
      </c>
      <c r="J379" s="5" t="str">
        <f>IFERROR(__xludf.DUMMYFUNCTION("""COMPUTED_VALUE""")," গাংনী")</f>
        <v> গাংনী</v>
      </c>
      <c r="K379" s="5" t="str">
        <f>IFERROR(__xludf.DUMMYFUNCTION("""COMPUTED_VALUE""")," মেহেরপুর")</f>
        <v> মেহেরপুর</v>
      </c>
    </row>
    <row r="380">
      <c r="A380" s="7" t="s">
        <v>7532</v>
      </c>
      <c r="B380" s="5">
        <f>IFERROR(__xludf.DUMMYFUNCTION("SPLIT(A380,"","")"),1652.0)</f>
        <v>1652</v>
      </c>
      <c r="C380" s="5" t="str">
        <f>IFERROR(__xludf.DUMMYFUNCTION("""COMPUTED_VALUE"""),"নাম: মো: সরুজ আলী")</f>
        <v>নাম: মো: সরুজ আলী</v>
      </c>
      <c r="D380" s="5" t="str">
        <f>IFERROR(__xludf.DUMMYFUNCTION("""COMPUTED_VALUE"""),"ভোটার নং: ৫৭০০৩৮০০০০৮১")</f>
        <v>ভোটার নং: ৫৭০০৩৮০০০০৮১</v>
      </c>
      <c r="E380" s="5" t="str">
        <f>IFERROR(__xludf.DUMMYFUNCTION("""COMPUTED_VALUE"""),"পিতা: মো: আঃ ছামাদ")</f>
        <v>পিতা: মো: আঃ ছামাদ</v>
      </c>
      <c r="F380" s="5" t="str">
        <f>IFERROR(__xludf.DUMMYFUNCTION("""COMPUTED_VALUE"""),"মাতা: মোছা: মমতাজ খাতুন")</f>
        <v>মাতা: মোছা: মমতাজ খাতুন</v>
      </c>
      <c r="G380" s="5" t="str">
        <f>IFERROR(__xludf.DUMMYFUNCTION("""COMPUTED_VALUE"""),"জন্ম তারিখ: ২৫/১০/১৯৭৬")</f>
        <v>জন্ম তারিখ: ২৫/১০/১৯৭৬</v>
      </c>
      <c r="H380" s="5" t="str">
        <f>IFERROR(__xludf.DUMMYFUNCTION("""COMPUTED_VALUE"""),"পেশা: কৃষক")</f>
        <v>পেশা: কৃষক</v>
      </c>
      <c r="I380" s="5" t="str">
        <f>IFERROR(__xludf.DUMMYFUNCTION("""COMPUTED_VALUE"""),"ঠিকানা: গাড়াবোব")</f>
        <v>ঠিকানা: গাড়াবোব</v>
      </c>
      <c r="J380" s="5" t="str">
        <f>IFERROR(__xludf.DUMMYFUNCTION("""COMPUTED_VALUE""")," গাংনী")</f>
        <v> গাংনী</v>
      </c>
      <c r="K380" s="5" t="str">
        <f>IFERROR(__xludf.DUMMYFUNCTION("""COMPUTED_VALUE""")," মেহেরপুর")</f>
        <v> মেহেরপুর</v>
      </c>
    </row>
    <row r="381">
      <c r="A381" s="7" t="s">
        <v>7533</v>
      </c>
      <c r="B381" s="5">
        <f>IFERROR(__xludf.DUMMYFUNCTION("SPLIT(A381,"","")"),1653.0)</f>
        <v>1653</v>
      </c>
      <c r="C381" s="5" t="str">
        <f>IFERROR(__xludf.DUMMYFUNCTION("""COMPUTED_VALUE"""),"নাম: মো: নাছিরুল ইসলাম")</f>
        <v>নাম: মো: নাছিরুল ইসলাম</v>
      </c>
      <c r="D381" s="5" t="str">
        <f>IFERROR(__xludf.DUMMYFUNCTION("""COMPUTED_VALUE"""),"ভোটার নং: ৫৭০০৩৮০০০০৮২")</f>
        <v>ভোটার নং: ৫৭০০৩৮০০০০৮২</v>
      </c>
      <c r="E381" s="5" t="str">
        <f>IFERROR(__xludf.DUMMYFUNCTION("""COMPUTED_VALUE"""),"পিতা: মো: ফজের আলী")</f>
        <v>পিতা: মো: ফজের আলী</v>
      </c>
      <c r="F381" s="5" t="str">
        <f>IFERROR(__xludf.DUMMYFUNCTION("""COMPUTED_VALUE"""),"মাতা: মোছা: নাছিমা খাতুন")</f>
        <v>মাতা: মোছা: নাছিমা খাতুন</v>
      </c>
      <c r="G381" s="5" t="str">
        <f>IFERROR(__xludf.DUMMYFUNCTION("""COMPUTED_VALUE"""),"জন্ম তারিখ: ২০/০১/১৯৯১")</f>
        <v>জন্ম তারিখ: ২০/০১/১৯৯১</v>
      </c>
      <c r="H381" s="5" t="str">
        <f>IFERROR(__xludf.DUMMYFUNCTION("""COMPUTED_VALUE"""),"পেশা: মিস্ত্রী")</f>
        <v>পেশা: মিস্ত্রী</v>
      </c>
      <c r="I381" s="5" t="str">
        <f>IFERROR(__xludf.DUMMYFUNCTION("""COMPUTED_VALUE"""),"ঠিকানা: গাড়াবোব")</f>
        <v>ঠিকানা: গাড়াবোব</v>
      </c>
      <c r="J381" s="5" t="str">
        <f>IFERROR(__xludf.DUMMYFUNCTION("""COMPUTED_VALUE""")," গাংনী")</f>
        <v> গাংনী</v>
      </c>
      <c r="K381" s="5" t="str">
        <f>IFERROR(__xludf.DUMMYFUNCTION("""COMPUTED_VALUE""")," মেহেরপুর")</f>
        <v> মেহেরপুর</v>
      </c>
    </row>
    <row r="382">
      <c r="A382" s="7" t="s">
        <v>7534</v>
      </c>
      <c r="B382" s="5">
        <f>IFERROR(__xludf.DUMMYFUNCTION("SPLIT(A382,"","")"),1654.0)</f>
        <v>1654</v>
      </c>
      <c r="C382" s="5" t="str">
        <f>IFERROR(__xludf.DUMMYFUNCTION("""COMPUTED_VALUE"""),"নাম: মীর মো: রাশেদ রেজা")</f>
        <v>নাম: মীর মো: রাশেদ রেজা</v>
      </c>
      <c r="D382" s="5" t="str">
        <f>IFERROR(__xludf.DUMMYFUNCTION("""COMPUTED_VALUE"""),"ভোটার নং: ৫৭০০৩৮০০০০৮৩")</f>
        <v>ভোটার নং: ৫৭০০৩৮০০০০৮৩</v>
      </c>
      <c r="E382" s="5" t="str">
        <f>IFERROR(__xludf.DUMMYFUNCTION("""COMPUTED_VALUE"""),"পিতা: মীর মো: আব্দুল আলিম")</f>
        <v>পিতা: মীর মো: আব্দুল আলিম</v>
      </c>
      <c r="F382" s="5" t="str">
        <f>IFERROR(__xludf.DUMMYFUNCTION("""COMPUTED_VALUE"""),"মাতা: মোছা: রাশিদা খাতুন")</f>
        <v>মাতা: মোছা: রাশিদা খাতুন</v>
      </c>
      <c r="G382" s="5" t="str">
        <f>IFERROR(__xludf.DUMMYFUNCTION("""COMPUTED_VALUE"""),"জন্ম তারিখ: ০১/০১/১৯৯১")</f>
        <v>জন্ম তারিখ: ০১/০১/১৯৯১</v>
      </c>
      <c r="H382" s="5" t="str">
        <f>IFERROR(__xludf.DUMMYFUNCTION("""COMPUTED_VALUE"""),"পেশা: কৃষক")</f>
        <v>পেশা: কৃষক</v>
      </c>
      <c r="I382" s="5" t="str">
        <f>IFERROR(__xludf.DUMMYFUNCTION("""COMPUTED_VALUE"""),"ঠিকানা: গাড়াবোব")</f>
        <v>ঠিকানা: গাড়াবোব</v>
      </c>
      <c r="J382" s="5" t="str">
        <f>IFERROR(__xludf.DUMMYFUNCTION("""COMPUTED_VALUE""")," গাংনী")</f>
        <v> গাংনী</v>
      </c>
      <c r="K382" s="5" t="str">
        <f>IFERROR(__xludf.DUMMYFUNCTION("""COMPUTED_VALUE""")," মেহেরপুর")</f>
        <v> মেহেরপুর</v>
      </c>
    </row>
    <row r="383">
      <c r="A383" s="7" t="s">
        <v>7535</v>
      </c>
      <c r="B383" s="5">
        <f>IFERROR(__xludf.DUMMYFUNCTION("SPLIT(A383,"","")"),1655.0)</f>
        <v>1655</v>
      </c>
      <c r="C383" s="5" t="str">
        <f>IFERROR(__xludf.DUMMYFUNCTION("""COMPUTED_VALUE"""),"নাম: মো: একতার আলী")</f>
        <v>নাম: মো: একতার আলী</v>
      </c>
      <c r="D383" s="5" t="str">
        <f>IFERROR(__xludf.DUMMYFUNCTION("""COMPUTED_VALUE"""),"ভোটার নং: ৫৭০০৩৮০০০০৮৪")</f>
        <v>ভোটার নং: ৫৭০০৩৮০০০০৮৪</v>
      </c>
      <c r="E383" s="5" t="str">
        <f>IFERROR(__xludf.DUMMYFUNCTION("""COMPUTED_VALUE"""),"পিতা: রহিম শেখ")</f>
        <v>পিতা: রহিম শেখ</v>
      </c>
      <c r="F383" s="5" t="str">
        <f>IFERROR(__xludf.DUMMYFUNCTION("""COMPUTED_VALUE"""),"মাতা: মোছা: রাহিলা খাতুন")</f>
        <v>মাতা: মোছা: রাহিলা খাতুন</v>
      </c>
      <c r="G383" s="5" t="str">
        <f>IFERROR(__xludf.DUMMYFUNCTION("""COMPUTED_VALUE"""),"জন্ম তারিখ: ১৫/০২/১৯৫২")</f>
        <v>জন্ম তারিখ: ১৫/০২/১৯৫২</v>
      </c>
      <c r="H383" s="5" t="str">
        <f>IFERROR(__xludf.DUMMYFUNCTION("""COMPUTED_VALUE"""),"পেশা: ব্যবসা")</f>
        <v>পেশা: ব্যবসা</v>
      </c>
      <c r="I383" s="5" t="str">
        <f>IFERROR(__xludf.DUMMYFUNCTION("""COMPUTED_VALUE"""),"ঠিকানা: গাড়াবোব")</f>
        <v>ঠিকানা: গাড়াবোব</v>
      </c>
      <c r="J383" s="5" t="str">
        <f>IFERROR(__xludf.DUMMYFUNCTION("""COMPUTED_VALUE""")," গাংনী")</f>
        <v> গাংনী</v>
      </c>
      <c r="K383" s="5" t="str">
        <f>IFERROR(__xludf.DUMMYFUNCTION("""COMPUTED_VALUE""")," মেহেরপুর")</f>
        <v> মেহেরপুর</v>
      </c>
    </row>
    <row r="384">
      <c r="A384" s="7" t="s">
        <v>7536</v>
      </c>
      <c r="B384" s="5">
        <f>IFERROR(__xludf.DUMMYFUNCTION("SPLIT(A384,"","")"),1656.0)</f>
        <v>1656</v>
      </c>
      <c r="C384" s="5" t="str">
        <f>IFERROR(__xludf.DUMMYFUNCTION("""COMPUTED_VALUE"""),"নাম: মো: সাহারুল ইসলাম")</f>
        <v>নাম: মো: সাহারুল ইসলাম</v>
      </c>
      <c r="D384" s="5" t="str">
        <f>IFERROR(__xludf.DUMMYFUNCTION("""COMPUTED_VALUE"""),"ভোটার নং: ৫৭০০৩৮০০০০৮৫")</f>
        <v>ভোটার নং: ৫৭০০৩৮০০০০৮৫</v>
      </c>
      <c r="E384" s="5" t="str">
        <f>IFERROR(__xludf.DUMMYFUNCTION("""COMPUTED_VALUE"""),"পিতা: মো: ছাইনাল ইসলাম")</f>
        <v>পিতা: মো: ছাইনাল ইসলাম</v>
      </c>
      <c r="F384" s="5" t="str">
        <f>IFERROR(__xludf.DUMMYFUNCTION("""COMPUTED_VALUE"""),"মাতা: মোছা: বানুয়ারা খাতুন")</f>
        <v>মাতা: মোছা: বানুয়ারা খাতুন</v>
      </c>
      <c r="G384" s="5" t="str">
        <f>IFERROR(__xludf.DUMMYFUNCTION("""COMPUTED_VALUE"""),"জন্ম তারিখ: ৩০/১২/১৯৯০")</f>
        <v>জন্ম তারিখ: ৩০/১২/১৯৯০</v>
      </c>
      <c r="H384" s="5" t="str">
        <f>IFERROR(__xludf.DUMMYFUNCTION("""COMPUTED_VALUE"""),"পেশা: কৃষক")</f>
        <v>পেশা: কৃষক</v>
      </c>
      <c r="I384" s="5" t="str">
        <f>IFERROR(__xludf.DUMMYFUNCTION("""COMPUTED_VALUE"""),"ঠিকানা: গাড়াবোব")</f>
        <v>ঠিকানা: গাড়াবোব</v>
      </c>
      <c r="J384" s="5" t="str">
        <f>IFERROR(__xludf.DUMMYFUNCTION("""COMPUTED_VALUE""")," গাংনী")</f>
        <v> গাংনী</v>
      </c>
      <c r="K384" s="5" t="str">
        <f>IFERROR(__xludf.DUMMYFUNCTION("""COMPUTED_VALUE""")," মেহেরপুর")</f>
        <v> মেহেরপুর</v>
      </c>
    </row>
    <row r="385">
      <c r="A385" s="7" t="s">
        <v>7537</v>
      </c>
      <c r="B385" s="5">
        <f>IFERROR(__xludf.DUMMYFUNCTION("SPLIT(A385,"","")"),1657.0)</f>
        <v>1657</v>
      </c>
      <c r="C385" s="5" t="str">
        <f>IFERROR(__xludf.DUMMYFUNCTION("""COMPUTED_VALUE"""),"নাম: মো: হাসান আলী")</f>
        <v>নাম: মো: হাসান আলী</v>
      </c>
      <c r="D385" s="5" t="str">
        <f>IFERROR(__xludf.DUMMYFUNCTION("""COMPUTED_VALUE"""),"ভোটার নং: ৫৭০০৩৮০০০০৮৬")</f>
        <v>ভোটার নং: ৫৭০০৩৮০০০০৮৬</v>
      </c>
      <c r="E385" s="5" t="str">
        <f>IFERROR(__xludf.DUMMYFUNCTION("""COMPUTED_VALUE"""),"পিতা: মো: আনারুল ইসলাম")</f>
        <v>পিতা: মো: আনারুল ইসলাম</v>
      </c>
      <c r="F385" s="5" t="str">
        <f>IFERROR(__xludf.DUMMYFUNCTION("""COMPUTED_VALUE"""),"মাতা: মোছা: হালিমা খাতুন")</f>
        <v>মাতা: মোছা: হালিমা খাতুন</v>
      </c>
      <c r="G385" s="5" t="str">
        <f>IFERROR(__xludf.DUMMYFUNCTION("""COMPUTED_VALUE"""),"জন্ম তারিখ: ৩০/০৬/১৯৯০")</f>
        <v>জন্ম তারিখ: ৩০/০৬/১৯৯০</v>
      </c>
      <c r="H385" s="5" t="str">
        <f>IFERROR(__xludf.DUMMYFUNCTION("""COMPUTED_VALUE"""),"পেশা: কৃষক")</f>
        <v>পেশা: কৃষক</v>
      </c>
      <c r="I385" s="5" t="str">
        <f>IFERROR(__xludf.DUMMYFUNCTION("""COMPUTED_VALUE"""),"ঠিকানা: গাড়াবোব")</f>
        <v>ঠিকানা: গাড়াবোব</v>
      </c>
      <c r="J385" s="5" t="str">
        <f>IFERROR(__xludf.DUMMYFUNCTION("""COMPUTED_VALUE""")," গাংনী")</f>
        <v> গাংনী</v>
      </c>
      <c r="K385" s="5" t="str">
        <f>IFERROR(__xludf.DUMMYFUNCTION("""COMPUTED_VALUE""")," মেহেরপুর")</f>
        <v> মেহেরপুর</v>
      </c>
    </row>
    <row r="386">
      <c r="A386" s="7" t="s">
        <v>7538</v>
      </c>
      <c r="B386" s="5">
        <f>IFERROR(__xludf.DUMMYFUNCTION("SPLIT(A386,"","")"),1658.0)</f>
        <v>1658</v>
      </c>
      <c r="C386" s="5" t="str">
        <f>IFERROR(__xludf.DUMMYFUNCTION("""COMPUTED_VALUE"""),"নাম: মো: বাহাদুর হক")</f>
        <v>নাম: মো: বাহাদুর হক</v>
      </c>
      <c r="D386" s="5" t="str">
        <f>IFERROR(__xludf.DUMMYFUNCTION("""COMPUTED_VALUE"""),"ভোটার নং: ৫৭০০৩৮০০০০৮৭")</f>
        <v>ভোটার নং: ৫৭০০৩৮০০০০৮৭</v>
      </c>
      <c r="E386" s="5" t="str">
        <f>IFERROR(__xludf.DUMMYFUNCTION("""COMPUTED_VALUE"""),"পিতা: মো: নেকছার আলী")</f>
        <v>পিতা: মো: নেকছার আলী</v>
      </c>
      <c r="F386" s="5" t="str">
        <f>IFERROR(__xludf.DUMMYFUNCTION("""COMPUTED_VALUE"""),"মাতা: মোছা: রাশেদা খাতুন")</f>
        <v>মাতা: মোছা: রাশেদা খাতুন</v>
      </c>
      <c r="G386" s="5" t="str">
        <f>IFERROR(__xludf.DUMMYFUNCTION("""COMPUTED_VALUE"""),"জন্ম তারিখ: ১০/০১/১৯৮৫")</f>
        <v>জন্ম তারিখ: ১০/০১/১৯৮৫</v>
      </c>
      <c r="H386" s="5" t="str">
        <f>IFERROR(__xludf.DUMMYFUNCTION("""COMPUTED_VALUE"""),"পেশা: শ্রমিক")</f>
        <v>পেশা: শ্রমিক</v>
      </c>
      <c r="I386" s="5" t="str">
        <f>IFERROR(__xludf.DUMMYFUNCTION("""COMPUTED_VALUE"""),"ঠিকানা: গাড়াবোব")</f>
        <v>ঠিকানা: গাড়াবোব</v>
      </c>
      <c r="J386" s="5" t="str">
        <f>IFERROR(__xludf.DUMMYFUNCTION("""COMPUTED_VALUE""")," গাংনী")</f>
        <v> গাংনী</v>
      </c>
      <c r="K386" s="5" t="str">
        <f>IFERROR(__xludf.DUMMYFUNCTION("""COMPUTED_VALUE""")," মেহেরপুর")</f>
        <v> মেহেরপুর</v>
      </c>
    </row>
    <row r="387">
      <c r="A387" s="7" t="s">
        <v>7539</v>
      </c>
      <c r="B387" s="5">
        <f>IFERROR(__xludf.DUMMYFUNCTION("SPLIT(A387,"","")"),1659.0)</f>
        <v>1659</v>
      </c>
      <c r="C387" s="5" t="str">
        <f>IFERROR(__xludf.DUMMYFUNCTION("""COMPUTED_VALUE"""),"নাম: মো: সেলিম রেজা")</f>
        <v>নাম: মো: সেলিম রেজা</v>
      </c>
      <c r="D387" s="5" t="str">
        <f>IFERROR(__xludf.DUMMYFUNCTION("""COMPUTED_VALUE"""),"ভোটার নং: ৫৭০০৩৮০০০০৯৪")</f>
        <v>ভোটার নং: ৫৭০০৩৮০০০০৯৪</v>
      </c>
      <c r="E387" s="5" t="str">
        <f>IFERROR(__xludf.DUMMYFUNCTION("""COMPUTED_VALUE"""),"পিতা: মো: শমসের আলী")</f>
        <v>পিতা: মো: শমসের আলী</v>
      </c>
      <c r="F387" s="5" t="str">
        <f>IFERROR(__xludf.DUMMYFUNCTION("""COMPUTED_VALUE"""),"মাতা: মোছা: মেহেরুন নেছা")</f>
        <v>মাতা: মোছা: মেহেরুন নেছা</v>
      </c>
      <c r="G387" s="5" t="str">
        <f>IFERROR(__xludf.DUMMYFUNCTION("""COMPUTED_VALUE"""),"জন্ম তারিখ: ০৬/০৯/১৯৮৭")</f>
        <v>জন্ম তারিখ: ০৬/০৯/১৯৮৭</v>
      </c>
      <c r="H387" s="5" t="str">
        <f>IFERROR(__xludf.DUMMYFUNCTION("""COMPUTED_VALUE"""),"পেশা: কৃষক")</f>
        <v>পেশা: কৃষক</v>
      </c>
      <c r="I387" s="5" t="str">
        <f>IFERROR(__xludf.DUMMYFUNCTION("""COMPUTED_VALUE"""),"ঠিকানা: গাড়াবোব")</f>
        <v>ঠিকানা: গাড়াবোব</v>
      </c>
      <c r="J387" s="5" t="str">
        <f>IFERROR(__xludf.DUMMYFUNCTION("""COMPUTED_VALUE""")," গাংনী")</f>
        <v> গাংনী</v>
      </c>
      <c r="K387" s="5" t="str">
        <f>IFERROR(__xludf.DUMMYFUNCTION("""COMPUTED_VALUE""")," মেহেরপুর")</f>
        <v> মেহেরপুর</v>
      </c>
    </row>
    <row r="388">
      <c r="A388" s="7" t="s">
        <v>7540</v>
      </c>
      <c r="B388" s="5">
        <f>IFERROR(__xludf.DUMMYFUNCTION("SPLIT(A388,"","")"),1660.0)</f>
        <v>1660</v>
      </c>
      <c r="C388" s="5" t="str">
        <f>IFERROR(__xludf.DUMMYFUNCTION("""COMPUTED_VALUE"""),"নাম: মো: উজ্জ্বল মিয়া")</f>
        <v>নাম: মো: উজ্জ্বল মিয়া</v>
      </c>
      <c r="D388" s="5" t="str">
        <f>IFERROR(__xludf.DUMMYFUNCTION("""COMPUTED_VALUE"""),"ভোটার নং: ৫৭০০৩৮০০০০৯৬")</f>
        <v>ভোটার নং: ৫৭০০৩৮০০০০৯৬</v>
      </c>
      <c r="E388" s="5" t="str">
        <f>IFERROR(__xludf.DUMMYFUNCTION("""COMPUTED_VALUE"""),"পিতা: মো: আবুল কাশেম")</f>
        <v>পিতা: মো: আবুল কাশেম</v>
      </c>
      <c r="F388" s="5" t="str">
        <f>IFERROR(__xludf.DUMMYFUNCTION("""COMPUTED_VALUE"""),"মাতা: মোছা: জোসনা খাতুন")</f>
        <v>মাতা: মোছা: জোসনা খাতুন</v>
      </c>
      <c r="G388" s="5" t="str">
        <f>IFERROR(__xludf.DUMMYFUNCTION("""COMPUTED_VALUE"""),"জন্ম তারিখ: ০২/০১/১৯৯১")</f>
        <v>জন্ম তারিখ: ০২/০১/১৯৯১</v>
      </c>
      <c r="H388" s="5" t="str">
        <f>IFERROR(__xludf.DUMMYFUNCTION("""COMPUTED_VALUE"""),"পেশা: কৃষক")</f>
        <v>পেশা: কৃষক</v>
      </c>
      <c r="I388" s="5" t="str">
        <f>IFERROR(__xludf.DUMMYFUNCTION("""COMPUTED_VALUE"""),"ঠিকানা: গাড়াবোব")</f>
        <v>ঠিকানা: গাড়াবোব</v>
      </c>
      <c r="J388" s="5" t="str">
        <f>IFERROR(__xludf.DUMMYFUNCTION("""COMPUTED_VALUE""")," গাংনী")</f>
        <v> গাংনী</v>
      </c>
      <c r="K388" s="5" t="str">
        <f>IFERROR(__xludf.DUMMYFUNCTION("""COMPUTED_VALUE""")," মেহেরপুর")</f>
        <v> মেহেরপুর</v>
      </c>
    </row>
    <row r="389">
      <c r="A389" s="7" t="s">
        <v>7541</v>
      </c>
      <c r="B389" s="5">
        <f>IFERROR(__xludf.DUMMYFUNCTION("SPLIT(A389,"","")"),1661.0)</f>
        <v>1661</v>
      </c>
      <c r="C389" s="5" t="str">
        <f>IFERROR(__xludf.DUMMYFUNCTION("""COMPUTED_VALUE"""),"নাম: মো: সেলিম রেজা")</f>
        <v>নাম: মো: সেলিম রেজা</v>
      </c>
      <c r="D389" s="5" t="str">
        <f>IFERROR(__xludf.DUMMYFUNCTION("""COMPUTED_VALUE"""),"ভোটার নং: ৫৭০০৩৮০০০০৯৭")</f>
        <v>ভোটার নং: ৫৭০০৩৮০০০০৯৭</v>
      </c>
      <c r="E389" s="5" t="str">
        <f>IFERROR(__xludf.DUMMYFUNCTION("""COMPUTED_VALUE"""),"পিতা: মো: আব্দুল কুদ্দুস")</f>
        <v>পিতা: মো: আব্দুল কুদ্দুস</v>
      </c>
      <c r="F389" s="5" t="str">
        <f>IFERROR(__xludf.DUMMYFUNCTION("""COMPUTED_VALUE"""),"মাতা: মোছা: হাফিজা খাতুন")</f>
        <v>মাতা: মোছা: হাফিজা খাতুন</v>
      </c>
      <c r="G389" s="5" t="str">
        <f>IFERROR(__xludf.DUMMYFUNCTION("""COMPUTED_VALUE"""),"জন্ম তারিখ: ২২/১২/১৯৯১")</f>
        <v>জন্ম তারিখ: ২২/১২/১৯৯১</v>
      </c>
      <c r="H389" s="5" t="str">
        <f>IFERROR(__xludf.DUMMYFUNCTION("""COMPUTED_VALUE"""),"পেশা: ছাত্র/ছাত্রী")</f>
        <v>পেশা: ছাত্র/ছাত্রী</v>
      </c>
      <c r="I389" s="5" t="str">
        <f>IFERROR(__xludf.DUMMYFUNCTION("""COMPUTED_VALUE"""),"ঠিকানা: গাড়াবোব")</f>
        <v>ঠিকানা: গাড়াবোব</v>
      </c>
      <c r="J389" s="5" t="str">
        <f>IFERROR(__xludf.DUMMYFUNCTION("""COMPUTED_VALUE""")," গাংনী")</f>
        <v> গাংনী</v>
      </c>
      <c r="K389" s="5" t="str">
        <f>IFERROR(__xludf.DUMMYFUNCTION("""COMPUTED_VALUE""")," মেহেরপুর")</f>
        <v> মেহেরপুর</v>
      </c>
    </row>
    <row r="390">
      <c r="A390" s="7" t="s">
        <v>7542</v>
      </c>
      <c r="B390" s="5">
        <f>IFERROR(__xludf.DUMMYFUNCTION("SPLIT(A390,"","")"),1662.0)</f>
        <v>1662</v>
      </c>
      <c r="C390" s="5" t="str">
        <f>IFERROR(__xludf.DUMMYFUNCTION("""COMPUTED_VALUE"""),"নাম: মো: শামিম রেজা")</f>
        <v>নাম: মো: শামিম রেজা</v>
      </c>
      <c r="D390" s="5" t="str">
        <f>IFERROR(__xludf.DUMMYFUNCTION("""COMPUTED_VALUE"""),"ভোটার নং: ৫৭০০৩৮০০০১০৩")</f>
        <v>ভোটার নং: ৫৭০০৩৮০০০১০৩</v>
      </c>
      <c r="E390" s="5" t="str">
        <f>IFERROR(__xludf.DUMMYFUNCTION("""COMPUTED_VALUE"""),"পিতা: মো: আক্কাছ আলী")</f>
        <v>পিতা: মো: আক্কাছ আলী</v>
      </c>
      <c r="F390" s="5" t="str">
        <f>IFERROR(__xludf.DUMMYFUNCTION("""COMPUTED_VALUE"""),"মাতা: মোছা: আছিয়া খাতুন")</f>
        <v>মাতা: মোছা: আছিয়া খাতুন</v>
      </c>
      <c r="G390" s="5" t="str">
        <f>IFERROR(__xludf.DUMMYFUNCTION("""COMPUTED_VALUE"""),"জন্ম তারিখ: ০২/০৬/১৯৮৮")</f>
        <v>জন্ম তারিখ: ০২/০৬/১৯৮৮</v>
      </c>
      <c r="H390" s="5" t="str">
        <f>IFERROR(__xludf.DUMMYFUNCTION("""COMPUTED_VALUE"""),"পেশা: ছাত্র/ছাত্রী")</f>
        <v>পেশা: ছাত্র/ছাত্রী</v>
      </c>
      <c r="I390" s="5" t="str">
        <f>IFERROR(__xludf.DUMMYFUNCTION("""COMPUTED_VALUE"""),"ঠিকানা: গাড়াবোব")</f>
        <v>ঠিকানা: গাড়াবোব</v>
      </c>
      <c r="J390" s="5" t="str">
        <f>IFERROR(__xludf.DUMMYFUNCTION("""COMPUTED_VALUE""")," গাংনী")</f>
        <v> গাংনী</v>
      </c>
      <c r="K390" s="5" t="str">
        <f>IFERROR(__xludf.DUMMYFUNCTION("""COMPUTED_VALUE""")," মেহেরপুর")</f>
        <v> মেহেরপুর</v>
      </c>
    </row>
    <row r="391">
      <c r="A391" s="7" t="s">
        <v>7543</v>
      </c>
      <c r="B391" s="5">
        <f>IFERROR(__xludf.DUMMYFUNCTION("SPLIT(A391,"","")"),1663.0)</f>
        <v>1663</v>
      </c>
      <c r="C391" s="5" t="str">
        <f>IFERROR(__xludf.DUMMYFUNCTION("""COMPUTED_VALUE"""),"নাম: মো: আনারুল ইসলাম")</f>
        <v>নাম: মো: আনারুল ইসলাম</v>
      </c>
      <c r="D391" s="5" t="str">
        <f>IFERROR(__xludf.DUMMYFUNCTION("""COMPUTED_VALUE"""),"ভোটার নং: ৫৭০০৩৮০০০১০৪")</f>
        <v>ভোটার নং: ৫৭০০৩৮০০০১০৪</v>
      </c>
      <c r="E391" s="5" t="str">
        <f>IFERROR(__xludf.DUMMYFUNCTION("""COMPUTED_VALUE"""),"পিতা: নজিমুদ্দীন")</f>
        <v>পিতা: নজিমুদ্দীন</v>
      </c>
      <c r="F391" s="5" t="str">
        <f>IFERROR(__xludf.DUMMYFUNCTION("""COMPUTED_VALUE"""),"মাতা: মোছা: রাজিয়া খাতুন")</f>
        <v>মাতা: মোছা: রাজিয়া খাতুন</v>
      </c>
      <c r="G391" s="5" t="str">
        <f>IFERROR(__xludf.DUMMYFUNCTION("""COMPUTED_VALUE"""),"জন্ম তারিখ: ২৫/০৪/১৯৭৪")</f>
        <v>জন্ম তারিখ: ২৫/০৪/১৯৭৪</v>
      </c>
      <c r="H391" s="5" t="str">
        <f>IFERROR(__xludf.DUMMYFUNCTION("""COMPUTED_VALUE"""),"পেশা: কৃষক")</f>
        <v>পেশা: কৃষক</v>
      </c>
      <c r="I391" s="5" t="str">
        <f>IFERROR(__xludf.DUMMYFUNCTION("""COMPUTED_VALUE"""),"ঠিকানা: গাড়াবোব")</f>
        <v>ঠিকানা: গাড়াবোব</v>
      </c>
      <c r="J391" s="5" t="str">
        <f>IFERROR(__xludf.DUMMYFUNCTION("""COMPUTED_VALUE""")," গাংনী")</f>
        <v> গাংনী</v>
      </c>
      <c r="K391" s="5" t="str">
        <f>IFERROR(__xludf.DUMMYFUNCTION("""COMPUTED_VALUE""")," মেহেরপুর")</f>
        <v> মেহেরপুর</v>
      </c>
    </row>
    <row r="392">
      <c r="A392" s="7" t="s">
        <v>7544</v>
      </c>
      <c r="B392" s="5">
        <f>IFERROR(__xludf.DUMMYFUNCTION("SPLIT(A392,"","")"),1664.0)</f>
        <v>1664</v>
      </c>
      <c r="C392" s="5" t="str">
        <f>IFERROR(__xludf.DUMMYFUNCTION("""COMPUTED_VALUE"""),"নাম: মো: শরিফুল ইসলাম")</f>
        <v>নাম: মো: শরিফুল ইসলাম</v>
      </c>
      <c r="D392" s="5" t="str">
        <f>IFERROR(__xludf.DUMMYFUNCTION("""COMPUTED_VALUE"""),"ভোটার নং: ৫৭০০৩৮০০০১০৫")</f>
        <v>ভোটার নং: ৫৭০০৩৮০০০১০৫</v>
      </c>
      <c r="E392" s="5" t="str">
        <f>IFERROR(__xludf.DUMMYFUNCTION("""COMPUTED_VALUE"""),"পিতা: মো: আবুল কাশেম")</f>
        <v>পিতা: মো: আবুল কাশেম</v>
      </c>
      <c r="F392" s="5" t="str">
        <f>IFERROR(__xludf.DUMMYFUNCTION("""COMPUTED_VALUE"""),"মাতা: মোছা: ফাতেমা খাতুন")</f>
        <v>মাতা: মোছা: ফাতেমা খাতুন</v>
      </c>
      <c r="G392" s="5" t="str">
        <f>IFERROR(__xludf.DUMMYFUNCTION("""COMPUTED_VALUE"""),"জন্ম তারিখ: ১০/০৭/১৯৯০")</f>
        <v>জন্ম তারিখ: ১০/০৭/১৯৯০</v>
      </c>
      <c r="H392" s="5" t="str">
        <f>IFERROR(__xludf.DUMMYFUNCTION("""COMPUTED_VALUE"""),"পেশা: কৃষক")</f>
        <v>পেশা: কৃষক</v>
      </c>
      <c r="I392" s="5" t="str">
        <f>IFERROR(__xludf.DUMMYFUNCTION("""COMPUTED_VALUE"""),"ঠিকানা: গাড়াবোব")</f>
        <v>ঠিকানা: গাড়াবোব</v>
      </c>
      <c r="J392" s="5" t="str">
        <f>IFERROR(__xludf.DUMMYFUNCTION("""COMPUTED_VALUE""")," গাংনী")</f>
        <v> গাংনী</v>
      </c>
      <c r="K392" s="5" t="str">
        <f>IFERROR(__xludf.DUMMYFUNCTION("""COMPUTED_VALUE""")," মেহেরপুর")</f>
        <v> মেহেরপুর</v>
      </c>
    </row>
    <row r="393">
      <c r="A393" s="7" t="s">
        <v>7545</v>
      </c>
      <c r="B393" s="5">
        <f>IFERROR(__xludf.DUMMYFUNCTION("SPLIT(A393,"","")"),1665.0)</f>
        <v>1665</v>
      </c>
      <c r="C393" s="5" t="str">
        <f>IFERROR(__xludf.DUMMYFUNCTION("""COMPUTED_VALUE"""),"নাম: মো: হায়দার আলী")</f>
        <v>নাম: মো: হায়দার আলী</v>
      </c>
      <c r="D393" s="5" t="str">
        <f>IFERROR(__xludf.DUMMYFUNCTION("""COMPUTED_VALUE"""),"ভোটার নং: ৫৭০০৩৮০০০১০৭")</f>
        <v>ভোটার নং: ৫৭০০৩৮০০০১০৭</v>
      </c>
      <c r="E393" s="5" t="str">
        <f>IFERROR(__xludf.DUMMYFUNCTION("""COMPUTED_VALUE"""),"পিতা: মো: শাহাদ আলী")</f>
        <v>পিতা: মো: শাহাদ আলী</v>
      </c>
      <c r="F393" s="5" t="str">
        <f>IFERROR(__xludf.DUMMYFUNCTION("""COMPUTED_VALUE"""),"মাতা: মোছা: ফুলঝুরা")</f>
        <v>মাতা: মোছা: ফুলঝুরা</v>
      </c>
      <c r="G393" s="5" t="str">
        <f>IFERROR(__xludf.DUMMYFUNCTION("""COMPUTED_VALUE"""),"জন্ম তারিখ: ১৫/০১/১৯৯১")</f>
        <v>জন্ম তারিখ: ১৫/০১/১৯৯১</v>
      </c>
      <c r="H393" s="5" t="str">
        <f>IFERROR(__xludf.DUMMYFUNCTION("""COMPUTED_VALUE"""),"পেশা: মিস্ত্রী")</f>
        <v>পেশা: মিস্ত্রী</v>
      </c>
      <c r="I393" s="5" t="str">
        <f>IFERROR(__xludf.DUMMYFUNCTION("""COMPUTED_VALUE"""),"ঠিকানা: গাড়াবোব")</f>
        <v>ঠিকানা: গাড়াবোব</v>
      </c>
      <c r="J393" s="5" t="str">
        <f>IFERROR(__xludf.DUMMYFUNCTION("""COMPUTED_VALUE""")," গাংনী")</f>
        <v> গাংনী</v>
      </c>
      <c r="K393" s="5" t="str">
        <f>IFERROR(__xludf.DUMMYFUNCTION("""COMPUTED_VALUE""")," মেহেরপুর")</f>
        <v> মেহেরপুর</v>
      </c>
    </row>
    <row r="394">
      <c r="A394" s="7" t="s">
        <v>7546</v>
      </c>
      <c r="B394" s="5">
        <f>IFERROR(__xludf.DUMMYFUNCTION("SPLIT(A394,"","")"),1666.0)</f>
        <v>1666</v>
      </c>
      <c r="C394" s="5" t="str">
        <f>IFERROR(__xludf.DUMMYFUNCTION("""COMPUTED_VALUE"""),"নাম: মো: আবু হানিফ")</f>
        <v>নাম: মো: আবু হানিফ</v>
      </c>
      <c r="D394" s="5" t="str">
        <f>IFERROR(__xludf.DUMMYFUNCTION("""COMPUTED_VALUE"""),"ভোটার নং: ৫৭০০৩৮০০০১০৮")</f>
        <v>ভোটার নং: ৫৭০০৩৮০০০১০৮</v>
      </c>
      <c r="E394" s="5" t="str">
        <f>IFERROR(__xludf.DUMMYFUNCTION("""COMPUTED_VALUE"""),"পিতা: মো: মহিবুল ইসলাম")</f>
        <v>পিতা: মো: মহিবুল ইসলাম</v>
      </c>
      <c r="F394" s="5" t="str">
        <f>IFERROR(__xludf.DUMMYFUNCTION("""COMPUTED_VALUE"""),"মাতা: মোছা: রুপিয়া খাতুন")</f>
        <v>মাতা: মোছা: রুপিয়া খাতুন</v>
      </c>
      <c r="G394" s="5" t="str">
        <f>IFERROR(__xludf.DUMMYFUNCTION("""COMPUTED_VALUE"""),"জন্ম তারিখ: ২০/০২/১৯৮৫")</f>
        <v>জন্ম তারিখ: ২০/০২/১৯৮৫</v>
      </c>
      <c r="H394" s="5" t="str">
        <f>IFERROR(__xludf.DUMMYFUNCTION("""COMPUTED_VALUE"""),"পেশা: ব্যবসা")</f>
        <v>পেশা: ব্যবসা</v>
      </c>
      <c r="I394" s="5" t="str">
        <f>IFERROR(__xludf.DUMMYFUNCTION("""COMPUTED_VALUE"""),"ঠিকানা: গাড়াবোব")</f>
        <v>ঠিকানা: গাড়াবোব</v>
      </c>
      <c r="J394" s="5" t="str">
        <f>IFERROR(__xludf.DUMMYFUNCTION("""COMPUTED_VALUE""")," গাংনী")</f>
        <v> গাংনী</v>
      </c>
      <c r="K394" s="5" t="str">
        <f>IFERROR(__xludf.DUMMYFUNCTION("""COMPUTED_VALUE""")," মেহেরপুর")</f>
        <v> মেহেরপুর</v>
      </c>
    </row>
    <row r="395">
      <c r="A395" s="7" t="s">
        <v>7547</v>
      </c>
      <c r="B395" s="5">
        <f>IFERROR(__xludf.DUMMYFUNCTION("SPLIT(A395,"","")"),1667.0)</f>
        <v>1667</v>
      </c>
      <c r="C395" s="5" t="str">
        <f>IFERROR(__xludf.DUMMYFUNCTION("""COMPUTED_VALUE"""),"নাম: মো: মিনারুল ইসলাম")</f>
        <v>নাম: মো: মিনারুল ইসলাম</v>
      </c>
      <c r="D395" s="5" t="str">
        <f>IFERROR(__xludf.DUMMYFUNCTION("""COMPUTED_VALUE"""),"ভোটার নং: ৫৭০০৩৮০০০১০৯")</f>
        <v>ভোটার নং: ৫৭০০৩৮০০০১০৯</v>
      </c>
      <c r="E395" s="5" t="str">
        <f>IFERROR(__xludf.DUMMYFUNCTION("""COMPUTED_VALUE"""),"পিতা: মো: আজমত আলী")</f>
        <v>পিতা: মো: আজমত আলী</v>
      </c>
      <c r="F395" s="5" t="str">
        <f>IFERROR(__xludf.DUMMYFUNCTION("""COMPUTED_VALUE"""),"মাতা: মোছা: মিনা খাতুন")</f>
        <v>মাতা: মোছা: মিনা খাতুন</v>
      </c>
      <c r="G395" s="5" t="str">
        <f>IFERROR(__xludf.DUMMYFUNCTION("""COMPUTED_VALUE"""),"জন্ম তারিখ: ১০/১১/১৯৯০")</f>
        <v>জন্ম তারিখ: ১০/১১/১৯৯০</v>
      </c>
      <c r="H395" s="5" t="str">
        <f>IFERROR(__xludf.DUMMYFUNCTION("""COMPUTED_VALUE"""),"পেশা: বেসরকারী চাকুরী")</f>
        <v>পেশা: বেসরকারী চাকুরী</v>
      </c>
      <c r="I395" s="5" t="str">
        <f>IFERROR(__xludf.DUMMYFUNCTION("""COMPUTED_VALUE"""),"ঠিকানা: গাড়াবোব")</f>
        <v>ঠিকানা: গাড়াবোব</v>
      </c>
      <c r="J395" s="5" t="str">
        <f>IFERROR(__xludf.DUMMYFUNCTION("""COMPUTED_VALUE""")," গাংনী")</f>
        <v> গাংনী</v>
      </c>
      <c r="K395" s="5" t="str">
        <f>IFERROR(__xludf.DUMMYFUNCTION("""COMPUTED_VALUE""")," মেহেরপুর")</f>
        <v> মেহেরপুর</v>
      </c>
    </row>
    <row r="396">
      <c r="A396" s="7" t="s">
        <v>7548</v>
      </c>
      <c r="B396" s="5">
        <f>IFERROR(__xludf.DUMMYFUNCTION("SPLIT(A396,"","")"),1668.0)</f>
        <v>1668</v>
      </c>
      <c r="C396" s="5" t="str">
        <f>IFERROR(__xludf.DUMMYFUNCTION("""COMPUTED_VALUE"""),"নাম: মো: হোসেনুজ্জামান")</f>
        <v>নাম: মো: হোসেনুজ্জামান</v>
      </c>
      <c r="D396" s="5" t="str">
        <f>IFERROR(__xludf.DUMMYFUNCTION("""COMPUTED_VALUE"""),"ভোটার নং: ৫৭০০৩৮০০০১১০")</f>
        <v>ভোটার নং: ৫৭০০৩৮০০০১১০</v>
      </c>
      <c r="E396" s="5" t="str">
        <f>IFERROR(__xludf.DUMMYFUNCTION("""COMPUTED_VALUE"""),"পিতা: মো: আলী হোসেন")</f>
        <v>পিতা: মো: আলী হোসেন</v>
      </c>
      <c r="F396" s="5" t="str">
        <f>IFERROR(__xludf.DUMMYFUNCTION("""COMPUTED_VALUE"""),"মাতা: মোছা: ছামেনা খাতুন")</f>
        <v>মাতা: মোছা: ছামেনা খাতুন</v>
      </c>
      <c r="G396" s="5" t="str">
        <f>IFERROR(__xludf.DUMMYFUNCTION("""COMPUTED_VALUE"""),"জন্ম তারিখ: ০১/০৬/১৯৮৮")</f>
        <v>জন্ম তারিখ: ০১/০৬/১৯৮৮</v>
      </c>
      <c r="H396" s="5" t="str">
        <f>IFERROR(__xludf.DUMMYFUNCTION("""COMPUTED_VALUE"""),"পেশা: কৃষক")</f>
        <v>পেশা: কৃষক</v>
      </c>
      <c r="I396" s="5" t="str">
        <f>IFERROR(__xludf.DUMMYFUNCTION("""COMPUTED_VALUE"""),"ঠিকানা: গাড়াবোব")</f>
        <v>ঠিকানা: গাড়াবোব</v>
      </c>
      <c r="J396" s="5" t="str">
        <f>IFERROR(__xludf.DUMMYFUNCTION("""COMPUTED_VALUE""")," গাংনী")</f>
        <v> গাংনী</v>
      </c>
      <c r="K396" s="5" t="str">
        <f>IFERROR(__xludf.DUMMYFUNCTION("""COMPUTED_VALUE""")," মেহেরপুর")</f>
        <v> মেহেরপুর</v>
      </c>
    </row>
    <row r="397">
      <c r="A397" s="7" t="s">
        <v>7549</v>
      </c>
      <c r="B397" s="5">
        <f>IFERROR(__xludf.DUMMYFUNCTION("SPLIT(A397,"","")"),1669.0)</f>
        <v>1669</v>
      </c>
      <c r="C397" s="5" t="str">
        <f>IFERROR(__xludf.DUMMYFUNCTION("""COMPUTED_VALUE"""),"নাম: মো: সেলিম রেজা")</f>
        <v>নাম: মো: সেলিম রেজা</v>
      </c>
      <c r="D397" s="5" t="str">
        <f>IFERROR(__xludf.DUMMYFUNCTION("""COMPUTED_VALUE"""),"ভোটার নং: ৫৭০০৩৮০০০১১১")</f>
        <v>ভোটার নং: ৫৭০০৩৮০০০১১১</v>
      </c>
      <c r="E397" s="5" t="str">
        <f>IFERROR(__xludf.DUMMYFUNCTION("""COMPUTED_VALUE"""),"পিতা: আব্দুল আজিজ")</f>
        <v>পিতা: আব্দুল আজিজ</v>
      </c>
      <c r="F397" s="5" t="str">
        <f>IFERROR(__xludf.DUMMYFUNCTION("""COMPUTED_VALUE"""),"মাতা: মোছা: সুফিয়া বেগম")</f>
        <v>মাতা: মোছা: সুফিয়া বেগম</v>
      </c>
      <c r="G397" s="5" t="str">
        <f>IFERROR(__xludf.DUMMYFUNCTION("""COMPUTED_VALUE"""),"জন্ম তারিখ: ০১/১০/১৯৮০")</f>
        <v>জন্ম তারিখ: ০১/১০/১৯৮০</v>
      </c>
      <c r="H397" s="5" t="str">
        <f>IFERROR(__xludf.DUMMYFUNCTION("""COMPUTED_VALUE"""),"পেশা: ব্যবসা")</f>
        <v>পেশা: ব্যবসা</v>
      </c>
      <c r="I397" s="5" t="str">
        <f>IFERROR(__xludf.DUMMYFUNCTION("""COMPUTED_VALUE"""),"ঠিকানা: গাড়াবোব")</f>
        <v>ঠিকানা: গাড়াবোব</v>
      </c>
      <c r="J397" s="5" t="str">
        <f>IFERROR(__xludf.DUMMYFUNCTION("""COMPUTED_VALUE""")," গাংনী")</f>
        <v> গাংনী</v>
      </c>
      <c r="K397" s="5" t="str">
        <f>IFERROR(__xludf.DUMMYFUNCTION("""COMPUTED_VALUE""")," মেহেরপুর")</f>
        <v> মেহেরপুর</v>
      </c>
    </row>
    <row r="398">
      <c r="A398" s="7" t="s">
        <v>7550</v>
      </c>
      <c r="B398" s="5">
        <f>IFERROR(__xludf.DUMMYFUNCTION("SPLIT(A398,"","")"),1670.0)</f>
        <v>1670</v>
      </c>
      <c r="C398" s="5" t="str">
        <f>IFERROR(__xludf.DUMMYFUNCTION("""COMPUTED_VALUE"""),"নাম: মো: মিয়ারুল ইসলাম")</f>
        <v>নাম: মো: মিয়ারুল ইসলাম</v>
      </c>
      <c r="D398" s="5" t="str">
        <f>IFERROR(__xludf.DUMMYFUNCTION("""COMPUTED_VALUE"""),"ভোটার নং: ৫৭০০৩৮০০০১১২")</f>
        <v>ভোটার নং: ৫৭০০৩৮০০০১১২</v>
      </c>
      <c r="E398" s="5" t="str">
        <f>IFERROR(__xludf.DUMMYFUNCTION("""COMPUTED_VALUE"""),"পিতা: মো: মোজাম্মেল হক")</f>
        <v>পিতা: মো: মোজাম্মেল হক</v>
      </c>
      <c r="F398" s="5" t="str">
        <f>IFERROR(__xludf.DUMMYFUNCTION("""COMPUTED_VALUE"""),"মাতা: মোছা: নেছারন খাতুন")</f>
        <v>মাতা: মোছা: নেছারন খাতুন</v>
      </c>
      <c r="G398" s="5" t="str">
        <f>IFERROR(__xludf.DUMMYFUNCTION("""COMPUTED_VALUE"""),"জন্ম তারিখ: ১৬/০২/১৯৯১")</f>
        <v>জন্ম তারিখ: ১৬/০২/১৯৯১</v>
      </c>
      <c r="H398" s="5" t="str">
        <f>IFERROR(__xludf.DUMMYFUNCTION("""COMPUTED_VALUE"""),"পেশা: ব্যবসা")</f>
        <v>পেশা: ব্যবসা</v>
      </c>
      <c r="I398" s="5" t="str">
        <f>IFERROR(__xludf.DUMMYFUNCTION("""COMPUTED_VALUE"""),"ঠিকানা: গাড়াবোব")</f>
        <v>ঠিকানা: গাড়াবোব</v>
      </c>
      <c r="J398" s="5" t="str">
        <f>IFERROR(__xludf.DUMMYFUNCTION("""COMPUTED_VALUE""")," গাংনী")</f>
        <v> গাংনী</v>
      </c>
      <c r="K398" s="5" t="str">
        <f>IFERROR(__xludf.DUMMYFUNCTION("""COMPUTED_VALUE""")," মেহেরপুর")</f>
        <v> মেহেরপুর</v>
      </c>
    </row>
    <row r="399">
      <c r="A399" s="7" t="s">
        <v>7551</v>
      </c>
      <c r="B399" s="5">
        <f>IFERROR(__xludf.DUMMYFUNCTION("SPLIT(A399,"","")"),1671.0)</f>
        <v>1671</v>
      </c>
      <c r="C399" s="5" t="str">
        <f>IFERROR(__xludf.DUMMYFUNCTION("""COMPUTED_VALUE"""),"নাম: মো: শাহিন আলী")</f>
        <v>নাম: মো: শাহিন আলী</v>
      </c>
      <c r="D399" s="5" t="str">
        <f>IFERROR(__xludf.DUMMYFUNCTION("""COMPUTED_VALUE"""),"ভোটার নং: ৫৭০০৩৮০০০১১৩")</f>
        <v>ভোটার নং: ৫৭০০৩৮০০০১১৩</v>
      </c>
      <c r="E399" s="5" t="str">
        <f>IFERROR(__xludf.DUMMYFUNCTION("""COMPUTED_VALUE"""),"পিতা: মো: সামসুজ্জোহা")</f>
        <v>পিতা: মো: সামসুজ্জোহা</v>
      </c>
      <c r="F399" s="5" t="str">
        <f>IFERROR(__xludf.DUMMYFUNCTION("""COMPUTED_VALUE"""),"মাতা: শামসুন্নাহার")</f>
        <v>মাতা: শামসুন্নাহার</v>
      </c>
      <c r="G399" s="5" t="str">
        <f>IFERROR(__xludf.DUMMYFUNCTION("""COMPUTED_VALUE"""),"জন্ম তারিখ: ২০/০২/১৯৮৮")</f>
        <v>জন্ম তারিখ: ২০/০২/১৯৮৮</v>
      </c>
      <c r="H399" s="5" t="str">
        <f>IFERROR(__xludf.DUMMYFUNCTION("""COMPUTED_VALUE"""),"পেশা: ড্রাইভার")</f>
        <v>পেশা: ড্রাইভার</v>
      </c>
      <c r="I399" s="5" t="str">
        <f>IFERROR(__xludf.DUMMYFUNCTION("""COMPUTED_VALUE"""),"ঠিকানা: গাড়াবোব")</f>
        <v>ঠিকানা: গাড়াবোব</v>
      </c>
      <c r="J399" s="5" t="str">
        <f>IFERROR(__xludf.DUMMYFUNCTION("""COMPUTED_VALUE""")," গাংনী")</f>
        <v> গাংনী</v>
      </c>
      <c r="K399" s="5" t="str">
        <f>IFERROR(__xludf.DUMMYFUNCTION("""COMPUTED_VALUE""")," মেহেরপুর")</f>
        <v> মেহেরপুর</v>
      </c>
    </row>
    <row r="400">
      <c r="A400" s="7" t="s">
        <v>7552</v>
      </c>
      <c r="B400" s="5">
        <f>IFERROR(__xludf.DUMMYFUNCTION("SPLIT(A400,"","")"),1672.0)</f>
        <v>1672</v>
      </c>
      <c r="C400" s="5" t="str">
        <f>IFERROR(__xludf.DUMMYFUNCTION("""COMPUTED_VALUE"""),"নাম: মো: একরামুল হোসেন")</f>
        <v>নাম: মো: একরামুল হোসেন</v>
      </c>
      <c r="D400" s="5" t="str">
        <f>IFERROR(__xludf.DUMMYFUNCTION("""COMPUTED_VALUE"""),"ভোটার নং: ৫৭০০৩৮০০০১১৫")</f>
        <v>ভোটার নং: ৫৭০০৩৮০০০১১৫</v>
      </c>
      <c r="E400" s="5" t="str">
        <f>IFERROR(__xludf.DUMMYFUNCTION("""COMPUTED_VALUE"""),"পিতা: নুর ইসলাম")</f>
        <v>পিতা: নুর ইসলাম</v>
      </c>
      <c r="F400" s="5" t="str">
        <f>IFERROR(__xludf.DUMMYFUNCTION("""COMPUTED_VALUE"""),"মাতা: রুমিয়া খাতুন")</f>
        <v>মাতা: রুমিয়া খাতুন</v>
      </c>
      <c r="G400" s="5" t="str">
        <f>IFERROR(__xludf.DUMMYFUNCTION("""COMPUTED_VALUE"""),"জন্ম তারিখ: ০৩/০২/১৯৯১")</f>
        <v>জন্ম তারিখ: ০৩/০২/১৯৯১</v>
      </c>
      <c r="H400" s="5" t="str">
        <f>IFERROR(__xludf.DUMMYFUNCTION("""COMPUTED_VALUE"""),"পেশা: কৃষক")</f>
        <v>পেশা: কৃষক</v>
      </c>
      <c r="I400" s="5" t="str">
        <f>IFERROR(__xludf.DUMMYFUNCTION("""COMPUTED_VALUE"""),"ঠিকানা: গাড়াবোব")</f>
        <v>ঠিকানা: গাড়াবোব</v>
      </c>
      <c r="J400" s="5" t="str">
        <f>IFERROR(__xludf.DUMMYFUNCTION("""COMPUTED_VALUE""")," গাংনী")</f>
        <v> গাংনী</v>
      </c>
      <c r="K400" s="5" t="str">
        <f>IFERROR(__xludf.DUMMYFUNCTION("""COMPUTED_VALUE""")," মেহেরপুর")</f>
        <v> মেহেরপুর</v>
      </c>
    </row>
    <row r="401">
      <c r="A401" s="7" t="s">
        <v>7553</v>
      </c>
      <c r="B401" s="5">
        <f>IFERROR(__xludf.DUMMYFUNCTION("SPLIT(A401,"","")"),1673.0)</f>
        <v>1673</v>
      </c>
      <c r="C401" s="5" t="str">
        <f>IFERROR(__xludf.DUMMYFUNCTION("""COMPUTED_VALUE"""),"নাম: মো: সোহেল রানা")</f>
        <v>নাম: মো: সোহেল রানা</v>
      </c>
      <c r="D401" s="5" t="str">
        <f>IFERROR(__xludf.DUMMYFUNCTION("""COMPUTED_VALUE"""),"ভোটার নং: ৫৭০০৩৮০০০১১৬")</f>
        <v>ভোটার নং: ৫৭০০৩৮০০০১১৬</v>
      </c>
      <c r="E401" s="5" t="str">
        <f>IFERROR(__xludf.DUMMYFUNCTION("""COMPUTED_VALUE"""),"পিতা: মো: বিনার বক্স")</f>
        <v>পিতা: মো: বিনার বক্স</v>
      </c>
      <c r="F401" s="5" t="str">
        <f>IFERROR(__xludf.DUMMYFUNCTION("""COMPUTED_VALUE"""),"মাতা: মোছা: সুফিয়া খাতুন")</f>
        <v>মাতা: মোছা: সুফিয়া খাতুন</v>
      </c>
      <c r="G401" s="5" t="str">
        <f>IFERROR(__xludf.DUMMYFUNCTION("""COMPUTED_VALUE"""),"জন্ম তারিখ: ০২/০৪/১৯৯০")</f>
        <v>জন্ম তারিখ: ০২/০৪/১৯৯০</v>
      </c>
      <c r="H401" s="5" t="str">
        <f>IFERROR(__xludf.DUMMYFUNCTION("""COMPUTED_VALUE"""),"পেশা: কৃষক")</f>
        <v>পেশা: কৃষক</v>
      </c>
      <c r="I401" s="5" t="str">
        <f>IFERROR(__xludf.DUMMYFUNCTION("""COMPUTED_VALUE"""),"ঠিকানা: গাড়াবোব")</f>
        <v>ঠিকানা: গাড়াবোব</v>
      </c>
      <c r="J401" s="5" t="str">
        <f>IFERROR(__xludf.DUMMYFUNCTION("""COMPUTED_VALUE""")," গাংনী")</f>
        <v> গাংনী</v>
      </c>
      <c r="K401" s="5" t="str">
        <f>IFERROR(__xludf.DUMMYFUNCTION("""COMPUTED_VALUE""")," মেহেরপুর")</f>
        <v> মেহেরপুর</v>
      </c>
    </row>
    <row r="402">
      <c r="A402" s="7" t="s">
        <v>7554</v>
      </c>
      <c r="B402" s="5">
        <f>IFERROR(__xludf.DUMMYFUNCTION("SPLIT(A402,"","")"),1674.0)</f>
        <v>1674</v>
      </c>
      <c r="C402" s="5" t="str">
        <f>IFERROR(__xludf.DUMMYFUNCTION("""COMPUTED_VALUE"""),"নাম: মো: মিঠুন")</f>
        <v>নাম: মো: মিঠুন</v>
      </c>
      <c r="D402" s="5" t="str">
        <f>IFERROR(__xludf.DUMMYFUNCTION("""COMPUTED_VALUE"""),"ভোটার নং: ৫৭০০৩৮০০০১১৭")</f>
        <v>ভোটার নং: ৫৭০০৩৮০০০১১৭</v>
      </c>
      <c r="E402" s="5" t="str">
        <f>IFERROR(__xludf.DUMMYFUNCTION("""COMPUTED_VALUE"""),"পিতা: মো: জসিম আলী")</f>
        <v>পিতা: মো: জসিম আলী</v>
      </c>
      <c r="F402" s="5" t="str">
        <f>IFERROR(__xludf.DUMMYFUNCTION("""COMPUTED_VALUE"""),"মাতা: মোছা: আকলিমা খাতুন")</f>
        <v>মাতা: মোছা: আকলিমা খাতুন</v>
      </c>
      <c r="G402" s="5" t="str">
        <f>IFERROR(__xludf.DUMMYFUNCTION("""COMPUTED_VALUE"""),"জন্ম তারিখ: ০৪/০৫/১৯৮৮")</f>
        <v>জন্ম তারিখ: ০৪/০৫/১৯৮৮</v>
      </c>
      <c r="H402" s="5" t="str">
        <f>IFERROR(__xludf.DUMMYFUNCTION("""COMPUTED_VALUE"""),"পেশা: কৃষক")</f>
        <v>পেশা: কৃষক</v>
      </c>
      <c r="I402" s="5" t="str">
        <f>IFERROR(__xludf.DUMMYFUNCTION("""COMPUTED_VALUE"""),"ঠিকানা: গাড়াবোব")</f>
        <v>ঠিকানা: গাড়াবোব</v>
      </c>
      <c r="J402" s="5" t="str">
        <f>IFERROR(__xludf.DUMMYFUNCTION("""COMPUTED_VALUE""")," গাংনী")</f>
        <v> গাংনী</v>
      </c>
      <c r="K402" s="5" t="str">
        <f>IFERROR(__xludf.DUMMYFUNCTION("""COMPUTED_VALUE""")," মেহেরপুর")</f>
        <v> মেহেরপুর</v>
      </c>
    </row>
    <row r="403">
      <c r="A403" s="7" t="s">
        <v>7555</v>
      </c>
      <c r="B403" s="5">
        <f>IFERROR(__xludf.DUMMYFUNCTION("SPLIT(A403,"","")"),1675.0)</f>
        <v>1675</v>
      </c>
      <c r="C403" s="5" t="str">
        <f>IFERROR(__xludf.DUMMYFUNCTION("""COMPUTED_VALUE"""),"নাম: মো: লাভলু আকতার")</f>
        <v>নাম: মো: লাভলু আকতার</v>
      </c>
      <c r="D403" s="5" t="str">
        <f>IFERROR(__xludf.DUMMYFUNCTION("""COMPUTED_VALUE"""),"ভোটার নং: ৫৭০০৩৮০০০১১৮")</f>
        <v>ভোটার নং: ৫৭০০৩৮০০০১১৮</v>
      </c>
      <c r="E403" s="5" t="str">
        <f>IFERROR(__xludf.DUMMYFUNCTION("""COMPUTED_VALUE"""),"পিতা: মো: ইউছুফ আলী")</f>
        <v>পিতা: মো: ইউছুফ আলী</v>
      </c>
      <c r="F403" s="5" t="str">
        <f>IFERROR(__xludf.DUMMYFUNCTION("""COMPUTED_VALUE"""),"মাতা: মোছা: মার্জিয়া খাতুন")</f>
        <v>মাতা: মোছা: মার্জিয়া খাতুন</v>
      </c>
      <c r="G403" s="5" t="str">
        <f>IFERROR(__xludf.DUMMYFUNCTION("""COMPUTED_VALUE"""),"জন্ম তারিখ: ০১/০৩/১৯৮৯")</f>
        <v>জন্ম তারিখ: ০১/০৩/১৯৮৯</v>
      </c>
      <c r="H403" s="5" t="str">
        <f>IFERROR(__xludf.DUMMYFUNCTION("""COMPUTED_VALUE"""),"পেশা: কৃষক")</f>
        <v>পেশা: কৃষক</v>
      </c>
      <c r="I403" s="5" t="str">
        <f>IFERROR(__xludf.DUMMYFUNCTION("""COMPUTED_VALUE"""),"ঠিকানা: গাড়াবোব")</f>
        <v>ঠিকানা: গাড়াবোব</v>
      </c>
      <c r="J403" s="5" t="str">
        <f>IFERROR(__xludf.DUMMYFUNCTION("""COMPUTED_VALUE""")," গাংনী")</f>
        <v> গাংনী</v>
      </c>
      <c r="K403" s="5" t="str">
        <f>IFERROR(__xludf.DUMMYFUNCTION("""COMPUTED_VALUE""")," মেহেরপুর")</f>
        <v> মেহেরপুর</v>
      </c>
    </row>
    <row r="404">
      <c r="A404" s="7" t="s">
        <v>7556</v>
      </c>
      <c r="B404" s="5">
        <f>IFERROR(__xludf.DUMMYFUNCTION("SPLIT(A404,"","")"),1676.0)</f>
        <v>1676</v>
      </c>
      <c r="C404" s="5" t="str">
        <f>IFERROR(__xludf.DUMMYFUNCTION("""COMPUTED_VALUE"""),"নাম: মো: রাশিদুল ইসলাম")</f>
        <v>নাম: মো: রাশিদুল ইসলাম</v>
      </c>
      <c r="D404" s="5" t="str">
        <f>IFERROR(__xludf.DUMMYFUNCTION("""COMPUTED_VALUE"""),"ভোটার নং: ৫৭০০৩৮০০০১১৯")</f>
        <v>ভোটার নং: ৫৭০০৩৮০০০১১৯</v>
      </c>
      <c r="E404" s="5" t="str">
        <f>IFERROR(__xludf.DUMMYFUNCTION("""COMPUTED_VALUE"""),"পিতা: মো: শহিদুল ইসলাম")</f>
        <v>পিতা: মো: শহিদুল ইসলাম</v>
      </c>
      <c r="F404" s="5" t="str">
        <f>IFERROR(__xludf.DUMMYFUNCTION("""COMPUTED_VALUE"""),"মাতা: মোছা: ফজিলা খাতুন")</f>
        <v>মাতা: মোছা: ফজিলা খাতুন</v>
      </c>
      <c r="G404" s="5" t="str">
        <f>IFERROR(__xludf.DUMMYFUNCTION("""COMPUTED_VALUE"""),"জন্ম তারিখ: ১৫/০৫/১৯৮৪")</f>
        <v>জন্ম তারিখ: ১৫/০৫/১৯৮৪</v>
      </c>
      <c r="H404" s="5" t="str">
        <f>IFERROR(__xludf.DUMMYFUNCTION("""COMPUTED_VALUE"""),"পেশা: কৃষক")</f>
        <v>পেশা: কৃষক</v>
      </c>
      <c r="I404" s="5" t="str">
        <f>IFERROR(__xludf.DUMMYFUNCTION("""COMPUTED_VALUE"""),"ঠিকানা: গাড়াবোব")</f>
        <v>ঠিকানা: গাড়াবোব</v>
      </c>
      <c r="J404" s="5" t="str">
        <f>IFERROR(__xludf.DUMMYFUNCTION("""COMPUTED_VALUE""")," গাংনী")</f>
        <v> গাংনী</v>
      </c>
      <c r="K404" s="5" t="str">
        <f>IFERROR(__xludf.DUMMYFUNCTION("""COMPUTED_VALUE""")," মেহেরপুর")</f>
        <v> মেহেরপুর</v>
      </c>
    </row>
    <row r="405">
      <c r="A405" s="7" t="s">
        <v>7557</v>
      </c>
      <c r="B405" s="5">
        <f>IFERROR(__xludf.DUMMYFUNCTION("SPLIT(A405,"","")"),1677.0)</f>
        <v>1677</v>
      </c>
      <c r="C405" s="5" t="str">
        <f>IFERROR(__xludf.DUMMYFUNCTION("""COMPUTED_VALUE"""),"নাম: মো: রিপন আলী")</f>
        <v>নাম: মো: রিপন আলী</v>
      </c>
      <c r="D405" s="5" t="str">
        <f>IFERROR(__xludf.DUMMYFUNCTION("""COMPUTED_VALUE"""),"ভোটার নং: ৫৭০০৩৮০০০১২৩")</f>
        <v>ভোটার নং: ৫৭০০৩৮০০০১২৩</v>
      </c>
      <c r="E405" s="5" t="str">
        <f>IFERROR(__xludf.DUMMYFUNCTION("""COMPUTED_VALUE"""),"পিতা: মো: তৈয়ব আলী")</f>
        <v>পিতা: মো: তৈয়ব আলী</v>
      </c>
      <c r="F405" s="5" t="str">
        <f>IFERROR(__xludf.DUMMYFUNCTION("""COMPUTED_VALUE"""),"মাতা: মোছা: আনজিরা খাতুন")</f>
        <v>মাতা: মোছা: আনজিরা খাতুন</v>
      </c>
      <c r="G405" s="5" t="str">
        <f>IFERROR(__xludf.DUMMYFUNCTION("""COMPUTED_VALUE"""),"জন্ম তারিখ: ২৫/১১/১৯৯০")</f>
        <v>জন্ম তারিখ: ২৫/১১/১৯৯০</v>
      </c>
      <c r="H405" s="5" t="str">
        <f>IFERROR(__xludf.DUMMYFUNCTION("""COMPUTED_VALUE"""),"পেশা: ছাত্র/ছাত্রী")</f>
        <v>পেশা: ছাত্র/ছাত্রী</v>
      </c>
      <c r="I405" s="5" t="str">
        <f>IFERROR(__xludf.DUMMYFUNCTION("""COMPUTED_VALUE"""),"ঠিকানা: গাড়াবোব")</f>
        <v>ঠিকানা: গাড়াবোব</v>
      </c>
      <c r="J405" s="5" t="str">
        <f>IFERROR(__xludf.DUMMYFUNCTION("""COMPUTED_VALUE""")," গাংনী")</f>
        <v> গাংনী</v>
      </c>
      <c r="K405" s="5" t="str">
        <f>IFERROR(__xludf.DUMMYFUNCTION("""COMPUTED_VALUE""")," মেহেরপুর")</f>
        <v> মেহেরপুর</v>
      </c>
    </row>
    <row r="406">
      <c r="A406" s="7" t="s">
        <v>7558</v>
      </c>
      <c r="B406" s="5">
        <f>IFERROR(__xludf.DUMMYFUNCTION("SPLIT(A406,"","")"),1678.0)</f>
        <v>1678</v>
      </c>
      <c r="C406" s="5" t="str">
        <f>IFERROR(__xludf.DUMMYFUNCTION("""COMPUTED_VALUE"""),"নাম: মো: ইউসুফ আলী")</f>
        <v>নাম: মো: ইউসুফ আলী</v>
      </c>
      <c r="D406" s="5" t="str">
        <f>IFERROR(__xludf.DUMMYFUNCTION("""COMPUTED_VALUE"""),"ভোটার নং: ৫৭০০৩৮০০০১২৪")</f>
        <v>ভোটার নং: ৫৭০০৩৮০০০১২৪</v>
      </c>
      <c r="E406" s="5" t="str">
        <f>IFERROR(__xludf.DUMMYFUNCTION("""COMPUTED_VALUE"""),"পিতা: মো: হাবিবুর রহমান")</f>
        <v>পিতা: মো: হাবিবুর রহমান</v>
      </c>
      <c r="F406" s="5" t="str">
        <f>IFERROR(__xludf.DUMMYFUNCTION("""COMPUTED_VALUE"""),"মাতা: মোছা: আয়েশা খাতুন")</f>
        <v>মাতা: মোছা: আয়েশা খাতুন</v>
      </c>
      <c r="G406" s="5" t="str">
        <f>IFERROR(__xludf.DUMMYFUNCTION("""COMPUTED_VALUE"""),"জন্ম তারিখ: ১০/১১/১৯৯০")</f>
        <v>জন্ম তারিখ: ১০/১১/১৯৯০</v>
      </c>
      <c r="H406" s="5" t="str">
        <f>IFERROR(__xludf.DUMMYFUNCTION("""COMPUTED_VALUE"""),"পেশা: কৃষক")</f>
        <v>পেশা: কৃষক</v>
      </c>
      <c r="I406" s="5" t="str">
        <f>IFERROR(__xludf.DUMMYFUNCTION("""COMPUTED_VALUE"""),"ঠিকানা: গাড়াবোব")</f>
        <v>ঠিকানা: গাড়াবোব</v>
      </c>
      <c r="J406" s="5" t="str">
        <f>IFERROR(__xludf.DUMMYFUNCTION("""COMPUTED_VALUE""")," গাংনী")</f>
        <v> গাংনী</v>
      </c>
      <c r="K406" s="5" t="str">
        <f>IFERROR(__xludf.DUMMYFUNCTION("""COMPUTED_VALUE""")," মেহেরপুর")</f>
        <v> মেহেরপুর</v>
      </c>
    </row>
    <row r="407">
      <c r="A407" s="7" t="s">
        <v>7559</v>
      </c>
      <c r="B407" s="5">
        <f>IFERROR(__xludf.DUMMYFUNCTION("SPLIT(A407,"","")"),1679.0)</f>
        <v>1679</v>
      </c>
      <c r="C407" s="5" t="str">
        <f>IFERROR(__xludf.DUMMYFUNCTION("""COMPUTED_VALUE"""),"নাম: মো: রকিবুল ইসলাম")</f>
        <v>নাম: মো: রকিবুল ইসলাম</v>
      </c>
      <c r="D407" s="5" t="str">
        <f>IFERROR(__xludf.DUMMYFUNCTION("""COMPUTED_VALUE"""),"ভোটার নং: ৫৭০০৩৮০০০১২৫")</f>
        <v>ভোটার নং: ৫৭০০৩৮০০০১২৫</v>
      </c>
      <c r="E407" s="5" t="str">
        <f>IFERROR(__xludf.DUMMYFUNCTION("""COMPUTED_VALUE"""),"পিতা: মো: রুহুল আমীন")</f>
        <v>পিতা: মো: রুহুল আমীন</v>
      </c>
      <c r="F407" s="5" t="str">
        <f>IFERROR(__xludf.DUMMYFUNCTION("""COMPUTED_VALUE"""),"মাতা: মোছা: রোকয়া খাতুন")</f>
        <v>মাতা: মোছা: রোকয়া খাতুন</v>
      </c>
      <c r="G407" s="5" t="str">
        <f>IFERROR(__xludf.DUMMYFUNCTION("""COMPUTED_VALUE"""),"জন্ম তারিখ: ১৫/০২/১৯৯১")</f>
        <v>জন্ম তারিখ: ১৫/০২/১৯৯১</v>
      </c>
      <c r="H407" s="5" t="str">
        <f>IFERROR(__xludf.DUMMYFUNCTION("""COMPUTED_VALUE"""),"পেশা: ছাত্র/ছাত্রী")</f>
        <v>পেশা: ছাত্র/ছাত্রী</v>
      </c>
      <c r="I407" s="5" t="str">
        <f>IFERROR(__xludf.DUMMYFUNCTION("""COMPUTED_VALUE"""),"ঠিকানা: গাড়াবোব")</f>
        <v>ঠিকানা: গাড়াবোব</v>
      </c>
      <c r="J407" s="5" t="str">
        <f>IFERROR(__xludf.DUMMYFUNCTION("""COMPUTED_VALUE""")," গাংনী")</f>
        <v> গাংনী</v>
      </c>
      <c r="K407" s="5" t="str">
        <f>IFERROR(__xludf.DUMMYFUNCTION("""COMPUTED_VALUE""")," মেহেরপুর")</f>
        <v> মেহেরপুর</v>
      </c>
    </row>
    <row r="408">
      <c r="A408" s="7" t="s">
        <v>7560</v>
      </c>
      <c r="B408" s="5">
        <f>IFERROR(__xludf.DUMMYFUNCTION("SPLIT(A408,"","")"),1680.0)</f>
        <v>1680</v>
      </c>
      <c r="C408" s="5" t="str">
        <f>IFERROR(__xludf.DUMMYFUNCTION("""COMPUTED_VALUE"""),"নাম: মো: আরিফ হোসেন")</f>
        <v>নাম: মো: আরিফ হোসেন</v>
      </c>
      <c r="D408" s="5" t="str">
        <f>IFERROR(__xludf.DUMMYFUNCTION("""COMPUTED_VALUE"""),"ভোটার নং: ৫৭০০৩৮০০০১২৭")</f>
        <v>ভোটার নং: ৫৭০০৩৮০০০১২৭</v>
      </c>
      <c r="E408" s="5" t="str">
        <f>IFERROR(__xludf.DUMMYFUNCTION("""COMPUTED_VALUE"""),"পিতা: মো: রুহুল আমীন")</f>
        <v>পিতা: মো: রুহুল আমীন</v>
      </c>
      <c r="F408" s="5" t="str">
        <f>IFERROR(__xludf.DUMMYFUNCTION("""COMPUTED_VALUE"""),"মাতা: মোছা: তামেশা খাতুন")</f>
        <v>মাতা: মোছা: তামেশা খাতুন</v>
      </c>
      <c r="G408" s="5" t="str">
        <f>IFERROR(__xludf.DUMMYFUNCTION("""COMPUTED_VALUE"""),"জন্ম তারিখ: ০১/০১/১৯৮৯")</f>
        <v>জন্ম তারিখ: ০১/০১/১৯৮৯</v>
      </c>
      <c r="H408" s="5" t="str">
        <f>IFERROR(__xludf.DUMMYFUNCTION("""COMPUTED_VALUE"""),"পেশা: মিস্ত্রী")</f>
        <v>পেশা: মিস্ত্রী</v>
      </c>
      <c r="I408" s="5" t="str">
        <f>IFERROR(__xludf.DUMMYFUNCTION("""COMPUTED_VALUE"""),"ঠিকানা: গাড়াবোব")</f>
        <v>ঠিকানা: গাড়াবোব</v>
      </c>
      <c r="J408" s="5" t="str">
        <f>IFERROR(__xludf.DUMMYFUNCTION("""COMPUTED_VALUE""")," গাংনী")</f>
        <v> গাংনী</v>
      </c>
      <c r="K408" s="5" t="str">
        <f>IFERROR(__xludf.DUMMYFUNCTION("""COMPUTED_VALUE""")," মেহেরপুর")</f>
        <v> মেহেরপুর</v>
      </c>
    </row>
    <row r="409">
      <c r="A409" s="7" t="s">
        <v>7561</v>
      </c>
      <c r="B409" s="5">
        <f>IFERROR(__xludf.DUMMYFUNCTION("SPLIT(A409,"","")"),1681.0)</f>
        <v>1681</v>
      </c>
      <c r="C409" s="5" t="str">
        <f>IFERROR(__xludf.DUMMYFUNCTION("""COMPUTED_VALUE"""),"নাম: মো: ফিরোজ শেখ")</f>
        <v>নাম: মো: ফিরোজ শেখ</v>
      </c>
      <c r="D409" s="5" t="str">
        <f>IFERROR(__xludf.DUMMYFUNCTION("""COMPUTED_VALUE"""),"ভোটার নং: ৫৭০০৩৮০০০১২৯")</f>
        <v>ভোটার নং: ৫৭০০৩৮০০০১২৯</v>
      </c>
      <c r="E409" s="5" t="str">
        <f>IFERROR(__xludf.DUMMYFUNCTION("""COMPUTED_VALUE"""),"পিতা: মো: ছাত্তার শেখ")</f>
        <v>পিতা: মো: ছাত্তার শেখ</v>
      </c>
      <c r="F409" s="5" t="str">
        <f>IFERROR(__xludf.DUMMYFUNCTION("""COMPUTED_VALUE"""),"মাতা: মোছা: ফেরদৌসি খাতুন")</f>
        <v>মাতা: মোছা: ফেরদৌসি খাতুন</v>
      </c>
      <c r="G409" s="5" t="str">
        <f>IFERROR(__xludf.DUMMYFUNCTION("""COMPUTED_VALUE"""),"জন্ম তারিখ: ১১/০৪/১৯৯০")</f>
        <v>জন্ম তারিখ: ১১/০৪/১৯৯০</v>
      </c>
      <c r="H409" s="5" t="str">
        <f>IFERROR(__xludf.DUMMYFUNCTION("""COMPUTED_VALUE"""),"পেশা: কৃষক")</f>
        <v>পেশা: কৃষক</v>
      </c>
      <c r="I409" s="5" t="str">
        <f>IFERROR(__xludf.DUMMYFUNCTION("""COMPUTED_VALUE"""),"ঠিকানা: গাড়াবোব")</f>
        <v>ঠিকানা: গাড়াবোব</v>
      </c>
      <c r="J409" s="5" t="str">
        <f>IFERROR(__xludf.DUMMYFUNCTION("""COMPUTED_VALUE""")," গাংনী")</f>
        <v> গাংনী</v>
      </c>
      <c r="K409" s="5" t="str">
        <f>IFERROR(__xludf.DUMMYFUNCTION("""COMPUTED_VALUE""")," মেহেরপুর")</f>
        <v> মেহেরপুর</v>
      </c>
    </row>
    <row r="410">
      <c r="A410" s="7" t="s">
        <v>7562</v>
      </c>
      <c r="B410" s="5">
        <f>IFERROR(__xludf.DUMMYFUNCTION("SPLIT(A410,"","")"),1682.0)</f>
        <v>1682</v>
      </c>
      <c r="C410" s="5" t="str">
        <f>IFERROR(__xludf.DUMMYFUNCTION("""COMPUTED_VALUE"""),"নাম: মো: জাকির হোসেন")</f>
        <v>নাম: মো: জাকির হোসেন</v>
      </c>
      <c r="D410" s="5" t="str">
        <f>IFERROR(__xludf.DUMMYFUNCTION("""COMPUTED_VALUE"""),"ভোটার নং: ৫৭০০৩৮০০০১৩০")</f>
        <v>ভোটার নং: ৫৭০০৩৮০০০১৩০</v>
      </c>
      <c r="E410" s="5" t="str">
        <f>IFERROR(__xludf.DUMMYFUNCTION("""COMPUTED_VALUE"""),"পিতা: মো: নিহাজ উদ্দীন")</f>
        <v>পিতা: মো: নিহাজ উদ্দীন</v>
      </c>
      <c r="F410" s="5" t="str">
        <f>IFERROR(__xludf.DUMMYFUNCTION("""COMPUTED_VALUE"""),"মাতা: মোছা: জুলেখা খাতুন")</f>
        <v>মাতা: মোছা: জুলেখা খাতুন</v>
      </c>
      <c r="G410" s="5" t="str">
        <f>IFERROR(__xludf.DUMMYFUNCTION("""COMPUTED_VALUE"""),"জন্ম তারিখ: ০৫/০৮/১৯৭৫")</f>
        <v>জন্ম তারিখ: ০৫/০৮/১৯৭৫</v>
      </c>
      <c r="H410" s="5" t="str">
        <f>IFERROR(__xludf.DUMMYFUNCTION("""COMPUTED_VALUE"""),"পেশা: ড্রাইভার")</f>
        <v>পেশা: ড্রাইভার</v>
      </c>
      <c r="I410" s="5" t="str">
        <f>IFERROR(__xludf.DUMMYFUNCTION("""COMPUTED_VALUE"""),"ঠিকানা: গাড়াবোব")</f>
        <v>ঠিকানা: গাড়াবোব</v>
      </c>
      <c r="J410" s="5" t="str">
        <f>IFERROR(__xludf.DUMMYFUNCTION("""COMPUTED_VALUE""")," গাংনী")</f>
        <v> গাংনী</v>
      </c>
      <c r="K410" s="5" t="str">
        <f>IFERROR(__xludf.DUMMYFUNCTION("""COMPUTED_VALUE""")," মেহেরপুর")</f>
        <v> মেহেরপুর</v>
      </c>
    </row>
    <row r="411">
      <c r="A411" s="7" t="s">
        <v>7563</v>
      </c>
      <c r="B411" s="5">
        <f>IFERROR(__xludf.DUMMYFUNCTION("SPLIT(A411,"","")"),1683.0)</f>
        <v>1683</v>
      </c>
      <c r="C411" s="5" t="str">
        <f>IFERROR(__xludf.DUMMYFUNCTION("""COMPUTED_VALUE"""),"নাম: মো: আজিজুল হক")</f>
        <v>নাম: মো: আজিজুল হক</v>
      </c>
      <c r="D411" s="5" t="str">
        <f>IFERROR(__xludf.DUMMYFUNCTION("""COMPUTED_VALUE"""),"ভোটার নং: ৫৭০০৩৮০০০১৩১")</f>
        <v>ভোটার নং: ৫৭০০৩৮০০০১৩১</v>
      </c>
      <c r="E411" s="5" t="str">
        <f>IFERROR(__xludf.DUMMYFUNCTION("""COMPUTED_VALUE"""),"পিতা: মো: আবু ছাত্তার")</f>
        <v>পিতা: মো: আবু ছাত্তার</v>
      </c>
      <c r="F411" s="5" t="str">
        <f>IFERROR(__xludf.DUMMYFUNCTION("""COMPUTED_VALUE"""),"মাতা: জহুরা খাতুন")</f>
        <v>মাতা: জহুরা খাতুন</v>
      </c>
      <c r="G411" s="5" t="str">
        <f>IFERROR(__xludf.DUMMYFUNCTION("""COMPUTED_VALUE"""),"জন্ম তারিখ: ০১/০১/১৯৮৮")</f>
        <v>জন্ম তারিখ: ০১/০১/১৯৮৮</v>
      </c>
      <c r="H411" s="5" t="str">
        <f>IFERROR(__xludf.DUMMYFUNCTION("""COMPUTED_VALUE"""),"পেশা: ব্যবসা")</f>
        <v>পেশা: ব্যবসা</v>
      </c>
      <c r="I411" s="5" t="str">
        <f>IFERROR(__xludf.DUMMYFUNCTION("""COMPUTED_VALUE"""),"ঠিকানা: গাড়াবোব")</f>
        <v>ঠিকানা: গাড়াবোব</v>
      </c>
      <c r="J411" s="5" t="str">
        <f>IFERROR(__xludf.DUMMYFUNCTION("""COMPUTED_VALUE""")," গাংনী")</f>
        <v> গাংনী</v>
      </c>
      <c r="K411" s="5" t="str">
        <f>IFERROR(__xludf.DUMMYFUNCTION("""COMPUTED_VALUE""")," মেহেরপুর")</f>
        <v> মেহেরপুর</v>
      </c>
    </row>
    <row r="412">
      <c r="A412" s="7" t="s">
        <v>7564</v>
      </c>
      <c r="B412" s="5">
        <f>IFERROR(__xludf.DUMMYFUNCTION("SPLIT(A412,"","")"),1684.0)</f>
        <v>1684</v>
      </c>
      <c r="C412" s="5" t="str">
        <f>IFERROR(__xludf.DUMMYFUNCTION("""COMPUTED_VALUE"""),"নাম: মো: মাসুম আলী")</f>
        <v>নাম: মো: মাসুম আলী</v>
      </c>
      <c r="D412" s="5" t="str">
        <f>IFERROR(__xludf.DUMMYFUNCTION("""COMPUTED_VALUE"""),"ভোটার নং: ৫৭০০৩৮০০০১৩২")</f>
        <v>ভোটার নং: ৫৭০০৩৮০০০১৩২</v>
      </c>
      <c r="E412" s="5" t="str">
        <f>IFERROR(__xludf.DUMMYFUNCTION("""COMPUTED_VALUE"""),"পিতা: মো: আলাউদ্দিন")</f>
        <v>পিতা: মো: আলাউদ্দিন</v>
      </c>
      <c r="F412" s="5" t="str">
        <f>IFERROR(__xludf.DUMMYFUNCTION("""COMPUTED_VALUE"""),"মাতা: মোছা: মাসুদা খাতুন")</f>
        <v>মাতা: মোছা: মাসুদা খাতুন</v>
      </c>
      <c r="G412" s="5" t="str">
        <f>IFERROR(__xludf.DUMMYFUNCTION("""COMPUTED_VALUE"""),"জন্ম তারিখ: ২২/০৭/১৯৯০")</f>
        <v>জন্ম তারিখ: ২২/০৭/১৯৯০</v>
      </c>
      <c r="H412" s="5" t="str">
        <f>IFERROR(__xludf.DUMMYFUNCTION("""COMPUTED_VALUE"""),"পেশা: ছাত্র/ছাত্রী")</f>
        <v>পেশা: ছাত্র/ছাত্রী</v>
      </c>
      <c r="I412" s="5" t="str">
        <f>IFERROR(__xludf.DUMMYFUNCTION("""COMPUTED_VALUE"""),"ঠিকানা: গাড়াবোব")</f>
        <v>ঠিকানা: গাড়াবোব</v>
      </c>
      <c r="J412" s="5" t="str">
        <f>IFERROR(__xludf.DUMMYFUNCTION("""COMPUTED_VALUE""")," গাংনী")</f>
        <v> গাংনী</v>
      </c>
      <c r="K412" s="5" t="str">
        <f>IFERROR(__xludf.DUMMYFUNCTION("""COMPUTED_VALUE""")," মেহেরপুর")</f>
        <v> মেহেরপুর</v>
      </c>
    </row>
    <row r="413">
      <c r="A413" s="7" t="s">
        <v>7565</v>
      </c>
      <c r="B413" s="5">
        <f>IFERROR(__xludf.DUMMYFUNCTION("SPLIT(A413,"","")"),1685.0)</f>
        <v>1685</v>
      </c>
      <c r="C413" s="5" t="str">
        <f>IFERROR(__xludf.DUMMYFUNCTION("""COMPUTED_VALUE"""),"নাম: শ্রী গোপীনাথ শাহা")</f>
        <v>নাম: শ্রী গোপীনাথ শাহা</v>
      </c>
      <c r="D413" s="5" t="str">
        <f>IFERROR(__xludf.DUMMYFUNCTION("""COMPUTED_VALUE"""),"ভোটার নং: ৫৭০০৩৮০০০১৩৩")</f>
        <v>ভোটার নং: ৫৭০০৩৮০০০১৩৩</v>
      </c>
      <c r="E413" s="5" t="str">
        <f>IFERROR(__xludf.DUMMYFUNCTION("""COMPUTED_VALUE"""),"পিতা: শ্রী গৌরশাহা")</f>
        <v>পিতা: শ্রী গৌরশাহা</v>
      </c>
      <c r="F413" s="5" t="str">
        <f>IFERROR(__xludf.DUMMYFUNCTION("""COMPUTED_VALUE"""),"মাতা: শ্রীমতি আশালতা")</f>
        <v>মাতা: শ্রীমতি আশালতা</v>
      </c>
      <c r="G413" s="5" t="str">
        <f>IFERROR(__xludf.DUMMYFUNCTION("""COMPUTED_VALUE"""),"জন্ম তারিখ: ১১/১০/১৯৮০")</f>
        <v>জন্ম তারিখ: ১১/১০/১৯৮০</v>
      </c>
      <c r="H413" s="5" t="str">
        <f>IFERROR(__xludf.DUMMYFUNCTION("""COMPUTED_VALUE"""),"পেশা: ব্যবসা")</f>
        <v>পেশা: ব্যবসা</v>
      </c>
      <c r="I413" s="5" t="str">
        <f>IFERROR(__xludf.DUMMYFUNCTION("""COMPUTED_VALUE"""),"ঠিকানা: গাড়াবোব")</f>
        <v>ঠিকানা: গাড়াবোব</v>
      </c>
      <c r="J413" s="5" t="str">
        <f>IFERROR(__xludf.DUMMYFUNCTION("""COMPUTED_VALUE""")," গাংনী")</f>
        <v> গাংনী</v>
      </c>
      <c r="K413" s="5" t="str">
        <f>IFERROR(__xludf.DUMMYFUNCTION("""COMPUTED_VALUE""")," মেহেরপুর")</f>
        <v> মেহেরপুর</v>
      </c>
    </row>
    <row r="414">
      <c r="A414" s="7" t="s">
        <v>7566</v>
      </c>
      <c r="B414" s="5">
        <f>IFERROR(__xludf.DUMMYFUNCTION("SPLIT(A414,"","")"),1686.0)</f>
        <v>1686</v>
      </c>
      <c r="C414" s="5" t="str">
        <f>IFERROR(__xludf.DUMMYFUNCTION("""COMPUTED_VALUE"""),"নাম: মো: হোসেন আলী")</f>
        <v>নাম: মো: হোসেন আলী</v>
      </c>
      <c r="D414" s="5" t="str">
        <f>IFERROR(__xludf.DUMMYFUNCTION("""COMPUTED_VALUE"""),"ভোটার নং: ৫৭০০৩৮০০০১৩৪")</f>
        <v>ভোটার নং: ৫৭০০৩৮০০০১৩৪</v>
      </c>
      <c r="E414" s="5" t="str">
        <f>IFERROR(__xludf.DUMMYFUNCTION("""COMPUTED_VALUE"""),"পিতা: শুকুর আলী")</f>
        <v>পিতা: শুকুর আলী</v>
      </c>
      <c r="F414" s="5" t="str">
        <f>IFERROR(__xludf.DUMMYFUNCTION("""COMPUTED_VALUE"""),"মাতা: মোছা: জবেদা খাতুন")</f>
        <v>মাতা: মোছা: জবেদা খাতুন</v>
      </c>
      <c r="G414" s="5" t="str">
        <f>IFERROR(__xludf.DUMMYFUNCTION("""COMPUTED_VALUE"""),"জন্ম তারিখ: ০৮/০৬/১৯৮৬")</f>
        <v>জন্ম তারিখ: ০৮/০৬/১৯৮৬</v>
      </c>
      <c r="H414" s="5" t="str">
        <f>IFERROR(__xludf.DUMMYFUNCTION("""COMPUTED_VALUE"""),"পেশা: কৃষক")</f>
        <v>পেশা: কৃষক</v>
      </c>
      <c r="I414" s="5" t="str">
        <f>IFERROR(__xludf.DUMMYFUNCTION("""COMPUTED_VALUE"""),"ঠিকানা: গাড়াবোব")</f>
        <v>ঠিকানা: গাড়াবোব</v>
      </c>
      <c r="J414" s="5" t="str">
        <f>IFERROR(__xludf.DUMMYFUNCTION("""COMPUTED_VALUE""")," গাংনী")</f>
        <v> গাংনী</v>
      </c>
      <c r="K414" s="5" t="str">
        <f>IFERROR(__xludf.DUMMYFUNCTION("""COMPUTED_VALUE""")," মেহেরপুর")</f>
        <v> মেহেরপুর</v>
      </c>
    </row>
    <row r="415">
      <c r="A415" s="7" t="s">
        <v>7567</v>
      </c>
      <c r="B415" s="5">
        <f>IFERROR(__xludf.DUMMYFUNCTION("SPLIT(A415,"","")"),1687.0)</f>
        <v>1687</v>
      </c>
      <c r="C415" s="5" t="str">
        <f>IFERROR(__xludf.DUMMYFUNCTION("""COMPUTED_VALUE"""),"নাম: মো: আনছার আলী")</f>
        <v>নাম: মো: আনছার আলী</v>
      </c>
      <c r="D415" s="5" t="str">
        <f>IFERROR(__xludf.DUMMYFUNCTION("""COMPUTED_VALUE"""),"ভোটার নং: ৫৭০০৩৮০০০১৩৫")</f>
        <v>ভোটার নং: ৫৭০০৩৮০০০১৩৫</v>
      </c>
      <c r="E415" s="5" t="str">
        <f>IFERROR(__xludf.DUMMYFUNCTION("""COMPUTED_VALUE"""),"পিতা: মো: আব্দুল মোতালেব")</f>
        <v>পিতা: মো: আব্দুল মোতালেব</v>
      </c>
      <c r="F415" s="5" t="str">
        <f>IFERROR(__xludf.DUMMYFUNCTION("""COMPUTED_VALUE"""),"মাতা: মোছা: আনজুমান আরা")</f>
        <v>মাতা: মোছা: আনজুমান আরা</v>
      </c>
      <c r="G415" s="5" t="str">
        <f>IFERROR(__xludf.DUMMYFUNCTION("""COMPUTED_VALUE"""),"জন্ম তারিখ: ০৫/০১/১৯৯০")</f>
        <v>জন্ম তারিখ: ০৫/০১/১৯৯০</v>
      </c>
      <c r="H415" s="5" t="str">
        <f>IFERROR(__xludf.DUMMYFUNCTION("""COMPUTED_VALUE"""),"পেশা: ছাত্র/ছাত্রী")</f>
        <v>পেশা: ছাত্র/ছাত্রী</v>
      </c>
      <c r="I415" s="5" t="str">
        <f>IFERROR(__xludf.DUMMYFUNCTION("""COMPUTED_VALUE"""),"ঠিকানা: গাড়াবোব")</f>
        <v>ঠিকানা: গাড়াবোব</v>
      </c>
      <c r="J415" s="5" t="str">
        <f>IFERROR(__xludf.DUMMYFUNCTION("""COMPUTED_VALUE""")," গাংনী")</f>
        <v> গাংনী</v>
      </c>
      <c r="K415" s="5" t="str">
        <f>IFERROR(__xludf.DUMMYFUNCTION("""COMPUTED_VALUE""")," মেহেরপুর")</f>
        <v> মেহেরপুর</v>
      </c>
    </row>
    <row r="416">
      <c r="A416" s="7" t="s">
        <v>7568</v>
      </c>
      <c r="B416" s="5">
        <f>IFERROR(__xludf.DUMMYFUNCTION("SPLIT(A416,"","")"),1688.0)</f>
        <v>1688</v>
      </c>
      <c r="C416" s="5" t="str">
        <f>IFERROR(__xludf.DUMMYFUNCTION("""COMPUTED_VALUE"""),"নাম: মো: আহসান হাবিব")</f>
        <v>নাম: মো: আহসান হাবিব</v>
      </c>
      <c r="D416" s="5" t="str">
        <f>IFERROR(__xludf.DUMMYFUNCTION("""COMPUTED_VALUE"""),"ভোটার নং: ৫৭০০৩৮০০০১৩৬")</f>
        <v>ভোটার নং: ৫৭০০৩৮০০০১৩৬</v>
      </c>
      <c r="E416" s="5" t="str">
        <f>IFERROR(__xludf.DUMMYFUNCTION("""COMPUTED_VALUE"""),"পিতা: মো: আব্দুল মোতালেব")</f>
        <v>পিতা: মো: আব্দুল মোতালেব</v>
      </c>
      <c r="F416" s="5" t="str">
        <f>IFERROR(__xludf.DUMMYFUNCTION("""COMPUTED_VALUE"""),"মাতা: মোছা: আনজুমানয়ারা")</f>
        <v>মাতা: মোছা: আনজুমানয়ারা</v>
      </c>
      <c r="G416" s="5" t="str">
        <f>IFERROR(__xludf.DUMMYFUNCTION("""COMPUTED_VALUE"""),"জন্ম তারিখ: ০১/০৩/১৯৯১")</f>
        <v>জন্ম তারিখ: ০১/০৩/১৯৯১</v>
      </c>
      <c r="H416" s="5" t="str">
        <f>IFERROR(__xludf.DUMMYFUNCTION("""COMPUTED_VALUE"""),"পেশা: শ্রমিক")</f>
        <v>পেশা: শ্রমিক</v>
      </c>
      <c r="I416" s="5" t="str">
        <f>IFERROR(__xludf.DUMMYFUNCTION("""COMPUTED_VALUE"""),"ঠিকানা: গাড়াবোব")</f>
        <v>ঠিকানা: গাড়াবোব</v>
      </c>
      <c r="J416" s="5" t="str">
        <f>IFERROR(__xludf.DUMMYFUNCTION("""COMPUTED_VALUE""")," গাংনী")</f>
        <v> গাংনী</v>
      </c>
      <c r="K416" s="5" t="str">
        <f>IFERROR(__xludf.DUMMYFUNCTION("""COMPUTED_VALUE""")," মেহেরপুর")</f>
        <v> মেহেরপুর</v>
      </c>
    </row>
    <row r="417">
      <c r="A417" s="7" t="s">
        <v>7569</v>
      </c>
      <c r="B417" s="5">
        <f>IFERROR(__xludf.DUMMYFUNCTION("SPLIT(A417,"","")"),1689.0)</f>
        <v>1689</v>
      </c>
      <c r="C417" s="5" t="str">
        <f>IFERROR(__xludf.DUMMYFUNCTION("""COMPUTED_VALUE"""),"নাম: মো: মাহাফুজুর রহমান")</f>
        <v>নাম: মো: মাহাফুজুর রহমান</v>
      </c>
      <c r="D417" s="5" t="str">
        <f>IFERROR(__xludf.DUMMYFUNCTION("""COMPUTED_VALUE"""),"ভোটার নং: ৫৭০০৩৮০০০১৩৭")</f>
        <v>ভোটার নং: ৫৭০০৩৮০০০১৩৭</v>
      </c>
      <c r="E417" s="5" t="str">
        <f>IFERROR(__xludf.DUMMYFUNCTION("""COMPUTED_VALUE"""),"পিতা: মো: আদম আলি")</f>
        <v>পিতা: মো: আদম আলি</v>
      </c>
      <c r="F417" s="5" t="str">
        <f>IFERROR(__xludf.DUMMYFUNCTION("""COMPUTED_VALUE"""),"মাতা: মোছা: মমতাজ বেগম")</f>
        <v>মাতা: মোছা: মমতাজ বেগম</v>
      </c>
      <c r="G417" s="5" t="str">
        <f>IFERROR(__xludf.DUMMYFUNCTION("""COMPUTED_VALUE"""),"জন্ম তারিখ: ২৫/০৬/১৯৯১")</f>
        <v>জন্ম তারিখ: ২৫/০৬/১৯৯১</v>
      </c>
      <c r="H417" s="5" t="str">
        <f>IFERROR(__xludf.DUMMYFUNCTION("""COMPUTED_VALUE"""),"পেশা: ছাত্র/ছাত্রী")</f>
        <v>পেশা: ছাত্র/ছাত্রী</v>
      </c>
      <c r="I417" s="5" t="str">
        <f>IFERROR(__xludf.DUMMYFUNCTION("""COMPUTED_VALUE"""),"ঠিকানা: গাড়াবোব")</f>
        <v>ঠিকানা: গাড়াবোব</v>
      </c>
      <c r="J417" s="5" t="str">
        <f>IFERROR(__xludf.DUMMYFUNCTION("""COMPUTED_VALUE""")," গাংনী")</f>
        <v> গাংনী</v>
      </c>
      <c r="K417" s="5" t="str">
        <f>IFERROR(__xludf.DUMMYFUNCTION("""COMPUTED_VALUE""")," মেহেরপুর")</f>
        <v> মেহেরপুর</v>
      </c>
    </row>
    <row r="418">
      <c r="A418" s="7" t="s">
        <v>7570</v>
      </c>
      <c r="B418" s="5">
        <f>IFERROR(__xludf.DUMMYFUNCTION("SPLIT(A418,"","")"),1690.0)</f>
        <v>1690</v>
      </c>
      <c r="C418" s="5" t="str">
        <f>IFERROR(__xludf.DUMMYFUNCTION("""COMPUTED_VALUE"""),"নাম: মো: ফরহাদ হোসেন")</f>
        <v>নাম: মো: ফরহাদ হোসেন</v>
      </c>
      <c r="D418" s="5" t="str">
        <f>IFERROR(__xludf.DUMMYFUNCTION("""COMPUTED_VALUE"""),"ভোটার নং: ৫৭০০৩৮০০০১৩৮")</f>
        <v>ভোটার নং: ৫৭০০৩৮০০০১৩৮</v>
      </c>
      <c r="E418" s="5" t="str">
        <f>IFERROR(__xludf.DUMMYFUNCTION("""COMPUTED_VALUE"""),"পিতা: মো: নছির উদ্দীন")</f>
        <v>পিতা: মো: নছির উদ্দীন</v>
      </c>
      <c r="F418" s="5" t="str">
        <f>IFERROR(__xludf.DUMMYFUNCTION("""COMPUTED_VALUE"""),"মাতা: মোছা: ফেরদৌসি আক্তার")</f>
        <v>মাতা: মোছা: ফেরদৌসি আক্তার</v>
      </c>
      <c r="G418" s="5" t="str">
        <f>IFERROR(__xludf.DUMMYFUNCTION("""COMPUTED_VALUE"""),"জন্ম তারিখ: ০৫/০৮/১৯৯০")</f>
        <v>জন্ম তারিখ: ০৫/০৮/১৯৯০</v>
      </c>
      <c r="H418" s="5" t="str">
        <f>IFERROR(__xludf.DUMMYFUNCTION("""COMPUTED_VALUE"""),"পেশা: ছাত্র/ছাত্রী")</f>
        <v>পেশা: ছাত্র/ছাত্রী</v>
      </c>
      <c r="I418" s="5" t="str">
        <f>IFERROR(__xludf.DUMMYFUNCTION("""COMPUTED_VALUE"""),"ঠিকানা: গাড়াবোব")</f>
        <v>ঠিকানা: গাড়াবোব</v>
      </c>
      <c r="J418" s="5" t="str">
        <f>IFERROR(__xludf.DUMMYFUNCTION("""COMPUTED_VALUE""")," গাংনী")</f>
        <v> গাংনী</v>
      </c>
      <c r="K418" s="5" t="str">
        <f>IFERROR(__xludf.DUMMYFUNCTION("""COMPUTED_VALUE""")," মেহেরপুর")</f>
        <v> মেহেরপুর</v>
      </c>
    </row>
    <row r="419">
      <c r="A419" s="7" t="s">
        <v>7571</v>
      </c>
      <c r="B419" s="5">
        <f>IFERROR(__xludf.DUMMYFUNCTION("SPLIT(A419,"","")"),1691.0)</f>
        <v>1691</v>
      </c>
      <c r="C419" s="5" t="str">
        <f>IFERROR(__xludf.DUMMYFUNCTION("""COMPUTED_VALUE"""),"নাম: মো: সোহেল রানা")</f>
        <v>নাম: মো: সোহেল রানা</v>
      </c>
      <c r="D419" s="5" t="str">
        <f>IFERROR(__xludf.DUMMYFUNCTION("""COMPUTED_VALUE"""),"ভোটার নং: ৫৭০০৩৮০০০১৪১")</f>
        <v>ভোটার নং: ৫৭০০৩৮০০০১৪১</v>
      </c>
      <c r="E419" s="5" t="str">
        <f>IFERROR(__xludf.DUMMYFUNCTION("""COMPUTED_VALUE"""),"পিতা: মো: আক্কাচ আলী")</f>
        <v>পিতা: মো: আক্কাচ আলী</v>
      </c>
      <c r="F419" s="5" t="str">
        <f>IFERROR(__xludf.DUMMYFUNCTION("""COMPUTED_VALUE"""),"মাতা: মোছা: শাহিদা খাতুন")</f>
        <v>মাতা: মোছা: শাহিদা খাতুন</v>
      </c>
      <c r="G419" s="5" t="str">
        <f>IFERROR(__xludf.DUMMYFUNCTION("""COMPUTED_VALUE"""),"জন্ম তারিখ: ০১/০১/১৯৯০")</f>
        <v>জন্ম তারিখ: ০১/০১/১৯৯০</v>
      </c>
      <c r="H419" s="5" t="str">
        <f>IFERROR(__xludf.DUMMYFUNCTION("""COMPUTED_VALUE"""),"পেশা: বেসরকারী চাকুরী")</f>
        <v>পেশা: বেসরকারী চাকুরী</v>
      </c>
      <c r="I419" s="5" t="str">
        <f>IFERROR(__xludf.DUMMYFUNCTION("""COMPUTED_VALUE"""),"ঠিকানা: গাড়াবোব")</f>
        <v>ঠিকানা: গাড়াবোব</v>
      </c>
      <c r="J419" s="5" t="str">
        <f>IFERROR(__xludf.DUMMYFUNCTION("""COMPUTED_VALUE""")," গাংনী")</f>
        <v> গাংনী</v>
      </c>
      <c r="K419" s="5" t="str">
        <f>IFERROR(__xludf.DUMMYFUNCTION("""COMPUTED_VALUE""")," মেহেরপুর")</f>
        <v> মেহেরপুর</v>
      </c>
    </row>
    <row r="420">
      <c r="A420" s="7" t="s">
        <v>7572</v>
      </c>
      <c r="B420" s="5">
        <f>IFERROR(__xludf.DUMMYFUNCTION("SPLIT(A420,"","")"),1692.0)</f>
        <v>1692</v>
      </c>
      <c r="C420" s="5" t="str">
        <f>IFERROR(__xludf.DUMMYFUNCTION("""COMPUTED_VALUE"""),"নাম: মো: ইয়াকুব আলী")</f>
        <v>নাম: মো: ইয়াকুব আলী</v>
      </c>
      <c r="D420" s="5" t="str">
        <f>IFERROR(__xludf.DUMMYFUNCTION("""COMPUTED_VALUE"""),"ভোটার নং: ৫৭০০৩৮০০০১৪২")</f>
        <v>ভোটার নং: ৫৭০০৩৮০০০১৪২</v>
      </c>
      <c r="E420" s="5" t="str">
        <f>IFERROR(__xludf.DUMMYFUNCTION("""COMPUTED_VALUE"""),"পিতা: মো: আব্দুল মান্নান")</f>
        <v>পিতা: মো: আব্দুল মান্নান</v>
      </c>
      <c r="F420" s="5" t="str">
        <f>IFERROR(__xludf.DUMMYFUNCTION("""COMPUTED_VALUE"""),"মাতা: মোছা: মাজেদা বেগম")</f>
        <v>মাতা: মোছা: মাজেদা বেগম</v>
      </c>
      <c r="G420" s="5" t="str">
        <f>IFERROR(__xludf.DUMMYFUNCTION("""COMPUTED_VALUE"""),"জন্ম তারিখ: ০১/০১/১৯৯২")</f>
        <v>জন্ম তারিখ: ০১/০১/১৯৯২</v>
      </c>
      <c r="H420" s="5" t="str">
        <f>IFERROR(__xludf.DUMMYFUNCTION("""COMPUTED_VALUE"""),"পেশা: মিস্ত্রী")</f>
        <v>পেশা: মিস্ত্রী</v>
      </c>
      <c r="I420" s="5" t="str">
        <f>IFERROR(__xludf.DUMMYFUNCTION("""COMPUTED_VALUE"""),"ঠিকানা: গাড়াবোব")</f>
        <v>ঠিকানা: গাড়াবোব</v>
      </c>
      <c r="J420" s="5" t="str">
        <f>IFERROR(__xludf.DUMMYFUNCTION("""COMPUTED_VALUE""")," গাংনী")</f>
        <v> গাংনী</v>
      </c>
      <c r="K420" s="5" t="str">
        <f>IFERROR(__xludf.DUMMYFUNCTION("""COMPUTED_VALUE""")," মেহেরপুর")</f>
        <v> মেহেরপুর</v>
      </c>
    </row>
    <row r="421">
      <c r="A421" s="7" t="s">
        <v>7573</v>
      </c>
      <c r="B421" s="5">
        <f>IFERROR(__xludf.DUMMYFUNCTION("SPLIT(A421,"","")"),1693.0)</f>
        <v>1693</v>
      </c>
      <c r="C421" s="5" t="str">
        <f>IFERROR(__xludf.DUMMYFUNCTION("""COMPUTED_VALUE"""),"নাম: মোহা: ফিরোজ আলম")</f>
        <v>নাম: মোহা: ফিরোজ আলম</v>
      </c>
      <c r="D421" s="5" t="str">
        <f>IFERROR(__xludf.DUMMYFUNCTION("""COMPUTED_VALUE"""),"ভোটার নং: ৫৭০০৩৮০০০১৪৩")</f>
        <v>ভোটার নং: ৫৭০০৩৮০০০১৪৩</v>
      </c>
      <c r="E421" s="5" t="str">
        <f>IFERROR(__xludf.DUMMYFUNCTION("""COMPUTED_VALUE"""),"পিতা: মো: আবুল হাশেম")</f>
        <v>পিতা: মো: আবুল হাশেম</v>
      </c>
      <c r="F421" s="5" t="str">
        <f>IFERROR(__xludf.DUMMYFUNCTION("""COMPUTED_VALUE"""),"মাতা: মোছা: মাহমুদা বেগম")</f>
        <v>মাতা: মোছা: মাহমুদা বেগম</v>
      </c>
      <c r="G421" s="5" t="str">
        <f>IFERROR(__xludf.DUMMYFUNCTION("""COMPUTED_VALUE"""),"জন্ম তারিখ: ১৫/০৬/১৯৭৯")</f>
        <v>জন্ম তারিখ: ১৫/০৬/১৯৭৯</v>
      </c>
      <c r="H421" s="5" t="str">
        <f>IFERROR(__xludf.DUMMYFUNCTION("""COMPUTED_VALUE"""),"পেশা: গৃহিনী")</f>
        <v>পেশা: গৃহিনী</v>
      </c>
      <c r="I421" s="5" t="str">
        <f>IFERROR(__xludf.DUMMYFUNCTION("""COMPUTED_VALUE"""),"ঠিকানা: গাড়াবোব")</f>
        <v>ঠিকানা: গাড়াবোব</v>
      </c>
      <c r="J421" s="5" t="str">
        <f>IFERROR(__xludf.DUMMYFUNCTION("""COMPUTED_VALUE""")," গাংনী")</f>
        <v> গাংনী</v>
      </c>
      <c r="K421" s="5" t="str">
        <f>IFERROR(__xludf.DUMMYFUNCTION("""COMPUTED_VALUE""")," মেহেরপুর")</f>
        <v> মেহেরপুর</v>
      </c>
    </row>
    <row r="422">
      <c r="A422" s="7" t="s">
        <v>7574</v>
      </c>
      <c r="B422" s="5">
        <f>IFERROR(__xludf.DUMMYFUNCTION("SPLIT(A422,"","")"),1694.0)</f>
        <v>1694</v>
      </c>
      <c r="C422" s="5" t="str">
        <f>IFERROR(__xludf.DUMMYFUNCTION("""COMPUTED_VALUE"""),"নাম: মো: রিপন আলী")</f>
        <v>নাম: মো: রিপন আলী</v>
      </c>
      <c r="D422" s="5" t="str">
        <f>IFERROR(__xludf.DUMMYFUNCTION("""COMPUTED_VALUE"""),"ভোটার নং: ৫৭০০৩৮০০০১৪৫")</f>
        <v>ভোটার নং: ৫৭০০৩৮০০০১৪৫</v>
      </c>
      <c r="E422" s="5" t="str">
        <f>IFERROR(__xludf.DUMMYFUNCTION("""COMPUTED_VALUE"""),"পিতা: মো: নায়েব আলী")</f>
        <v>পিতা: মো: নায়েব আলী</v>
      </c>
      <c r="F422" s="5" t="str">
        <f>IFERROR(__xludf.DUMMYFUNCTION("""COMPUTED_VALUE"""),"মাতা: মোছা: রেণুকা খাতুন")</f>
        <v>মাতা: মোছা: রেণুকা খাতুন</v>
      </c>
      <c r="G422" s="5" t="str">
        <f>IFERROR(__xludf.DUMMYFUNCTION("""COMPUTED_VALUE"""),"জন্ম তারিখ: ০১/০৫/১৯৯০")</f>
        <v>জন্ম তারিখ: ০১/০৫/১৯৯০</v>
      </c>
      <c r="H422" s="5" t="str">
        <f>IFERROR(__xludf.DUMMYFUNCTION("""COMPUTED_VALUE"""),"পেশা: শ্রমিক")</f>
        <v>পেশা: শ্রমিক</v>
      </c>
      <c r="I422" s="5" t="str">
        <f>IFERROR(__xludf.DUMMYFUNCTION("""COMPUTED_VALUE"""),"ঠিকানা: গাড়াবোব")</f>
        <v>ঠিকানা: গাড়াবোব</v>
      </c>
      <c r="J422" s="5" t="str">
        <f>IFERROR(__xludf.DUMMYFUNCTION("""COMPUTED_VALUE""")," গাংনী")</f>
        <v> গাংনী</v>
      </c>
      <c r="K422" s="5" t="str">
        <f>IFERROR(__xludf.DUMMYFUNCTION("""COMPUTED_VALUE""")," মেহেরপুর")</f>
        <v> মেহেরপুর</v>
      </c>
    </row>
    <row r="423">
      <c r="A423" s="7" t="s">
        <v>7575</v>
      </c>
      <c r="B423" s="5">
        <f>IFERROR(__xludf.DUMMYFUNCTION("SPLIT(A423,"","")"),1695.0)</f>
        <v>1695</v>
      </c>
      <c r="C423" s="5" t="str">
        <f>IFERROR(__xludf.DUMMYFUNCTION("""COMPUTED_VALUE"""),"নাম: মো: রিপন আলী")</f>
        <v>নাম: মো: রিপন আলী</v>
      </c>
      <c r="D423" s="5" t="str">
        <f>IFERROR(__xludf.DUMMYFUNCTION("""COMPUTED_VALUE"""),"ভোটার নং: ৫৭০০৩৮০০০১৪৭")</f>
        <v>ভোটার নং: ৫৭০০৩৮০০০১৪৭</v>
      </c>
      <c r="E423" s="5" t="str">
        <f>IFERROR(__xludf.DUMMYFUNCTION("""COMPUTED_VALUE"""),"পিতা: মো: নায়েব আলী")</f>
        <v>পিতা: মো: নায়েব আলী</v>
      </c>
      <c r="F423" s="5" t="str">
        <f>IFERROR(__xludf.DUMMYFUNCTION("""COMPUTED_VALUE"""),"মাতা: মোছা: হাসিনা বেগম")</f>
        <v>মাতা: মোছা: হাসিনা বেগম</v>
      </c>
      <c r="G423" s="5" t="str">
        <f>IFERROR(__xludf.DUMMYFUNCTION("""COMPUTED_VALUE"""),"জন্ম তারিখ: ০১/০১/১৯৯১")</f>
        <v>জন্ম তারিখ: ০১/০১/১৯৯১</v>
      </c>
      <c r="H423" s="5" t="str">
        <f>IFERROR(__xludf.DUMMYFUNCTION("""COMPUTED_VALUE"""),"পেশা: ছাত্র/ছাত্রী")</f>
        <v>পেশা: ছাত্র/ছাত্রী</v>
      </c>
      <c r="I423" s="5" t="str">
        <f>IFERROR(__xludf.DUMMYFUNCTION("""COMPUTED_VALUE"""),"ঠিকানা: গাড়াবোব")</f>
        <v>ঠিকানা: গাড়াবোব</v>
      </c>
      <c r="J423" s="5" t="str">
        <f>IFERROR(__xludf.DUMMYFUNCTION("""COMPUTED_VALUE""")," গাংনী")</f>
        <v> গাংনী</v>
      </c>
      <c r="K423" s="5" t="str">
        <f>IFERROR(__xludf.DUMMYFUNCTION("""COMPUTED_VALUE""")," মেহেরপুর")</f>
        <v> মেহেরপুর</v>
      </c>
    </row>
    <row r="424">
      <c r="A424" s="7" t="s">
        <v>7576</v>
      </c>
      <c r="B424" s="5">
        <f>IFERROR(__xludf.DUMMYFUNCTION("SPLIT(A424,"","")"),1696.0)</f>
        <v>1696</v>
      </c>
      <c r="C424" s="5" t="str">
        <f>IFERROR(__xludf.DUMMYFUNCTION("""COMPUTED_VALUE"""),"নাম: মো: শফিকুল ইসলাম")</f>
        <v>নাম: মো: শফিকুল ইসলাম</v>
      </c>
      <c r="D424" s="5" t="str">
        <f>IFERROR(__xludf.DUMMYFUNCTION("""COMPUTED_VALUE"""),"ভোটার নং: ৫৭০০৩৮০০০১৪৯")</f>
        <v>ভোটার নং: ৫৭০০৩৮০০০১৪৯</v>
      </c>
      <c r="E424" s="5" t="str">
        <f>IFERROR(__xludf.DUMMYFUNCTION("""COMPUTED_VALUE"""),"পিতা: মো: সাহাবুদ্দীন")</f>
        <v>পিতা: মো: সাহাবুদ্দীন</v>
      </c>
      <c r="F424" s="5" t="str">
        <f>IFERROR(__xludf.DUMMYFUNCTION("""COMPUTED_VALUE"""),"মাতা: মোছা: জামেনা খাতুন")</f>
        <v>মাতা: মোছা: জামেনা খাতুন</v>
      </c>
      <c r="G424" s="5" t="str">
        <f>IFERROR(__xludf.DUMMYFUNCTION("""COMPUTED_VALUE"""),"জন্ম তারিখ: ১১/০২/১৯৯১")</f>
        <v>জন্ম তারিখ: ১১/০২/১৯৯১</v>
      </c>
      <c r="H424" s="5" t="str">
        <f>IFERROR(__xludf.DUMMYFUNCTION("""COMPUTED_VALUE"""),"পেশা: ছাত্র/ছাত্রী")</f>
        <v>পেশা: ছাত্র/ছাত্রী</v>
      </c>
      <c r="I424" s="5" t="str">
        <f>IFERROR(__xludf.DUMMYFUNCTION("""COMPUTED_VALUE"""),"ঠিকানা: ""গাড়াবোব")</f>
        <v>ঠিকানা: "গাড়াবোব</v>
      </c>
      <c r="J424" s="5" t="str">
        <f>IFERROR(__xludf.DUMMYFUNCTION("""COMPUTED_VALUE""")," ধানখোলা")</f>
        <v> ধানখোলা</v>
      </c>
      <c r="K424" s="5" t="str">
        <f>IFERROR(__xludf.DUMMYFUNCTION("""COMPUTED_VALUE""")," গাংনী")</f>
        <v> গাংনী</v>
      </c>
      <c r="L424" s="5" t="str">
        <f>IFERROR(__xludf.DUMMYFUNCTION("""COMPUTED_VALUE""")," মেহেরপুর""")</f>
        <v> মেহেরপুর"</v>
      </c>
    </row>
    <row r="425">
      <c r="A425" s="7" t="s">
        <v>7577</v>
      </c>
      <c r="B425" s="5">
        <f>IFERROR(__xludf.DUMMYFUNCTION("SPLIT(A425,"","")"),1697.0)</f>
        <v>1697</v>
      </c>
      <c r="C425" s="5" t="str">
        <f>IFERROR(__xludf.DUMMYFUNCTION("""COMPUTED_VALUE"""),"নাম: মোহা: ইলিয়াস হোসেন")</f>
        <v>নাম: মোহা: ইলিয়াস হোসেন</v>
      </c>
      <c r="D425" s="5" t="str">
        <f>IFERROR(__xludf.DUMMYFUNCTION("""COMPUTED_VALUE"""),"ভোটার নং: ৫৭০০৩৮০০০১৫০")</f>
        <v>ভোটার নং: ৫৭০০৩৮০০০১৫০</v>
      </c>
      <c r="E425" s="5" t="str">
        <f>IFERROR(__xludf.DUMMYFUNCTION("""COMPUTED_VALUE"""),"পিতা: রহমতুল্লাহ")</f>
        <v>পিতা: রহমতুল্লাহ</v>
      </c>
      <c r="F425" s="5" t="str">
        <f>IFERROR(__xludf.DUMMYFUNCTION("""COMPUTED_VALUE"""),"মাতা: মোছা: জাহানারা খাতুন")</f>
        <v>মাতা: মোছা: জাহানারা খাতুন</v>
      </c>
      <c r="G425" s="5" t="str">
        <f>IFERROR(__xludf.DUMMYFUNCTION("""COMPUTED_VALUE"""),"জন্ম তারিখ: ৩০/০৩/১৯৭৫")</f>
        <v>জন্ম তারিখ: ৩০/০৩/১৯৭৫</v>
      </c>
      <c r="H425" s="5" t="str">
        <f>IFERROR(__xludf.DUMMYFUNCTION("""COMPUTED_VALUE"""),"পেশা: ব্যবসা")</f>
        <v>পেশা: ব্যবসা</v>
      </c>
      <c r="I425" s="5" t="str">
        <f>IFERROR(__xludf.DUMMYFUNCTION("""COMPUTED_VALUE"""),"ঠিকানা: গাড়াবোব")</f>
        <v>ঠিকানা: গাড়াবোব</v>
      </c>
      <c r="J425" s="5" t="str">
        <f>IFERROR(__xludf.DUMMYFUNCTION("""COMPUTED_VALUE""")," গাংনী")</f>
        <v> গাংনী</v>
      </c>
      <c r="K425" s="5" t="str">
        <f>IFERROR(__xludf.DUMMYFUNCTION("""COMPUTED_VALUE""")," মেহেরপুর")</f>
        <v> মেহেরপুর</v>
      </c>
    </row>
    <row r="426">
      <c r="A426" s="7" t="s">
        <v>7578</v>
      </c>
      <c r="B426" s="5">
        <f>IFERROR(__xludf.DUMMYFUNCTION("SPLIT(A426,"","")"),1698.0)</f>
        <v>1698</v>
      </c>
      <c r="C426" s="5" t="str">
        <f>IFERROR(__xludf.DUMMYFUNCTION("""COMPUTED_VALUE"""),"নাম: মো: সাইফুল ইসলাম")</f>
        <v>নাম: মো: সাইফুল ইসলাম</v>
      </c>
      <c r="D426" s="5" t="str">
        <f>IFERROR(__xludf.DUMMYFUNCTION("""COMPUTED_VALUE"""),"ভোটার নং: ৫৭০০৩৮০০০১৫৬")</f>
        <v>ভোটার নং: ৫৭০০৩৮০০০১৫৬</v>
      </c>
      <c r="E426" s="5" t="str">
        <f>IFERROR(__xludf.DUMMYFUNCTION("""COMPUTED_VALUE"""),"পিতা: মো: আতাহার আলী")</f>
        <v>পিতা: মো: আতাহার আলী</v>
      </c>
      <c r="F426" s="5" t="str">
        <f>IFERROR(__xludf.DUMMYFUNCTION("""COMPUTED_VALUE"""),"মাতা: মোছা: ফাতেমা খাতুন")</f>
        <v>মাতা: মোছা: ফাতেমা খাতুন</v>
      </c>
      <c r="G426" s="5" t="str">
        <f>IFERROR(__xludf.DUMMYFUNCTION("""COMPUTED_VALUE"""),"জন্ম তারিখ: ২১/১১/১৯৯১")</f>
        <v>জন্ম তারিখ: ২১/১১/১৯৯১</v>
      </c>
      <c r="H426" s="5" t="str">
        <f>IFERROR(__xludf.DUMMYFUNCTION("""COMPUTED_VALUE"""),"পেশা: কৃষক")</f>
        <v>পেশা: কৃষক</v>
      </c>
      <c r="I426" s="5" t="str">
        <f>IFERROR(__xludf.DUMMYFUNCTION("""COMPUTED_VALUE"""),"ঠিকানা: গাড়াবোব")</f>
        <v>ঠিকানা: গাড়াবোব</v>
      </c>
      <c r="J426" s="5" t="str">
        <f>IFERROR(__xludf.DUMMYFUNCTION("""COMPUTED_VALUE""")," গাংনী")</f>
        <v> গাংনী</v>
      </c>
      <c r="K426" s="5" t="str">
        <f>IFERROR(__xludf.DUMMYFUNCTION("""COMPUTED_VALUE""")," মেহেরপুর")</f>
        <v> মেহেরপুর</v>
      </c>
    </row>
    <row r="427">
      <c r="A427" s="7" t="s">
        <v>7579</v>
      </c>
      <c r="B427" s="5">
        <f>IFERROR(__xludf.DUMMYFUNCTION("SPLIT(A427,"","")"),1699.0)</f>
        <v>1699</v>
      </c>
      <c r="C427" s="5" t="str">
        <f>IFERROR(__xludf.DUMMYFUNCTION("""COMPUTED_VALUE"""),"নাম: এস এম আশরাফুজ্জামান")</f>
        <v>নাম: এস এম আশরাফুজ্জামান</v>
      </c>
      <c r="D427" s="5" t="str">
        <f>IFERROR(__xludf.DUMMYFUNCTION("""COMPUTED_VALUE"""),"ভোটার নং: ৫৭০০৩৮০০০১৬০")</f>
        <v>ভোটার নং: ৫৭০০৩৮০০০১৬০</v>
      </c>
      <c r="E427" s="5" t="str">
        <f>IFERROR(__xludf.DUMMYFUNCTION("""COMPUTED_VALUE"""),"পিতা: রিয়াজ উদ্দীন")</f>
        <v>পিতা: রিয়াজ উদ্দীন</v>
      </c>
      <c r="F427" s="5" t="str">
        <f>IFERROR(__xludf.DUMMYFUNCTION("""COMPUTED_VALUE"""),"মাতা: মোহা: শবিকোন নেছা")</f>
        <v>মাতা: মোহা: শবিকোন নেছা</v>
      </c>
      <c r="G427" s="5" t="str">
        <f>IFERROR(__xludf.DUMMYFUNCTION("""COMPUTED_VALUE"""),"জন্ম তারিখ: ২৮/১২/১৯৮২")</f>
        <v>জন্ম তারিখ: ২৮/১২/১৯৮২</v>
      </c>
      <c r="H427" s="5" t="str">
        <f>IFERROR(__xludf.DUMMYFUNCTION("""COMPUTED_VALUE"""),"পেশা: ব্যবসা")</f>
        <v>পেশা: ব্যবসা</v>
      </c>
      <c r="I427" s="5" t="str">
        <f>IFERROR(__xludf.DUMMYFUNCTION("""COMPUTED_VALUE"""),"ঠিকানা: গাড়াবোব")</f>
        <v>ঠিকানা: গাড়াবোব</v>
      </c>
      <c r="J427" s="5" t="str">
        <f>IFERROR(__xludf.DUMMYFUNCTION("""COMPUTED_VALUE""")," গাংনী")</f>
        <v> গাংনী</v>
      </c>
      <c r="K427" s="5" t="str">
        <f>IFERROR(__xludf.DUMMYFUNCTION("""COMPUTED_VALUE""")," মেহেরপুর")</f>
        <v> মেহেরপুর</v>
      </c>
    </row>
    <row r="428">
      <c r="A428" s="7" t="s">
        <v>7580</v>
      </c>
      <c r="B428" s="5">
        <f>IFERROR(__xludf.DUMMYFUNCTION("SPLIT(A428,"","")"),1700.0)</f>
        <v>1700</v>
      </c>
      <c r="C428" s="5" t="str">
        <f>IFERROR(__xludf.DUMMYFUNCTION("""COMPUTED_VALUE"""),"নাম: মো: বেল্টু আহমেদ")</f>
        <v>নাম: মো: বেল্টু আহমেদ</v>
      </c>
      <c r="D428" s="5" t="str">
        <f>IFERROR(__xludf.DUMMYFUNCTION("""COMPUTED_VALUE"""),"ভোটার নং: ৫৭০০৩৮০০০১৬১")</f>
        <v>ভোটার নং: ৫৭০০৩৮০০০১৬১</v>
      </c>
      <c r="E428" s="5" t="str">
        <f>IFERROR(__xludf.DUMMYFUNCTION("""COMPUTED_VALUE"""),"পিতা: মো: কাউসার আলী")</f>
        <v>পিতা: মো: কাউসার আলী</v>
      </c>
      <c r="F428" s="5" t="str">
        <f>IFERROR(__xludf.DUMMYFUNCTION("""COMPUTED_VALUE"""),"মাতা: মোছা: ফিরোজা খাতুন")</f>
        <v>মাতা: মোছা: ফিরোজা খাতুন</v>
      </c>
      <c r="G428" s="5" t="str">
        <f>IFERROR(__xludf.DUMMYFUNCTION("""COMPUTED_VALUE"""),"জন্ম তারিখ: ০৪/০৭/১৯৯১")</f>
        <v>জন্ম তারিখ: ০৪/০৭/১৯৯১</v>
      </c>
      <c r="H428" s="5" t="str">
        <f>IFERROR(__xludf.DUMMYFUNCTION("""COMPUTED_VALUE"""),"পেশা: ব্যবসা")</f>
        <v>পেশা: ব্যবসা</v>
      </c>
      <c r="I428" s="5" t="str">
        <f>IFERROR(__xludf.DUMMYFUNCTION("""COMPUTED_VALUE"""),"ঠিকানা: গাড়াবোব")</f>
        <v>ঠিকানা: গাড়াবোব</v>
      </c>
      <c r="J428" s="5" t="str">
        <f>IFERROR(__xludf.DUMMYFUNCTION("""COMPUTED_VALUE""")," গাংনী")</f>
        <v> গাংনী</v>
      </c>
      <c r="K428" s="5" t="str">
        <f>IFERROR(__xludf.DUMMYFUNCTION("""COMPUTED_VALUE""")," মেহেরপুর")</f>
        <v> মেহেরপুর</v>
      </c>
    </row>
    <row r="429">
      <c r="A429" s="7" t="s">
        <v>7581</v>
      </c>
      <c r="B429" s="5">
        <f>IFERROR(__xludf.DUMMYFUNCTION("SPLIT(A429,"","")"),1701.0)</f>
        <v>1701</v>
      </c>
      <c r="C429" s="5" t="str">
        <f>IFERROR(__xludf.DUMMYFUNCTION("""COMPUTED_VALUE"""),"নাম: মো: আব্দুস সালাম")</f>
        <v>নাম: মো: আব্দুস সালাম</v>
      </c>
      <c r="D429" s="5" t="str">
        <f>IFERROR(__xludf.DUMMYFUNCTION("""COMPUTED_VALUE"""),"ভোটার নং: ৫৭০০৩৮০০০১৬৪")</f>
        <v>ভোটার নং: ৫৭০০৩৮০০০১৬৪</v>
      </c>
      <c r="E429" s="5" t="str">
        <f>IFERROR(__xludf.DUMMYFUNCTION("""COMPUTED_VALUE"""),"পিতা: মো: আজিমুদ্দীন শেখ")</f>
        <v>পিতা: মো: আজিমুদ্দীন শেখ</v>
      </c>
      <c r="F429" s="5" t="str">
        <f>IFERROR(__xludf.DUMMYFUNCTION("""COMPUTED_VALUE"""),"মাতা: মোছা: হালিমা বিবি")</f>
        <v>মাতা: মোছা: হালিমা বিবি</v>
      </c>
      <c r="G429" s="5" t="str">
        <f>IFERROR(__xludf.DUMMYFUNCTION("""COMPUTED_VALUE"""),"জন্ম তারিখ: ১২/১০/১৯৮৯")</f>
        <v>জন্ম তারিখ: ১২/১০/১৯৮৯</v>
      </c>
      <c r="H429" s="5" t="str">
        <f>IFERROR(__xludf.DUMMYFUNCTION("""COMPUTED_VALUE"""),"পেশা: কৃষক")</f>
        <v>পেশা: কৃষক</v>
      </c>
      <c r="I429" s="5" t="str">
        <f>IFERROR(__xludf.DUMMYFUNCTION("""COMPUTED_VALUE"""),"ঠিকানা: গাড়াবোব")</f>
        <v>ঠিকানা: গাড়াবোব</v>
      </c>
      <c r="J429" s="5" t="str">
        <f>IFERROR(__xludf.DUMMYFUNCTION("""COMPUTED_VALUE""")," গাংনী")</f>
        <v> গাংনী</v>
      </c>
      <c r="K429" s="5" t="str">
        <f>IFERROR(__xludf.DUMMYFUNCTION("""COMPUTED_VALUE""")," মেহেরপুর")</f>
        <v> মেহেরপুর</v>
      </c>
    </row>
    <row r="430">
      <c r="A430" s="7" t="s">
        <v>7582</v>
      </c>
      <c r="B430" s="5">
        <f>IFERROR(__xludf.DUMMYFUNCTION("SPLIT(A430,"","")"),1702.0)</f>
        <v>1702</v>
      </c>
      <c r="C430" s="5" t="str">
        <f>IFERROR(__xludf.DUMMYFUNCTION("""COMPUTED_VALUE"""),"নাম: মো: ফারুক হোসেন")</f>
        <v>নাম: মো: ফারুক হোসেন</v>
      </c>
      <c r="D430" s="5" t="str">
        <f>IFERROR(__xludf.DUMMYFUNCTION("""COMPUTED_VALUE"""),"ভোটার নং: ৫৭০০৩৮০০০১৬৫")</f>
        <v>ভোটার নং: ৫৭০০৩৮০০০১৬৫</v>
      </c>
      <c r="E430" s="5" t="str">
        <f>IFERROR(__xludf.DUMMYFUNCTION("""COMPUTED_VALUE"""),"পিতা: মো: আবুল কাসেম")</f>
        <v>পিতা: মো: আবুল কাসেম</v>
      </c>
      <c r="F430" s="5" t="str">
        <f>IFERROR(__xludf.DUMMYFUNCTION("""COMPUTED_VALUE"""),"মাতা: মোছা: ফাতেমা খাতুন")</f>
        <v>মাতা: মোছা: ফাতেমা খাতুন</v>
      </c>
      <c r="G430" s="5" t="str">
        <f>IFERROR(__xludf.DUMMYFUNCTION("""COMPUTED_VALUE"""),"জন্ম তারিখ: ১১/০১/১৯৮৮")</f>
        <v>জন্ম তারিখ: ১১/০১/১৯৮৮</v>
      </c>
      <c r="H430" s="5" t="str">
        <f>IFERROR(__xludf.DUMMYFUNCTION("""COMPUTED_VALUE"""),"পেশা: কৃষক")</f>
        <v>পেশা: কৃষক</v>
      </c>
      <c r="I430" s="5" t="str">
        <f>IFERROR(__xludf.DUMMYFUNCTION("""COMPUTED_VALUE"""),"ঠিকানা: গাড়াবোব")</f>
        <v>ঠিকানা: গাড়াবোব</v>
      </c>
      <c r="J430" s="5" t="str">
        <f>IFERROR(__xludf.DUMMYFUNCTION("""COMPUTED_VALUE""")," গাংনী")</f>
        <v> গাংনী</v>
      </c>
      <c r="K430" s="5" t="str">
        <f>IFERROR(__xludf.DUMMYFUNCTION("""COMPUTED_VALUE""")," মেহেরপুর")</f>
        <v> মেহেরপুর</v>
      </c>
    </row>
    <row r="431">
      <c r="A431" s="7" t="s">
        <v>7583</v>
      </c>
      <c r="B431" s="5">
        <f>IFERROR(__xludf.DUMMYFUNCTION("SPLIT(A431,"","")"),1703.0)</f>
        <v>1703</v>
      </c>
      <c r="C431" s="5" t="str">
        <f>IFERROR(__xludf.DUMMYFUNCTION("""COMPUTED_VALUE"""),"নাম: মো: মহিদুল ইসলাম")</f>
        <v>নাম: মো: মহিদুল ইসলাম</v>
      </c>
      <c r="D431" s="5" t="str">
        <f>IFERROR(__xludf.DUMMYFUNCTION("""COMPUTED_VALUE"""),"ভোটার নং: ৫৭০০৩৮০০০১৭৫")</f>
        <v>ভোটার নং: ৫৭০০৩৮০০০১৭৫</v>
      </c>
      <c r="E431" s="5" t="str">
        <f>IFERROR(__xludf.DUMMYFUNCTION("""COMPUTED_VALUE"""),"পিতা: মো: কুদ্দুস শেখ")</f>
        <v>পিতা: মো: কুদ্দুস শেখ</v>
      </c>
      <c r="F431" s="5" t="str">
        <f>IFERROR(__xludf.DUMMYFUNCTION("""COMPUTED_VALUE"""),"মাতা: মোছা: কহিনুর বেগম")</f>
        <v>মাতা: মোছা: কহিনুর বেগম</v>
      </c>
      <c r="G431" s="5" t="str">
        <f>IFERROR(__xludf.DUMMYFUNCTION("""COMPUTED_VALUE"""),"জন্ম তারিখ: ২০/০৫/১৯৮৯")</f>
        <v>জন্ম তারিখ: ২০/০৫/১৯৮৯</v>
      </c>
      <c r="H431" s="5" t="str">
        <f>IFERROR(__xludf.DUMMYFUNCTION("""COMPUTED_VALUE"""),"পেশা: দিনমজুর")</f>
        <v>পেশা: দিনমজুর</v>
      </c>
      <c r="I431" s="5" t="str">
        <f>IFERROR(__xludf.DUMMYFUNCTION("""COMPUTED_VALUE"""),"ঠিকানা: গাড়াবোব")</f>
        <v>ঠিকানা: গাড়াবোব</v>
      </c>
      <c r="J431" s="5" t="str">
        <f>IFERROR(__xludf.DUMMYFUNCTION("""COMPUTED_VALUE""")," গাংনী")</f>
        <v> গাংনী</v>
      </c>
      <c r="K431" s="5" t="str">
        <f>IFERROR(__xludf.DUMMYFUNCTION("""COMPUTED_VALUE""")," মেহেরপুর")</f>
        <v> মেহেরপুর</v>
      </c>
    </row>
    <row r="432">
      <c r="A432" s="7" t="s">
        <v>7584</v>
      </c>
      <c r="B432" s="5">
        <f>IFERROR(__xludf.DUMMYFUNCTION("SPLIT(A432,"","")"),1704.0)</f>
        <v>1704</v>
      </c>
      <c r="C432" s="5" t="str">
        <f>IFERROR(__xludf.DUMMYFUNCTION("""COMPUTED_VALUE"""),"নাম: মো: সুজন আলী")</f>
        <v>নাম: মো: সুজন আলী</v>
      </c>
      <c r="D432" s="5" t="str">
        <f>IFERROR(__xludf.DUMMYFUNCTION("""COMPUTED_VALUE"""),"ভোটার নং: ৫৭০০৩৮০০০১৭৬")</f>
        <v>ভোটার নং: ৫৭০০৩৮০০০১৭৬</v>
      </c>
      <c r="E432" s="5" t="str">
        <f>IFERROR(__xludf.DUMMYFUNCTION("""COMPUTED_VALUE"""),"পিতা: মো: হিবাজ উদ্দীন")</f>
        <v>পিতা: মো: হিবাজ উদ্দীন</v>
      </c>
      <c r="F432" s="5" t="str">
        <f>IFERROR(__xludf.DUMMYFUNCTION("""COMPUTED_VALUE"""),"মাতা: মোছা: তহুরা খাতুন")</f>
        <v>মাতা: মোছা: তহুরা খাতুন</v>
      </c>
      <c r="G432" s="5" t="str">
        <f>IFERROR(__xludf.DUMMYFUNCTION("""COMPUTED_VALUE"""),"জন্ম তারিখ: ১৬/১০/১৯৯০")</f>
        <v>জন্ম তারিখ: ১৬/১০/১৯৯০</v>
      </c>
      <c r="H432" s="5" t="str">
        <f>IFERROR(__xludf.DUMMYFUNCTION("""COMPUTED_VALUE"""),"পেশা: শ্রমিক")</f>
        <v>পেশা: শ্রমিক</v>
      </c>
      <c r="I432" s="5" t="str">
        <f>IFERROR(__xludf.DUMMYFUNCTION("""COMPUTED_VALUE"""),"ঠিকানা: গাড়াবোব")</f>
        <v>ঠিকানা: গাড়াবোব</v>
      </c>
      <c r="J432" s="5" t="str">
        <f>IFERROR(__xludf.DUMMYFUNCTION("""COMPUTED_VALUE""")," গাংনী")</f>
        <v> গাংনী</v>
      </c>
      <c r="K432" s="5" t="str">
        <f>IFERROR(__xludf.DUMMYFUNCTION("""COMPUTED_VALUE""")," মেহেরপুর")</f>
        <v> মেহেরপুর</v>
      </c>
    </row>
    <row r="433">
      <c r="A433" s="7" t="s">
        <v>7585</v>
      </c>
      <c r="B433" s="5">
        <f>IFERROR(__xludf.DUMMYFUNCTION("SPLIT(A433,"","")"),1705.0)</f>
        <v>1705</v>
      </c>
      <c r="C433" s="5" t="str">
        <f>IFERROR(__xludf.DUMMYFUNCTION("""COMPUTED_VALUE"""),"নাম: মো: রাজিব হোসেন")</f>
        <v>নাম: মো: রাজিব হোসেন</v>
      </c>
      <c r="D433" s="5" t="str">
        <f>IFERROR(__xludf.DUMMYFUNCTION("""COMPUTED_VALUE"""),"ভোটার নং: ৫৭০০৩৮০০০১৭৭")</f>
        <v>ভোটার নং: ৫৭০০৩৮০০০১৭৭</v>
      </c>
      <c r="E433" s="5" t="str">
        <f>IFERROR(__xludf.DUMMYFUNCTION("""COMPUTED_VALUE"""),"পিতা: আইযুব আলী")</f>
        <v>পিতা: আইযুব আলী</v>
      </c>
      <c r="F433" s="5" t="str">
        <f>IFERROR(__xludf.DUMMYFUNCTION("""COMPUTED_VALUE"""),"মাতা: রাবেয়া")</f>
        <v>মাতা: রাবেয়া</v>
      </c>
      <c r="G433" s="5" t="str">
        <f>IFERROR(__xludf.DUMMYFUNCTION("""COMPUTED_VALUE"""),"জন্ম তারিখ: ০৫/০৫/১৯৯১")</f>
        <v>জন্ম তারিখ: ০৫/০৫/১৯৯১</v>
      </c>
      <c r="H433" s="5" t="str">
        <f>IFERROR(__xludf.DUMMYFUNCTION("""COMPUTED_VALUE"""),"পেশা: কৃষক")</f>
        <v>পেশা: কৃষক</v>
      </c>
      <c r="I433" s="5" t="str">
        <f>IFERROR(__xludf.DUMMYFUNCTION("""COMPUTED_VALUE"""),"ঠিকানা: গাড়াবোব")</f>
        <v>ঠিকানা: গাড়াবোব</v>
      </c>
      <c r="J433" s="5" t="str">
        <f>IFERROR(__xludf.DUMMYFUNCTION("""COMPUTED_VALUE""")," গাংনী")</f>
        <v> গাংনী</v>
      </c>
      <c r="K433" s="5" t="str">
        <f>IFERROR(__xludf.DUMMYFUNCTION("""COMPUTED_VALUE""")," মেহেরপুর")</f>
        <v> মেহেরপুর</v>
      </c>
    </row>
    <row r="434">
      <c r="A434" s="7" t="s">
        <v>7586</v>
      </c>
      <c r="B434" s="5">
        <f>IFERROR(__xludf.DUMMYFUNCTION("SPLIT(A434,"","")"),1706.0)</f>
        <v>1706</v>
      </c>
      <c r="C434" s="5" t="str">
        <f>IFERROR(__xludf.DUMMYFUNCTION("""COMPUTED_VALUE"""),"নাম: মো: রাশেদুল ইসলাম")</f>
        <v>নাম: মো: রাশেদুল ইসলাম</v>
      </c>
      <c r="D434" s="5" t="str">
        <f>IFERROR(__xludf.DUMMYFUNCTION("""COMPUTED_VALUE"""),"ভোটার নং: ৫৭০০৩৮০০০১৭৮")</f>
        <v>ভোটার নং: ৫৭০০৩৮০০০১৭৮</v>
      </c>
      <c r="E434" s="5" t="str">
        <f>IFERROR(__xludf.DUMMYFUNCTION("""COMPUTED_VALUE"""),"পিতা: মো: হাফিজুর রহমান")</f>
        <v>পিতা: মো: হাফিজুর রহমান</v>
      </c>
      <c r="F434" s="5" t="str">
        <f>IFERROR(__xludf.DUMMYFUNCTION("""COMPUTED_VALUE"""),"মাতা: মোছা: রাশিদা খাতুন")</f>
        <v>মাতা: মোছা: রাশিদা খাতুন</v>
      </c>
      <c r="G434" s="5" t="str">
        <f>IFERROR(__xludf.DUMMYFUNCTION("""COMPUTED_VALUE"""),"জন্ম তারিখ: ০১/০১/১৯৯১")</f>
        <v>জন্ম তারিখ: ০১/০১/১৯৯১</v>
      </c>
      <c r="H434" s="5" t="str">
        <f>IFERROR(__xludf.DUMMYFUNCTION("""COMPUTED_VALUE"""),"পেশা: কৃষক")</f>
        <v>পেশা: কৃষক</v>
      </c>
      <c r="I434" s="5" t="str">
        <f>IFERROR(__xludf.DUMMYFUNCTION("""COMPUTED_VALUE"""),"ঠিকানা: গাড়াবোব")</f>
        <v>ঠিকানা: গাড়াবোব</v>
      </c>
      <c r="J434" s="5" t="str">
        <f>IFERROR(__xludf.DUMMYFUNCTION("""COMPUTED_VALUE""")," গাংনী")</f>
        <v> গাংনী</v>
      </c>
      <c r="K434" s="5" t="str">
        <f>IFERROR(__xludf.DUMMYFUNCTION("""COMPUTED_VALUE""")," মেহেরপুর")</f>
        <v> মেহেরপুর</v>
      </c>
    </row>
    <row r="435">
      <c r="A435" s="7" t="s">
        <v>7587</v>
      </c>
      <c r="B435" s="5">
        <f>IFERROR(__xludf.DUMMYFUNCTION("SPLIT(A435,"","")"),1707.0)</f>
        <v>1707</v>
      </c>
      <c r="C435" s="5" t="str">
        <f>IFERROR(__xludf.DUMMYFUNCTION("""COMPUTED_VALUE"""),"নাম: মো: আল জিহাদ")</f>
        <v>নাম: মো: আল জিহাদ</v>
      </c>
      <c r="D435" s="5" t="str">
        <f>IFERROR(__xludf.DUMMYFUNCTION("""COMPUTED_VALUE"""),"ভোটার নং: ৫৭০০৩৮০০০১৭৯")</f>
        <v>ভোটার নং: ৫৭০০৩৮০০০১৭৯</v>
      </c>
      <c r="E435" s="5" t="str">
        <f>IFERROR(__xludf.DUMMYFUNCTION("""COMPUTED_VALUE"""),"পিতা: মো: আতিয়ার রহমান")</f>
        <v>পিতা: মো: আতিয়ার রহমান</v>
      </c>
      <c r="F435" s="5" t="str">
        <f>IFERROR(__xludf.DUMMYFUNCTION("""COMPUTED_VALUE"""),"মাতা: মোছা: তাছলিমা খাতুন")</f>
        <v>মাতা: মোছা: তাছলিমা খাতুন</v>
      </c>
      <c r="G435" s="5" t="str">
        <f>IFERROR(__xludf.DUMMYFUNCTION("""COMPUTED_VALUE"""),"জন্ম তারিখ: ২৫/১২/১৯৯১")</f>
        <v>জন্ম তারিখ: ২৫/১২/১৯৯১</v>
      </c>
      <c r="H435" s="5" t="str">
        <f>IFERROR(__xludf.DUMMYFUNCTION("""COMPUTED_VALUE"""),"পেশা: ছাত্র/ছাত্রী")</f>
        <v>পেশা: ছাত্র/ছাত্রী</v>
      </c>
      <c r="I435" s="5" t="str">
        <f>IFERROR(__xludf.DUMMYFUNCTION("""COMPUTED_VALUE"""),"ঠিকানা: ""বাঁশবাড়ীয়া")</f>
        <v>ঠিকানা: "বাঁশবাড়ীয়া</v>
      </c>
      <c r="J435" s="5" t="str">
        <f>IFERROR(__xludf.DUMMYFUNCTION("""COMPUTED_VALUE""")," গাংনী")</f>
        <v> গাংনী</v>
      </c>
      <c r="K435" s="5" t="str">
        <f>IFERROR(__xludf.DUMMYFUNCTION("""COMPUTED_VALUE""")," মেহেরপুর""")</f>
        <v> মেহেরপুর"</v>
      </c>
    </row>
    <row r="436">
      <c r="A436" s="7" t="s">
        <v>7588</v>
      </c>
      <c r="B436" s="5">
        <f>IFERROR(__xludf.DUMMYFUNCTION("SPLIT(A436,"","")"),1708.0)</f>
        <v>1708</v>
      </c>
      <c r="C436" s="5" t="str">
        <f>IFERROR(__xludf.DUMMYFUNCTION("""COMPUTED_VALUE"""),"নাম: মো: শাহিদুর রহমান জসিম")</f>
        <v>নাম: মো: শাহিদুর রহমান জসিম</v>
      </c>
      <c r="D436" s="5" t="str">
        <f>IFERROR(__xludf.DUMMYFUNCTION("""COMPUTED_VALUE"""),"ভোটার নং: ৫৭০০৩৮০০০১৮১")</f>
        <v>ভোটার নং: ৫৭০০৩৮০০০১৮১</v>
      </c>
      <c r="E436" s="5" t="str">
        <f>IFERROR(__xludf.DUMMYFUNCTION("""COMPUTED_VALUE"""),"পিতা: খলিলুর রহমান")</f>
        <v>পিতা: খলিলুর রহমান</v>
      </c>
      <c r="F436" s="5" t="str">
        <f>IFERROR(__xludf.DUMMYFUNCTION("""COMPUTED_VALUE"""),"মাতা: মোছা: জহুরা খাতুন")</f>
        <v>মাতা: মোছা: জহুরা খাতুন</v>
      </c>
      <c r="G436" s="5" t="str">
        <f>IFERROR(__xludf.DUMMYFUNCTION("""COMPUTED_VALUE"""),"জন্ম তারিখ: ১২/১০/১৯৯০")</f>
        <v>জন্ম তারিখ: ১২/১০/১৯৯০</v>
      </c>
      <c r="H436" s="5" t="str">
        <f>IFERROR(__xludf.DUMMYFUNCTION("""COMPUTED_VALUE"""),"পেশা: কৃষক")</f>
        <v>পেশা: কৃষক</v>
      </c>
      <c r="I436" s="5" t="str">
        <f>IFERROR(__xludf.DUMMYFUNCTION("""COMPUTED_VALUE"""),"ঠিকানা: গাড়াবোব")</f>
        <v>ঠিকানা: গাড়াবোব</v>
      </c>
      <c r="J436" s="5" t="str">
        <f>IFERROR(__xludf.DUMMYFUNCTION("""COMPUTED_VALUE""")," গাংনী")</f>
        <v> গাংনী</v>
      </c>
      <c r="K436" s="5" t="str">
        <f>IFERROR(__xludf.DUMMYFUNCTION("""COMPUTED_VALUE""")," মেহেরপুর")</f>
        <v> মেহেরপুর</v>
      </c>
    </row>
    <row r="437">
      <c r="A437" s="7" t="s">
        <v>7589</v>
      </c>
      <c r="B437" s="5">
        <f>IFERROR(__xludf.DUMMYFUNCTION("SPLIT(A437,"","")"),1709.0)</f>
        <v>1709</v>
      </c>
      <c r="C437" s="5" t="str">
        <f>IFERROR(__xludf.DUMMYFUNCTION("""COMPUTED_VALUE"""),"নাম: মো: ডালিম")</f>
        <v>নাম: মো: ডালিম</v>
      </c>
      <c r="D437" s="5" t="str">
        <f>IFERROR(__xludf.DUMMYFUNCTION("""COMPUTED_VALUE"""),"ভোটার নং: ৫৭০০৩৮০০০১৮২")</f>
        <v>ভোটার নং: ৫৭০০৩৮০০০১৮২</v>
      </c>
      <c r="E437" s="5" t="str">
        <f>IFERROR(__xludf.DUMMYFUNCTION("""COMPUTED_VALUE"""),"পিতা: মো: ইসমাইল হক")</f>
        <v>পিতা: মো: ইসমাইল হক</v>
      </c>
      <c r="F437" s="5" t="str">
        <f>IFERROR(__xludf.DUMMYFUNCTION("""COMPUTED_VALUE"""),"মাতা: মোছা: হামিদা খাতুন")</f>
        <v>মাতা: মোছা: হামিদা খাতুন</v>
      </c>
      <c r="G437" s="5" t="str">
        <f>IFERROR(__xludf.DUMMYFUNCTION("""COMPUTED_VALUE"""),"জন্ম তারিখ: ০৩/০৬/১৯৯০")</f>
        <v>জন্ম তারিখ: ০৩/০৬/১৯৯০</v>
      </c>
      <c r="H437" s="5" t="str">
        <f>IFERROR(__xludf.DUMMYFUNCTION("""COMPUTED_VALUE"""),"পেশা: কৃষক")</f>
        <v>পেশা: কৃষক</v>
      </c>
      <c r="I437" s="5" t="str">
        <f>IFERROR(__xludf.DUMMYFUNCTION("""COMPUTED_VALUE"""),"ঠিকানা: গাড়াবোব")</f>
        <v>ঠিকানা: গাড়াবোব</v>
      </c>
      <c r="J437" s="5" t="str">
        <f>IFERROR(__xludf.DUMMYFUNCTION("""COMPUTED_VALUE""")," গাংনী")</f>
        <v> গাংনী</v>
      </c>
      <c r="K437" s="5" t="str">
        <f>IFERROR(__xludf.DUMMYFUNCTION("""COMPUTED_VALUE""")," মেহেরপুর")</f>
        <v> মেহেরপুর</v>
      </c>
    </row>
    <row r="438">
      <c r="A438" s="7" t="s">
        <v>7590</v>
      </c>
      <c r="B438" s="5">
        <f>IFERROR(__xludf.DUMMYFUNCTION("SPLIT(A438,"","")"),1710.0)</f>
        <v>1710</v>
      </c>
      <c r="C438" s="5" t="str">
        <f>IFERROR(__xludf.DUMMYFUNCTION("""COMPUTED_VALUE"""),"নাম: মো: ইমরান হোসেন")</f>
        <v>নাম: মো: ইমরান হোসেন</v>
      </c>
      <c r="D438" s="5" t="str">
        <f>IFERROR(__xludf.DUMMYFUNCTION("""COMPUTED_VALUE"""),"ভোটার নং: ৫৭০০৩৮০০০১৮৩")</f>
        <v>ভোটার নং: ৫৭০০৩৮০০০১৮৩</v>
      </c>
      <c r="E438" s="5" t="str">
        <f>IFERROR(__xludf.DUMMYFUNCTION("""COMPUTED_VALUE"""),"পিতা: মো: ফারাজুল ইসলাম")</f>
        <v>পিতা: মো: ফারাজুল ইসলাম</v>
      </c>
      <c r="F438" s="5" t="str">
        <f>IFERROR(__xludf.DUMMYFUNCTION("""COMPUTED_VALUE"""),"মাতা: মোছা: নাসিরা খাতুন")</f>
        <v>মাতা: মোছা: নাসিরা খাতুন</v>
      </c>
      <c r="G438" s="5" t="str">
        <f>IFERROR(__xludf.DUMMYFUNCTION("""COMPUTED_VALUE"""),"জন্ম তারিখ: ১০/০৯/১৯৯১")</f>
        <v>জন্ম তারিখ: ১০/০৯/১৯৯১</v>
      </c>
      <c r="H438" s="5" t="str">
        <f>IFERROR(__xludf.DUMMYFUNCTION("""COMPUTED_VALUE"""),"পেশা: ছাত্র/ছাত্রী")</f>
        <v>পেশা: ছাত্র/ছাত্রী</v>
      </c>
      <c r="I438" s="5" t="str">
        <f>IFERROR(__xludf.DUMMYFUNCTION("""COMPUTED_VALUE"""),"ঠিকানা: গাড়াবোব")</f>
        <v>ঠিকানা: গাড়াবোব</v>
      </c>
      <c r="J438" s="5" t="str">
        <f>IFERROR(__xludf.DUMMYFUNCTION("""COMPUTED_VALUE""")," গাংনী")</f>
        <v> গাংনী</v>
      </c>
      <c r="K438" s="5" t="str">
        <f>IFERROR(__xludf.DUMMYFUNCTION("""COMPUTED_VALUE""")," মেহেরপুর")</f>
        <v> মেহেরপুর</v>
      </c>
    </row>
    <row r="439">
      <c r="A439" s="7" t="s">
        <v>7591</v>
      </c>
      <c r="B439" s="5">
        <f>IFERROR(__xludf.DUMMYFUNCTION("SPLIT(A439,"","")"),1711.0)</f>
        <v>1711</v>
      </c>
      <c r="C439" s="5" t="str">
        <f>IFERROR(__xludf.DUMMYFUNCTION("""COMPUTED_VALUE"""),"নাম: মো: ছিপাত উদ্দীন")</f>
        <v>নাম: মো: ছিপাত উদ্দীন</v>
      </c>
      <c r="D439" s="5" t="str">
        <f>IFERROR(__xludf.DUMMYFUNCTION("""COMPUTED_VALUE"""),"ভোটার নং: ৫৭০০৩৮০০০১৮৫")</f>
        <v>ভোটার নং: ৫৭০০৩৮০০০১৮৫</v>
      </c>
      <c r="E439" s="5" t="str">
        <f>IFERROR(__xludf.DUMMYFUNCTION("""COMPUTED_VALUE"""),"পিতা: মো: মাওলাদ হোসেন")</f>
        <v>পিতা: মো: মাওলাদ হোসেন</v>
      </c>
      <c r="F439" s="5" t="str">
        <f>IFERROR(__xludf.DUMMYFUNCTION("""COMPUTED_VALUE"""),"মাতা: মোছা: বাচেনা খাতুন")</f>
        <v>মাতা: মোছা: বাচেনা খাতুন</v>
      </c>
      <c r="G439" s="5" t="str">
        <f>IFERROR(__xludf.DUMMYFUNCTION("""COMPUTED_VALUE"""),"জন্ম তারিখ: ২০/০৮/১৯৯০")</f>
        <v>জন্ম তারিখ: ২০/০৮/১৯৯০</v>
      </c>
      <c r="H439" s="5" t="str">
        <f>IFERROR(__xludf.DUMMYFUNCTION("""COMPUTED_VALUE"""),"পেশা: কৃষক")</f>
        <v>পেশা: কৃষক</v>
      </c>
      <c r="I439" s="5" t="str">
        <f>IFERROR(__xludf.DUMMYFUNCTION("""COMPUTED_VALUE"""),"ঠিকানা: গাড়াবোব")</f>
        <v>ঠিকানা: গাড়াবোব</v>
      </c>
      <c r="J439" s="5" t="str">
        <f>IFERROR(__xludf.DUMMYFUNCTION("""COMPUTED_VALUE""")," গাংনী")</f>
        <v> গাংনী</v>
      </c>
      <c r="K439" s="5" t="str">
        <f>IFERROR(__xludf.DUMMYFUNCTION("""COMPUTED_VALUE""")," মেহেরপুর")</f>
        <v> মেহেরপুর</v>
      </c>
    </row>
    <row r="440">
      <c r="A440" s="7" t="s">
        <v>7592</v>
      </c>
      <c r="B440" s="5">
        <f>IFERROR(__xludf.DUMMYFUNCTION("SPLIT(A440,"","")"),1712.0)</f>
        <v>1712</v>
      </c>
      <c r="C440" s="5" t="str">
        <f>IFERROR(__xludf.DUMMYFUNCTION("""COMPUTED_VALUE"""),"নাম: মো: মিলন")</f>
        <v>নাম: মো: মিলন</v>
      </c>
      <c r="D440" s="5" t="str">
        <f>IFERROR(__xludf.DUMMYFUNCTION("""COMPUTED_VALUE"""),"ভোটার নং: ৫৭০০৩৮০০০১৮৬")</f>
        <v>ভোটার নং: ৫৭০০৩৮০০০১৮৬</v>
      </c>
      <c r="E440" s="5" t="str">
        <f>IFERROR(__xludf.DUMMYFUNCTION("""COMPUTED_VALUE"""),"পিতা: মো: দুলাল শেখ")</f>
        <v>পিতা: মো: দুলাল শেখ</v>
      </c>
      <c r="F440" s="5" t="str">
        <f>IFERROR(__xludf.DUMMYFUNCTION("""COMPUTED_VALUE"""),"মাতা: মোছা: হানেছা খাতুন")</f>
        <v>মাতা: মোছা: হানেছা খাতুন</v>
      </c>
      <c r="G440" s="5" t="str">
        <f>IFERROR(__xludf.DUMMYFUNCTION("""COMPUTED_VALUE"""),"জন্ম তারিখ: ০১/০৫/১৯৯০")</f>
        <v>জন্ম তারিখ: ০১/০৫/১৯৯০</v>
      </c>
      <c r="H440" s="5" t="str">
        <f>IFERROR(__xludf.DUMMYFUNCTION("""COMPUTED_VALUE"""),"পেশা: বেসরকারী চাকুরী")</f>
        <v>পেশা: বেসরকারী চাকুরী</v>
      </c>
      <c r="I440" s="5" t="str">
        <f>IFERROR(__xludf.DUMMYFUNCTION("""COMPUTED_VALUE"""),"ঠিকানা: গাড়াবোব")</f>
        <v>ঠিকানা: গাড়াবোব</v>
      </c>
      <c r="J440" s="5" t="str">
        <f>IFERROR(__xludf.DUMMYFUNCTION("""COMPUTED_VALUE""")," গাংনী")</f>
        <v> গাংনী</v>
      </c>
      <c r="K440" s="5" t="str">
        <f>IFERROR(__xludf.DUMMYFUNCTION("""COMPUTED_VALUE""")," মেহেরপুর")</f>
        <v> মেহেরপুর</v>
      </c>
    </row>
    <row r="441">
      <c r="A441" s="7" t="s">
        <v>7593</v>
      </c>
      <c r="B441" s="5">
        <f>IFERROR(__xludf.DUMMYFUNCTION("SPLIT(A441,"","")"),1713.0)</f>
        <v>1713</v>
      </c>
      <c r="C441" s="5" t="str">
        <f>IFERROR(__xludf.DUMMYFUNCTION("""COMPUTED_VALUE"""),"নাম: মো: মাহমুদুল হাসান")</f>
        <v>নাম: মো: মাহমুদুল হাসান</v>
      </c>
      <c r="D441" s="5" t="str">
        <f>IFERROR(__xludf.DUMMYFUNCTION("""COMPUTED_VALUE"""),"ভোটার নং: ৫৭০০৩৮০০০১৮৯")</f>
        <v>ভোটার নং: ৫৭০০৩৮০০০১৮৯</v>
      </c>
      <c r="E441" s="5" t="str">
        <f>IFERROR(__xludf.DUMMYFUNCTION("""COMPUTED_VALUE"""),"পিতা: মো: আবুল হাশেম")</f>
        <v>পিতা: মো: আবুল হাশেম</v>
      </c>
      <c r="F441" s="5" t="str">
        <f>IFERROR(__xludf.DUMMYFUNCTION("""COMPUTED_VALUE"""),"মাতা: মোছা: মাহমুদা খাতুন")</f>
        <v>মাতা: মোছা: মাহমুদা খাতুন</v>
      </c>
      <c r="G441" s="5" t="str">
        <f>IFERROR(__xludf.DUMMYFUNCTION("""COMPUTED_VALUE"""),"জন্ম তারিখ: ৩০/১১/১৯৯১")</f>
        <v>জন্ম তারিখ: ৩০/১১/১৯৯১</v>
      </c>
      <c r="H441" s="5" t="str">
        <f>IFERROR(__xludf.DUMMYFUNCTION("""COMPUTED_VALUE"""),"পেশা: ছাত্র/ছাত্রী")</f>
        <v>পেশা: ছাত্র/ছাত্রী</v>
      </c>
      <c r="I441" s="5" t="str">
        <f>IFERROR(__xludf.DUMMYFUNCTION("""COMPUTED_VALUE"""),"ঠিকানা: গাড়াবোব")</f>
        <v>ঠিকানা: গাড়াবোব</v>
      </c>
      <c r="J441" s="5" t="str">
        <f>IFERROR(__xludf.DUMMYFUNCTION("""COMPUTED_VALUE""")," গাংনী")</f>
        <v> গাংনী</v>
      </c>
      <c r="K441" s="5" t="str">
        <f>IFERROR(__xludf.DUMMYFUNCTION("""COMPUTED_VALUE""")," মেহেরপুর")</f>
        <v> মেহেরপুর</v>
      </c>
    </row>
    <row r="442">
      <c r="A442" s="7" t="s">
        <v>7594</v>
      </c>
      <c r="B442" s="5">
        <f>IFERROR(__xludf.DUMMYFUNCTION("SPLIT(A442,"","")"),1714.0)</f>
        <v>1714</v>
      </c>
      <c r="C442" s="5" t="str">
        <f>IFERROR(__xludf.DUMMYFUNCTION("""COMPUTED_VALUE"""),"নাম: মো: তারিকুল")</f>
        <v>নাম: মো: তারিকুল</v>
      </c>
      <c r="D442" s="5" t="str">
        <f>IFERROR(__xludf.DUMMYFUNCTION("""COMPUTED_VALUE"""),"ভোটার নং: ৫৭০০৩৮০০০১৯৫")</f>
        <v>ভোটার নং: ৫৭০০৩৮০০০১৯৫</v>
      </c>
      <c r="E442" s="5" t="str">
        <f>IFERROR(__xludf.DUMMYFUNCTION("""COMPUTED_VALUE"""),"পিতা: মো: আ: কুদ্দুস")</f>
        <v>পিতা: মো: আ: কুদ্দুস</v>
      </c>
      <c r="F442" s="5" t="str">
        <f>IFERROR(__xludf.DUMMYFUNCTION("""COMPUTED_VALUE"""),"মাতা: মোছা: আরিফা খাতুন")</f>
        <v>মাতা: মোছা: আরিফা খাতুন</v>
      </c>
      <c r="G442" s="5" t="str">
        <f>IFERROR(__xludf.DUMMYFUNCTION("""COMPUTED_VALUE"""),"জন্ম তারিখ: ০১/০১/১৯৯০")</f>
        <v>জন্ম তারিখ: ০১/০১/১৯৯০</v>
      </c>
      <c r="H442" s="5" t="str">
        <f>IFERROR(__xludf.DUMMYFUNCTION("""COMPUTED_VALUE"""),"পেশা: দিনমজুর")</f>
        <v>পেশা: দিনমজুর</v>
      </c>
      <c r="I442" s="5" t="str">
        <f>IFERROR(__xludf.DUMMYFUNCTION("""COMPUTED_VALUE"""),"ঠিকানা: গাড়াবোব")</f>
        <v>ঠিকানা: গাড়াবোব</v>
      </c>
      <c r="J442" s="5" t="str">
        <f>IFERROR(__xludf.DUMMYFUNCTION("""COMPUTED_VALUE""")," গাংনী")</f>
        <v> গাংনী</v>
      </c>
      <c r="K442" s="5" t="str">
        <f>IFERROR(__xludf.DUMMYFUNCTION("""COMPUTED_VALUE""")," মেহেরপুর")</f>
        <v> মেহেরপুর</v>
      </c>
    </row>
    <row r="443">
      <c r="A443" s="7" t="s">
        <v>7595</v>
      </c>
      <c r="B443" s="5">
        <f>IFERROR(__xludf.DUMMYFUNCTION("SPLIT(A443,"","")"),1715.0)</f>
        <v>1715</v>
      </c>
      <c r="C443" s="5" t="str">
        <f>IFERROR(__xludf.DUMMYFUNCTION("""COMPUTED_VALUE"""),"নাম: মো: রকি হোসেন")</f>
        <v>নাম: মো: রকি হোসেন</v>
      </c>
      <c r="D443" s="5" t="str">
        <f>IFERROR(__xludf.DUMMYFUNCTION("""COMPUTED_VALUE"""),"ভোটার নং: ৫৭০০৩৮০০০১৯৭")</f>
        <v>ভোটার নং: ৫৭০০৩৮০০০১৯৭</v>
      </c>
      <c r="E443" s="5" t="str">
        <f>IFERROR(__xludf.DUMMYFUNCTION("""COMPUTED_VALUE"""),"পিতা: মো: আ: মান্নান")</f>
        <v>পিতা: মো: আ: মান্নান</v>
      </c>
      <c r="F443" s="5" t="str">
        <f>IFERROR(__xludf.DUMMYFUNCTION("""COMPUTED_VALUE"""),"মাতা: মোছা: তাসলিমা বেগম")</f>
        <v>মাতা: মোছা: তাসলিমা বেগম</v>
      </c>
      <c r="G443" s="5" t="str">
        <f>IFERROR(__xludf.DUMMYFUNCTION("""COMPUTED_VALUE"""),"জন্ম তারিখ: ১০/০১/১৯৯০")</f>
        <v>জন্ম তারিখ: ১০/০১/১৯৯০</v>
      </c>
      <c r="H443" s="5" t="str">
        <f>IFERROR(__xludf.DUMMYFUNCTION("""COMPUTED_VALUE"""),"পেশা: কৃষক")</f>
        <v>পেশা: কৃষক</v>
      </c>
      <c r="I443" s="5" t="str">
        <f>IFERROR(__xludf.DUMMYFUNCTION("""COMPUTED_VALUE"""),"ঠিকানা: গাড়াবোব")</f>
        <v>ঠিকানা: গাড়াবোব</v>
      </c>
      <c r="J443" s="5" t="str">
        <f>IFERROR(__xludf.DUMMYFUNCTION("""COMPUTED_VALUE""")," গাংনী")</f>
        <v> গাংনী</v>
      </c>
      <c r="K443" s="5" t="str">
        <f>IFERROR(__xludf.DUMMYFUNCTION("""COMPUTED_VALUE""")," মেহেরপুর")</f>
        <v> মেহেরপুর</v>
      </c>
    </row>
    <row r="444">
      <c r="A444" s="7" t="s">
        <v>7596</v>
      </c>
      <c r="B444" s="5">
        <f>IFERROR(__xludf.DUMMYFUNCTION("SPLIT(A444,"","")"),1716.0)</f>
        <v>1716</v>
      </c>
      <c r="C444" s="5" t="str">
        <f>IFERROR(__xludf.DUMMYFUNCTION("""COMPUTED_VALUE"""),"নাম: মো: মাহফুজুর রহমান")</f>
        <v>নাম: মো: মাহফুজুর রহমান</v>
      </c>
      <c r="D444" s="5" t="str">
        <f>IFERROR(__xludf.DUMMYFUNCTION("""COMPUTED_VALUE"""),"ভোটার নং: ৫৭০০৩৮০০০১৯৮")</f>
        <v>ভোটার নং: ৫৭০০৩৮০০০১৯৮</v>
      </c>
      <c r="E444" s="5" t="str">
        <f>IFERROR(__xludf.DUMMYFUNCTION("""COMPUTED_VALUE"""),"পিতা: মো: আ: রাজ্জাক")</f>
        <v>পিতা: মো: আ: রাজ্জাক</v>
      </c>
      <c r="F444" s="5" t="str">
        <f>IFERROR(__xludf.DUMMYFUNCTION("""COMPUTED_VALUE"""),"মাতা: মোছা: সুপিয়া খাতুন")</f>
        <v>মাতা: মোছা: সুপিয়া খাতুন</v>
      </c>
      <c r="G444" s="5" t="str">
        <f>IFERROR(__xludf.DUMMYFUNCTION("""COMPUTED_VALUE"""),"জন্ম তারিখ: ১৫/১২/১৯৮৩")</f>
        <v>জন্ম তারিখ: ১৫/১২/১৯৮৩</v>
      </c>
      <c r="H444" s="5" t="str">
        <f>IFERROR(__xludf.DUMMYFUNCTION("""COMPUTED_VALUE"""),"পেশা: কৃষক")</f>
        <v>পেশা: কৃষক</v>
      </c>
      <c r="I444" s="5" t="str">
        <f>IFERROR(__xludf.DUMMYFUNCTION("""COMPUTED_VALUE"""),"ঠিকানা: গাড়াবোব")</f>
        <v>ঠিকানা: গাড়াবোব</v>
      </c>
      <c r="J444" s="5" t="str">
        <f>IFERROR(__xludf.DUMMYFUNCTION("""COMPUTED_VALUE""")," গাংনী")</f>
        <v> গাংনী</v>
      </c>
      <c r="K444" s="5" t="str">
        <f>IFERROR(__xludf.DUMMYFUNCTION("""COMPUTED_VALUE""")," মেহেরপুর")</f>
        <v> মেহেরপুর</v>
      </c>
    </row>
    <row r="445">
      <c r="A445" s="7" t="s">
        <v>7597</v>
      </c>
      <c r="B445" s="5">
        <f>IFERROR(__xludf.DUMMYFUNCTION("SPLIT(A445,"","")"),1717.0)</f>
        <v>1717</v>
      </c>
      <c r="C445" s="5" t="str">
        <f>IFERROR(__xludf.DUMMYFUNCTION("""COMPUTED_VALUE"""),"নাম: মো: শামীম হোসেন")</f>
        <v>নাম: মো: শামীম হোসেন</v>
      </c>
      <c r="D445" s="5" t="str">
        <f>IFERROR(__xludf.DUMMYFUNCTION("""COMPUTED_VALUE"""),"ভোটার নং: ৫৭০০৩৮০০০২০৪")</f>
        <v>ভোটার নং: ৫৭০০৩৮০০০২০৪</v>
      </c>
      <c r="E445" s="5" t="str">
        <f>IFERROR(__xludf.DUMMYFUNCTION("""COMPUTED_VALUE"""),"পিতা: মো: সাফায়াত হোসেন")</f>
        <v>পিতা: মো: সাফায়াত হোসেন</v>
      </c>
      <c r="F445" s="5" t="str">
        <f>IFERROR(__xludf.DUMMYFUNCTION("""COMPUTED_VALUE"""),"মাতা: মোছা: খাদিজা খাতুন")</f>
        <v>মাতা: মোছা: খাদিজা খাতুন</v>
      </c>
      <c r="G445" s="5" t="str">
        <f>IFERROR(__xludf.DUMMYFUNCTION("""COMPUTED_VALUE"""),"জন্ম তারিখ: ০৫/০৮/১৯৯০")</f>
        <v>জন্ম তারিখ: ০৫/০৮/১৯৯০</v>
      </c>
      <c r="H445" s="5" t="str">
        <f>IFERROR(__xludf.DUMMYFUNCTION("""COMPUTED_VALUE"""),"পেশা: মিস্ত্রী")</f>
        <v>পেশা: মিস্ত্রী</v>
      </c>
      <c r="I445" s="5" t="str">
        <f>IFERROR(__xludf.DUMMYFUNCTION("""COMPUTED_VALUE"""),"ঠিকানা: গাড়াবোব")</f>
        <v>ঠিকানা: গাড়াবোব</v>
      </c>
      <c r="J445" s="5" t="str">
        <f>IFERROR(__xludf.DUMMYFUNCTION("""COMPUTED_VALUE""")," গাংনী")</f>
        <v> গাংনী</v>
      </c>
      <c r="K445" s="5" t="str">
        <f>IFERROR(__xludf.DUMMYFUNCTION("""COMPUTED_VALUE""")," মেহেরপুর")</f>
        <v> মেহেরপুর</v>
      </c>
    </row>
    <row r="446">
      <c r="A446" s="7" t="s">
        <v>7598</v>
      </c>
      <c r="B446" s="5">
        <f>IFERROR(__xludf.DUMMYFUNCTION("SPLIT(A446,"","")"),1718.0)</f>
        <v>1718</v>
      </c>
      <c r="C446" s="5" t="str">
        <f>IFERROR(__xludf.DUMMYFUNCTION("""COMPUTED_VALUE"""),"নাম: মো: শাহ আলম")</f>
        <v>নাম: মো: শাহ আলম</v>
      </c>
      <c r="D446" s="5" t="str">
        <f>IFERROR(__xludf.DUMMYFUNCTION("""COMPUTED_VALUE"""),"ভোটার নং: ৫৭০০৩৮০০০২০৫")</f>
        <v>ভোটার নং: ৫৭০০৩৮০০০২০৫</v>
      </c>
      <c r="E446" s="5" t="str">
        <f>IFERROR(__xludf.DUMMYFUNCTION("""COMPUTED_VALUE"""),"পিতা: মো: শফি উল্লাহ")</f>
        <v>পিতা: মো: শফি উল্লাহ</v>
      </c>
      <c r="F446" s="5" t="str">
        <f>IFERROR(__xludf.DUMMYFUNCTION("""COMPUTED_VALUE"""),"মাতা: মোছা: রমেজান")</f>
        <v>মাতা: মোছা: রমেজান</v>
      </c>
      <c r="G446" s="5" t="str">
        <f>IFERROR(__xludf.DUMMYFUNCTION("""COMPUTED_VALUE"""),"জন্ম তারিখ: ১৬/০৮/১৯৮৬")</f>
        <v>জন্ম তারিখ: ১৬/০৮/১৯৮৬</v>
      </c>
      <c r="H446" s="5" t="str">
        <f>IFERROR(__xludf.DUMMYFUNCTION("""COMPUTED_VALUE"""),"পেশা: কৃষক")</f>
        <v>পেশা: কৃষক</v>
      </c>
      <c r="I446" s="5" t="str">
        <f>IFERROR(__xludf.DUMMYFUNCTION("""COMPUTED_VALUE"""),"ঠিকানা: গাড়াবোব")</f>
        <v>ঠিকানা: গাড়াবোব</v>
      </c>
      <c r="J446" s="5" t="str">
        <f>IFERROR(__xludf.DUMMYFUNCTION("""COMPUTED_VALUE""")," গাংনী")</f>
        <v> গাংনী</v>
      </c>
      <c r="K446" s="5" t="str">
        <f>IFERROR(__xludf.DUMMYFUNCTION("""COMPUTED_VALUE""")," মেহেরপুর")</f>
        <v> মেহেরপুর</v>
      </c>
    </row>
    <row r="447">
      <c r="A447" s="7" t="s">
        <v>7599</v>
      </c>
      <c r="B447" s="5">
        <f>IFERROR(__xludf.DUMMYFUNCTION("SPLIT(A447,"","")"),1719.0)</f>
        <v>1719</v>
      </c>
      <c r="C447" s="5" t="str">
        <f>IFERROR(__xludf.DUMMYFUNCTION("""COMPUTED_VALUE"""),"নাম: মো: আঃ আওয়াল")</f>
        <v>নাম: মো: আঃ আওয়াল</v>
      </c>
      <c r="D447" s="5" t="str">
        <f>IFERROR(__xludf.DUMMYFUNCTION("""COMPUTED_VALUE"""),"ভোটার নং: ৫৭০০৩৮০০০২০৬")</f>
        <v>ভোটার নং: ৫৭০০৩৮০০০২০৬</v>
      </c>
      <c r="E447" s="5" t="str">
        <f>IFERROR(__xludf.DUMMYFUNCTION("""COMPUTED_VALUE"""),"পিতা: মো: আবুল কালাম")</f>
        <v>পিতা: মো: আবুল কালাম</v>
      </c>
      <c r="F447" s="5" t="str">
        <f>IFERROR(__xludf.DUMMYFUNCTION("""COMPUTED_VALUE"""),"মাতা: মোছা: আছিয়া খাতুন")</f>
        <v>মাতা: মোছা: আছিয়া খাতুন</v>
      </c>
      <c r="G447" s="5" t="str">
        <f>IFERROR(__xludf.DUMMYFUNCTION("""COMPUTED_VALUE"""),"জন্ম তারিখ: ১২/১০/১৯৮৯")</f>
        <v>জন্ম তারিখ: ১২/১০/১৯৮৯</v>
      </c>
      <c r="H447" s="5" t="str">
        <f>IFERROR(__xludf.DUMMYFUNCTION("""COMPUTED_VALUE"""),"পেশা: কৃষক")</f>
        <v>পেশা: কৃষক</v>
      </c>
      <c r="I447" s="5" t="str">
        <f>IFERROR(__xludf.DUMMYFUNCTION("""COMPUTED_VALUE"""),"ঠিকানা: গাড়াবোব")</f>
        <v>ঠিকানা: গাড়াবোব</v>
      </c>
      <c r="J447" s="5" t="str">
        <f>IFERROR(__xludf.DUMMYFUNCTION("""COMPUTED_VALUE""")," গাংনী")</f>
        <v> গাংনী</v>
      </c>
      <c r="K447" s="5" t="str">
        <f>IFERROR(__xludf.DUMMYFUNCTION("""COMPUTED_VALUE""")," মেহেরপুর")</f>
        <v> মেহেরপুর</v>
      </c>
    </row>
    <row r="448">
      <c r="A448" s="7" t="s">
        <v>7600</v>
      </c>
      <c r="B448" s="5">
        <f>IFERROR(__xludf.DUMMYFUNCTION("SPLIT(A448,"","")"),1720.0)</f>
        <v>1720</v>
      </c>
      <c r="C448" s="5" t="str">
        <f>IFERROR(__xludf.DUMMYFUNCTION("""COMPUTED_VALUE"""),"নাম: মো: জাহিদুল ইসলাম")</f>
        <v>নাম: মো: জাহিদুল ইসলাম</v>
      </c>
      <c r="D448" s="5" t="str">
        <f>IFERROR(__xludf.DUMMYFUNCTION("""COMPUTED_VALUE"""),"ভোটার নং: ৫৭০০৩৮০০০২০৭")</f>
        <v>ভোটার নং: ৫৭০০৩৮০০০২০৭</v>
      </c>
      <c r="E448" s="5" t="str">
        <f>IFERROR(__xludf.DUMMYFUNCTION("""COMPUTED_VALUE"""),"পিতা: মো: ইনতাজ আলী")</f>
        <v>পিতা: মো: ইনতাজ আলী</v>
      </c>
      <c r="F448" s="5" t="str">
        <f>IFERROR(__xludf.DUMMYFUNCTION("""COMPUTED_VALUE"""),"মাতা: মোছা: জামবিয়া খাতুন")</f>
        <v>মাতা: মোছা: জামবিয়া খাতুন</v>
      </c>
      <c r="G448" s="5" t="str">
        <f>IFERROR(__xludf.DUMMYFUNCTION("""COMPUTED_VALUE"""),"জন্ম তারিখ: ১২/১০/১৯৯১")</f>
        <v>জন্ম তারিখ: ১২/১০/১৯৯১</v>
      </c>
      <c r="H448" s="5" t="str">
        <f>IFERROR(__xludf.DUMMYFUNCTION("""COMPUTED_VALUE"""),"পেশা: কৃষক")</f>
        <v>পেশা: কৃষক</v>
      </c>
      <c r="I448" s="5" t="str">
        <f>IFERROR(__xludf.DUMMYFUNCTION("""COMPUTED_VALUE"""),"ঠিকানা: গাড়াবোব")</f>
        <v>ঠিকানা: গাড়াবোব</v>
      </c>
      <c r="J448" s="5" t="str">
        <f>IFERROR(__xludf.DUMMYFUNCTION("""COMPUTED_VALUE""")," গাংনী")</f>
        <v> গাংনী</v>
      </c>
      <c r="K448" s="5" t="str">
        <f>IFERROR(__xludf.DUMMYFUNCTION("""COMPUTED_VALUE""")," মেহেরপুর")</f>
        <v> মেহেরপুর</v>
      </c>
    </row>
    <row r="449">
      <c r="A449" s="7" t="s">
        <v>7601</v>
      </c>
      <c r="B449" s="5">
        <f>IFERROR(__xludf.DUMMYFUNCTION("SPLIT(A449,"","")"),1721.0)</f>
        <v>1721</v>
      </c>
      <c r="C449" s="5" t="str">
        <f>IFERROR(__xludf.DUMMYFUNCTION("""COMPUTED_VALUE"""),"নাম: মো: ছানোয়ার হোসেন")</f>
        <v>নাম: মো: ছানোয়ার হোসেন</v>
      </c>
      <c r="D449" s="5" t="str">
        <f>IFERROR(__xludf.DUMMYFUNCTION("""COMPUTED_VALUE"""),"ভোটার নং: ৫৭০০৩৮০০০২০৮")</f>
        <v>ভোটার নং: ৫৭০০৩৮০০০২০৮</v>
      </c>
      <c r="E449" s="5" t="str">
        <f>IFERROR(__xludf.DUMMYFUNCTION("""COMPUTED_VALUE"""),"পিতা: কিয়াম উদ্দিন")</f>
        <v>পিতা: কিয়াম উদ্দিন</v>
      </c>
      <c r="F449" s="5" t="str">
        <f>IFERROR(__xludf.DUMMYFUNCTION("""COMPUTED_VALUE"""),"মাতা: মোছা: মাহিরন বিবি")</f>
        <v>মাতা: মোছা: মাহিরন বিবি</v>
      </c>
      <c r="G449" s="5" t="str">
        <f>IFERROR(__xludf.DUMMYFUNCTION("""COMPUTED_VALUE"""),"জন্ম তারিখ: ০১/১০/১৯৯০")</f>
        <v>জন্ম তারিখ: ০১/১০/১৯৯০</v>
      </c>
      <c r="H449" s="5" t="str">
        <f>IFERROR(__xludf.DUMMYFUNCTION("""COMPUTED_VALUE"""),"পেশা: কৃষক")</f>
        <v>পেশা: কৃষক</v>
      </c>
      <c r="I449" s="5" t="str">
        <f>IFERROR(__xludf.DUMMYFUNCTION("""COMPUTED_VALUE"""),"ঠিকানা: গাড়াবোব")</f>
        <v>ঠিকানা: গাড়াবোব</v>
      </c>
      <c r="J449" s="5" t="str">
        <f>IFERROR(__xludf.DUMMYFUNCTION("""COMPUTED_VALUE""")," গাংনী")</f>
        <v> গাংনী</v>
      </c>
      <c r="K449" s="5" t="str">
        <f>IFERROR(__xludf.DUMMYFUNCTION("""COMPUTED_VALUE""")," মেহেরপুর")</f>
        <v> মেহেরপুর</v>
      </c>
    </row>
    <row r="450">
      <c r="A450" s="7" t="s">
        <v>7602</v>
      </c>
      <c r="B450" s="5">
        <f>IFERROR(__xludf.DUMMYFUNCTION("SPLIT(A450,"","")"),1722.0)</f>
        <v>1722</v>
      </c>
      <c r="C450" s="5" t="str">
        <f>IFERROR(__xludf.DUMMYFUNCTION("""COMPUTED_VALUE"""),"নাম: মো: সাইফুল")</f>
        <v>নাম: মো: সাইফুল</v>
      </c>
      <c r="D450" s="5" t="str">
        <f>IFERROR(__xludf.DUMMYFUNCTION("""COMPUTED_VALUE"""),"ভোটার নং: ৫৭০০৩৮০০০২১১")</f>
        <v>ভোটার নং: ৫৭০০৩৮০০০২১১</v>
      </c>
      <c r="E450" s="5" t="str">
        <f>IFERROR(__xludf.DUMMYFUNCTION("""COMPUTED_VALUE"""),"পিতা: মো: গরীব")</f>
        <v>পিতা: মো: গরীব</v>
      </c>
      <c r="F450" s="5" t="str">
        <f>IFERROR(__xludf.DUMMYFUNCTION("""COMPUTED_VALUE"""),"মাতা: মোছা: বানুয়ারা")</f>
        <v>মাতা: মোছা: বানুয়ারা</v>
      </c>
      <c r="G450" s="5" t="str">
        <f>IFERROR(__xludf.DUMMYFUNCTION("""COMPUTED_VALUE"""),"জন্ম তারিখ: ০১/০৫/১৯৭৫")</f>
        <v>জন্ম তারিখ: ০১/০৫/১৯৭৫</v>
      </c>
      <c r="H450" s="5" t="str">
        <f>IFERROR(__xludf.DUMMYFUNCTION("""COMPUTED_VALUE"""),"পেশা: দিনমজুর")</f>
        <v>পেশা: দিনমজুর</v>
      </c>
      <c r="I450" s="5" t="str">
        <f>IFERROR(__xludf.DUMMYFUNCTION("""COMPUTED_VALUE"""),"ঠিকানা: গাড়াবোব")</f>
        <v>ঠিকানা: গাড়াবোব</v>
      </c>
      <c r="J450" s="5" t="str">
        <f>IFERROR(__xludf.DUMMYFUNCTION("""COMPUTED_VALUE""")," গাংনী")</f>
        <v> গাংনী</v>
      </c>
      <c r="K450" s="5" t="str">
        <f>IFERROR(__xludf.DUMMYFUNCTION("""COMPUTED_VALUE""")," মেহেরপুর")</f>
        <v> মেহেরপুর</v>
      </c>
    </row>
    <row r="451">
      <c r="A451" s="7" t="s">
        <v>7603</v>
      </c>
      <c r="B451" s="5">
        <f>IFERROR(__xludf.DUMMYFUNCTION("SPLIT(A451,"","")"),1723.0)</f>
        <v>1723</v>
      </c>
      <c r="C451" s="5" t="str">
        <f>IFERROR(__xludf.DUMMYFUNCTION("""COMPUTED_VALUE"""),"নাম: মো: ফরহাদ")</f>
        <v>নাম: মো: ফরহাদ</v>
      </c>
      <c r="D451" s="5" t="str">
        <f>IFERROR(__xludf.DUMMYFUNCTION("""COMPUTED_VALUE"""),"ভোটার নং: ৫৭০০৩৮০০০২১৩")</f>
        <v>ভোটার নং: ৫৭০০৩৮০০০২১৩</v>
      </c>
      <c r="E451" s="5" t="str">
        <f>IFERROR(__xludf.DUMMYFUNCTION("""COMPUTED_VALUE"""),"পিতা: মো: বিশারত আলী")</f>
        <v>পিতা: মো: বিশারত আলী</v>
      </c>
      <c r="F451" s="5" t="str">
        <f>IFERROR(__xludf.DUMMYFUNCTION("""COMPUTED_VALUE"""),"মাতা: মোছা: ফিরোজা বেগম")</f>
        <v>মাতা: মোছা: ফিরোজা বেগম</v>
      </c>
      <c r="G451" s="5" t="str">
        <f>IFERROR(__xludf.DUMMYFUNCTION("""COMPUTED_VALUE"""),"জন্ম তারিখ: ২৫/০১/১৯৯০")</f>
        <v>জন্ম তারিখ: ২৫/০১/১৯৯০</v>
      </c>
      <c r="H451" s="5" t="str">
        <f>IFERROR(__xludf.DUMMYFUNCTION("""COMPUTED_VALUE"""),"পেশা: ব্যবসা")</f>
        <v>পেশা: ব্যবসা</v>
      </c>
      <c r="I451" s="5" t="str">
        <f>IFERROR(__xludf.DUMMYFUNCTION("""COMPUTED_VALUE"""),"ঠিকানা: গাড়াবোব")</f>
        <v>ঠিকানা: গাড়াবোব</v>
      </c>
      <c r="J451" s="5" t="str">
        <f>IFERROR(__xludf.DUMMYFUNCTION("""COMPUTED_VALUE""")," গাংনী")</f>
        <v> গাংনী</v>
      </c>
      <c r="K451" s="5" t="str">
        <f>IFERROR(__xludf.DUMMYFUNCTION("""COMPUTED_VALUE""")," মেহেরপুর")</f>
        <v> মেহেরপুর</v>
      </c>
    </row>
    <row r="452">
      <c r="A452" s="7" t="s">
        <v>7604</v>
      </c>
      <c r="B452" s="5">
        <f>IFERROR(__xludf.DUMMYFUNCTION("SPLIT(A452,"","")"),1724.0)</f>
        <v>1724</v>
      </c>
      <c r="C452" s="5" t="str">
        <f>IFERROR(__xludf.DUMMYFUNCTION("""COMPUTED_VALUE"""),"নাম: মো: জসিম উদ্দিন")</f>
        <v>নাম: মো: জসিম উদ্দিন</v>
      </c>
      <c r="D452" s="5" t="str">
        <f>IFERROR(__xludf.DUMMYFUNCTION("""COMPUTED_VALUE"""),"ভোটার নং: ৫৭০০৩৮০০০২১৬")</f>
        <v>ভোটার নং: ৫৭০০৩৮০০০২১৬</v>
      </c>
      <c r="E452" s="5" t="str">
        <f>IFERROR(__xludf.DUMMYFUNCTION("""COMPUTED_VALUE"""),"পিতা: খলিল খাঁ")</f>
        <v>পিতা: খলিল খাঁ</v>
      </c>
      <c r="F452" s="5" t="str">
        <f>IFERROR(__xludf.DUMMYFUNCTION("""COMPUTED_VALUE"""),"মাতা: মোছা: জোহরা বেগম")</f>
        <v>মাতা: মোছা: জোহরা বেগম</v>
      </c>
      <c r="G452" s="5" t="str">
        <f>IFERROR(__xludf.DUMMYFUNCTION("""COMPUTED_VALUE"""),"জন্ম তারিখ: ০৯/০৩/১৯৯০")</f>
        <v>জন্ম তারিখ: ০৯/০৩/১৯৯০</v>
      </c>
      <c r="H452" s="5" t="str">
        <f>IFERROR(__xludf.DUMMYFUNCTION("""COMPUTED_VALUE"""),"পেশা: শ্রমিক")</f>
        <v>পেশা: শ্রমিক</v>
      </c>
      <c r="I452" s="5" t="str">
        <f>IFERROR(__xludf.DUMMYFUNCTION("""COMPUTED_VALUE"""),"ঠিকানা: গাড়াবোব")</f>
        <v>ঠিকানা: গাড়াবোব</v>
      </c>
      <c r="J452" s="5" t="str">
        <f>IFERROR(__xludf.DUMMYFUNCTION("""COMPUTED_VALUE""")," গাংনী")</f>
        <v> গাংনী</v>
      </c>
      <c r="K452" s="5" t="str">
        <f>IFERROR(__xludf.DUMMYFUNCTION("""COMPUTED_VALUE""")," মেহেরপুর")</f>
        <v> মেহেরপুর</v>
      </c>
    </row>
    <row r="453">
      <c r="A453" s="7" t="s">
        <v>7605</v>
      </c>
      <c r="B453" s="5">
        <f>IFERROR(__xludf.DUMMYFUNCTION("SPLIT(A453,"","")"),1725.0)</f>
        <v>1725</v>
      </c>
      <c r="C453" s="5" t="str">
        <f>IFERROR(__xludf.DUMMYFUNCTION("""COMPUTED_VALUE"""),"নাম: মোহা: ফিরোজ হোসেন সুজন")</f>
        <v>নাম: মোহা: ফিরোজ হোসেন সুজন</v>
      </c>
      <c r="D453" s="5" t="str">
        <f>IFERROR(__xludf.DUMMYFUNCTION("""COMPUTED_VALUE"""),"ভোটার নং: ৫৭০০৩৮০০০২১৭")</f>
        <v>ভোটার নং: ৫৭০০৩৮০০০২১৭</v>
      </c>
      <c r="E453" s="5" t="str">
        <f>IFERROR(__xludf.DUMMYFUNCTION("""COMPUTED_VALUE"""),"পিতা: মো: ইদ্রিস আলী")</f>
        <v>পিতা: মো: ইদ্রিস আলী</v>
      </c>
      <c r="F453" s="5" t="str">
        <f>IFERROR(__xludf.DUMMYFUNCTION("""COMPUTED_VALUE"""),"মাতা: মোছা: ফিরোজা খাতুন")</f>
        <v>মাতা: মোছা: ফিরোজা খাতুন</v>
      </c>
      <c r="G453" s="5" t="str">
        <f>IFERROR(__xludf.DUMMYFUNCTION("""COMPUTED_VALUE"""),"জন্ম তারিখ: ১২/০৬/১৯৮৭")</f>
        <v>জন্ম তারিখ: ১২/০৬/১৯৮৭</v>
      </c>
      <c r="H453" s="5" t="str">
        <f>IFERROR(__xludf.DUMMYFUNCTION("""COMPUTED_VALUE"""),"পেশা: ড্রাইভার")</f>
        <v>পেশা: ড্রাইভার</v>
      </c>
      <c r="I453" s="5" t="str">
        <f>IFERROR(__xludf.DUMMYFUNCTION("""COMPUTED_VALUE"""),"ঠিকানা: গাড়াবোব")</f>
        <v>ঠিকানা: গাড়াবোব</v>
      </c>
      <c r="J453" s="5" t="str">
        <f>IFERROR(__xludf.DUMMYFUNCTION("""COMPUTED_VALUE""")," গাংনী")</f>
        <v> গাংনী</v>
      </c>
      <c r="K453" s="5" t="str">
        <f>IFERROR(__xludf.DUMMYFUNCTION("""COMPUTED_VALUE""")," মেহেরপুর")</f>
        <v> মেহেরপুর</v>
      </c>
    </row>
  </sheetData>
  <drawing r:id="rId1"/>
</worksheet>
</file>